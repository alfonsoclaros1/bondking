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elivery Receipt" sheetId="1" r:id="rId4"/>
    <sheet state="visible" name="DeliveryReceipt" sheetId="2" r:id="rId5"/>
    <sheet state="visible" name="DeliveryReceiptItems" sheetId="3" r:id="rId6"/>
    <sheet state="visible" name="Inventory" sheetId="4" r:id="rId7"/>
    <sheet state="visible" name="InventoryIssuanceItem" sheetId="5" r:id="rId8"/>
    <sheet state="visible" name="products" sheetId="6" r:id="rId9"/>
    <sheet state="hidden" name="Counters" sheetId="7" r:id="rId10"/>
    <sheet state="hidden" name="Purchase Orders" sheetId="8" r:id="rId11"/>
    <sheet state="visible" name="PO" sheetId="9" r:id="rId12"/>
    <sheet state="hidden" name="Daryl" sheetId="10" r:id="rId13"/>
    <sheet state="hidden" name="Dorothy" sheetId="11" r:id="rId14"/>
    <sheet state="hidden" name="Jessica" sheetId="12" r:id="rId15"/>
    <sheet state="hidden" name="Analiza" sheetId="13" r:id="rId16"/>
    <sheet state="hidden" name="HQ" sheetId="14" r:id="rId17"/>
    <sheet state="visible" name="Users" sheetId="15" r:id="rId18"/>
    <sheet state="visible" name="Mismatch" sheetId="16" r:id="rId19"/>
    <sheet state="visible" name="clients" sheetId="17" r:id="rId20"/>
    <sheet state="hidden" name="Directory A1" sheetId="18" r:id="rId21"/>
    <sheet state="hidden" name="Directory A2" sheetId="19" r:id="rId22"/>
    <sheet state="hidden" name="Directory A3" sheetId="20" r:id="rId23"/>
    <sheet state="hidden" name="Directory A4" sheetId="21" r:id="rId24"/>
    <sheet state="hidden" name="Diretory A5" sheetId="22" r:id="rId25"/>
  </sheets>
  <definedNames/>
  <calcPr/>
</workbook>
</file>

<file path=xl/sharedStrings.xml><?xml version="1.0" encoding="utf-8"?>
<sst xmlns="http://schemas.openxmlformats.org/spreadsheetml/2006/main" count="27774" uniqueCount="5470">
  <si>
    <t>dr_number</t>
  </si>
  <si>
    <t>client</t>
  </si>
  <si>
    <t>date_of_order</t>
  </si>
  <si>
    <t>date_of_delivery</t>
  </si>
  <si>
    <t>Item</t>
  </si>
  <si>
    <t>Qty</t>
  </si>
  <si>
    <t>Price</t>
  </si>
  <si>
    <t>agent</t>
  </si>
  <si>
    <t>delivery_method</t>
  </si>
  <si>
    <t>payment_method</t>
  </si>
  <si>
    <t>payment_status</t>
  </si>
  <si>
    <t>Counter</t>
  </si>
  <si>
    <t xml:space="preserve">Payment Details </t>
  </si>
  <si>
    <t>remarks</t>
  </si>
  <si>
    <t>delivery_status</t>
  </si>
  <si>
    <t>created_by</t>
  </si>
  <si>
    <t>is_archived</t>
  </si>
  <si>
    <t>is_cancelled</t>
  </si>
  <si>
    <t>approval_status</t>
  </si>
  <si>
    <t>2025-001</t>
  </si>
  <si>
    <t>Star Scout Trading Hardware</t>
  </si>
  <si>
    <t>BK-NF-400</t>
  </si>
  <si>
    <t>HQ</t>
  </si>
  <si>
    <t>DELIVERY</t>
  </si>
  <si>
    <t>DAYS_120</t>
  </si>
  <si>
    <t>DEPOSITED</t>
  </si>
  <si>
    <t>PNB-2000004454 (08/08/2025)</t>
  </si>
  <si>
    <t>DELIVERED</t>
  </si>
  <si>
    <t>2025-002</t>
  </si>
  <si>
    <t>Denison General Merchandise</t>
  </si>
  <si>
    <t>CASH</t>
  </si>
  <si>
    <t>N/A</t>
  </si>
  <si>
    <t>Sample</t>
  </si>
  <si>
    <t>2025-003</t>
  </si>
  <si>
    <t>Everglory Hardware</t>
  </si>
  <si>
    <t xml:space="preserve">DAYS_60 </t>
  </si>
  <si>
    <t>RCBC - 9000282</t>
  </si>
  <si>
    <t>2025-004</t>
  </si>
  <si>
    <t>Angelo Reyes</t>
  </si>
  <si>
    <t>2025-005</t>
  </si>
  <si>
    <t xml:space="preserve">Vincent Tanchip </t>
  </si>
  <si>
    <t>2025-006</t>
  </si>
  <si>
    <t>TriMark</t>
  </si>
  <si>
    <t>Collection - (03/31/25)</t>
  </si>
  <si>
    <t>2025-007</t>
  </si>
  <si>
    <t>Collection - (04/30/25)</t>
  </si>
  <si>
    <t>2025-008</t>
  </si>
  <si>
    <t>BK Caloocan (Dan)</t>
  </si>
  <si>
    <t>DAYS_30</t>
  </si>
  <si>
    <t>FOR_COLLECTION</t>
  </si>
  <si>
    <t>CR - 0002</t>
  </si>
  <si>
    <t>Payment by VRT</t>
  </si>
  <si>
    <t>2025-009</t>
  </si>
  <si>
    <t>Jason Wang</t>
  </si>
  <si>
    <t>Cash</t>
  </si>
  <si>
    <t>2025-010</t>
  </si>
  <si>
    <t>BK (Richie)</t>
  </si>
  <si>
    <t>2025-011</t>
  </si>
  <si>
    <t>BK (Casey)</t>
  </si>
  <si>
    <t>2025-012</t>
  </si>
  <si>
    <t>Melchor Ching</t>
  </si>
  <si>
    <t>2025-013</t>
  </si>
  <si>
    <t>BK (Dreyfus)</t>
  </si>
  <si>
    <t>CR - 0003</t>
  </si>
  <si>
    <t>Sent to VRT - 03/31/25</t>
  </si>
  <si>
    <t>2025-014</t>
  </si>
  <si>
    <t>BK (Roy)</t>
  </si>
  <si>
    <t>CR - 0004</t>
  </si>
  <si>
    <t>PULL-OUT 40 BOXES
PULL-OUT 20 BOXES (11/05/2025)</t>
  </si>
  <si>
    <t>2025-015</t>
  </si>
  <si>
    <t>DAYS_15</t>
  </si>
  <si>
    <t>For Collection</t>
  </si>
  <si>
    <t>2025-016</t>
  </si>
  <si>
    <t>PMCJ De Guzman Hardware</t>
  </si>
  <si>
    <t>03//05/2025</t>
  </si>
  <si>
    <t>Rosen</t>
  </si>
  <si>
    <t>CR - 0005</t>
  </si>
  <si>
    <t>SECB - 0000221710 - (04/08/25)</t>
  </si>
  <si>
    <t>2025-017</t>
  </si>
  <si>
    <t>Square-B Commercial</t>
  </si>
  <si>
    <t>CR - 0006</t>
  </si>
  <si>
    <t xml:space="preserve">Need SI      </t>
  </si>
  <si>
    <t>2025-018</t>
  </si>
  <si>
    <t>SPDMP Enterprise Co.</t>
  </si>
  <si>
    <t>FOR_DEPOSIT</t>
  </si>
  <si>
    <t>CR - 0007</t>
  </si>
  <si>
    <t xml:space="preserve">Need SI </t>
  </si>
  <si>
    <t>2025-019</t>
  </si>
  <si>
    <t>JRA Hardware</t>
  </si>
  <si>
    <t xml:space="preserve">Cash </t>
  </si>
  <si>
    <t>2025-020</t>
  </si>
  <si>
    <t>Interpower</t>
  </si>
  <si>
    <t>CR - 0008</t>
  </si>
  <si>
    <t>2025-021</t>
  </si>
  <si>
    <t>Henry Tan</t>
  </si>
  <si>
    <t>Liezel</t>
  </si>
  <si>
    <t>CR - 0009</t>
  </si>
  <si>
    <t xml:space="preserve">PULL OUT 12 PCS </t>
  </si>
  <si>
    <t>Cancelled</t>
  </si>
  <si>
    <t>2025-022</t>
  </si>
  <si>
    <t>Lorenz Ong</t>
  </si>
  <si>
    <t>CR - 0010</t>
  </si>
  <si>
    <t>PULL OUT 10PCS / 2PCS PAID</t>
  </si>
  <si>
    <t>2025-024</t>
  </si>
  <si>
    <t>Mang Ambo Phil. Trading Corp.</t>
  </si>
  <si>
    <t>2025-025</t>
  </si>
  <si>
    <t>Ultra Bolt Hardware</t>
  </si>
  <si>
    <t>For Collection - (03/31/25)</t>
  </si>
  <si>
    <t>2025-026</t>
  </si>
  <si>
    <t xml:space="preserve">3 Han Paint Center </t>
  </si>
  <si>
    <t>CR - 0012</t>
  </si>
  <si>
    <t>BDO-0000865525 (05/052025)</t>
  </si>
  <si>
    <t>2025-027</t>
  </si>
  <si>
    <t>GNO Dream Buildiers Inc.</t>
  </si>
  <si>
    <t>CR - 0013</t>
  </si>
  <si>
    <t>BDO-0000398057 (05/14/2025)</t>
  </si>
  <si>
    <t>2025-028</t>
  </si>
  <si>
    <t>BK (Agents)</t>
  </si>
  <si>
    <t>2025-029</t>
  </si>
  <si>
    <t xml:space="preserve">Kaico Trading </t>
  </si>
  <si>
    <t>CR - 0014</t>
  </si>
  <si>
    <t>BD0-0002375394 ( 04/10/2025)</t>
  </si>
  <si>
    <t>2025-023</t>
  </si>
  <si>
    <t>Andrew Kodavia</t>
  </si>
  <si>
    <t>CR - 0011</t>
  </si>
  <si>
    <t xml:space="preserve">PULL OUT </t>
  </si>
  <si>
    <t>2025-030</t>
  </si>
  <si>
    <t xml:space="preserve">JoMarkBuilders  Supply </t>
  </si>
  <si>
    <t>CR - 0015</t>
  </si>
  <si>
    <t>2025-031</t>
  </si>
  <si>
    <t xml:space="preserve">Jundang 8 Hardware Const. Supply </t>
  </si>
  <si>
    <t>2025-032</t>
  </si>
  <si>
    <t xml:space="preserve">Carry All Builders Supply </t>
  </si>
  <si>
    <t>2025-033</t>
  </si>
  <si>
    <t>LMDC Hardware</t>
  </si>
  <si>
    <t>2025-034</t>
  </si>
  <si>
    <t>Abris Hardware Construction (JENNY )</t>
  </si>
  <si>
    <t>Mark</t>
  </si>
  <si>
    <t>CR - 0016</t>
  </si>
  <si>
    <t xml:space="preserve">PULL OUT 10 PCS </t>
  </si>
  <si>
    <t>2025-035</t>
  </si>
  <si>
    <t xml:space="preserve">Adrian Fajardo </t>
  </si>
  <si>
    <t>Hazel</t>
  </si>
  <si>
    <t>2025-036</t>
  </si>
  <si>
    <t>Sylvia Quiana</t>
  </si>
  <si>
    <t>2025-037</t>
  </si>
  <si>
    <t xml:space="preserve">UY Tit and Company </t>
  </si>
  <si>
    <t>2025-038</t>
  </si>
  <si>
    <t xml:space="preserve">Prince Dy </t>
  </si>
  <si>
    <t>CR - 0017</t>
  </si>
  <si>
    <t>2025-039</t>
  </si>
  <si>
    <t xml:space="preserve">Matibag Hardware </t>
  </si>
  <si>
    <t>Jerry</t>
  </si>
  <si>
    <t>2025-040</t>
  </si>
  <si>
    <t xml:space="preserve">East Asia Builders Supply Inc. </t>
  </si>
  <si>
    <t>CR - 0018</t>
  </si>
  <si>
    <t>PHILTRUSTBANK-0005586753 (07/19/2025)</t>
  </si>
  <si>
    <t>2025-041</t>
  </si>
  <si>
    <t>2025-042</t>
  </si>
  <si>
    <t>CR - 0019</t>
  </si>
  <si>
    <t>BD0-0001251790 (05/31/25)</t>
  </si>
  <si>
    <t>2025-043</t>
  </si>
  <si>
    <t>CR - 0020</t>
  </si>
  <si>
    <t>Check Date: APRIL 29, 2025</t>
  </si>
  <si>
    <t>2025-044</t>
  </si>
  <si>
    <t xml:space="preserve">Arlyn Fetalcorin </t>
  </si>
  <si>
    <t>CR - 0021</t>
  </si>
  <si>
    <t>METROBANK-0002487577 (07/21/2025)</t>
  </si>
  <si>
    <t>2025-045</t>
  </si>
  <si>
    <t>2025-046</t>
  </si>
  <si>
    <t xml:space="preserve">RJ Tiles Trading </t>
  </si>
  <si>
    <t>Daryl</t>
  </si>
  <si>
    <t>DAYS_90</t>
  </si>
  <si>
    <t>CR - 0022</t>
  </si>
  <si>
    <t>ONLINE TRANSFER (08/19/2025)</t>
  </si>
  <si>
    <t>2025-047</t>
  </si>
  <si>
    <t xml:space="preserve">LCS Construction </t>
  </si>
  <si>
    <t>DRL</t>
  </si>
  <si>
    <t>CR - 0023</t>
  </si>
  <si>
    <t>BDO-0000567054 (08/08/2025)</t>
  </si>
  <si>
    <t>2025-048</t>
  </si>
  <si>
    <t xml:space="preserve">Handworks Contruction Material </t>
  </si>
  <si>
    <t>CR - 0024</t>
  </si>
  <si>
    <t>BPI-1000079711 (08/30/2025)</t>
  </si>
  <si>
    <t>2025-049</t>
  </si>
  <si>
    <t xml:space="preserve">Manatal MPC Hardware </t>
  </si>
  <si>
    <t>CR - 0025</t>
  </si>
  <si>
    <t xml:space="preserve">CBS-0000385490 (07/07/2025) </t>
  </si>
  <si>
    <t>2025-050</t>
  </si>
  <si>
    <t xml:space="preserve">Sandblock Construction Supply </t>
  </si>
  <si>
    <t>CR - 0026</t>
  </si>
  <si>
    <t>CHINABANK-0002050006 (09/27/2025</t>
  </si>
  <si>
    <t>2025-051</t>
  </si>
  <si>
    <t>2025-052</t>
  </si>
  <si>
    <t xml:space="preserve">Double JJ Consumer Good Trading </t>
  </si>
  <si>
    <t>CR - 0027</t>
  </si>
  <si>
    <t>CASH / 08/08/2025</t>
  </si>
  <si>
    <t>2025-053</t>
  </si>
  <si>
    <t xml:space="preserve">Golden Build Hardware </t>
  </si>
  <si>
    <t>CR - 0028</t>
  </si>
  <si>
    <t>METROBANK-3110566175 (09/20/2025)</t>
  </si>
  <si>
    <t>2025-054</t>
  </si>
  <si>
    <t xml:space="preserve">Szamanta Enterprise Co. </t>
  </si>
  <si>
    <t>CR - 0029</t>
  </si>
  <si>
    <t xml:space="preserve">LOCAL CHECK FOR CLEARING </t>
  </si>
  <si>
    <t>2025-055</t>
  </si>
  <si>
    <t xml:space="preserve">SkyColours Hardware Trading Corp. </t>
  </si>
  <si>
    <t>CR - 0030</t>
  </si>
  <si>
    <t>Check Date: JULY 06, 2025</t>
  </si>
  <si>
    <t>2025-056</t>
  </si>
  <si>
    <t xml:space="preserve">Veneracion Hardware </t>
  </si>
  <si>
    <t>CR - 0031</t>
  </si>
  <si>
    <t xml:space="preserve">CASH 3,000 </t>
  </si>
  <si>
    <t>2025-057</t>
  </si>
  <si>
    <t xml:space="preserve">Myzame Hardware </t>
  </si>
  <si>
    <t>Collection - (04/07/25)</t>
  </si>
  <si>
    <t>2025-059</t>
  </si>
  <si>
    <t xml:space="preserve">Solito Ebas </t>
  </si>
  <si>
    <t>2025-060</t>
  </si>
  <si>
    <t xml:space="preserve"> Vicol  Trading </t>
  </si>
  <si>
    <t>1/4/0725</t>
  </si>
  <si>
    <t>2025-061</t>
  </si>
  <si>
    <t>BK Agent (DRL)</t>
  </si>
  <si>
    <t>2025-062</t>
  </si>
  <si>
    <t xml:space="preserve">Villamor Marketing Corporation </t>
  </si>
  <si>
    <t>CR - 0032</t>
  </si>
  <si>
    <t>METROBANK-2411211182 (09/27/2025)</t>
  </si>
  <si>
    <t>2025-063</t>
  </si>
  <si>
    <t xml:space="preserve">BBB Metal Products &amp; Hardware </t>
  </si>
  <si>
    <t>Jon</t>
  </si>
  <si>
    <t>PSB-0380774 (09/26/2025)</t>
  </si>
  <si>
    <t>2025-064</t>
  </si>
  <si>
    <t>CR - 0001</t>
  </si>
  <si>
    <t>2025-058</t>
  </si>
  <si>
    <t xml:space="preserve">RHND Hardware </t>
  </si>
  <si>
    <t>2025-065</t>
  </si>
  <si>
    <t xml:space="preserve">Well 88 Hardware </t>
  </si>
  <si>
    <t>CR - 0033</t>
  </si>
  <si>
    <t>CASH / 08/13/2025</t>
  </si>
  <si>
    <t>2025-066</t>
  </si>
  <si>
    <t>Collection - (04/08/25)</t>
  </si>
  <si>
    <t>2025-067</t>
  </si>
  <si>
    <t>CR - 0034</t>
  </si>
  <si>
    <t>RCBC-1200004250 (06/20/2025</t>
  </si>
  <si>
    <t>2025-068</t>
  </si>
  <si>
    <t xml:space="preserve">VMC Paint Center </t>
  </si>
  <si>
    <t>CR - 0035</t>
  </si>
  <si>
    <t>AUB-0000449314 (07/25/2025)</t>
  </si>
  <si>
    <t>2025-069</t>
  </si>
  <si>
    <t xml:space="preserve">RS Tiburcio Trading </t>
  </si>
  <si>
    <t>CR - 0036</t>
  </si>
  <si>
    <t>Check Date: JULY 22, 2025</t>
  </si>
  <si>
    <t>2025-070</t>
  </si>
  <si>
    <t xml:space="preserve">Yem Ku General  Merchandise </t>
  </si>
  <si>
    <t>Elmer</t>
  </si>
  <si>
    <t>CR - 0037</t>
  </si>
  <si>
    <t>CHECK NO. 0000774694</t>
  </si>
  <si>
    <t>2025-071</t>
  </si>
  <si>
    <t xml:space="preserve">Eluz Enterprises </t>
  </si>
  <si>
    <t>CR - 0038</t>
  </si>
  <si>
    <t xml:space="preserve">RCBC-9002744 (07/15/2025) </t>
  </si>
  <si>
    <t>2025-072</t>
  </si>
  <si>
    <t xml:space="preserve">All People General Merchandise </t>
  </si>
  <si>
    <t>CR - 0039</t>
  </si>
  <si>
    <t>2025-073</t>
  </si>
  <si>
    <t xml:space="preserve">Ritz Joy Corporation </t>
  </si>
  <si>
    <t xml:space="preserve">Collection - (04/12/25) </t>
  </si>
  <si>
    <t>2025-074</t>
  </si>
  <si>
    <t xml:space="preserve">GL Paint Center </t>
  </si>
  <si>
    <t>CR - 0040</t>
  </si>
  <si>
    <t xml:space="preserve">Online tranfer (08/27/2025) </t>
  </si>
  <si>
    <t>2025-075</t>
  </si>
  <si>
    <t xml:space="preserve">AJAM Hardware </t>
  </si>
  <si>
    <t>CR - 0041</t>
  </si>
  <si>
    <t xml:space="preserve">CASH </t>
  </si>
  <si>
    <t>2025-076</t>
  </si>
  <si>
    <t xml:space="preserve">Artan Hardware &amp; Gen. Merchandise </t>
  </si>
  <si>
    <t>CR - 0042</t>
  </si>
  <si>
    <t>BUSINESSBANK-0074780 (08/09/2025)</t>
  </si>
  <si>
    <t>2025-077</t>
  </si>
  <si>
    <t xml:space="preserve">L Campos Tiles Trading </t>
  </si>
  <si>
    <t>CR - 0044</t>
  </si>
  <si>
    <t>CHECK NO. 0324117429</t>
  </si>
  <si>
    <t>2025-078</t>
  </si>
  <si>
    <t xml:space="preserve">Generic Steel Marketing </t>
  </si>
  <si>
    <t>CR - 0043</t>
  </si>
  <si>
    <r>
      <rPr>
        <rFont val="Arial"/>
        <b/>
        <color rgb="FFFF0000"/>
      </rPr>
      <t xml:space="preserve">PBB-0502893 (11/15/2025)
</t>
    </r>
    <r>
      <rPr>
        <rFont val="Arial"/>
        <b/>
        <color rgb="FFFF0000"/>
      </rPr>
      <t>*Pull-out 2 boxes of 400g, change to 1 box new stock 400g and 1 box 150g</t>
    </r>
  </si>
  <si>
    <t>2025-079</t>
  </si>
  <si>
    <t xml:space="preserve">TGF Hardware </t>
  </si>
  <si>
    <t>CR - 0045</t>
  </si>
  <si>
    <t>METROBANK -4520457084 (09/01/2025)</t>
  </si>
  <si>
    <t>2025-080</t>
  </si>
  <si>
    <t xml:space="preserve">Build Works Hardware &amp; Construction Supplies </t>
  </si>
  <si>
    <t>2025-081</t>
  </si>
  <si>
    <t xml:space="preserve">Five J Hardware </t>
  </si>
  <si>
    <t>CR - 0046</t>
  </si>
  <si>
    <t>Check Date: JULY 27, 2025</t>
  </si>
  <si>
    <t>2025-082</t>
  </si>
  <si>
    <t xml:space="preserve">PF 19 Hardware </t>
  </si>
  <si>
    <t>CR - 0047</t>
  </si>
  <si>
    <t>SECURITYBANK- 0000075719 (11/30/2025)</t>
  </si>
  <si>
    <t>2025-083</t>
  </si>
  <si>
    <t xml:space="preserve">TMJR 888 Corporation </t>
  </si>
  <si>
    <t>CR - 0048</t>
  </si>
  <si>
    <t>METROBANK-211086621 (10/15/2025)</t>
  </si>
  <si>
    <t>2025-084</t>
  </si>
  <si>
    <t xml:space="preserve">LADJ General Merchandise </t>
  </si>
  <si>
    <t>CR - 0049</t>
  </si>
  <si>
    <t xml:space="preserve">BPI-6000163274 (09/02/2025) </t>
  </si>
  <si>
    <t>2025-085</t>
  </si>
  <si>
    <t xml:space="preserve">Onipse Trading  </t>
  </si>
  <si>
    <t>CR - 0050</t>
  </si>
  <si>
    <t>EASTWEST-0000202682 (08/17/2025)</t>
  </si>
  <si>
    <t>2025-086</t>
  </si>
  <si>
    <t xml:space="preserve">CMB Hardware </t>
  </si>
  <si>
    <t>CR - 0051</t>
  </si>
  <si>
    <t>Check Date: AUGUST 07, 2025</t>
  </si>
  <si>
    <t>FOR RETURN TO HQ</t>
  </si>
  <si>
    <t>2025-087</t>
  </si>
  <si>
    <t xml:space="preserve">Meldith Gen. Merchandize </t>
  </si>
  <si>
    <t>CR - 0052</t>
  </si>
  <si>
    <t>METROBANK-0001250530 (08/16/2025)</t>
  </si>
  <si>
    <t>2025-088</t>
  </si>
  <si>
    <t xml:space="preserve">Tiago &amp; Juaning Gen. Merch. </t>
  </si>
  <si>
    <t>CR - 0053</t>
  </si>
  <si>
    <t>METROBANK-0001423063 (10/25/2025)</t>
  </si>
  <si>
    <t>2025-089</t>
  </si>
  <si>
    <t>Mafel Joy Hardware &amp; Electrical Supply</t>
  </si>
  <si>
    <t>CR - 0054</t>
  </si>
  <si>
    <t>2025-090</t>
  </si>
  <si>
    <t xml:space="preserve">Perfect weapon car accesories </t>
  </si>
  <si>
    <t>CR - 0055</t>
  </si>
  <si>
    <t>Check Date: JULY 19, 2025</t>
  </si>
  <si>
    <t>2025-091</t>
  </si>
  <si>
    <t xml:space="preserve">Green Valley Hardware </t>
  </si>
  <si>
    <t>2025-092</t>
  </si>
  <si>
    <t xml:space="preserve">Kat &amp; Ren Hardware </t>
  </si>
  <si>
    <t>2025-093</t>
  </si>
  <si>
    <t xml:space="preserve">Real Electrical </t>
  </si>
  <si>
    <t>CR - 0056</t>
  </si>
  <si>
    <t>PNB-2000000434 (09/20/2025)</t>
  </si>
  <si>
    <t xml:space="preserve"> 2024-094</t>
  </si>
  <si>
    <t xml:space="preserve">Sand Art Paint Center </t>
  </si>
  <si>
    <t>CR - 0057</t>
  </si>
  <si>
    <t>2025-095</t>
  </si>
  <si>
    <t xml:space="preserve">T&amp;A Hardware </t>
  </si>
  <si>
    <t>CR - 0058</t>
  </si>
  <si>
    <t>EASTWEST-0000055934 (08/31/2025)</t>
  </si>
  <si>
    <t>2025-096</t>
  </si>
  <si>
    <t xml:space="preserve">Everyday Hardware </t>
  </si>
  <si>
    <t>CR - 0059</t>
  </si>
  <si>
    <t>PSBank- 0439211 (09/08/2025)</t>
  </si>
  <si>
    <t>2025-097</t>
  </si>
  <si>
    <t xml:space="preserve">New AMG General Merchandise </t>
  </si>
  <si>
    <t>CR - 0060</t>
  </si>
  <si>
    <t>BPI-1000125679 (08/31/2025)</t>
  </si>
  <si>
    <t>2025-098</t>
  </si>
  <si>
    <t xml:space="preserve">Blue Moon Enterprise </t>
  </si>
  <si>
    <t>CR - 0061</t>
  </si>
  <si>
    <t>METROBANK-2457564 (07/04/2025)</t>
  </si>
  <si>
    <t>2025-099</t>
  </si>
  <si>
    <t>Highland Lumber And Construction Supply Inc.</t>
  </si>
  <si>
    <t>CR - 0062</t>
  </si>
  <si>
    <t>BDO-0000774694-(08/28/2025)</t>
  </si>
  <si>
    <t>2025-100</t>
  </si>
  <si>
    <t xml:space="preserve">Toto Paint &amp; Fiberglass Center </t>
  </si>
  <si>
    <t>CR - 0063</t>
  </si>
  <si>
    <t>Check Date: JULY 26, 2025</t>
  </si>
  <si>
    <t>2025-101</t>
  </si>
  <si>
    <t xml:space="preserve">TBH Builders </t>
  </si>
  <si>
    <t>CR - 0064</t>
  </si>
  <si>
    <t>AUB-0000080357 (08/15/2025)</t>
  </si>
  <si>
    <t>2025-102</t>
  </si>
  <si>
    <t xml:space="preserve">1st Vergara Hardware </t>
  </si>
  <si>
    <t>CR - 0065</t>
  </si>
  <si>
    <t>BPI-6000195301 (09/30/2025)</t>
  </si>
  <si>
    <t xml:space="preserve"> </t>
  </si>
  <si>
    <t>2025-103</t>
  </si>
  <si>
    <t xml:space="preserve">Es Home Car and General Merchandise </t>
  </si>
  <si>
    <t>CR - 0066</t>
  </si>
  <si>
    <t>2025-104</t>
  </si>
  <si>
    <t xml:space="preserve">17 Bonifacio Hardware &amp; Const. Supplier </t>
  </si>
  <si>
    <t>CR - 0067</t>
  </si>
  <si>
    <t>2025-105</t>
  </si>
  <si>
    <t xml:space="preserve">Bazaarista Merchandising </t>
  </si>
  <si>
    <t>CR - 0068</t>
  </si>
  <si>
    <t>2025-106</t>
  </si>
  <si>
    <t xml:space="preserve">Lifetime Hardware </t>
  </si>
  <si>
    <t>CR - 0069</t>
  </si>
  <si>
    <t>CHINABANK-0000047518 (09/25/2025)</t>
  </si>
  <si>
    <t>2025-107</t>
  </si>
  <si>
    <t xml:space="preserve">Joe's Hardware </t>
  </si>
  <si>
    <t>CR - 0070</t>
  </si>
  <si>
    <t>2025-108</t>
  </si>
  <si>
    <t>Scout Builders</t>
  </si>
  <si>
    <t>CR-0070</t>
  </si>
  <si>
    <t>METROBANK-0002479041 (05/31/2025)</t>
  </si>
  <si>
    <t>2025-109</t>
  </si>
  <si>
    <t xml:space="preserve">Sampaloc Lumber Hardware </t>
  </si>
  <si>
    <t>CR-0071</t>
  </si>
  <si>
    <t>PNB-2000009943 (09/06/2025)</t>
  </si>
  <si>
    <t xml:space="preserve">    </t>
  </si>
  <si>
    <t>2025-110</t>
  </si>
  <si>
    <t xml:space="preserve">Richard O. Mariaca Hardware Supply </t>
  </si>
  <si>
    <t>CR-0073</t>
  </si>
  <si>
    <t>SECURITYBANK- 0005284220 (11/22/2025)</t>
  </si>
  <si>
    <t>2025-111</t>
  </si>
  <si>
    <t>CR-0022</t>
  </si>
  <si>
    <t>2025-112</t>
  </si>
  <si>
    <t>CR -0074</t>
  </si>
  <si>
    <t>48 pcs for DR 113, 24 pcs not returned</t>
  </si>
  <si>
    <t>2025-113</t>
  </si>
  <si>
    <t>CR-0014</t>
  </si>
  <si>
    <t>BDO-0002375314 (06/19/2025)</t>
  </si>
  <si>
    <t>2025-114</t>
  </si>
  <si>
    <t>CR-0075</t>
  </si>
  <si>
    <t>18 pcs not returned</t>
  </si>
  <si>
    <t>NEW_DR</t>
  </si>
  <si>
    <t>2025-115</t>
  </si>
  <si>
    <t xml:space="preserve">Aaron Recto </t>
  </si>
  <si>
    <t>CR-0076</t>
  </si>
  <si>
    <t>2025-116</t>
  </si>
  <si>
    <t xml:space="preserve">CDK Lumber &amp; Hardware </t>
  </si>
  <si>
    <t>CR-0077</t>
  </si>
  <si>
    <t>BDO-0000470633 (10/10/2025)</t>
  </si>
  <si>
    <t>2025-117</t>
  </si>
  <si>
    <t xml:space="preserve">Lizette Hardware </t>
  </si>
  <si>
    <t>CR-0078</t>
  </si>
  <si>
    <t>CBS- 0000738515 (10/31/2025)</t>
  </si>
  <si>
    <t>2025-118</t>
  </si>
  <si>
    <t xml:space="preserve">Junmyn Hardware </t>
  </si>
  <si>
    <t>CR-0079</t>
  </si>
  <si>
    <t xml:space="preserve">Check Date: </t>
  </si>
  <si>
    <t>2025-119</t>
  </si>
  <si>
    <t xml:space="preserve">Jan Margus Trading </t>
  </si>
  <si>
    <t>CR-0080</t>
  </si>
  <si>
    <t>2025-120</t>
  </si>
  <si>
    <t>CR-0081</t>
  </si>
  <si>
    <t>2025-121</t>
  </si>
  <si>
    <t>CR-0006</t>
  </si>
  <si>
    <t>AUB-0000464411 (07/17/2025)</t>
  </si>
  <si>
    <t>2025-122</t>
  </si>
  <si>
    <t>CR-0007</t>
  </si>
  <si>
    <t>AUB-0000453728 (07/17/2025)</t>
  </si>
  <si>
    <t>2025-123</t>
  </si>
  <si>
    <t>CR-0013</t>
  </si>
  <si>
    <t>CHECK NO. 0000403470</t>
  </si>
  <si>
    <t>2025-124</t>
  </si>
  <si>
    <t>CR-0005</t>
  </si>
  <si>
    <t>SECB 0000221741 (08/22/2025)</t>
  </si>
  <si>
    <t>2025-125</t>
  </si>
  <si>
    <t>CR-0012</t>
  </si>
  <si>
    <t xml:space="preserve">CHECK NO. 0000897067 </t>
  </si>
  <si>
    <t>2025-126</t>
  </si>
  <si>
    <t>2025-127</t>
  </si>
  <si>
    <t xml:space="preserve">DarylTan </t>
  </si>
  <si>
    <t>2025-128</t>
  </si>
  <si>
    <t xml:space="preserve">Linzer Hardware &amp; Construction Supply </t>
  </si>
  <si>
    <t>CR-0082</t>
  </si>
  <si>
    <t>BDO-0000896841 (09/13/2025)</t>
  </si>
  <si>
    <t>2025-129</t>
  </si>
  <si>
    <t>Mega Best Construction Supply</t>
  </si>
  <si>
    <t>CR-0083</t>
  </si>
  <si>
    <t>METROBANK-067214555054 (09/17/2025)</t>
  </si>
  <si>
    <t>2025-130</t>
  </si>
  <si>
    <t xml:space="preserve">LLR Construction Supply </t>
  </si>
  <si>
    <t>CR-0084</t>
  </si>
  <si>
    <t>BDO-0000651602 (11/08/2025)</t>
  </si>
  <si>
    <t>2025-131</t>
  </si>
  <si>
    <t xml:space="preserve">AAR Construction Supply </t>
  </si>
  <si>
    <t>CR-0085</t>
  </si>
  <si>
    <t>CBS-0000528953 (10/14/2025)</t>
  </si>
  <si>
    <t>2025-132</t>
  </si>
  <si>
    <t xml:space="preserve">Plan N Execute Hardware </t>
  </si>
  <si>
    <t>CR-0086</t>
  </si>
  <si>
    <t>CHINABANK 1404724 (09/04/25)</t>
  </si>
  <si>
    <t>2025-133</t>
  </si>
  <si>
    <t xml:space="preserve">CAMS Construction </t>
  </si>
  <si>
    <t>CR-0087</t>
  </si>
  <si>
    <t>CASH - 945.00 (09/17/2025)</t>
  </si>
  <si>
    <t>2025-134</t>
  </si>
  <si>
    <t xml:space="preserve">2 LCS Enterprise </t>
  </si>
  <si>
    <t>COUNTERED</t>
  </si>
  <si>
    <t>CR-0088</t>
  </si>
  <si>
    <t>PULLED OUT; NOT MOVING</t>
  </si>
  <si>
    <t>2025-135</t>
  </si>
  <si>
    <t xml:space="preserve">LWJ Hardware </t>
  </si>
  <si>
    <t>CR-0089</t>
  </si>
  <si>
    <t>11pcs paid &amp; 13pcs pulout (09/20/2025) cash 1,485.00</t>
  </si>
  <si>
    <t>2025-136</t>
  </si>
  <si>
    <t>2025-137</t>
  </si>
  <si>
    <t xml:space="preserve">Almighty Trading </t>
  </si>
  <si>
    <t>CR-0090</t>
  </si>
  <si>
    <t xml:space="preserve">ONLINE PAYMENT </t>
  </si>
  <si>
    <t>2025-138</t>
  </si>
  <si>
    <t xml:space="preserve">Topaz Hardware  </t>
  </si>
  <si>
    <t>CR-0091</t>
  </si>
  <si>
    <t xml:space="preserve">CASH 09/05/2025 </t>
  </si>
  <si>
    <t>2025-139</t>
  </si>
  <si>
    <t>Hillside Hardware</t>
  </si>
  <si>
    <t>CR-0092</t>
  </si>
  <si>
    <t xml:space="preserve">Check Date: AUGUST 20, 2025 </t>
  </si>
  <si>
    <t>NOT DELIVERED, CANCELLED</t>
  </si>
  <si>
    <t>2025-140</t>
  </si>
  <si>
    <t xml:space="preserve">Miracle Enterprise </t>
  </si>
  <si>
    <t>CR-0093</t>
  </si>
  <si>
    <t>ONLINE TRANSFER  (08/09/2025)</t>
  </si>
  <si>
    <t>2025-141</t>
  </si>
  <si>
    <t xml:space="preserve">TJS Hardware </t>
  </si>
  <si>
    <t>PULLED OUT</t>
  </si>
  <si>
    <t xml:space="preserve"> 2025-142</t>
  </si>
  <si>
    <t xml:space="preserve">Kherwin Enterprises </t>
  </si>
  <si>
    <t>CR-0095</t>
  </si>
  <si>
    <t>CASH - 10/28/2025</t>
  </si>
  <si>
    <t>2025-143</t>
  </si>
  <si>
    <t xml:space="preserve">De Olazo Hardware </t>
  </si>
  <si>
    <t>CR-0096</t>
  </si>
  <si>
    <t xml:space="preserve">BPI-6000092582 (09/21/2025) </t>
  </si>
  <si>
    <t>2025-144</t>
  </si>
  <si>
    <t xml:space="preserve">Lucky Olym Trading </t>
  </si>
  <si>
    <t>CR-0097</t>
  </si>
  <si>
    <t>SECURITYBANK- 0001563393 (09/27/2025)</t>
  </si>
  <si>
    <t>2025-145</t>
  </si>
  <si>
    <t>2025-146</t>
  </si>
  <si>
    <t xml:space="preserve">ST. Vincent Hardware </t>
  </si>
  <si>
    <t>Jhonna</t>
  </si>
  <si>
    <t>2025-147</t>
  </si>
  <si>
    <t xml:space="preserve">Adelac Hardware </t>
  </si>
  <si>
    <t>2025-148</t>
  </si>
  <si>
    <t xml:space="preserve">DMD Hardware </t>
  </si>
  <si>
    <t>2025-149</t>
  </si>
  <si>
    <t xml:space="preserve">Elijah Hardware </t>
  </si>
  <si>
    <t>2025-150</t>
  </si>
  <si>
    <t xml:space="preserve">Capua Hardware </t>
  </si>
  <si>
    <t>2025-151</t>
  </si>
  <si>
    <t xml:space="preserve">Selestra Hardware </t>
  </si>
  <si>
    <t>CR-0098</t>
  </si>
  <si>
    <t>PARTIAL - 1,000 (11/13/2025)
-1,000 (11/17/2025)</t>
  </si>
  <si>
    <t>2025-152</t>
  </si>
  <si>
    <t xml:space="preserve">Reylin's Builders Depot Inc. </t>
  </si>
  <si>
    <t>CR-0099</t>
  </si>
  <si>
    <t>BDO- 0000911629 (12/03/2025)</t>
  </si>
  <si>
    <t>2025-153</t>
  </si>
  <si>
    <t>Dream Works Hardware</t>
  </si>
  <si>
    <t>CR-0100</t>
  </si>
  <si>
    <t>EASTWEST-0001673638 (10/04/2025)</t>
  </si>
  <si>
    <t>2025-154</t>
  </si>
  <si>
    <t xml:space="preserve">EAZI General Merchandise </t>
  </si>
  <si>
    <t>CR-0101</t>
  </si>
  <si>
    <t>EASTWESAT-0000(09/13/2025)</t>
  </si>
  <si>
    <t>2025-155</t>
  </si>
  <si>
    <t>CR-0102</t>
  </si>
  <si>
    <t>EASTWEST-0000911789 (06/15/2025)</t>
  </si>
  <si>
    <t>2025-156</t>
  </si>
  <si>
    <t xml:space="preserve">Victory Hardware </t>
  </si>
  <si>
    <t>CR-0103</t>
  </si>
  <si>
    <t xml:space="preserve">Check Date: AUGUST 25, 2025 </t>
  </si>
  <si>
    <t>2025-157</t>
  </si>
  <si>
    <t xml:space="preserve">R-Mac Hardware </t>
  </si>
  <si>
    <t>CR-0104</t>
  </si>
  <si>
    <t>BDO-0001135554 (09/16/2025)</t>
  </si>
  <si>
    <t>2025-158</t>
  </si>
  <si>
    <t xml:space="preserve">Barazon Hardware </t>
  </si>
  <si>
    <t>CR-0105</t>
  </si>
  <si>
    <t>ONLINE TRANSFER  (09/23/2025)</t>
  </si>
  <si>
    <t>2025-159</t>
  </si>
  <si>
    <t>CR-0026</t>
  </si>
  <si>
    <t>2025-160</t>
  </si>
  <si>
    <t>CR-0023</t>
  </si>
  <si>
    <t>BDO-0000567056 (10/16/2025)</t>
  </si>
  <si>
    <t>2025-161</t>
  </si>
  <si>
    <t>CR-0042</t>
  </si>
  <si>
    <t>BUSINESSBANK-0074781 (09/27/2025)</t>
  </si>
  <si>
    <t>2025-162</t>
  </si>
  <si>
    <t>797 Asenso General Merchandise</t>
  </si>
  <si>
    <t>CR-0106</t>
  </si>
  <si>
    <t>2025-163</t>
  </si>
  <si>
    <t>TMJR 888 Corp.</t>
  </si>
  <si>
    <t>CR-0107</t>
  </si>
  <si>
    <t>METROBANK-2110896621 (10/15/2025)</t>
  </si>
  <si>
    <t>2025-164</t>
  </si>
  <si>
    <t xml:space="preserve">JJM Hardware &amp; Construction Supplies </t>
  </si>
  <si>
    <t>CR-0108</t>
  </si>
  <si>
    <t xml:space="preserve">Check Date: AUGUST 27, 2025 </t>
  </si>
  <si>
    <t>2025-165</t>
  </si>
  <si>
    <t xml:space="preserve">Vancower Hardware </t>
  </si>
  <si>
    <t>CR-0109</t>
  </si>
  <si>
    <t>BDO-0000488169 (09/13/2025)</t>
  </si>
  <si>
    <t>2025-166</t>
  </si>
  <si>
    <t xml:space="preserve">NCM Consumer Goods Trading </t>
  </si>
  <si>
    <t>CR-0110</t>
  </si>
  <si>
    <t>CASH 09/09/2025</t>
  </si>
  <si>
    <t>2025-167</t>
  </si>
  <si>
    <t>CR-0111</t>
  </si>
  <si>
    <t>2025-168</t>
  </si>
  <si>
    <t xml:space="preserve">BNCD LUMBER &amp; HARDWARE </t>
  </si>
  <si>
    <t>CR-0113</t>
  </si>
  <si>
    <t>BUSINESSBANK-0159992 (10/29/2025)</t>
  </si>
  <si>
    <t>2025-169</t>
  </si>
  <si>
    <t xml:space="preserve">Rj Avancena Enterprise </t>
  </si>
  <si>
    <t xml:space="preserve">CHECK NO. 6000267441 </t>
  </si>
  <si>
    <t>2025-170</t>
  </si>
  <si>
    <t xml:space="preserve">Homefix Tile Store </t>
  </si>
  <si>
    <t>CR-0114</t>
  </si>
  <si>
    <t>EASTWEST-0000272035 (09/21/2025)</t>
  </si>
  <si>
    <t>2025-171</t>
  </si>
  <si>
    <t xml:space="preserve">Teves Hardware </t>
  </si>
  <si>
    <t>CR-0115</t>
  </si>
  <si>
    <t>AUB-0001574082</t>
  </si>
  <si>
    <t>2025-172</t>
  </si>
  <si>
    <t xml:space="preserve">Power Cast </t>
  </si>
  <si>
    <t>CR-0116</t>
  </si>
  <si>
    <t xml:space="preserve">CHECK NO. 0001077804 </t>
  </si>
  <si>
    <t>2025-173</t>
  </si>
  <si>
    <t>Big Ortigas Const.  &amp; Electrical Supply Co.</t>
  </si>
  <si>
    <t>CR-0117</t>
  </si>
  <si>
    <t xml:space="preserve">PBCOM-2002879217 (10/31/2025) </t>
  </si>
  <si>
    <t>2025-174</t>
  </si>
  <si>
    <t xml:space="preserve">Matarik Construction Supply </t>
  </si>
  <si>
    <t>CR-0118</t>
  </si>
  <si>
    <t xml:space="preserve">Check Date: SEPT. 01, 2025 </t>
  </si>
  <si>
    <t>2025-175</t>
  </si>
  <si>
    <t xml:space="preserve">Golden Bart Hardware </t>
  </si>
  <si>
    <t>CR-0119</t>
  </si>
  <si>
    <t>CASH (09/15/25)</t>
  </si>
  <si>
    <t>1box paid / 1box returned</t>
  </si>
  <si>
    <t>2025-176</t>
  </si>
  <si>
    <t xml:space="preserve">Jorsalen Construction Supply Hardware </t>
  </si>
  <si>
    <t>CR-0120</t>
  </si>
  <si>
    <t>SB-0000777942 (09/13/2025)</t>
  </si>
  <si>
    <t>2025-177</t>
  </si>
  <si>
    <t xml:space="preserve">JLB Construction Material Trading </t>
  </si>
  <si>
    <t>CR-0121</t>
  </si>
  <si>
    <t xml:space="preserve">Check Date: SEPT 03, 2025 </t>
  </si>
  <si>
    <t>2025-178</t>
  </si>
  <si>
    <t xml:space="preserve">Econstruct Hardware </t>
  </si>
  <si>
    <t>CR-0122</t>
  </si>
  <si>
    <t>CASH - 11/17/2025</t>
  </si>
  <si>
    <t>*PULLOUT 22 pcs - 11/17/2025</t>
  </si>
  <si>
    <t>2025-179</t>
  </si>
  <si>
    <t xml:space="preserve">ZKM Trading </t>
  </si>
  <si>
    <t>CR-0123</t>
  </si>
  <si>
    <t>2025-180</t>
  </si>
  <si>
    <t xml:space="preserve">Jayme Hardware </t>
  </si>
  <si>
    <t>CR-0124</t>
  </si>
  <si>
    <t xml:space="preserve">CHECK NO. 0000087505 </t>
  </si>
  <si>
    <t>2025-181</t>
  </si>
  <si>
    <t>North Lander Marketing Corp.</t>
  </si>
  <si>
    <t>CR-0125</t>
  </si>
  <si>
    <t>AUB-0000637131 (10/07/2025)</t>
  </si>
  <si>
    <t>5 boxes change new stocks date for 2027</t>
  </si>
  <si>
    <t>2025-182</t>
  </si>
  <si>
    <t>CR-0126</t>
  </si>
  <si>
    <t>NOT DELIVERED</t>
  </si>
  <si>
    <t>2025-183</t>
  </si>
  <si>
    <t>CR-0127</t>
  </si>
  <si>
    <t>2025-184</t>
  </si>
  <si>
    <t>CR-0020</t>
  </si>
  <si>
    <t>Check Date: SEPT. 08, 2025</t>
  </si>
  <si>
    <t>for Rey Salvante</t>
  </si>
  <si>
    <t>2025-185</t>
  </si>
  <si>
    <t xml:space="preserve">Ric Gen. Merchandise </t>
  </si>
  <si>
    <t>CR-0128</t>
  </si>
  <si>
    <t xml:space="preserve">Check Date: SEPT. 07, 2025 </t>
  </si>
  <si>
    <t>2025-186</t>
  </si>
  <si>
    <t xml:space="preserve">Ming Hardware </t>
  </si>
  <si>
    <t>CR-0129</t>
  </si>
  <si>
    <t>BDO-0000015903 (10/09/2025)</t>
  </si>
  <si>
    <t>2025-187</t>
  </si>
  <si>
    <t xml:space="preserve">JayMark Construction </t>
  </si>
  <si>
    <t>CR-0130</t>
  </si>
  <si>
    <t>2025-188</t>
  </si>
  <si>
    <t xml:space="preserve">PJA 168 </t>
  </si>
  <si>
    <t>CR-0131</t>
  </si>
  <si>
    <t>PAID - AGR (10/29/2025)</t>
  </si>
  <si>
    <t xml:space="preserve">                                                                                                                                                                                                                                                                                                                                                                                                                                                                                                                                                                                                                                                                                                                                                                                                                                                                                                                                                                                                                                                                                                                                                                                                                                                                                                                                                                                                                                                                                                                                                                                                                                                                                                                                                                                                      </t>
  </si>
  <si>
    <t>2025-189</t>
  </si>
  <si>
    <t>CR-0024</t>
  </si>
  <si>
    <t>BPI-1000086582 (09/29/2025)</t>
  </si>
  <si>
    <t>2025-190</t>
  </si>
  <si>
    <t xml:space="preserve">Like Ur Home Decor Trading </t>
  </si>
  <si>
    <t>CR-0133</t>
  </si>
  <si>
    <t>Check Date: JULY 31, 2025</t>
  </si>
  <si>
    <t>*CASH DAW BAYAD, ANDITO PA SI HAZEL - 11/21/25
*PAID TO DARYL IN CASH - 11/24/25</t>
  </si>
  <si>
    <t>2025-191</t>
  </si>
  <si>
    <t>Intecore Development Corp.</t>
  </si>
  <si>
    <t>CR-0134</t>
  </si>
  <si>
    <t>2025-192</t>
  </si>
  <si>
    <t>06/202/2025</t>
  </si>
  <si>
    <t>2025-193</t>
  </si>
  <si>
    <t>CR-0049</t>
  </si>
  <si>
    <t xml:space="preserve">Check Date: SEPT. 15, 2025 </t>
  </si>
  <si>
    <t>2025-194</t>
  </si>
  <si>
    <t xml:space="preserve">New Brighton Electrical &amp; Industrial Supplies Trading </t>
  </si>
  <si>
    <t>06/16/202r5</t>
  </si>
  <si>
    <t>CR-0135</t>
  </si>
  <si>
    <t xml:space="preserve">CHINABANK-0456863 (10/10/2025) 17PCS PAID 7PCS PULL OUT  / CHANGE NEW STOCKS 2027 </t>
  </si>
  <si>
    <t>2025-195</t>
  </si>
  <si>
    <t>JMJ General Merchandise</t>
  </si>
  <si>
    <t>CR-0136</t>
  </si>
  <si>
    <t>2025-196</t>
  </si>
  <si>
    <t xml:space="preserve">Xeratex General Merchandise </t>
  </si>
  <si>
    <t>CR-0137</t>
  </si>
  <si>
    <t>CASH (09/15/25) ( 354php)</t>
  </si>
  <si>
    <t>only 3 box paid/ 21pcs returned</t>
  </si>
  <si>
    <t>2025-197</t>
  </si>
  <si>
    <t>CASH  (09/16/2025)</t>
  </si>
  <si>
    <t>2025-198</t>
  </si>
  <si>
    <t xml:space="preserve">Primab Hardware </t>
  </si>
  <si>
    <t>CR-0138</t>
  </si>
  <si>
    <t>Cash (09/09/2025)</t>
  </si>
  <si>
    <t>2025-199</t>
  </si>
  <si>
    <t>METROBANK-0002487594 (08/16/2025)</t>
  </si>
  <si>
    <t>2025-200</t>
  </si>
  <si>
    <t>BK Agent (ANF)</t>
  </si>
  <si>
    <t>ANF</t>
  </si>
  <si>
    <t>SAMPLE</t>
  </si>
  <si>
    <t>2025-201</t>
  </si>
  <si>
    <t xml:space="preserve">EGV Hardware </t>
  </si>
  <si>
    <t>CR-0139</t>
  </si>
  <si>
    <t xml:space="preserve">CHECK NO. 0000605152 </t>
  </si>
  <si>
    <t>2025-202</t>
  </si>
  <si>
    <t>Neo rein Merchandising</t>
  </si>
  <si>
    <t>CR-0140</t>
  </si>
  <si>
    <t>PNB-2000004619 (11/12/2025)</t>
  </si>
  <si>
    <t>2025-203</t>
  </si>
  <si>
    <t>A.Baguino's Hardware</t>
  </si>
  <si>
    <t>CR-0141</t>
  </si>
  <si>
    <t>Check Date: SEPT. 18, 2025</t>
  </si>
  <si>
    <t>2025-204</t>
  </si>
  <si>
    <t xml:space="preserve">Ala Layah Hardware &amp; Construction Supplies </t>
  </si>
  <si>
    <t>CR-0142</t>
  </si>
  <si>
    <t>SECURITYBANK-0005324650 (10/31/2025)</t>
  </si>
  <si>
    <t>2025-205</t>
  </si>
  <si>
    <t>CR-0019</t>
  </si>
  <si>
    <t>BDO-0001251692 (09/12/2025)</t>
  </si>
  <si>
    <t>2025-206</t>
  </si>
  <si>
    <t xml:space="preserve">RCMC Enterprises </t>
  </si>
  <si>
    <t>CR-0143</t>
  </si>
  <si>
    <t>2025-207</t>
  </si>
  <si>
    <t>CR-0029</t>
  </si>
  <si>
    <t>BDO- 0000298268 (11/19/2025)</t>
  </si>
  <si>
    <t>2025-208</t>
  </si>
  <si>
    <t xml:space="preserve">A.O Infinite Trading </t>
  </si>
  <si>
    <t>JMC</t>
  </si>
  <si>
    <t>CR-0144</t>
  </si>
  <si>
    <t>CHINABANK- 0001593725 (11/07/2025)</t>
  </si>
  <si>
    <t>2025-209</t>
  </si>
  <si>
    <t xml:space="preserve">JD Construction Supply </t>
  </si>
  <si>
    <t>CR-0145</t>
  </si>
  <si>
    <t>Check Date: SEPT. 20, 2025</t>
  </si>
  <si>
    <t>2025-210</t>
  </si>
  <si>
    <t xml:space="preserve">Karnani Inc. </t>
  </si>
  <si>
    <t>CR-0146</t>
  </si>
  <si>
    <t>CHINA BANK-0000123687 (10/10/2025)</t>
  </si>
  <si>
    <t>2025-211</t>
  </si>
  <si>
    <t xml:space="preserve">Acai Makyaca </t>
  </si>
  <si>
    <t>CR-0147</t>
  </si>
  <si>
    <t>PULL-OUT</t>
  </si>
  <si>
    <t>2025-212</t>
  </si>
  <si>
    <t xml:space="preserve">88 Golden Hardware </t>
  </si>
  <si>
    <t>CR-0148</t>
  </si>
  <si>
    <t>CHINABANK-0220928 (10/23/2025)</t>
  </si>
  <si>
    <t>2025-213</t>
  </si>
  <si>
    <t xml:space="preserve">Millenean Development  Corp. </t>
  </si>
  <si>
    <t>CR-0149</t>
  </si>
  <si>
    <t xml:space="preserve">PNB-2000000844 (09/15/2025) </t>
  </si>
  <si>
    <t>2025-214</t>
  </si>
  <si>
    <t>2025-215</t>
  </si>
  <si>
    <t xml:space="preserve">JRM Paint Center </t>
  </si>
  <si>
    <t>CR-0150</t>
  </si>
  <si>
    <t>CASH (09/16/2025)</t>
  </si>
  <si>
    <t>2025-216</t>
  </si>
  <si>
    <t>CR-0046</t>
  </si>
  <si>
    <t>BDO-0000040265 (09/16/2025)</t>
  </si>
  <si>
    <t>2025-217</t>
  </si>
  <si>
    <t>CR-0151</t>
  </si>
  <si>
    <t>PSB-0380791 (10/16/2025)</t>
  </si>
  <si>
    <t>2025-218</t>
  </si>
  <si>
    <t xml:space="preserve">AJN Electrical &amp; Plumbing Trading </t>
  </si>
  <si>
    <t>CR-0152</t>
  </si>
  <si>
    <t>CASH- 11/17/2025</t>
  </si>
  <si>
    <t>2025-219</t>
  </si>
  <si>
    <t>Check Date: 07/02/2025 (PO: 14082)</t>
  </si>
  <si>
    <t>2025-220</t>
  </si>
  <si>
    <t xml:space="preserve">RASF Trading Hardware </t>
  </si>
  <si>
    <t>CR-0153</t>
  </si>
  <si>
    <t>EASTWEST-0000125225 (09/24/2025)</t>
  </si>
  <si>
    <t>2025-221</t>
  </si>
  <si>
    <t>BK Agent (JMC)</t>
  </si>
  <si>
    <t>2025-222</t>
  </si>
  <si>
    <t xml:space="preserve">Emico Trading </t>
  </si>
  <si>
    <t>CR-0154</t>
  </si>
  <si>
    <t>CASH - (11/05/2025)</t>
  </si>
  <si>
    <t>2025-223</t>
  </si>
  <si>
    <t xml:space="preserve">Utica Marketing </t>
  </si>
  <si>
    <t>CR-0155</t>
  </si>
  <si>
    <t>CHANGE NEW STOCKS 2027  EASTWEST-0000354043 (09/30/2025)</t>
  </si>
  <si>
    <t>2025-224</t>
  </si>
  <si>
    <t>GA Commercial OPC</t>
  </si>
  <si>
    <t>CR-0156</t>
  </si>
  <si>
    <t>PBB- 0000660044 (10/14/2025)</t>
  </si>
  <si>
    <t>2025-225</t>
  </si>
  <si>
    <t xml:space="preserve">Capri TS. Construction Supply </t>
  </si>
  <si>
    <t>CR-0157</t>
  </si>
  <si>
    <t>METROBANK-0000594807 (10/11/2025)</t>
  </si>
  <si>
    <t>2025-226</t>
  </si>
  <si>
    <t xml:space="preserve">Moonwalk Hardware Trading </t>
  </si>
  <si>
    <t>CR-0158</t>
  </si>
  <si>
    <t>Check Date: OCT. 02, 2025</t>
  </si>
  <si>
    <t>2025-227</t>
  </si>
  <si>
    <t xml:space="preserve">Good OL'Day Trading </t>
  </si>
  <si>
    <t>CR-0159</t>
  </si>
  <si>
    <t>BANK TRANSFER (10/28/2025)</t>
  </si>
  <si>
    <t>2025-228</t>
  </si>
  <si>
    <t xml:space="preserve">88 Custom Construction Service Corp. </t>
  </si>
  <si>
    <t>CR-0160</t>
  </si>
  <si>
    <t>2025-229</t>
  </si>
  <si>
    <r>
      <rPr>
        <rFont val="Arial"/>
        <color theme="1"/>
      </rPr>
      <t xml:space="preserve">F </t>
    </r>
    <r>
      <rPr>
        <rFont val="Arial"/>
        <color theme="1"/>
      </rPr>
      <t xml:space="preserve">Baron Construction &amp; Supply Inc. </t>
    </r>
  </si>
  <si>
    <t xml:space="preserve">CR-0161 </t>
  </si>
  <si>
    <t>AUB- 0000195720 (10/01/2025)</t>
  </si>
  <si>
    <t>2025-230</t>
  </si>
  <si>
    <t xml:space="preserve">Tyder Construction Supplies (241 Hardware) </t>
  </si>
  <si>
    <t>CR-0162</t>
  </si>
  <si>
    <t xml:space="preserve">PNB-3280653187 (10/10/2025) </t>
  </si>
  <si>
    <t>2025-231</t>
  </si>
  <si>
    <t>CR-0163</t>
  </si>
  <si>
    <t>Check Date: SEPT. 27, 2025</t>
  </si>
  <si>
    <t>2025-232</t>
  </si>
  <si>
    <t xml:space="preserve">EKGEN Hardware </t>
  </si>
  <si>
    <t>CR-0164</t>
  </si>
  <si>
    <t>Check Date: SEPT. 30,2025</t>
  </si>
  <si>
    <t>2025-233</t>
  </si>
  <si>
    <t xml:space="preserve">Denstar Hardware </t>
  </si>
  <si>
    <t>CR-0165</t>
  </si>
  <si>
    <t xml:space="preserve">Cash 09/15/2025 </t>
  </si>
  <si>
    <t>2025-234</t>
  </si>
  <si>
    <t xml:space="preserve">Gab Mini Hardware </t>
  </si>
  <si>
    <t>CR-0166</t>
  </si>
  <si>
    <t>2025-235</t>
  </si>
  <si>
    <t xml:space="preserve">CM Hardware </t>
  </si>
  <si>
    <t>CR-0167</t>
  </si>
  <si>
    <t>BDO-0000032649 (10/22/2025)</t>
  </si>
  <si>
    <t>2025-236</t>
  </si>
  <si>
    <t xml:space="preserve">Builtrade Construction Supplies &amp; Trading </t>
  </si>
  <si>
    <t>CR-0168</t>
  </si>
  <si>
    <t>Check Date: SEPT. 25,2025</t>
  </si>
  <si>
    <t>2025-237</t>
  </si>
  <si>
    <t xml:space="preserve">Nation Depot Construction Supplies </t>
  </si>
  <si>
    <t>CR-0169</t>
  </si>
  <si>
    <t>PULL-OUT (11/13/2025) - ANF</t>
  </si>
  <si>
    <t>1 Box for Return to HQ
1 Box for Sample ANF</t>
  </si>
  <si>
    <t>2025-238</t>
  </si>
  <si>
    <t>2025-239</t>
  </si>
  <si>
    <t>2025-240</t>
  </si>
  <si>
    <t xml:space="preserve">3 Valley Hardware </t>
  </si>
  <si>
    <t>CR-0170</t>
  </si>
  <si>
    <t>2025-241</t>
  </si>
  <si>
    <t>DMKA Coco Lumber Trading</t>
  </si>
  <si>
    <t>CR-0171</t>
  </si>
  <si>
    <t>PBB-0023440 (09/23/2025)</t>
  </si>
  <si>
    <t>2025-242</t>
  </si>
  <si>
    <t xml:space="preserve">Triple K Hardware </t>
  </si>
  <si>
    <t>CR-0172</t>
  </si>
  <si>
    <t>2025-243</t>
  </si>
  <si>
    <t>Jam Hardware</t>
  </si>
  <si>
    <t>CR-0173</t>
  </si>
  <si>
    <t>Checked by AGR (10/29/2025)</t>
  </si>
  <si>
    <t>2025-244</t>
  </si>
  <si>
    <t xml:space="preserve">Baes Hardware &amp; Construction Supply </t>
  </si>
  <si>
    <t>CR-0174</t>
  </si>
  <si>
    <t>CASH- (09/17/2025)</t>
  </si>
  <si>
    <t>2025-245</t>
  </si>
  <si>
    <t xml:space="preserve">Blessed 7 Hardware &amp; Construction Supply </t>
  </si>
  <si>
    <t>CR-0175</t>
  </si>
  <si>
    <t>2025-246</t>
  </si>
  <si>
    <t xml:space="preserve">Powerprime Hardware </t>
  </si>
  <si>
    <t>CR-0176</t>
  </si>
  <si>
    <t>EASTWEST- 0001720979 (11/08/2025)</t>
  </si>
  <si>
    <t>2025-247</t>
  </si>
  <si>
    <t xml:space="preserve">Power Built Hardware </t>
  </si>
  <si>
    <t>CR-0177</t>
  </si>
  <si>
    <t>CHINABANK- 0000621737 (11/08/2025)</t>
  </si>
  <si>
    <t>2025-248</t>
  </si>
  <si>
    <t xml:space="preserve">CR-0020 </t>
  </si>
  <si>
    <t>2025-249</t>
  </si>
  <si>
    <t xml:space="preserve">Nemlen Enterprises </t>
  </si>
  <si>
    <t>CR-0178</t>
  </si>
  <si>
    <t>Check Date: OCT. 01,2025</t>
  </si>
  <si>
    <t xml:space="preserve">Rebate 5 pesos per item </t>
  </si>
  <si>
    <t>2025-250</t>
  </si>
  <si>
    <t xml:space="preserve">Home Expo Builders Depot </t>
  </si>
  <si>
    <t>CR-0179</t>
  </si>
  <si>
    <t>CASH - 10/27/2025</t>
  </si>
  <si>
    <t>2025-251</t>
  </si>
  <si>
    <t xml:space="preserve">Home Hardware Center </t>
  </si>
  <si>
    <t>CR-0180</t>
  </si>
  <si>
    <t xml:space="preserve">BPI-1000275746 (09/26/2025) </t>
  </si>
  <si>
    <t>2025-252</t>
  </si>
  <si>
    <t xml:space="preserve">CSIM Hardware &amp; Construction Supply </t>
  </si>
  <si>
    <t xml:space="preserve">CR-0181 </t>
  </si>
  <si>
    <t>2025-253</t>
  </si>
  <si>
    <t xml:space="preserve">Probolt Trading </t>
  </si>
  <si>
    <t xml:space="preserve">CR-0182 </t>
  </si>
  <si>
    <t>*Pullout- 20pcs (11/17/2025)</t>
  </si>
  <si>
    <t>2025-254</t>
  </si>
  <si>
    <t xml:space="preserve">LPK Contstruction Supply &amp; Trading </t>
  </si>
  <si>
    <t>CR-0183</t>
  </si>
  <si>
    <t>EASTWEST- 0000243676 (11/24/2025)</t>
  </si>
  <si>
    <t>2025-255</t>
  </si>
  <si>
    <t>CHECK VOUCHER ONLY, MISSING DR, AGR (10/29/2025)</t>
  </si>
  <si>
    <t>2025-256</t>
  </si>
  <si>
    <t>SEB- 0000221761( 10/15/2025)</t>
  </si>
  <si>
    <t>2025-257</t>
  </si>
  <si>
    <t>sample</t>
  </si>
  <si>
    <t>2025-258</t>
  </si>
  <si>
    <t xml:space="preserve">Bunso Hardware </t>
  </si>
  <si>
    <t>CR-0184</t>
  </si>
  <si>
    <t>2025-259</t>
  </si>
  <si>
    <t xml:space="preserve">JMC 26 Merchandise </t>
  </si>
  <si>
    <t>CR-0185</t>
  </si>
  <si>
    <t>2025-260</t>
  </si>
  <si>
    <t xml:space="preserve">CR-0080 </t>
  </si>
  <si>
    <t>CASH- 12/15/2025</t>
  </si>
  <si>
    <t>*Returned 20 pcs of NAIL FREE 400g</t>
  </si>
  <si>
    <t>2025-261</t>
  </si>
  <si>
    <t xml:space="preserve"> Dioni Hardware </t>
  </si>
  <si>
    <t>CR-0186</t>
  </si>
  <si>
    <t>*CHANGE TO NEW STOCK</t>
  </si>
  <si>
    <t>2025-262</t>
  </si>
  <si>
    <t xml:space="preserve">Megko Construction Supply </t>
  </si>
  <si>
    <t>CR-0187</t>
  </si>
  <si>
    <t xml:space="preserve">AUB-0000559780 (10/07/2025) </t>
  </si>
  <si>
    <t>2025-263</t>
  </si>
  <si>
    <t xml:space="preserve">A Baguio's Hardware &amp; Gen. Merchandise </t>
  </si>
  <si>
    <t>CR-0188</t>
  </si>
  <si>
    <t>2025-264</t>
  </si>
  <si>
    <t>CR-0189</t>
  </si>
  <si>
    <t>BDO- 0000016031 (12/06/2025)</t>
  </si>
  <si>
    <t>2025-265</t>
  </si>
  <si>
    <t>CR-0190</t>
  </si>
  <si>
    <t>2025-266</t>
  </si>
  <si>
    <t xml:space="preserve">J&amp;P Trading </t>
  </si>
  <si>
    <t>CR-0191</t>
  </si>
  <si>
    <t>SECURITY BANK- 0001073071 (11/08/2025)</t>
  </si>
  <si>
    <t>2025-267</t>
  </si>
  <si>
    <t>2025-268</t>
  </si>
  <si>
    <t xml:space="preserve">Madji General Merchandise </t>
  </si>
  <si>
    <t>CR-0192</t>
  </si>
  <si>
    <t>CASH- 2,986.00 (09/252025)</t>
  </si>
  <si>
    <t>2025-269</t>
  </si>
  <si>
    <t>2025-270</t>
  </si>
  <si>
    <t xml:space="preserve">Hope Hardware </t>
  </si>
  <si>
    <t>2025-272</t>
  </si>
  <si>
    <t>CR-0062</t>
  </si>
  <si>
    <t>Check Date: OCT. 11,2025</t>
  </si>
  <si>
    <t>2025-271</t>
  </si>
  <si>
    <t>2025-273</t>
  </si>
  <si>
    <t xml:space="preserve">PBB-0074899 (11/11/2025) </t>
  </si>
  <si>
    <t>2025-274</t>
  </si>
  <si>
    <t>CR-0048</t>
  </si>
  <si>
    <t>METROBANK-2110915115 (10/21/2025)</t>
  </si>
  <si>
    <t>2025-275</t>
  </si>
  <si>
    <t xml:space="preserve">Thomasian Construction Supply </t>
  </si>
  <si>
    <t>CR-0193</t>
  </si>
  <si>
    <t>2025-276</t>
  </si>
  <si>
    <t xml:space="preserve">R.T Lantin Construction Supply </t>
  </si>
  <si>
    <t>CR-0194</t>
  </si>
  <si>
    <t>2025-277</t>
  </si>
  <si>
    <t>2025-278</t>
  </si>
  <si>
    <t xml:space="preserve">Godo Hardware &amp; Construction Supply </t>
  </si>
  <si>
    <t>CR-0195</t>
  </si>
  <si>
    <t>CHINABANK- 0240283 (11/29/2025)</t>
  </si>
  <si>
    <t>2025-279</t>
  </si>
  <si>
    <t xml:space="preserve">GCHCS Eigthy Eight </t>
  </si>
  <si>
    <t>CR-0196</t>
  </si>
  <si>
    <t>CASH- (11/12/2025)</t>
  </si>
  <si>
    <t>2025-280</t>
  </si>
  <si>
    <t xml:space="preserve">Robelle Ruth's Construction Supplies Trading </t>
  </si>
  <si>
    <t>CR-0197</t>
  </si>
  <si>
    <t>CASH - (11/03/2025)</t>
  </si>
  <si>
    <t>2025-281</t>
  </si>
  <si>
    <t>Check Date: OCT. 14,2025</t>
  </si>
  <si>
    <t>2025-282</t>
  </si>
  <si>
    <t xml:space="preserve">HZKIA Hardware </t>
  </si>
  <si>
    <t>CR-0198</t>
  </si>
  <si>
    <t>BOC-0000001224 (11/29/2025)</t>
  </si>
  <si>
    <t>2025-283</t>
  </si>
  <si>
    <t>Beniflor General Merchandise</t>
  </si>
  <si>
    <t>CR-0199</t>
  </si>
  <si>
    <t>Check Date: OCT. 15,2025</t>
  </si>
  <si>
    <t>2025-284</t>
  </si>
  <si>
    <t xml:space="preserve">Mighty E Prime </t>
  </si>
  <si>
    <t>CR-0200</t>
  </si>
  <si>
    <t>2025-285</t>
  </si>
  <si>
    <t xml:space="preserve">Dzon Hardware </t>
  </si>
  <si>
    <t>CR-0201</t>
  </si>
  <si>
    <t>Balance 35,000.00</t>
  </si>
  <si>
    <t>2025-286</t>
  </si>
  <si>
    <t xml:space="preserve">Idisenyo interior supplies and trading </t>
  </si>
  <si>
    <t>CR-0202</t>
  </si>
  <si>
    <t>2025-287</t>
  </si>
  <si>
    <t>2025-288</t>
  </si>
  <si>
    <t xml:space="preserve">5 pesos for purchaser </t>
  </si>
  <si>
    <t>2025-289</t>
  </si>
  <si>
    <t>METROBANK- 3217530 (11/29/2025)</t>
  </si>
  <si>
    <t>2025-290</t>
  </si>
  <si>
    <t xml:space="preserve">Maceda Construction Supply </t>
  </si>
  <si>
    <t>CR-0203</t>
  </si>
  <si>
    <t xml:space="preserve"> CASH (9/09/2025)</t>
  </si>
  <si>
    <t>2025-291</t>
  </si>
  <si>
    <t>BDO-0000567055 (08/29/2025)</t>
  </si>
  <si>
    <t>2025-292</t>
  </si>
  <si>
    <t xml:space="preserve">Hzkia Hardware </t>
  </si>
  <si>
    <t>2025-293</t>
  </si>
  <si>
    <t>CR-0060</t>
  </si>
  <si>
    <t>BPI- 1000125867 (12/09/2025)</t>
  </si>
  <si>
    <t>2025-294</t>
  </si>
  <si>
    <t xml:space="preserve">FEJC Enterprises Hardware </t>
  </si>
  <si>
    <t>CR-0204</t>
  </si>
  <si>
    <t>Check Date: OCT. 17,2025</t>
  </si>
  <si>
    <t>2025-295</t>
  </si>
  <si>
    <t>CR-0067</t>
  </si>
  <si>
    <t xml:space="preserve">CASH  </t>
  </si>
  <si>
    <t>2025-296</t>
  </si>
  <si>
    <t>CHINABANK-0000682368 (10/28/2025)</t>
  </si>
  <si>
    <t>2025-297</t>
  </si>
  <si>
    <t xml:space="preserve">Wilson Ang </t>
  </si>
  <si>
    <t>CR-0205</t>
  </si>
  <si>
    <t>BDO-0002258154 (09/04/2025)</t>
  </si>
  <si>
    <t>2025-298</t>
  </si>
  <si>
    <t xml:space="preserve">M2L Construction Supply </t>
  </si>
  <si>
    <t>CR-0206</t>
  </si>
  <si>
    <t>BDO- 0000094219 (11/07/2025)</t>
  </si>
  <si>
    <t>2025-299</t>
  </si>
  <si>
    <t xml:space="preserve">PJ Hardware </t>
  </si>
  <si>
    <t>CR-0207</t>
  </si>
  <si>
    <t>Metrobank - 7880060669 (12/24/2025)</t>
  </si>
  <si>
    <t>2025-300</t>
  </si>
  <si>
    <t>2025-301</t>
  </si>
  <si>
    <t>2025-302</t>
  </si>
  <si>
    <t>Geronimo Steel Roof Trading</t>
  </si>
  <si>
    <t>CR-0208</t>
  </si>
  <si>
    <t>CASH- 10/27/2025</t>
  </si>
  <si>
    <t>2025-303</t>
  </si>
  <si>
    <t xml:space="preserve"> 2025-304</t>
  </si>
  <si>
    <t>2025-305</t>
  </si>
  <si>
    <t>CR-0053</t>
  </si>
  <si>
    <t>Metrobank- 0001423063 (10/25/2025)</t>
  </si>
  <si>
    <t>2025-306</t>
  </si>
  <si>
    <t>SEB-0000221762(11/29/2025)</t>
  </si>
  <si>
    <t>2025-307</t>
  </si>
  <si>
    <t>PO NO. P14309</t>
  </si>
  <si>
    <t>2025-308</t>
  </si>
  <si>
    <t xml:space="preserve">JMCColeta </t>
  </si>
  <si>
    <t>2025-309</t>
  </si>
  <si>
    <t>Malacanang Hardware</t>
  </si>
  <si>
    <t>CR-0209</t>
  </si>
  <si>
    <t>*YELLOW ONLY
*For verification of payment</t>
  </si>
  <si>
    <t>2025-310</t>
  </si>
  <si>
    <t xml:space="preserve">CM Villaflor Jr. General Merchandise </t>
  </si>
  <si>
    <t>CR-0210</t>
  </si>
  <si>
    <t>CHINABANK-0002210612 (11/29/2025)</t>
  </si>
  <si>
    <t>2025-311</t>
  </si>
  <si>
    <t xml:space="preserve">Kevin's Hardware &amp; Construction Supply </t>
  </si>
  <si>
    <t>CR-0211</t>
  </si>
  <si>
    <t>2025-312</t>
  </si>
  <si>
    <t xml:space="preserve">SandBlock Construction Supply </t>
  </si>
  <si>
    <t>CHINABANK-0002050580 (11/27/2025)</t>
  </si>
  <si>
    <t>2025-313</t>
  </si>
  <si>
    <t xml:space="preserve">Mr. Ronald Baunillo </t>
  </si>
  <si>
    <t>CR-0212</t>
  </si>
  <si>
    <t>2025-314</t>
  </si>
  <si>
    <t xml:space="preserve">RB Delatore </t>
  </si>
  <si>
    <t>CR-0213</t>
  </si>
  <si>
    <t>2025-315</t>
  </si>
  <si>
    <t xml:space="preserve">Solacars  Electrical </t>
  </si>
  <si>
    <t>2025-316</t>
  </si>
  <si>
    <t>2025-317</t>
  </si>
  <si>
    <t>Hardrock Painting Contractor Corp</t>
  </si>
  <si>
    <t>CR-0214</t>
  </si>
  <si>
    <t>BDO - 0001597103 (10/29/2025)</t>
  </si>
  <si>
    <t>2025-318</t>
  </si>
  <si>
    <t xml:space="preserve">M&amp;A Hardware Construction Supplies </t>
  </si>
  <si>
    <t>CR-0215</t>
  </si>
  <si>
    <t>*YELLOW ONLY
*FOR REPLACEMENT 21 pcs NAIL FREE 400g</t>
  </si>
  <si>
    <t>2025-319</t>
  </si>
  <si>
    <t xml:space="preserve">4 Shine Trading </t>
  </si>
  <si>
    <t>CR-0216</t>
  </si>
  <si>
    <t>2025-320</t>
  </si>
  <si>
    <t>METROBANK- 0002489451 (10/04/2025)</t>
  </si>
  <si>
    <t>2025-321</t>
  </si>
  <si>
    <t>CR-0065</t>
  </si>
  <si>
    <t>BPI- 6000195440 (12/31/2025)</t>
  </si>
  <si>
    <t>2025-322</t>
  </si>
  <si>
    <t>BDO- 0000514337 (12/08/2025)</t>
  </si>
  <si>
    <t>2025-323</t>
  </si>
  <si>
    <t xml:space="preserve">TAMMY  ( for sample ) </t>
  </si>
  <si>
    <t>2025-324</t>
  </si>
  <si>
    <t xml:space="preserve">Arkinet Design &amp; Construction </t>
  </si>
  <si>
    <t>2025-325</t>
  </si>
  <si>
    <t xml:space="preserve">Bhen WPC Interior Design Studio </t>
  </si>
  <si>
    <t>2025-326</t>
  </si>
  <si>
    <t>Balance 20.00</t>
  </si>
  <si>
    <t>2025-327</t>
  </si>
  <si>
    <t xml:space="preserve">JBuillders Construction Supply </t>
  </si>
  <si>
    <t>CR-0217</t>
  </si>
  <si>
    <t>2025-328</t>
  </si>
  <si>
    <t>2025-329</t>
  </si>
  <si>
    <t>METROBANK-483082726 (12/22/2025)</t>
  </si>
  <si>
    <t>2025-330</t>
  </si>
  <si>
    <t xml:space="preserve">Colonial Star Trading </t>
  </si>
  <si>
    <t>CR-0218</t>
  </si>
  <si>
    <t>METROBANK- 2110913184 (01/11/2026)</t>
  </si>
  <si>
    <t>2025-331</t>
  </si>
  <si>
    <t>Check Date: NOV. 04, 2025</t>
  </si>
  <si>
    <t>2025-332</t>
  </si>
  <si>
    <t>BDO- 0000408010 (11/05/2025)</t>
  </si>
  <si>
    <t>2025-333</t>
  </si>
  <si>
    <t>BDO-0002375598 (09/11/2025)</t>
  </si>
  <si>
    <t>2025-334</t>
  </si>
  <si>
    <t xml:space="preserve">Venegas Hardware </t>
  </si>
  <si>
    <t>CR-0219</t>
  </si>
  <si>
    <t>Check Date: SEPT. 06, 2025</t>
  </si>
  <si>
    <t>2025-335</t>
  </si>
  <si>
    <t xml:space="preserve">  </t>
  </si>
  <si>
    <t>2025-336</t>
  </si>
  <si>
    <t>2025-337</t>
  </si>
  <si>
    <t>AUB-0000559837 (11/08/2025)</t>
  </si>
  <si>
    <t>2025-338</t>
  </si>
  <si>
    <t xml:space="preserve">Boston Builders Trading Center </t>
  </si>
  <si>
    <t>PBB-0282176 (12/17/2025)</t>
  </si>
  <si>
    <t>2025-339</t>
  </si>
  <si>
    <t>UNIONBANK-0003180875 (10/17/2025)</t>
  </si>
  <si>
    <t>2025-340</t>
  </si>
  <si>
    <t xml:space="preserve">JKL Matibag Merchandising Corp. </t>
  </si>
  <si>
    <t>PARTIAL PAYMENT:
CASH- 7,181 (10/13/2025)
CASH- 7,000 (10/30/25)</t>
  </si>
  <si>
    <t>2025-341</t>
  </si>
  <si>
    <t xml:space="preserve">Smart Home Trading </t>
  </si>
  <si>
    <t>PARTIAL CASH PAYMENT: 10,000 (10/24/2025)</t>
  </si>
  <si>
    <t>2025-342</t>
  </si>
  <si>
    <t>2025-343</t>
  </si>
  <si>
    <t xml:space="preserve">Natalia Hardware </t>
  </si>
  <si>
    <t>BDO- 0001658535 (12/07/2025)</t>
  </si>
  <si>
    <t>*Kulang 100 Pesos</t>
  </si>
  <si>
    <t>2025-344</t>
  </si>
  <si>
    <t>2025-345</t>
  </si>
  <si>
    <t>2025-346</t>
  </si>
  <si>
    <t>SECURITYBANK- 0001563359 (09/20/2025)</t>
  </si>
  <si>
    <t>2025-347</t>
  </si>
  <si>
    <t xml:space="preserve">PBB-0074943 (11/09/2025) </t>
  </si>
  <si>
    <t>2025-348</t>
  </si>
  <si>
    <t xml:space="preserve">Online Transfer 09/05/2025 </t>
  </si>
  <si>
    <t>2025-349</t>
  </si>
  <si>
    <t xml:space="preserve">Homeline Enterprise </t>
  </si>
  <si>
    <t>BDO- 000089398 (10/31/2025)</t>
  </si>
  <si>
    <t>2025-350</t>
  </si>
  <si>
    <t xml:space="preserve">TVJ HARDWARE </t>
  </si>
  <si>
    <t>SECURITYBANK- 0005309293 (12/31/2025)</t>
  </si>
  <si>
    <t>2025-351</t>
  </si>
  <si>
    <t>2025-352</t>
  </si>
  <si>
    <t xml:space="preserve">Amro Trading </t>
  </si>
  <si>
    <t>2025-353</t>
  </si>
  <si>
    <t>2025-354</t>
  </si>
  <si>
    <t xml:space="preserve">Nina Lee </t>
  </si>
  <si>
    <t>2025-355</t>
  </si>
  <si>
    <t>CHINABANK- 0001606055 (12/27/2025)</t>
  </si>
  <si>
    <t>2025-356</t>
  </si>
  <si>
    <t>2025-357</t>
  </si>
  <si>
    <t>2025-358</t>
  </si>
  <si>
    <t>2025-359</t>
  </si>
  <si>
    <t>2025-360</t>
  </si>
  <si>
    <t>EASTWEST- 0000125340 (11/18/2025)</t>
  </si>
  <si>
    <t>2025-361</t>
  </si>
  <si>
    <t>2025-362</t>
  </si>
  <si>
    <t>CHINABANK -0000694268 (11/18/2025)</t>
  </si>
  <si>
    <t>2025-363</t>
  </si>
  <si>
    <t>2025-364</t>
  </si>
  <si>
    <t>2025-365</t>
  </si>
  <si>
    <t>Rimas Hardware</t>
  </si>
  <si>
    <t>2025-366</t>
  </si>
  <si>
    <t>BK Agent (JRC)</t>
  </si>
  <si>
    <t>JRC</t>
  </si>
  <si>
    <t>2025-367</t>
  </si>
  <si>
    <t>2025-368</t>
  </si>
  <si>
    <t>2025-369</t>
  </si>
  <si>
    <t xml:space="preserve">RR Aquino Construction </t>
  </si>
  <si>
    <t>2025-370</t>
  </si>
  <si>
    <t xml:space="preserve">online transfer </t>
  </si>
  <si>
    <t>2025-371</t>
  </si>
  <si>
    <t xml:space="preserve">LRT Decor Product </t>
  </si>
  <si>
    <t>2025-372</t>
  </si>
  <si>
    <t>SECURITYBANK- 0000226036 (02/13/2026)</t>
  </si>
  <si>
    <t>2025-373</t>
  </si>
  <si>
    <t>2025-374</t>
  </si>
  <si>
    <t xml:space="preserve">Home Xpo Builders Depot </t>
  </si>
  <si>
    <t xml:space="preserve">online transfer  (09/16/2025) </t>
  </si>
  <si>
    <t>2025-375</t>
  </si>
  <si>
    <t>2025-376</t>
  </si>
  <si>
    <t>2025-377</t>
  </si>
  <si>
    <t xml:space="preserve">DCNK Trading </t>
  </si>
  <si>
    <t>CASH- 12/20/2025</t>
  </si>
  <si>
    <t>2025-378</t>
  </si>
  <si>
    <t xml:space="preserve">AML Paint Center </t>
  </si>
  <si>
    <t xml:space="preserve">PULL-OUT 1 BOX (11/13/2025) -ANF
</t>
  </si>
  <si>
    <t>2025-379</t>
  </si>
  <si>
    <t>EASTWEST- 0000055349 (12/03/2025)</t>
  </si>
  <si>
    <t>2025-380</t>
  </si>
  <si>
    <t>2025-381</t>
  </si>
  <si>
    <t>CHINABANK- 0000085895 (10/25/2025)</t>
  </si>
  <si>
    <t xml:space="preserve"> 2025-382</t>
  </si>
  <si>
    <t>METROBANK- 0001723762 (12/13/2025)</t>
  </si>
  <si>
    <t>2025-383</t>
  </si>
  <si>
    <t>METROBANK- 8300028235 (11/18/2025)</t>
  </si>
  <si>
    <t xml:space="preserve">Replace 2 boxes from 400g to 150g </t>
  </si>
  <si>
    <t>2025-384</t>
  </si>
  <si>
    <t xml:space="preserve">RCL Hardware </t>
  </si>
  <si>
    <t>*Consignment, Need Paubos to Complete Order</t>
  </si>
  <si>
    <t>2025-385</t>
  </si>
  <si>
    <t xml:space="preserve">Serwin 88 Trading Co. </t>
  </si>
  <si>
    <t>2025-386</t>
  </si>
  <si>
    <t>CASH - 11/24/2025</t>
  </si>
  <si>
    <t>2025-387</t>
  </si>
  <si>
    <t>Anthony's Trading</t>
  </si>
  <si>
    <t>2025-388</t>
  </si>
  <si>
    <t>2025-389</t>
  </si>
  <si>
    <t>SECURITYBANK- 0005324687 (11/28/2025)</t>
  </si>
  <si>
    <t>2025-390</t>
  </si>
  <si>
    <t>A.C Deang Marketing</t>
  </si>
  <si>
    <t>CHINABANK- 0000134623 (12/12/2025)
CHINABANK- 0000134624 (12/18/2025)
CHINABANK- 0000134625 (12/20/2025)</t>
  </si>
  <si>
    <t>2025-391</t>
  </si>
  <si>
    <t>2025-392</t>
  </si>
  <si>
    <t>2025-393</t>
  </si>
  <si>
    <t>Pito Siete Construction Materials Trading</t>
  </si>
  <si>
    <t>2025-394</t>
  </si>
  <si>
    <t>Princess &amp; Ahron Hardware</t>
  </si>
  <si>
    <t>CASH- (10/16/2025)</t>
  </si>
  <si>
    <t>2025-395</t>
  </si>
  <si>
    <t xml:space="preserve">BDO-0000198389 (12/21/2025) </t>
  </si>
  <si>
    <t>2025-396</t>
  </si>
  <si>
    <t>SECURITYBANK- 0000018521 (11/28/2025)</t>
  </si>
  <si>
    <t>2025-397</t>
  </si>
  <si>
    <t>Elijah Ckc Hardware</t>
  </si>
  <si>
    <t>ONLINE PAYMENT (10/16/2025)</t>
  </si>
  <si>
    <t>2025-398</t>
  </si>
  <si>
    <t>PNB- 2000000156 (12/15/2025)</t>
  </si>
  <si>
    <t>2025-399</t>
  </si>
  <si>
    <t xml:space="preserve">VMD Trading </t>
  </si>
  <si>
    <t>2025-400</t>
  </si>
  <si>
    <t>2025-401</t>
  </si>
  <si>
    <t>BDO- 0000533062 (12/10/2026)</t>
  </si>
  <si>
    <t>2025-402</t>
  </si>
  <si>
    <t xml:space="preserve">Twenty 0415 Trading </t>
  </si>
  <si>
    <t xml:space="preserve">*For Pull Out </t>
  </si>
  <si>
    <t>2025-403</t>
  </si>
  <si>
    <t xml:space="preserve">Ofelia Hardware </t>
  </si>
  <si>
    <t>2025-404</t>
  </si>
  <si>
    <t>CHINABANK- 0000246033 (12/10/2025)</t>
  </si>
  <si>
    <t>2025-405</t>
  </si>
  <si>
    <t>METROBANK- 211091527 (12/28/2025)</t>
  </si>
  <si>
    <t>2025-406</t>
  </si>
  <si>
    <t xml:space="preserve">Bos-Ata Hardware Trading </t>
  </si>
  <si>
    <t>2025-407</t>
  </si>
  <si>
    <t xml:space="preserve">Jeff &amp; Jess Hardware &amp; Const. Supply </t>
  </si>
  <si>
    <t>2025-408</t>
  </si>
  <si>
    <t>2025-409</t>
  </si>
  <si>
    <t>2025-410</t>
  </si>
  <si>
    <t>AUB- 0000086619 (12/20/2025)</t>
  </si>
  <si>
    <t>2025-411</t>
  </si>
  <si>
    <t>*Change Stocks to Newer Stocks</t>
  </si>
  <si>
    <t>2025-412</t>
  </si>
  <si>
    <t>FOR_DELIVERY</t>
  </si>
  <si>
    <t>2025-413</t>
  </si>
  <si>
    <t>PJJ Tiles Store</t>
  </si>
  <si>
    <t xml:space="preserve">w/ Acknowledgement Receipt </t>
  </si>
  <si>
    <t>2025-414</t>
  </si>
  <si>
    <t xml:space="preserve">ST. Michael Trading </t>
  </si>
  <si>
    <t>2025-415</t>
  </si>
  <si>
    <t xml:space="preserve">Tristhan Enterprises </t>
  </si>
  <si>
    <t>2025-416</t>
  </si>
  <si>
    <t xml:space="preserve">Llamco Trading </t>
  </si>
  <si>
    <t>2025-417</t>
  </si>
  <si>
    <t>2025-418</t>
  </si>
  <si>
    <t xml:space="preserve">Daraga Metal </t>
  </si>
  <si>
    <t>2025-419</t>
  </si>
  <si>
    <t>J&amp;S Hardware and Construction Supply</t>
  </si>
  <si>
    <t>2025-420</t>
  </si>
  <si>
    <t>BK-NF-150</t>
  </si>
  <si>
    <t>2025-421</t>
  </si>
  <si>
    <t>2025-422</t>
  </si>
  <si>
    <t>BDO-0000418509 (11/21/2025)</t>
  </si>
  <si>
    <t>PROMO: GSF STAND FAN ( 1 BOX )</t>
  </si>
  <si>
    <t>2025-423</t>
  </si>
  <si>
    <t>2025-424</t>
  </si>
  <si>
    <t xml:space="preserve">Wm Home Builders Inc. </t>
  </si>
  <si>
    <t>2025-425</t>
  </si>
  <si>
    <t>2025-426</t>
  </si>
  <si>
    <t>Amount; 8,280.00</t>
  </si>
  <si>
    <t>2025-427</t>
  </si>
  <si>
    <t>Balance 2,000.00</t>
  </si>
  <si>
    <t>2025-428</t>
  </si>
  <si>
    <t>BPI- 6000168898 (12/03/2025)</t>
  </si>
  <si>
    <t>2025-429</t>
  </si>
  <si>
    <t>METROBANK- 4520457189 (11/13/2025)</t>
  </si>
  <si>
    <t>2025-430</t>
  </si>
  <si>
    <t>2025-431</t>
  </si>
  <si>
    <t>2025-432</t>
  </si>
  <si>
    <t>AK5 Interior Design Co.</t>
  </si>
  <si>
    <t>2025-433</t>
  </si>
  <si>
    <t>2025-434</t>
  </si>
  <si>
    <t>2025-435</t>
  </si>
  <si>
    <t>cnels construction supplies trading</t>
  </si>
  <si>
    <t>CASH- 12/04/2025</t>
  </si>
  <si>
    <t>2025-436</t>
  </si>
  <si>
    <t>2025-437</t>
  </si>
  <si>
    <t>2025-438</t>
  </si>
  <si>
    <t>Flex global</t>
  </si>
  <si>
    <t>2025-439</t>
  </si>
  <si>
    <t xml:space="preserve">EPJAI </t>
  </si>
  <si>
    <t>*Replacement of 150g to 400g</t>
  </si>
  <si>
    <t>2025-440</t>
  </si>
  <si>
    <t>2025-441</t>
  </si>
  <si>
    <t>2025-442</t>
  </si>
  <si>
    <t xml:space="preserve">Mr. Neri Gustavo </t>
  </si>
  <si>
    <t xml:space="preserve">RBCARDONA-0000732626 (10/16/2025) </t>
  </si>
  <si>
    <t>2025-443</t>
  </si>
  <si>
    <t>2025-444</t>
  </si>
  <si>
    <t>2025-445</t>
  </si>
  <si>
    <t>LPJRN Enterprise</t>
  </si>
  <si>
    <t>CASH- 12/11/2025</t>
  </si>
  <si>
    <t>2025-446</t>
  </si>
  <si>
    <t>2025-447</t>
  </si>
  <si>
    <t>2025-448</t>
  </si>
  <si>
    <t>2025-449</t>
  </si>
  <si>
    <t xml:space="preserve">Imperial Hardware &amp; Const. Supplies </t>
  </si>
  <si>
    <t>2025-450</t>
  </si>
  <si>
    <t>2025-451</t>
  </si>
  <si>
    <t>Dumoran`s Coco Lumber &amp; Const. Supply</t>
  </si>
  <si>
    <t>2025-452</t>
  </si>
  <si>
    <t>All Top General Merchandise</t>
  </si>
  <si>
    <t>2025-453</t>
  </si>
  <si>
    <t>2025-454</t>
  </si>
  <si>
    <t>2025-455</t>
  </si>
  <si>
    <t>5JN Const. Supplies Wholesaling</t>
  </si>
  <si>
    <t>2025-456</t>
  </si>
  <si>
    <t>2025-457</t>
  </si>
  <si>
    <t>Glojan Construction Supply</t>
  </si>
  <si>
    <t>METROBANK- 2620592603 (12/10/2025)</t>
  </si>
  <si>
    <t>2025-458</t>
  </si>
  <si>
    <t>2025-459</t>
  </si>
  <si>
    <t>METROBANK- 0672142604 (12/12/2025)</t>
  </si>
  <si>
    <t>2025-460</t>
  </si>
  <si>
    <t>2025-461</t>
  </si>
  <si>
    <t>Rq Ruby Construction Trading</t>
  </si>
  <si>
    <t>CASH- 7,650 (11/05/2025)</t>
  </si>
  <si>
    <t>2025-462</t>
  </si>
  <si>
    <t>2025-463</t>
  </si>
  <si>
    <t>METROBANK- 2110915436 (01/11/2026)</t>
  </si>
  <si>
    <t>2025-464</t>
  </si>
  <si>
    <t>METROBANK- 3217559 (01/31/2026)</t>
  </si>
  <si>
    <t>2025-465</t>
  </si>
  <si>
    <t>2025-466</t>
  </si>
  <si>
    <t>2025-467</t>
  </si>
  <si>
    <t>2025-468</t>
  </si>
  <si>
    <t xml:space="preserve">Kirby's Hardware </t>
  </si>
  <si>
    <t>2025-469</t>
  </si>
  <si>
    <t>2025-470</t>
  </si>
  <si>
    <t>BDO- 0000903702 (12/20/2025)</t>
  </si>
  <si>
    <t>2025-471</t>
  </si>
  <si>
    <t>2025-473</t>
  </si>
  <si>
    <t>CHINABANK- 0002050683 (01/16/2026)</t>
  </si>
  <si>
    <t>2025-475</t>
  </si>
  <si>
    <t>2025-476</t>
  </si>
  <si>
    <t>Ansq Hardware</t>
  </si>
  <si>
    <t>2025-477</t>
  </si>
  <si>
    <t>Onefull Trading Hardware</t>
  </si>
  <si>
    <t>BAP</t>
  </si>
  <si>
    <t>SECURITYBANK- 0001842535 (12/16/2025)</t>
  </si>
  <si>
    <t>2025-478</t>
  </si>
  <si>
    <t>Georos Construction Supply</t>
  </si>
  <si>
    <t>2025-479</t>
  </si>
  <si>
    <t>METROBANK- 2712239738 (12/05/2025)
CASH- 300 (12/13/2025)</t>
  </si>
  <si>
    <t>2025-480</t>
  </si>
  <si>
    <t>Cjcg Hardware</t>
  </si>
  <si>
    <t>BDO- 0000550180 (01/24/2025)</t>
  </si>
  <si>
    <t>2025-481</t>
  </si>
  <si>
    <t>24 Legacy Hardware Inc.</t>
  </si>
  <si>
    <t>DRL/JOP</t>
  </si>
  <si>
    <t>2025-482</t>
  </si>
  <si>
    <t>Vdmlim Construction Supply</t>
  </si>
  <si>
    <t>SECURITYBANK- 0001842131 (12/20/2025)</t>
  </si>
  <si>
    <t>2025-483</t>
  </si>
  <si>
    <t>Mansa Musa Hardware</t>
  </si>
  <si>
    <t>LANDBANK- 0000080726 (11/20/2025)</t>
  </si>
  <si>
    <t>2025-485</t>
  </si>
  <si>
    <t>Han Over Hardware</t>
  </si>
  <si>
    <t>2025-486</t>
  </si>
  <si>
    <t>2025-487</t>
  </si>
  <si>
    <t>2025-488</t>
  </si>
  <si>
    <t>PNB- 2000000529 (12/15/2025)</t>
  </si>
  <si>
    <t>2025-489</t>
  </si>
  <si>
    <t>2025-490</t>
  </si>
  <si>
    <t>2025-491</t>
  </si>
  <si>
    <t>2025-492</t>
  </si>
  <si>
    <t>BDO- 0000051431 (01/12/2026)</t>
  </si>
  <si>
    <t>2025-493</t>
  </si>
  <si>
    <t>Rizal Samples</t>
  </si>
  <si>
    <t>2025-494</t>
  </si>
  <si>
    <t>2025-495</t>
  </si>
  <si>
    <t>Mckinley Gen. Merchandise</t>
  </si>
  <si>
    <t>*PULL OUT 
-32 pcs BK-NF-150
-22 pcs BK-NK-400</t>
  </si>
  <si>
    <t>2025-496</t>
  </si>
  <si>
    <t>2025-497</t>
  </si>
  <si>
    <t>Malaya Lumber</t>
  </si>
  <si>
    <t>2025-498</t>
  </si>
  <si>
    <t>2025-499</t>
  </si>
  <si>
    <t>2025-500</t>
  </si>
  <si>
    <t>GM Taganan Hardware</t>
  </si>
  <si>
    <t>09/092025</t>
  </si>
  <si>
    <t>2025-501</t>
  </si>
  <si>
    <t>New Frenzel Enterprise</t>
  </si>
  <si>
    <t>2025-502</t>
  </si>
  <si>
    <t>V Salundaga Hardware Supply</t>
  </si>
  <si>
    <t>2025-503</t>
  </si>
  <si>
    <t>2025-504</t>
  </si>
  <si>
    <t>2025-505</t>
  </si>
  <si>
    <t>2025-506</t>
  </si>
  <si>
    <t>2025-507</t>
  </si>
  <si>
    <t>f3 Construction Supply Inc.</t>
  </si>
  <si>
    <t>2025-509</t>
  </si>
  <si>
    <t xml:space="preserve">CHINABANK- 0001606056 (01/31/2026) </t>
  </si>
  <si>
    <t>2025-510</t>
  </si>
  <si>
    <t>2025-511</t>
  </si>
  <si>
    <t>EASTWEST-0000917829 (09/30/2025)</t>
  </si>
  <si>
    <r>
      <rPr>
        <rFont val="Arial"/>
        <b/>
        <color theme="1"/>
      </rPr>
      <t xml:space="preserve"> PROMO: INFINIX SMART PHONE ( 1BOX )  </t>
    </r>
    <r>
      <rPr>
        <rFont val="Arial"/>
        <b/>
        <color rgb="FFFF0000"/>
      </rPr>
      <t>(DELIVERED)</t>
    </r>
    <r>
      <rPr>
        <rFont val="Arial"/>
        <b/>
        <color theme="1"/>
      </rPr>
      <t xml:space="preserve"> </t>
    </r>
  </si>
  <si>
    <r>
      <rPr>
        <rFont val="Arial"/>
        <b/>
        <color theme="1"/>
      </rPr>
      <t xml:space="preserve"> PROMO: INFINIX SMART PHONE ( 1BOX )  </t>
    </r>
    <r>
      <rPr>
        <rFont val="Arial"/>
        <b/>
        <color rgb="FFFF0000"/>
      </rPr>
      <t>(DELIVERED)</t>
    </r>
    <r>
      <rPr>
        <rFont val="Arial"/>
        <b/>
        <color theme="1"/>
      </rPr>
      <t xml:space="preserve"> </t>
    </r>
  </si>
  <si>
    <t>2025-512</t>
  </si>
  <si>
    <t>Gemma &amp; Jeff Trading</t>
  </si>
  <si>
    <t>PNB- 2000000504 (01/26/2025)</t>
  </si>
  <si>
    <t>2025-513</t>
  </si>
  <si>
    <t>RB awid trading</t>
  </si>
  <si>
    <t>BDO- 0000823570 (12/17/2025)</t>
  </si>
  <si>
    <t>2025-514</t>
  </si>
  <si>
    <t>2025-515</t>
  </si>
  <si>
    <t>Powermax Trading</t>
  </si>
  <si>
    <t>BPI- 10000061282 (12/09/2025)</t>
  </si>
  <si>
    <t>2025-516</t>
  </si>
  <si>
    <t>AUB- 0000086598 (12/30/2025)</t>
  </si>
  <si>
    <t>2025-517</t>
  </si>
  <si>
    <t>Dencel Mini Hardware</t>
  </si>
  <si>
    <t>2025-518</t>
  </si>
  <si>
    <t>EASTWEST- 0000104784 (01/17/2026)</t>
  </si>
  <si>
    <t>2025-519</t>
  </si>
  <si>
    <t>2025-520</t>
  </si>
  <si>
    <t xml:space="preserve">Jemar Electrical and Plumbing Materials Services Trading </t>
  </si>
  <si>
    <t>CASH- 12/09/2025</t>
  </si>
  <si>
    <t>2025-521</t>
  </si>
  <si>
    <t>MPB Hardware</t>
  </si>
  <si>
    <t>CBS- 0000542891 (12/20/2025)</t>
  </si>
  <si>
    <t>2025-522</t>
  </si>
  <si>
    <t>2025-523</t>
  </si>
  <si>
    <t>KJM Hardware</t>
  </si>
  <si>
    <t>2025-524</t>
  </si>
  <si>
    <t>Ars Electrical</t>
  </si>
  <si>
    <t>2025-525</t>
  </si>
  <si>
    <t>Cleve Hardware</t>
  </si>
  <si>
    <t>2025-526</t>
  </si>
  <si>
    <t>Elas Hardware</t>
  </si>
  <si>
    <t>2025-527</t>
  </si>
  <si>
    <t>2025-528</t>
  </si>
  <si>
    <t>2025-529</t>
  </si>
  <si>
    <t>2025-530</t>
  </si>
  <si>
    <t>2025-531</t>
  </si>
  <si>
    <t>CASH -(09/18/2025)</t>
  </si>
  <si>
    <t>2025-532</t>
  </si>
  <si>
    <t>2025-533</t>
  </si>
  <si>
    <t>Bros Electrical Plumbing</t>
  </si>
  <si>
    <t>2025-534</t>
  </si>
  <si>
    <t>Kaalinsabay Trading</t>
  </si>
  <si>
    <t>2025-535</t>
  </si>
  <si>
    <t>2025-536</t>
  </si>
  <si>
    <t>2025-537</t>
  </si>
  <si>
    <t>Cordially Cons. Supply</t>
  </si>
  <si>
    <t>CASH-(10/09/2025)</t>
  </si>
  <si>
    <t>2025-538</t>
  </si>
  <si>
    <t>Ricanne Hardware</t>
  </si>
  <si>
    <t>RCBC- 9007184 (01/19/2026)</t>
  </si>
  <si>
    <t>PROMO: GSF STAND FAN (1 BOX)</t>
  </si>
  <si>
    <t xml:space="preserve">2025-539 </t>
  </si>
  <si>
    <t xml:space="preserve">Thaiboom Trading </t>
  </si>
  <si>
    <t xml:space="preserve">2025-540 </t>
  </si>
  <si>
    <t xml:space="preserve">Dine's Hardware </t>
  </si>
  <si>
    <t>CHINABANK- 0001309353 (02/06/2026)</t>
  </si>
  <si>
    <t xml:space="preserve">2025-541 </t>
  </si>
  <si>
    <t xml:space="preserve">Ebin Trading </t>
  </si>
  <si>
    <t>CASH- (12/13/2025)</t>
  </si>
  <si>
    <t>2025-541</t>
  </si>
  <si>
    <t>2025-542</t>
  </si>
  <si>
    <t xml:space="preserve">Mars Commercial Hardware </t>
  </si>
  <si>
    <t>METROBANK- 1921948581 (12/05/2025)</t>
  </si>
  <si>
    <t>2025-543</t>
  </si>
  <si>
    <t>4EC Hardware</t>
  </si>
  <si>
    <t>2025-544</t>
  </si>
  <si>
    <t>SECURITYBANK- 0000226096 (12/24/2025)</t>
  </si>
  <si>
    <t>2025-555</t>
  </si>
  <si>
    <t xml:space="preserve">Central Lockwood Hardware </t>
  </si>
  <si>
    <t>2025-556</t>
  </si>
  <si>
    <t>2025-557</t>
  </si>
  <si>
    <t>2025-558</t>
  </si>
  <si>
    <t xml:space="preserve">Technites Source Construction Corporation </t>
  </si>
  <si>
    <t>2025-559</t>
  </si>
  <si>
    <t xml:space="preserve">Rojhoba Hardware &amp; Trading Corporation </t>
  </si>
  <si>
    <t>2025-560</t>
  </si>
  <si>
    <t xml:space="preserve">2025-561 </t>
  </si>
  <si>
    <t>2025-562</t>
  </si>
  <si>
    <t>2025-563</t>
  </si>
  <si>
    <t>2025-564</t>
  </si>
  <si>
    <t xml:space="preserve">Melco Hardware </t>
  </si>
  <si>
    <t xml:space="preserve"> 2025-565</t>
  </si>
  <si>
    <t xml:space="preserve">Eazi General Merchandise </t>
  </si>
  <si>
    <t>RCBC- 0009000566 (01/30/2026)</t>
  </si>
  <si>
    <t>2025-566</t>
  </si>
  <si>
    <t xml:space="preserve">PROMO: PIN MONEY </t>
  </si>
  <si>
    <t xml:space="preserve">2025-567 </t>
  </si>
  <si>
    <t>2025-568</t>
  </si>
  <si>
    <t xml:space="preserve">PBB-0074944 (12/24/2025) </t>
  </si>
  <si>
    <t>PROMO; GSF STAND FAN (1 BOX) - DELIVERED (11/30/2025)</t>
  </si>
  <si>
    <t>2025-569</t>
  </si>
  <si>
    <t>2025-570</t>
  </si>
  <si>
    <t>BDO- 0000227763 (01/24/2026)</t>
  </si>
  <si>
    <t>INFINIX SMART PHONE ( 1BOX)</t>
  </si>
  <si>
    <t>2025-571</t>
  </si>
  <si>
    <t xml:space="preserve">Golemson Hardware </t>
  </si>
  <si>
    <t>CASH- 12/20/2026</t>
  </si>
  <si>
    <t>2025-572</t>
  </si>
  <si>
    <t xml:space="preserve">Sabala Trading </t>
  </si>
  <si>
    <t>METROBANK- 2342733137 (01/16/2026)</t>
  </si>
  <si>
    <t xml:space="preserve">2025-573 </t>
  </si>
  <si>
    <t xml:space="preserve">Glorie &amp; Jak General Merchandise </t>
  </si>
  <si>
    <t>METROBANK- 0002153477 (01/05/2026)</t>
  </si>
  <si>
    <t xml:space="preserve"> 2025-574</t>
  </si>
  <si>
    <t xml:space="preserve">Jomarian Hardware </t>
  </si>
  <si>
    <t>2025-575</t>
  </si>
  <si>
    <t>PARTIAL- CASH Php 2500 (12/04/2025)
BALANCE- Php 1900</t>
  </si>
  <si>
    <t>2025-576</t>
  </si>
  <si>
    <t>2025-577</t>
  </si>
  <si>
    <t>2025-578</t>
  </si>
  <si>
    <t xml:space="preserve">F Baron Construction &amp; Supply Inc. </t>
  </si>
  <si>
    <t>2025-579</t>
  </si>
  <si>
    <t>2025-580</t>
  </si>
  <si>
    <t>2025-581</t>
  </si>
  <si>
    <t>NFT Hardware</t>
  </si>
  <si>
    <t>2025-582</t>
  </si>
  <si>
    <t>New Jsla Hardware</t>
  </si>
  <si>
    <t>CASH- 12/13/2025</t>
  </si>
  <si>
    <t>2025-583</t>
  </si>
  <si>
    <t>Allan Domingo</t>
  </si>
  <si>
    <t>2025-584</t>
  </si>
  <si>
    <t>BMMC Multi Sales Corporation</t>
  </si>
  <si>
    <t>BDO- 0000457699 (12/31/2025)</t>
  </si>
  <si>
    <t>PROMO: INFINIX SMART PHONE (1 BOX )</t>
  </si>
  <si>
    <t>2025-585</t>
  </si>
  <si>
    <t>METROBANK- 2110915230 (01/29/2026)</t>
  </si>
  <si>
    <r>
      <rPr>
        <rFont val="Arial"/>
        <b/>
        <color theme="1"/>
      </rPr>
      <t xml:space="preserve">PROMO: INFINIX SMART PHONE (1 BOX ) </t>
    </r>
    <r>
      <rPr>
        <rFont val="Arial"/>
        <b/>
        <color rgb="FFFF0000"/>
      </rPr>
      <t xml:space="preserve">( DELIVERED) </t>
    </r>
  </si>
  <si>
    <r>
      <rPr>
        <rFont val="Arial"/>
        <b/>
        <color theme="1"/>
      </rPr>
      <t xml:space="preserve">PROMO: INFINIX SMART PHONE (1 BOX ) </t>
    </r>
    <r>
      <rPr>
        <rFont val="Arial"/>
        <b/>
        <color rgb="FFFF0000"/>
      </rPr>
      <t xml:space="preserve">( DELIVERED) </t>
    </r>
  </si>
  <si>
    <t>2025-586</t>
  </si>
  <si>
    <t>2025-587</t>
  </si>
  <si>
    <t>C2 Six Hardware and Construction Supplies</t>
  </si>
  <si>
    <t>2025-588</t>
  </si>
  <si>
    <t xml:space="preserve">St. Vincent Hardware </t>
  </si>
  <si>
    <t>BDO- 0000094488 (02/06/2026)</t>
  </si>
  <si>
    <t>PROMO: MICROWAVE ( 1BOX )</t>
  </si>
  <si>
    <t>2025-589</t>
  </si>
  <si>
    <t>2025-590</t>
  </si>
  <si>
    <t>2130 Hardware</t>
  </si>
  <si>
    <t>2025-591</t>
  </si>
  <si>
    <t>METROBANK-1921957226 (01/06/2026)</t>
  </si>
  <si>
    <t>2025-592</t>
  </si>
  <si>
    <t>2025-593</t>
  </si>
  <si>
    <t>GoldK Hardware</t>
  </si>
  <si>
    <t>2025-594</t>
  </si>
  <si>
    <t xml:space="preserve">Channel Construction Supply </t>
  </si>
  <si>
    <t>2025-595</t>
  </si>
  <si>
    <t>2025-596</t>
  </si>
  <si>
    <t>2025-597</t>
  </si>
  <si>
    <t>2025-598</t>
  </si>
  <si>
    <t xml:space="preserve">Aliyah Daranyan Trading Inc. </t>
  </si>
  <si>
    <t>PNB- 2000003447 (01/15/2026)</t>
  </si>
  <si>
    <t>2025-599</t>
  </si>
  <si>
    <t>JJLIZ Trading</t>
  </si>
  <si>
    <t>BPI- 1000285236 (12/16/2025)</t>
  </si>
  <si>
    <t>*AGENT TO COLLECT</t>
  </si>
  <si>
    <t>2025-600</t>
  </si>
  <si>
    <t>Silver Rose</t>
  </si>
  <si>
    <t>2025-601</t>
  </si>
  <si>
    <t>Joel Trading</t>
  </si>
  <si>
    <t xml:space="preserve">2025-602 </t>
  </si>
  <si>
    <t>2025-603</t>
  </si>
  <si>
    <t>2025-604</t>
  </si>
  <si>
    <t>2025-605</t>
  </si>
  <si>
    <t>RCBC- 9005548 (01/30/2026)</t>
  </si>
  <si>
    <t>2025-606</t>
  </si>
  <si>
    <t>2025-607</t>
  </si>
  <si>
    <t>w/ Acknowledgement Receipt</t>
  </si>
  <si>
    <t>2025-608</t>
  </si>
  <si>
    <t>2025-609</t>
  </si>
  <si>
    <t>2025-610</t>
  </si>
  <si>
    <t>2025-611</t>
  </si>
  <si>
    <t xml:space="preserve">2025-612 </t>
  </si>
  <si>
    <t xml:space="preserve">2025-613 </t>
  </si>
  <si>
    <t xml:space="preserve">2025-614 </t>
  </si>
  <si>
    <t>2025-615</t>
  </si>
  <si>
    <t>Jabonga Enterprises</t>
  </si>
  <si>
    <t xml:space="preserve">2025-616 </t>
  </si>
  <si>
    <t>JJF/Janice Variety Store</t>
  </si>
  <si>
    <t>2025-617</t>
  </si>
  <si>
    <t>EASTWEST-0000915873 (10/23/2025)</t>
  </si>
  <si>
    <r>
      <rPr>
        <rFont val="Arial"/>
        <b/>
        <color theme="1"/>
      </rPr>
      <t xml:space="preserve">PROMO: INFINIX SMART PHONE ( 1BOX ) </t>
    </r>
    <r>
      <rPr>
        <rFont val="Arial"/>
        <b/>
        <color rgb="FFFF0000"/>
      </rPr>
      <t xml:space="preserve"> (DELIVERED</t>
    </r>
    <r>
      <rPr>
        <rFont val="Arial"/>
        <b/>
        <color theme="1"/>
      </rPr>
      <t xml:space="preserve">) </t>
    </r>
  </si>
  <si>
    <r>
      <rPr>
        <rFont val="Arial"/>
        <b/>
        <color theme="1"/>
      </rPr>
      <t xml:space="preserve">PROMO: INFINIX SMART PHONE ( 1BOX ) </t>
    </r>
    <r>
      <rPr>
        <rFont val="Arial"/>
        <b/>
        <color rgb="FFFF0000"/>
      </rPr>
      <t xml:space="preserve"> (DELIVERED</t>
    </r>
    <r>
      <rPr>
        <rFont val="Arial"/>
        <b/>
        <color theme="1"/>
      </rPr>
      <t xml:space="preserve">) </t>
    </r>
  </si>
  <si>
    <t>2025-618</t>
  </si>
  <si>
    <t>2025-619</t>
  </si>
  <si>
    <t>2025-620</t>
  </si>
  <si>
    <t>DRL/JM</t>
  </si>
  <si>
    <t xml:space="preserve">2025-621 </t>
  </si>
  <si>
    <t>JBG Construction Supply</t>
  </si>
  <si>
    <t>BDO- 0000639439 (12/31/2025)</t>
  </si>
  <si>
    <t xml:space="preserve">2025-622 </t>
  </si>
  <si>
    <t>BDO- 0001771910 (01/07/2026)</t>
  </si>
  <si>
    <t>2025-622</t>
  </si>
  <si>
    <t>2025-623</t>
  </si>
  <si>
    <t>PROMO: MICROWAVE (1 BOX) - DELIVERED 12/20/2026</t>
  </si>
  <si>
    <t>2025-624</t>
  </si>
  <si>
    <t>PROMO: GSF STAND FAN ( 1 BOX ) - DELIVERED (11/30/2025)</t>
  </si>
  <si>
    <t>2025-625</t>
  </si>
  <si>
    <t>Caels Construction Supplies Trading</t>
  </si>
  <si>
    <t>2025-626</t>
  </si>
  <si>
    <t xml:space="preserve">2025-627 </t>
  </si>
  <si>
    <t>J.D Sta Maria Hardware</t>
  </si>
  <si>
    <t xml:space="preserve">2025-628 </t>
  </si>
  <si>
    <t>2025-629</t>
  </si>
  <si>
    <t xml:space="preserve">2025-630 </t>
  </si>
  <si>
    <t>Hope Handware &amp; General Merchandising OPC</t>
  </si>
  <si>
    <t xml:space="preserve">2025-631 </t>
  </si>
  <si>
    <t>Silver Dale Hardware</t>
  </si>
  <si>
    <t xml:space="preserve">2025-632 </t>
  </si>
  <si>
    <t xml:space="preserve">2025-633 </t>
  </si>
  <si>
    <t>2025-634</t>
  </si>
  <si>
    <t xml:space="preserve">Nakka Trading </t>
  </si>
  <si>
    <t>2025-635</t>
  </si>
  <si>
    <t>Luck Construction Supplies</t>
  </si>
  <si>
    <t>2025-636</t>
  </si>
  <si>
    <t xml:space="preserve">KGVN Electrical Supply </t>
  </si>
  <si>
    <t>CHINABANK- 0000301860 (02/06/2026)</t>
  </si>
  <si>
    <t>PROMO: GSF STAND FAN ( 1 BOX ) - DELIVERED (02/06/2026)</t>
  </si>
  <si>
    <t>PROMO: GSF STAND FAN ( 1 BOX ) - DELIVERED (12/16/2026)</t>
  </si>
  <si>
    <t>2025-637</t>
  </si>
  <si>
    <t>2025-638</t>
  </si>
  <si>
    <t>VDMLIM Construction Supply</t>
  </si>
  <si>
    <t xml:space="preserve">2025-639 </t>
  </si>
  <si>
    <t>2025-640</t>
  </si>
  <si>
    <t>2025-641</t>
  </si>
  <si>
    <t>2025-642</t>
  </si>
  <si>
    <t>J4 Hardware &amp; Construction Supply</t>
  </si>
  <si>
    <t>2025-643</t>
  </si>
  <si>
    <t xml:space="preserve">2025-644 </t>
  </si>
  <si>
    <t>2025-645</t>
  </si>
  <si>
    <t>UNIONBANK- 0006502931 (12/13/2025)</t>
  </si>
  <si>
    <t>2025-646</t>
  </si>
  <si>
    <t>2025-647</t>
  </si>
  <si>
    <t>2025-648</t>
  </si>
  <si>
    <t>Megacom Construction Supply</t>
  </si>
  <si>
    <t>PROMO: MIRCOWAVE ( 1BOX)</t>
  </si>
  <si>
    <t>2025-649</t>
  </si>
  <si>
    <t>2025-650</t>
  </si>
  <si>
    <t xml:space="preserve">2025-651 </t>
  </si>
  <si>
    <t>BK Agent (BAP)</t>
  </si>
  <si>
    <t>2025-652</t>
  </si>
  <si>
    <t>IJT Trading</t>
  </si>
  <si>
    <t>2025-653</t>
  </si>
  <si>
    <t>2025-654</t>
  </si>
  <si>
    <t>MJB HARDWARE</t>
  </si>
  <si>
    <t>2025-655</t>
  </si>
  <si>
    <t xml:space="preserve">2025-656 </t>
  </si>
  <si>
    <t>Lucky 18 Trading</t>
  </si>
  <si>
    <t>CASH- 12/06/2025</t>
  </si>
  <si>
    <t>2025-657</t>
  </si>
  <si>
    <t>Hanzvi five Trading</t>
  </si>
  <si>
    <t>2025-658</t>
  </si>
  <si>
    <t>2025-659</t>
  </si>
  <si>
    <t>Mac B General Merchandise</t>
  </si>
  <si>
    <t>BPI- 6000104947 (01/08/2026)</t>
  </si>
  <si>
    <t>2025-660</t>
  </si>
  <si>
    <t>Landax General Merchandise</t>
  </si>
  <si>
    <t>2025-661</t>
  </si>
  <si>
    <t>2025-662</t>
  </si>
  <si>
    <t>BK Agent (JOP)</t>
  </si>
  <si>
    <t>2025-663</t>
  </si>
  <si>
    <t>2025-664</t>
  </si>
  <si>
    <t>2025-665</t>
  </si>
  <si>
    <t>2025-666</t>
  </si>
  <si>
    <t>2025-667</t>
  </si>
  <si>
    <t>2025-668</t>
  </si>
  <si>
    <t xml:space="preserve">CASH- 10/14/2025 </t>
  </si>
  <si>
    <t>2025-669</t>
  </si>
  <si>
    <t>Goodwill Hardware</t>
  </si>
  <si>
    <t>BDO- 0000782839 (01/24/2026)</t>
  </si>
  <si>
    <t>2025-669.1</t>
  </si>
  <si>
    <t>2025-670</t>
  </si>
  <si>
    <t>MC Crescent Hardware</t>
  </si>
  <si>
    <t>2025-671</t>
  </si>
  <si>
    <t>Garey Hardware</t>
  </si>
  <si>
    <t>Sergio &amp; Mercy Trading</t>
  </si>
  <si>
    <t xml:space="preserve">2025-672 </t>
  </si>
  <si>
    <r>
      <rPr>
        <rFont val="Arial"/>
        <b/>
        <color theme="1"/>
      </rPr>
      <t>PROMO: INFINIX SMART PHONE ( 1BOX )  (</t>
    </r>
    <r>
      <rPr>
        <rFont val="Arial"/>
        <b/>
        <color rgb="FFFF0000"/>
      </rPr>
      <t>DELIVERED</t>
    </r>
    <r>
      <rPr>
        <rFont val="Arial"/>
        <b/>
        <color theme="1"/>
      </rPr>
      <t>)</t>
    </r>
  </si>
  <si>
    <r>
      <rPr>
        <rFont val="Arial"/>
        <b/>
        <color theme="1"/>
      </rPr>
      <t>PROMO: INFINIX SMART PHONE ( 1BOX )  (</t>
    </r>
    <r>
      <rPr>
        <rFont val="Arial"/>
        <b/>
        <color rgb="FFFF0000"/>
      </rPr>
      <t>DELIVERED</t>
    </r>
    <r>
      <rPr>
        <rFont val="Arial"/>
        <b/>
        <color theme="1"/>
      </rPr>
      <t>)</t>
    </r>
  </si>
  <si>
    <t>2025-673</t>
  </si>
  <si>
    <t>ES Builders Inc.</t>
  </si>
  <si>
    <t>2025-674</t>
  </si>
  <si>
    <t>G.M.C Home Decor Trading</t>
  </si>
  <si>
    <t>2025-675</t>
  </si>
  <si>
    <t>2025-676</t>
  </si>
  <si>
    <t>Fortune Petroleum Inc.</t>
  </si>
  <si>
    <t>2025-677</t>
  </si>
  <si>
    <t>BK Agent (NMS)</t>
  </si>
  <si>
    <t>NMS</t>
  </si>
  <si>
    <t xml:space="preserve">2025-678 </t>
  </si>
  <si>
    <r>
      <rPr>
        <rFont val="Arial"/>
        <b/>
        <color theme="1"/>
      </rPr>
      <t xml:space="preserve">PROMO: INFINIX SMART PHONE ( 1BOX ) </t>
    </r>
    <r>
      <rPr>
        <rFont val="Arial"/>
        <b/>
        <color rgb="FFFF0000"/>
      </rPr>
      <t xml:space="preserve"> (DELIVERED</t>
    </r>
    <r>
      <rPr>
        <rFont val="Arial"/>
        <b/>
        <color theme="1"/>
      </rPr>
      <t xml:space="preserve">) </t>
    </r>
  </si>
  <si>
    <r>
      <rPr>
        <rFont val="Arial"/>
        <b/>
        <color theme="1"/>
      </rPr>
      <t xml:space="preserve">PROMO: INFINIX SMART PHONE ( 1BOX ) </t>
    </r>
    <r>
      <rPr>
        <rFont val="Arial"/>
        <b/>
        <color rgb="FFFF0000"/>
      </rPr>
      <t xml:space="preserve"> (DELIVERED</t>
    </r>
    <r>
      <rPr>
        <rFont val="Arial"/>
        <b/>
        <color theme="1"/>
      </rPr>
      <t xml:space="preserve">) </t>
    </r>
  </si>
  <si>
    <t>2025-679</t>
  </si>
  <si>
    <t>2025-680</t>
  </si>
  <si>
    <t>SECURITYBANK- 0001842510 (01/17/2025)</t>
  </si>
  <si>
    <t>*PROMO DELIVERED (11/24/2025)</t>
  </si>
  <si>
    <t>2025-681</t>
  </si>
  <si>
    <t>2025-682</t>
  </si>
  <si>
    <t>2025-683</t>
  </si>
  <si>
    <t>Golden Wealth Hardware</t>
  </si>
  <si>
    <t>UNIONBANK- 0000086592 (01/16/2026)</t>
  </si>
  <si>
    <t>2025-684</t>
  </si>
  <si>
    <t>Asia Commercial</t>
  </si>
  <si>
    <t>BDO- 0001106236 (02/21/2026)</t>
  </si>
  <si>
    <t>2025-685</t>
  </si>
  <si>
    <t>2025-686</t>
  </si>
  <si>
    <t>Danron Enterpriser</t>
  </si>
  <si>
    <t>2025-687</t>
  </si>
  <si>
    <t>2025-688</t>
  </si>
  <si>
    <t xml:space="preserve">2025-689 </t>
  </si>
  <si>
    <t>Dalewin Electrical Plumbing</t>
  </si>
  <si>
    <t>2025-690</t>
  </si>
  <si>
    <t>Hench Trading</t>
  </si>
  <si>
    <t>2025-691</t>
  </si>
  <si>
    <t>J.L.T. Hardware</t>
  </si>
  <si>
    <t>METROBANK- 0001544886 (01/21/2026)</t>
  </si>
  <si>
    <t>2025-692</t>
  </si>
  <si>
    <t>CD Miranda Hardware &amp; Gen. Merchandise</t>
  </si>
  <si>
    <t xml:space="preserve">2025-693 </t>
  </si>
  <si>
    <t xml:space="preserve">2025-694 </t>
  </si>
  <si>
    <t>VCA Hardware</t>
  </si>
  <si>
    <t>2025-695</t>
  </si>
  <si>
    <t>AUB- 0000489908 (01/22/2026)</t>
  </si>
  <si>
    <t>2025-696</t>
  </si>
  <si>
    <t>2025-697</t>
  </si>
  <si>
    <t>CDJ Colors Paint Hardware</t>
  </si>
  <si>
    <t>2025-698</t>
  </si>
  <si>
    <t>2025-699</t>
  </si>
  <si>
    <t>Compass International Sales OPC</t>
  </si>
  <si>
    <t>2025-700</t>
  </si>
  <si>
    <t>Channel Construction Supply II</t>
  </si>
  <si>
    <t>CASH- (10/15/2025)</t>
  </si>
  <si>
    <t xml:space="preserve">2025-701 </t>
  </si>
  <si>
    <t>Channel Construction Supply I</t>
  </si>
  <si>
    <t>2025-702</t>
  </si>
  <si>
    <t xml:space="preserve">2025-703 </t>
  </si>
  <si>
    <t>2025-704</t>
  </si>
  <si>
    <t>Chinabank- 1404817 (01/22/2026)</t>
  </si>
  <si>
    <t xml:space="preserve">2025-705 </t>
  </si>
  <si>
    <t xml:space="preserve">JMS Policarprio Hardware </t>
  </si>
  <si>
    <t>2025-706</t>
  </si>
  <si>
    <t>2025-707</t>
  </si>
  <si>
    <t xml:space="preserve">Hardware Construction &amp; Trading </t>
  </si>
  <si>
    <t>2025-708</t>
  </si>
  <si>
    <t xml:space="preserve">GOC Construction &amp; Hardware Supply </t>
  </si>
  <si>
    <t>2025-709</t>
  </si>
  <si>
    <t>2025-710</t>
  </si>
  <si>
    <t xml:space="preserve">Rosev Hardware </t>
  </si>
  <si>
    <t xml:space="preserve">2025-711 </t>
  </si>
  <si>
    <t xml:space="preserve">5A2P Trading </t>
  </si>
  <si>
    <t>SECURITYBANK- 0000575720 (01/15/2026)</t>
  </si>
  <si>
    <t>2025-712</t>
  </si>
  <si>
    <t>Pallanan Enterprises</t>
  </si>
  <si>
    <t>2025-713</t>
  </si>
  <si>
    <t xml:space="preserve">AP Deguzman Enterprises </t>
  </si>
  <si>
    <t>SECURITYBANK- 0000803360 (01/13/2026)</t>
  </si>
  <si>
    <t>2025-714</t>
  </si>
  <si>
    <t>Alley 8 General Merchandise</t>
  </si>
  <si>
    <t>2025-715</t>
  </si>
  <si>
    <t xml:space="preserve">Home Source Hardware </t>
  </si>
  <si>
    <t>*SI NEEDED</t>
  </si>
  <si>
    <t>2025-716</t>
  </si>
  <si>
    <t xml:space="preserve">2025-717 </t>
  </si>
  <si>
    <t xml:space="preserve">Ellite Trading </t>
  </si>
  <si>
    <t>2025-718</t>
  </si>
  <si>
    <t xml:space="preserve">LY Hardware </t>
  </si>
  <si>
    <t>2025-719</t>
  </si>
  <si>
    <t xml:space="preserve">Glorie &amp; Jack General Merchandize </t>
  </si>
  <si>
    <t>2025-720</t>
  </si>
  <si>
    <t>CHINABANK- 0000246172 (01/23/2026)</t>
  </si>
  <si>
    <t xml:space="preserve">PROMO: ELECTRIFAN (1 BOX) - DELIVERED (11/30/2025) </t>
  </si>
  <si>
    <t>2025-721</t>
  </si>
  <si>
    <t xml:space="preserve">C.S Flores Hardware </t>
  </si>
  <si>
    <t>2025-722</t>
  </si>
  <si>
    <t>2025-723</t>
  </si>
  <si>
    <t>2025-724</t>
  </si>
  <si>
    <t>Cordero Bolts and Nuts</t>
  </si>
  <si>
    <t>BPI- 1000099654 (02/28/2026)</t>
  </si>
  <si>
    <t>*Pull-out?</t>
  </si>
  <si>
    <t>2025-726</t>
  </si>
  <si>
    <t>2025-727</t>
  </si>
  <si>
    <t>2025-728</t>
  </si>
  <si>
    <t>for restocking</t>
  </si>
  <si>
    <t>2025-729</t>
  </si>
  <si>
    <t>Zapanta  Hardware</t>
  </si>
  <si>
    <t>2025-730</t>
  </si>
  <si>
    <t>CASH- 12/20/25</t>
  </si>
  <si>
    <t>2025-731</t>
  </si>
  <si>
    <t xml:space="preserve">Chabbis Hardware and Construction </t>
  </si>
  <si>
    <t>2025-732</t>
  </si>
  <si>
    <t>Gleann Hardware</t>
  </si>
  <si>
    <t>2025-733</t>
  </si>
  <si>
    <t>Britehome</t>
  </si>
  <si>
    <t>2025-734</t>
  </si>
  <si>
    <t>D2D Stocks</t>
  </si>
  <si>
    <t>2025-735</t>
  </si>
  <si>
    <t>2025-736</t>
  </si>
  <si>
    <t>CASH- (11/03/2025)</t>
  </si>
  <si>
    <t>2025-737</t>
  </si>
  <si>
    <t>A. Ancheta Trading</t>
  </si>
  <si>
    <t>2025-738</t>
  </si>
  <si>
    <t>KCJ Construction Development Corporation</t>
  </si>
  <si>
    <t>2025-739</t>
  </si>
  <si>
    <t>M Ayroso Lumber Hardware Inc.</t>
  </si>
  <si>
    <t>2025-740</t>
  </si>
  <si>
    <t>Prime Color K Paint Trading</t>
  </si>
  <si>
    <t>2025-741</t>
  </si>
  <si>
    <t>2025-742</t>
  </si>
  <si>
    <t>JDT Trading Hardware</t>
  </si>
  <si>
    <t>2025-743</t>
  </si>
  <si>
    <t>CMDC Trading</t>
  </si>
  <si>
    <t>Nikko</t>
  </si>
  <si>
    <t>BDO- 0000863129 (12/20/2025)</t>
  </si>
  <si>
    <t>2025-744</t>
  </si>
  <si>
    <t>JP Garcia Construction Supply</t>
  </si>
  <si>
    <t>2025-745</t>
  </si>
  <si>
    <t>New Calumpit Lumber and Hardware</t>
  </si>
  <si>
    <t>2025-746</t>
  </si>
  <si>
    <t>JT Electrical Supply and General Merchandise</t>
  </si>
  <si>
    <t>2025-747</t>
  </si>
  <si>
    <t>DR with ANF</t>
  </si>
  <si>
    <t>2025-748</t>
  </si>
  <si>
    <t>2025-749</t>
  </si>
  <si>
    <t>2025-750</t>
  </si>
  <si>
    <t>2025-751</t>
  </si>
  <si>
    <t>2025-752</t>
  </si>
  <si>
    <t>2025-753</t>
  </si>
  <si>
    <t>Santillano Hardware</t>
  </si>
  <si>
    <t>2025-754</t>
  </si>
  <si>
    <t>Grandcross Commercial</t>
  </si>
  <si>
    <t>2025-755</t>
  </si>
  <si>
    <t>2025-756</t>
  </si>
  <si>
    <t>2025-757</t>
  </si>
  <si>
    <t>2025-758</t>
  </si>
  <si>
    <t>Santolan Construction Supply Inc.</t>
  </si>
  <si>
    <t>2025-759</t>
  </si>
  <si>
    <t>2025-760</t>
  </si>
  <si>
    <t>2025-761</t>
  </si>
  <si>
    <t>2025-765</t>
  </si>
  <si>
    <t>Top Signal Trading</t>
  </si>
  <si>
    <t>2025-766</t>
  </si>
  <si>
    <t>2025-767</t>
  </si>
  <si>
    <t>Princess and Loraine Hardware</t>
  </si>
  <si>
    <t>CASH- 11/03/2025</t>
  </si>
  <si>
    <t>2025-768</t>
  </si>
  <si>
    <t>2025-769</t>
  </si>
  <si>
    <t xml:space="preserve">JRSR Trading </t>
  </si>
  <si>
    <t>BDO-00000460864 (01/30/2026)</t>
  </si>
  <si>
    <t>2025-770</t>
  </si>
  <si>
    <t>2025-771</t>
  </si>
  <si>
    <t>EASTWEST- 0001721021 (03/14/2026)</t>
  </si>
  <si>
    <t>*PROMO- STAND FAN - DELIVERED (12/17/2025)</t>
  </si>
  <si>
    <t>2025-772</t>
  </si>
  <si>
    <t>Jede Tiles Trading</t>
  </si>
  <si>
    <t>2025-774</t>
  </si>
  <si>
    <t>2025-773</t>
  </si>
  <si>
    <t>*Lalamove Delivery</t>
  </si>
  <si>
    <t>2025-775</t>
  </si>
  <si>
    <t>2025-776</t>
  </si>
  <si>
    <t>Super 9 Shopping</t>
  </si>
  <si>
    <t>2025-778</t>
  </si>
  <si>
    <t>2025-779</t>
  </si>
  <si>
    <t>AJ7 Builders and Material Supply</t>
  </si>
  <si>
    <t>2025-780</t>
  </si>
  <si>
    <t>2025-781</t>
  </si>
  <si>
    <t>JBERJ Construction Supply</t>
  </si>
  <si>
    <t>2025-782</t>
  </si>
  <si>
    <t>CASH- 11/05/2025</t>
  </si>
  <si>
    <t>2025-783</t>
  </si>
  <si>
    <t>Malolos Industrial</t>
  </si>
  <si>
    <t>*PROMO- RICE COOKER</t>
  </si>
  <si>
    <t>2025-784</t>
  </si>
  <si>
    <t>Loidel Trading</t>
  </si>
  <si>
    <t>2025-785</t>
  </si>
  <si>
    <t>BEO Incorporated</t>
  </si>
  <si>
    <t>2025-786</t>
  </si>
  <si>
    <t>R.D. Talen Construction &amp; Trading</t>
  </si>
  <si>
    <t>2025-787</t>
  </si>
  <si>
    <t>R&amp;L Malibonas Hardware</t>
  </si>
  <si>
    <t>GMBANK- 0051101704 (01/14/2026)</t>
  </si>
  <si>
    <t>2025-788</t>
  </si>
  <si>
    <t>Eleven 19 Hardware and Construction Supplies</t>
  </si>
  <si>
    <t>2025-789</t>
  </si>
  <si>
    <t>2025-790</t>
  </si>
  <si>
    <t>2025-791</t>
  </si>
  <si>
    <t>Pampanga Hardware</t>
  </si>
  <si>
    <t>2025-792</t>
  </si>
  <si>
    <t>Toplex</t>
  </si>
  <si>
    <t>2025-793</t>
  </si>
  <si>
    <t>LS Construction Supply</t>
  </si>
  <si>
    <t>2025-794</t>
  </si>
  <si>
    <t>MKY Pantalan Hardware</t>
  </si>
  <si>
    <t>2025-795</t>
  </si>
  <si>
    <t>6E Dizon</t>
  </si>
  <si>
    <t>2025-796</t>
  </si>
  <si>
    <t>LNJ Hardware</t>
  </si>
  <si>
    <t>2025-797</t>
  </si>
  <si>
    <t>Jessuel's Construction</t>
  </si>
  <si>
    <t>GCASH TO VRT - 11/07/2025</t>
  </si>
  <si>
    <t>2025-798</t>
  </si>
  <si>
    <t>Advantage Construction and Suppliers</t>
  </si>
  <si>
    <t>2025-799</t>
  </si>
  <si>
    <t>2025-800</t>
  </si>
  <si>
    <t>2025-801</t>
  </si>
  <si>
    <t>2025-802</t>
  </si>
  <si>
    <t>PEMR Hardware</t>
  </si>
  <si>
    <t>2025-803</t>
  </si>
  <si>
    <t>Ken 31 Corporation</t>
  </si>
  <si>
    <t>2025-804</t>
  </si>
  <si>
    <t>Oman Lumber and Hardware</t>
  </si>
  <si>
    <t>METROBANK- 9550306425 (01/06/2026)</t>
  </si>
  <si>
    <t>2025-805</t>
  </si>
  <si>
    <t>15 boxes left - 11/08/2025
11 boxes left - 11/15/2025
2 boxes left - 11/24/2025</t>
  </si>
  <si>
    <t>18 boxes left - 11/08/2025
5 boxes left - 11/15/2025
Sold Out - 11/24/2025</t>
  </si>
  <si>
    <t>2025-806</t>
  </si>
  <si>
    <t>Onward Real Estate Incorporated</t>
  </si>
  <si>
    <t>2025-807</t>
  </si>
  <si>
    <t>2025-808</t>
  </si>
  <si>
    <t>2025-809</t>
  </si>
  <si>
    <t>Mariategue Trading</t>
  </si>
  <si>
    <t>2025-810</t>
  </si>
  <si>
    <t>DR with NMS</t>
  </si>
  <si>
    <t>2025-811</t>
  </si>
  <si>
    <t>2025-812</t>
  </si>
  <si>
    <t>2025-813</t>
  </si>
  <si>
    <t>2025-814</t>
  </si>
  <si>
    <t>2025-815</t>
  </si>
  <si>
    <t>2025-816</t>
  </si>
  <si>
    <t>2025-817</t>
  </si>
  <si>
    <t>2025-818</t>
  </si>
  <si>
    <t>2025-819</t>
  </si>
  <si>
    <t>2025-820</t>
  </si>
  <si>
    <t>Lito's Roofing Center</t>
  </si>
  <si>
    <t>2025-821</t>
  </si>
  <si>
    <t>Hizon Hardware and Lumber</t>
  </si>
  <si>
    <t>2025-822</t>
  </si>
  <si>
    <t>Blockgold Enterprises</t>
  </si>
  <si>
    <t>BDO- 0000674814 (01/04/2026)</t>
  </si>
  <si>
    <t xml:space="preserve">*RETURNED </t>
  </si>
  <si>
    <t>2025-823</t>
  </si>
  <si>
    <t>S.E.L. Trading</t>
  </si>
  <si>
    <t>BDO ONLINE TRANSFER - 11/08/2025</t>
  </si>
  <si>
    <t>2025-824</t>
  </si>
  <si>
    <t>Joe Michael Enterprises</t>
  </si>
  <si>
    <t>BPI- 1000164308 (01/06/2026)</t>
  </si>
  <si>
    <t>2025-825</t>
  </si>
  <si>
    <t>R.M. Bundalian Enterprises</t>
  </si>
  <si>
    <t>2025-826</t>
  </si>
  <si>
    <t>Cheng Construction Suppliers Trading</t>
  </si>
  <si>
    <t>2025-827</t>
  </si>
  <si>
    <t>Baggao Construction Supply</t>
  </si>
  <si>
    <t>2025-828</t>
  </si>
  <si>
    <t>2025-829</t>
  </si>
  <si>
    <t>PROMO: ELECTRIC FAN - DELIVERED (11/30/2025)</t>
  </si>
  <si>
    <t>2025-830</t>
  </si>
  <si>
    <t>2025-831</t>
  </si>
  <si>
    <t>2025-832</t>
  </si>
  <si>
    <t>AAETC Development Corporation</t>
  </si>
  <si>
    <t>2025-833</t>
  </si>
  <si>
    <t>PBB- 0023445 (02/12/2026)</t>
  </si>
  <si>
    <t>2025-834</t>
  </si>
  <si>
    <t>Vicpar 88 Hardware</t>
  </si>
  <si>
    <t>2025-835</t>
  </si>
  <si>
    <t>2025-836</t>
  </si>
  <si>
    <t>Bonagua Builders</t>
  </si>
  <si>
    <t>2025-837</t>
  </si>
  <si>
    <t>2025-838</t>
  </si>
  <si>
    <t>*2 pcs kulang BK-NF-400g</t>
  </si>
  <si>
    <t>2025-839</t>
  </si>
  <si>
    <t>NOV PROMO, FREE 1 BOX NAIL FREE 150g</t>
  </si>
  <si>
    <t>2025-840</t>
  </si>
  <si>
    <t>2025-841</t>
  </si>
  <si>
    <t>2025-842</t>
  </si>
  <si>
    <t>Friendly General Merchandise</t>
  </si>
  <si>
    <t>2025-843</t>
  </si>
  <si>
    <t>Cyclone Construction Supply</t>
  </si>
  <si>
    <t>2025-844</t>
  </si>
  <si>
    <t>2025-845</t>
  </si>
  <si>
    <t>Lucky RV Incorporated</t>
  </si>
  <si>
    <t>2025-846</t>
  </si>
  <si>
    <t>2025-847</t>
  </si>
  <si>
    <t>2025-848</t>
  </si>
  <si>
    <t>2025-849</t>
  </si>
  <si>
    <t>*5 boxes out of 20 boxes delivered</t>
  </si>
  <si>
    <t>2025-850</t>
  </si>
  <si>
    <t>2025-851</t>
  </si>
  <si>
    <t>2025-852</t>
  </si>
  <si>
    <t>*PROMO: STAND FAN - DELIVERED (12/20/2025)</t>
  </si>
  <si>
    <t>2025-853</t>
  </si>
  <si>
    <t>May and Lanie Hardware</t>
  </si>
  <si>
    <t>2025-854</t>
  </si>
  <si>
    <t>SECURITYBANK- 0001842554 (03/21/2026)</t>
  </si>
  <si>
    <t>2025-855</t>
  </si>
  <si>
    <t>Mamangun General Merchandise</t>
  </si>
  <si>
    <t>2025-856</t>
  </si>
  <si>
    <t>JPL Hardware</t>
  </si>
  <si>
    <t>2025-857</t>
  </si>
  <si>
    <t>2025-858</t>
  </si>
  <si>
    <t>2025-859</t>
  </si>
  <si>
    <t>2025-860</t>
  </si>
  <si>
    <t>Don Don Enterprises</t>
  </si>
  <si>
    <t>2025-861</t>
  </si>
  <si>
    <t>2025-862</t>
  </si>
  <si>
    <t>2025-863</t>
  </si>
  <si>
    <t>2025-864</t>
  </si>
  <si>
    <t>PROMO 4+1</t>
  </si>
  <si>
    <t>2025-865</t>
  </si>
  <si>
    <t>MAFE Construction Supplies Trading</t>
  </si>
  <si>
    <t>2025-866</t>
  </si>
  <si>
    <t>NCR Construction Supply</t>
  </si>
  <si>
    <t>2025-867</t>
  </si>
  <si>
    <t>Reight Hardware</t>
  </si>
  <si>
    <t>2025-868</t>
  </si>
  <si>
    <t>Marson's Hardware</t>
  </si>
  <si>
    <t>2025-869</t>
  </si>
  <si>
    <t>2025-870</t>
  </si>
  <si>
    <t>2025-871</t>
  </si>
  <si>
    <t>2025-872</t>
  </si>
  <si>
    <t>EMMC Hardware</t>
  </si>
  <si>
    <t>2025-873</t>
  </si>
  <si>
    <t>2025-874</t>
  </si>
  <si>
    <t>2025-875</t>
  </si>
  <si>
    <t>Jaycon Depot Corporation</t>
  </si>
  <si>
    <t>2025-876</t>
  </si>
  <si>
    <t>Blue Zone Commercial</t>
  </si>
  <si>
    <t>2025-877</t>
  </si>
  <si>
    <t>GML Hardware</t>
  </si>
  <si>
    <t>2025-878</t>
  </si>
  <si>
    <t>RGD Construction</t>
  </si>
  <si>
    <t>2025-879</t>
  </si>
  <si>
    <t>MB Pagaduan Construction Supply</t>
  </si>
  <si>
    <t>2025-880</t>
  </si>
  <si>
    <t>WEMASCO Marketing</t>
  </si>
  <si>
    <t>2025-881</t>
  </si>
  <si>
    <t>Sukat Enterprises</t>
  </si>
  <si>
    <t>2025-882</t>
  </si>
  <si>
    <t>J Casim Construction Supply</t>
  </si>
  <si>
    <t>2025-883</t>
  </si>
  <si>
    <t>2025-884</t>
  </si>
  <si>
    <t>PROMO
1 UNIT  
INFINIX SMART 10 - DELIVERED (12/02/2025)
4+1 PROMO</t>
  </si>
  <si>
    <t>2025-885</t>
  </si>
  <si>
    <t>Topcoat Hardware</t>
  </si>
  <si>
    <t>2025-886</t>
  </si>
  <si>
    <t>2025-887</t>
  </si>
  <si>
    <t>PROMO 
1 UNIT RICE COOKER</t>
  </si>
  <si>
    <t>2025-888</t>
  </si>
  <si>
    <t>2025-889</t>
  </si>
  <si>
    <t>2025-890</t>
  </si>
  <si>
    <t>PROMO
1 UNIT 32" SMART TV</t>
  </si>
  <si>
    <t>2025-891</t>
  </si>
  <si>
    <t>2025-892</t>
  </si>
  <si>
    <t>2025-893</t>
  </si>
  <si>
    <r>
      <rPr>
        <rFont val="Arial"/>
        <b/>
        <color rgb="FFFF0000"/>
      </rPr>
      <t xml:space="preserve">PBB-0502893 (11/15/2025)
</t>
    </r>
    <r>
      <rPr>
        <rFont val="Arial"/>
        <b/>
        <color rgb="FFFF0000"/>
      </rPr>
      <t>*Pull-out 2 boxes of 400g, change to 1 box new stock 400g and 1 box 150g</t>
    </r>
  </si>
  <si>
    <t xml:space="preserve"> 2025-094</t>
  </si>
  <si>
    <r>
      <rPr>
        <rFont val="Arial"/>
        <color theme="1"/>
      </rPr>
      <t xml:space="preserve">F </t>
    </r>
    <r>
      <rPr>
        <rFont val="Arial"/>
        <color theme="1"/>
      </rPr>
      <t xml:space="preserve">Baron Construction &amp; Supply Inc. </t>
    </r>
  </si>
  <si>
    <r>
      <rPr>
        <rFont val="Arial"/>
        <b/>
        <color theme="1"/>
      </rPr>
      <t xml:space="preserve"> PROMO: INFINIX SMART PHONE ( 1BOX )  </t>
    </r>
    <r>
      <rPr>
        <rFont val="Arial"/>
        <b/>
        <color rgb="FFFF0000"/>
      </rPr>
      <t>(DELIVERED)</t>
    </r>
    <r>
      <rPr>
        <rFont val="Arial"/>
        <b/>
        <color theme="1"/>
      </rPr>
      <t xml:space="preserve"> </t>
    </r>
  </si>
  <si>
    <r>
      <rPr>
        <rFont val="Arial"/>
        <b/>
        <color theme="1"/>
      </rPr>
      <t xml:space="preserve">PROMO: INFINIX SMART PHONE (1 BOX ) </t>
    </r>
    <r>
      <rPr>
        <rFont val="Arial"/>
        <b/>
        <color rgb="FFFF0000"/>
      </rPr>
      <t xml:space="preserve">( DELIVERED) </t>
    </r>
  </si>
  <si>
    <r>
      <rPr>
        <rFont val="Arial"/>
        <b/>
        <color theme="1"/>
      </rPr>
      <t xml:space="preserve">PROMO: INFINIX SMART PHONE ( 1BOX ) </t>
    </r>
    <r>
      <rPr>
        <rFont val="Arial"/>
        <b/>
        <color rgb="FFFF0000"/>
      </rPr>
      <t xml:space="preserve"> (DELIVERED</t>
    </r>
    <r>
      <rPr>
        <rFont val="Arial"/>
        <b/>
        <color theme="1"/>
      </rPr>
      <t xml:space="preserve">) </t>
    </r>
  </si>
  <si>
    <r>
      <rPr>
        <rFont val="Arial"/>
        <b/>
        <color theme="1"/>
      </rPr>
      <t>PROMO: INFINIX SMART PHONE ( 1BOX )  (</t>
    </r>
    <r>
      <rPr>
        <rFont val="Arial"/>
        <b/>
        <color rgb="FFFF0000"/>
      </rPr>
      <t>DELIVERED</t>
    </r>
    <r>
      <rPr>
        <rFont val="Arial"/>
        <b/>
        <color theme="1"/>
      </rPr>
      <t>)</t>
    </r>
  </si>
  <si>
    <r>
      <rPr>
        <rFont val="Arial"/>
        <b/>
        <color theme="1"/>
      </rPr>
      <t xml:space="preserve">PROMO: INFINIX SMART PHONE ( 1BOX ) </t>
    </r>
    <r>
      <rPr>
        <rFont val="Arial"/>
        <b/>
        <color rgb="FFFF0000"/>
      </rPr>
      <t xml:space="preserve"> (DELIVERED</t>
    </r>
    <r>
      <rPr>
        <rFont val="Arial"/>
        <b/>
        <color theme="1"/>
      </rPr>
      <t xml:space="preserve">) </t>
    </r>
  </si>
  <si>
    <t>dri_id</t>
  </si>
  <si>
    <t>product</t>
  </si>
  <si>
    <t>quantity</t>
  </si>
  <si>
    <t>unit_price</t>
  </si>
  <si>
    <t>DRI_2025-0001</t>
  </si>
  <si>
    <t>DRI_2025-0002</t>
  </si>
  <si>
    <t>DRI_2025-0003</t>
  </si>
  <si>
    <t>DRI_2025-0004</t>
  </si>
  <si>
    <t>DRI_2025-0005</t>
  </si>
  <si>
    <t>DRI_2025-0006</t>
  </si>
  <si>
    <t>DRI_2025-0007</t>
  </si>
  <si>
    <t>DRI_2025-0008</t>
  </si>
  <si>
    <t>DRI_2025-0009</t>
  </si>
  <si>
    <t>DRI_2025-0010</t>
  </si>
  <si>
    <t>DRI_2025-0011</t>
  </si>
  <si>
    <t>DRI_2025-0012</t>
  </si>
  <si>
    <t>DRI_2025-0013</t>
  </si>
  <si>
    <t>DRI_2025-0014</t>
  </si>
  <si>
    <t>DRI_2025-0015</t>
  </si>
  <si>
    <t>DRI_2025-0016</t>
  </si>
  <si>
    <t>DRI_2025-0017</t>
  </si>
  <si>
    <t>DRI_2025-0018</t>
  </si>
  <si>
    <t>DRI_2025-0019</t>
  </si>
  <si>
    <t>DRI_2025-0020</t>
  </si>
  <si>
    <t>DRI_2025-0022</t>
  </si>
  <si>
    <t>DRI_2025-0023</t>
  </si>
  <si>
    <t>DRI_2025-0024</t>
  </si>
  <si>
    <t>DRI_2025-0025</t>
  </si>
  <si>
    <t>DRI_2025-0026</t>
  </si>
  <si>
    <t>DRI_2025-0027</t>
  </si>
  <si>
    <t>DRI_2025-0028</t>
  </si>
  <si>
    <t>DRI_2025-0031</t>
  </si>
  <si>
    <t>DRI_2025-0033</t>
  </si>
  <si>
    <t>DRI_2025-0036</t>
  </si>
  <si>
    <t>DRI_2025-0037</t>
  </si>
  <si>
    <t>DRI_2025-0038</t>
  </si>
  <si>
    <t>DRI_2025-0039</t>
  </si>
  <si>
    <t>DRI_2025-0040</t>
  </si>
  <si>
    <t>DRI_2025-0041</t>
  </si>
  <si>
    <t>DRI_2025-0042</t>
  </si>
  <si>
    <t>DRI_2025-0043</t>
  </si>
  <si>
    <t>DRI_2025-0044</t>
  </si>
  <si>
    <t>DRI_2025-0045</t>
  </si>
  <si>
    <t>DRI_2025-0046</t>
  </si>
  <si>
    <t>DRI_2025-0047</t>
  </si>
  <si>
    <t>DRI_2025-0048</t>
  </si>
  <si>
    <t>DRI_2025-0049</t>
  </si>
  <si>
    <t>DRI_2025-0050</t>
  </si>
  <si>
    <t>DRI_2025-0051</t>
  </si>
  <si>
    <t>DRI_2025-0052</t>
  </si>
  <si>
    <t>DRI_2025-0053</t>
  </si>
  <si>
    <t>DRI_2025-0054</t>
  </si>
  <si>
    <t>DRI_2025-0055</t>
  </si>
  <si>
    <t>DRI_2025-0056</t>
  </si>
  <si>
    <t>DRI_2025-0057</t>
  </si>
  <si>
    <t>DRI_2025-0058</t>
  </si>
  <si>
    <t>DRI_2025-0059</t>
  </si>
  <si>
    <t>DRI_2025-0060</t>
  </si>
  <si>
    <t>DRI_2025-0061</t>
  </si>
  <si>
    <t>DRI_2025-0062</t>
  </si>
  <si>
    <t>DRI_2025-0063</t>
  </si>
  <si>
    <t>DRI_2025-0064</t>
  </si>
  <si>
    <t>DRI_2025-0065</t>
  </si>
  <si>
    <t>DRI_2025-0066</t>
  </si>
  <si>
    <t>DRI_2025-0067</t>
  </si>
  <si>
    <t>DRI_2025-0068</t>
  </si>
  <si>
    <t>DRI_2025-0069</t>
  </si>
  <si>
    <t>DRI_2025-0070</t>
  </si>
  <si>
    <t>DRI_2025-0071</t>
  </si>
  <si>
    <t>DRI_2025-0072</t>
  </si>
  <si>
    <t>DRI_2025-0073</t>
  </si>
  <si>
    <t>DRI_2025-0074</t>
  </si>
  <si>
    <t>DRI_2025-0075</t>
  </si>
  <si>
    <t>DRI_2025-0076</t>
  </si>
  <si>
    <t>DRI_2025-0077</t>
  </si>
  <si>
    <t>DRI_2025-0078</t>
  </si>
  <si>
    <t>DRI_2025-0079</t>
  </si>
  <si>
    <t>DRI_2025-0080</t>
  </si>
  <si>
    <t>DRI_2025-0081</t>
  </si>
  <si>
    <t>DRI_2025-0082</t>
  </si>
  <si>
    <t>DRI_2025-0083</t>
  </si>
  <si>
    <t>DRI_2025-0084</t>
  </si>
  <si>
    <t>DRI_2025-0085</t>
  </si>
  <si>
    <t>DRI_2025-0087</t>
  </si>
  <si>
    <t>DRI_2025-0088</t>
  </si>
  <si>
    <t>DRI_2025-0090</t>
  </si>
  <si>
    <t>DRI_2025-0091</t>
  </si>
  <si>
    <t>DRI_2025-0092</t>
  </si>
  <si>
    <t>DRI_2025-0093</t>
  </si>
  <si>
    <t>DRI_2025-0094</t>
  </si>
  <si>
    <t>DRI_2025-0095</t>
  </si>
  <si>
    <t>DRI_2025-0096</t>
  </si>
  <si>
    <t>DRI_2025-0097</t>
  </si>
  <si>
    <t>DRI_2025-0098</t>
  </si>
  <si>
    <t>DRI_2025-0099</t>
  </si>
  <si>
    <t>DRI_2025-0100</t>
  </si>
  <si>
    <t>DRI_2025-0101</t>
  </si>
  <si>
    <t>DRI_2025-0102</t>
  </si>
  <si>
    <t>DRI_2025-0103</t>
  </si>
  <si>
    <t>DRI_2025-0104</t>
  </si>
  <si>
    <t>DRI_2025-0105</t>
  </si>
  <si>
    <t>DRI_2025-0106</t>
  </si>
  <si>
    <t>DRI_2025-0108</t>
  </si>
  <si>
    <t>DRI_2025-0109</t>
  </si>
  <si>
    <t>DRI_2025-0110</t>
  </si>
  <si>
    <t>DRI_2025-0111</t>
  </si>
  <si>
    <t>DRI_2025-0113</t>
  </si>
  <si>
    <t>DRI_2025-0114</t>
  </si>
  <si>
    <t>DRI_2025-0115</t>
  </si>
  <si>
    <t>DRI_2025-0116</t>
  </si>
  <si>
    <t>DRI_2025-0117</t>
  </si>
  <si>
    <t>DRI_2025-0120</t>
  </si>
  <si>
    <t>DRI_2025-0121</t>
  </si>
  <si>
    <t>DRI_2025-0122</t>
  </si>
  <si>
    <t>DRI_2025-0123</t>
  </si>
  <si>
    <t>DRI_2025-0124</t>
  </si>
  <si>
    <t>DRI_2025-0125</t>
  </si>
  <si>
    <t>DRI_2025-0128</t>
  </si>
  <si>
    <t>DRI_2025-0129</t>
  </si>
  <si>
    <t>DRI_2025-0130</t>
  </si>
  <si>
    <t>DRI_2025-0131</t>
  </si>
  <si>
    <t>DRI_2025-0132</t>
  </si>
  <si>
    <t>DRI_2025-0133</t>
  </si>
  <si>
    <t>DRI_2025-0135</t>
  </si>
  <si>
    <t>DRI_2025-0136</t>
  </si>
  <si>
    <t>DRI_2025-0137</t>
  </si>
  <si>
    <t>DRI_2025-0138</t>
  </si>
  <si>
    <t>DRI_2025-0140</t>
  </si>
  <si>
    <t>DRI_2025-0142</t>
  </si>
  <si>
    <t>DRI_2025-0143</t>
  </si>
  <si>
    <t>DRI_2025-0144</t>
  </si>
  <si>
    <t>DRI_2025-0145</t>
  </si>
  <si>
    <t>DRI_2025-0146</t>
  </si>
  <si>
    <t>DRI_2025-0147</t>
  </si>
  <si>
    <t>DRI_2025-0148</t>
  </si>
  <si>
    <t>DRI_2025-0149</t>
  </si>
  <si>
    <t>DRI_2025-0150</t>
  </si>
  <si>
    <t>DRI_2025-0151</t>
  </si>
  <si>
    <t>DRI_2025-0152</t>
  </si>
  <si>
    <t>DRI_2025-0153</t>
  </si>
  <si>
    <t>DRI_2025-0154</t>
  </si>
  <si>
    <t>DRI_2025-0155</t>
  </si>
  <si>
    <t>DRI_2025-0156</t>
  </si>
  <si>
    <t>DRI_2025-0157</t>
  </si>
  <si>
    <t>DRI_2025-0158</t>
  </si>
  <si>
    <t>DRI_2025-0159</t>
  </si>
  <si>
    <t>DRI_2025-0160</t>
  </si>
  <si>
    <t>DRI_2025-0161</t>
  </si>
  <si>
    <t>DRI_2025-0163</t>
  </si>
  <si>
    <t>DRI_2025-0164</t>
  </si>
  <si>
    <t>DRI_2025-0165</t>
  </si>
  <si>
    <t>DRI_2025-0166</t>
  </si>
  <si>
    <t>DRI_2025-0168</t>
  </si>
  <si>
    <t>DRI_2025-0169</t>
  </si>
  <si>
    <t>DRI_2025-0170</t>
  </si>
  <si>
    <t>DRI_2025-0171</t>
  </si>
  <si>
    <t>DRI_2025-0172</t>
  </si>
  <si>
    <t>DRI_2025-0173</t>
  </si>
  <si>
    <t>DRI_2025-0174</t>
  </si>
  <si>
    <t>DRI_2025-0175</t>
  </si>
  <si>
    <t>DRI_2025-0176</t>
  </si>
  <si>
    <t>DRI_2025-0177</t>
  </si>
  <si>
    <t>DRI_2025-0178</t>
  </si>
  <si>
    <t>DRI_2025-0179</t>
  </si>
  <si>
    <t>DRI_2025-0180</t>
  </si>
  <si>
    <t>DRI_2025-0181</t>
  </si>
  <si>
    <t>DRI_2025-0184</t>
  </si>
  <si>
    <t>DRI_2025-0185</t>
  </si>
  <si>
    <t>DRI_2025-0186</t>
  </si>
  <si>
    <t>DRI_2025-0187</t>
  </si>
  <si>
    <t>DRI_2025-0188</t>
  </si>
  <si>
    <t>DRI_2025-0189</t>
  </si>
  <si>
    <t>DRI_2025-0190</t>
  </si>
  <si>
    <t>DRI_2025-0191</t>
  </si>
  <si>
    <t>DRI_2025-0192</t>
  </si>
  <si>
    <t>DRI_2025-0193</t>
  </si>
  <si>
    <t>DRI_2025-0194</t>
  </si>
  <si>
    <t>DRI_2025-0195</t>
  </si>
  <si>
    <t>DRI_2025-0196</t>
  </si>
  <si>
    <t>DRI_2025-0197</t>
  </si>
  <si>
    <t>DRI_2025-0198</t>
  </si>
  <si>
    <t>DRI_2025-0199</t>
  </si>
  <si>
    <t>DRI_2025-0201</t>
  </si>
  <si>
    <t>DRI_2025-0202</t>
  </si>
  <si>
    <t>DRI_2025-0203</t>
  </si>
  <si>
    <t>DRI_2025-0204</t>
  </si>
  <si>
    <t>DRI_2025-0205</t>
  </si>
  <si>
    <t>DRI_2025-0206</t>
  </si>
  <si>
    <t>DRI_2025-0207</t>
  </si>
  <si>
    <t>DRI_2025-0208</t>
  </si>
  <si>
    <t>DRI_2025-0210</t>
  </si>
  <si>
    <t>DRI_2025-0212</t>
  </si>
  <si>
    <t>DRI_2025-0213</t>
  </si>
  <si>
    <t>DRI_2025-0214</t>
  </si>
  <si>
    <t>DRI_2025-0215</t>
  </si>
  <si>
    <t>DRI_2025-0216</t>
  </si>
  <si>
    <t>DRI_2025-0217</t>
  </si>
  <si>
    <t>DRI_2025-0218</t>
  </si>
  <si>
    <t>DRI_2025-0219</t>
  </si>
  <si>
    <t>DRI_2025-0220</t>
  </si>
  <si>
    <t>DRI_2025-0221</t>
  </si>
  <si>
    <t>DRI_2025-0222</t>
  </si>
  <si>
    <t>DRI_2025-0223</t>
  </si>
  <si>
    <t>DRI_2025-0224</t>
  </si>
  <si>
    <t>DRI_2025-0225</t>
  </si>
  <si>
    <t>DRI_2025-0226</t>
  </si>
  <si>
    <t>DRI_2025-0227</t>
  </si>
  <si>
    <t>DRI_2025-0228</t>
  </si>
  <si>
    <t>DRI_2025-0229</t>
  </si>
  <si>
    <t>DRI_2025-0230</t>
  </si>
  <si>
    <t>DRI_2025-0231</t>
  </si>
  <si>
    <t>DRI_2025-0232</t>
  </si>
  <si>
    <t>DRI_2025-0233</t>
  </si>
  <si>
    <t>DRI_2025-0234</t>
  </si>
  <si>
    <t>DRI_2025-0235</t>
  </si>
  <si>
    <t>DRI_2025-0236</t>
  </si>
  <si>
    <t>DRI_2025-0238</t>
  </si>
  <si>
    <t>DRI_2025-0241</t>
  </si>
  <si>
    <t>DRI_2025-0242</t>
  </si>
  <si>
    <t>DRI_2025-0243</t>
  </si>
  <si>
    <t>DRI_2025-0244</t>
  </si>
  <si>
    <t>DRI_2025-0245</t>
  </si>
  <si>
    <t>DRI_2025-0246</t>
  </si>
  <si>
    <t>DRI_2025-0247</t>
  </si>
  <si>
    <t>DRI_2025-0248</t>
  </si>
  <si>
    <t>DRI_2025-0249</t>
  </si>
  <si>
    <t>DRI_2025-0250</t>
  </si>
  <si>
    <t>DRI_2025-0251</t>
  </si>
  <si>
    <t>DRI_2025-0252</t>
  </si>
  <si>
    <t>DRI_2025-0253</t>
  </si>
  <si>
    <t>DRI_2025-0254</t>
  </si>
  <si>
    <t>DRI_2025-0255</t>
  </si>
  <si>
    <t>DRI_2025-0256</t>
  </si>
  <si>
    <t>DRI_2025-0257</t>
  </si>
  <si>
    <t>DRI_2025-0258</t>
  </si>
  <si>
    <t>DRI_2025-0259</t>
  </si>
  <si>
    <t>DRI_2025-0260</t>
  </si>
  <si>
    <t>DRI_2025-0261</t>
  </si>
  <si>
    <t>DRI_2025-0262</t>
  </si>
  <si>
    <t>DRI_2025-0263</t>
  </si>
  <si>
    <t>DRI_2025-0264</t>
  </si>
  <si>
    <t>DRI_2025-0265</t>
  </si>
  <si>
    <t>DRI_2025-0266</t>
  </si>
  <si>
    <t>DRI_2025-0268</t>
  </si>
  <si>
    <t>DRI_2025-0271</t>
  </si>
  <si>
    <t>DRI_2025-0272</t>
  </si>
  <si>
    <t>DRI_2025-0273</t>
  </si>
  <si>
    <t>DRI_2025-0274</t>
  </si>
  <si>
    <t>DRI_2025-0278</t>
  </si>
  <si>
    <t>DRI_2025-0279</t>
  </si>
  <si>
    <t>DRI_2025-0280</t>
  </si>
  <si>
    <t>DRI_2025-0281</t>
  </si>
  <si>
    <t>DRI_2025-0282</t>
  </si>
  <si>
    <t>DRI_2025-0283</t>
  </si>
  <si>
    <t>DRI_2025-0284</t>
  </si>
  <si>
    <t>DRI_2025-0285</t>
  </si>
  <si>
    <t>DRI_2025-0287</t>
  </si>
  <si>
    <t>DRI_2025-0288</t>
  </si>
  <si>
    <t>DRI_2025-0289</t>
  </si>
  <si>
    <t>DRI_2025-0290</t>
  </si>
  <si>
    <t>DRI_2025-0291</t>
  </si>
  <si>
    <t>DRI_2025-0292</t>
  </si>
  <si>
    <t>DRI_2025-0293</t>
  </si>
  <si>
    <t>DRI_2025-0295</t>
  </si>
  <si>
    <t>DRI_2025-0296</t>
  </si>
  <si>
    <t>DRI_2025-0297</t>
  </si>
  <si>
    <t>DRI_2025-0298</t>
  </si>
  <si>
    <t>DRI_2025-0299</t>
  </si>
  <si>
    <t>DRI_2025-0300</t>
  </si>
  <si>
    <t>DRI_2025-0301</t>
  </si>
  <si>
    <t>DRI_2025-0302</t>
  </si>
  <si>
    <t>DRI_2025-0303</t>
  </si>
  <si>
    <t>DRI_2025-0304</t>
  </si>
  <si>
    <t>DRI_2025-0305</t>
  </si>
  <si>
    <t>DRI_2025-0306</t>
  </si>
  <si>
    <t>DRI_2025-0307</t>
  </si>
  <si>
    <t>DRI_2025-0308</t>
  </si>
  <si>
    <t>DRI_2025-0309</t>
  </si>
  <si>
    <t>DRI_2025-0310</t>
  </si>
  <si>
    <t>DRI_2025-0311</t>
  </si>
  <si>
    <t>DRI_2025-0312</t>
  </si>
  <si>
    <t>DRI_2025-0313</t>
  </si>
  <si>
    <t>DRI_2025-0314</t>
  </si>
  <si>
    <t>DRI_2025-0316</t>
  </si>
  <si>
    <t>DRI_2025-0317</t>
  </si>
  <si>
    <t>DRI_2025-0318</t>
  </si>
  <si>
    <t>DRI_2025-0319</t>
  </si>
  <si>
    <t>DRI_2025-0320</t>
  </si>
  <si>
    <t>DRI_2025-0321</t>
  </si>
  <si>
    <t>DRI_2025-0322</t>
  </si>
  <si>
    <t>DRI_2025-0323</t>
  </si>
  <si>
    <t>DRI_2025-0324</t>
  </si>
  <si>
    <t>DRI_2025-0325</t>
  </si>
  <si>
    <t>DRI_2025-0326</t>
  </si>
  <si>
    <t>DRI_2025-0327</t>
  </si>
  <si>
    <t>DRI_2025-0328</t>
  </si>
  <si>
    <t>DRI_2025-0329</t>
  </si>
  <si>
    <t>DRI_2025-0330</t>
  </si>
  <si>
    <t>DRI_2025-0331</t>
  </si>
  <si>
    <t>DRI_2025-0332</t>
  </si>
  <si>
    <t>DRI_2025-0333</t>
  </si>
  <si>
    <t>DRI_2025-0334</t>
  </si>
  <si>
    <t>DRI_2025-0335</t>
  </si>
  <si>
    <t>DRI_2025-0336</t>
  </si>
  <si>
    <t>DRI_2025-0337</t>
  </si>
  <si>
    <t>DRI_2025-0338</t>
  </si>
  <si>
    <t>DRI_2025-0339</t>
  </si>
  <si>
    <t>DRI_2025-0340</t>
  </si>
  <si>
    <t>DRI_2025-0341</t>
  </si>
  <si>
    <t>DRI_2025-0342</t>
  </si>
  <si>
    <t>DRI_2025-0343</t>
  </si>
  <si>
    <t>DRI_2025-0344</t>
  </si>
  <si>
    <t>DRI_2025-0345</t>
  </si>
  <si>
    <t>DRI_2025-0346</t>
  </si>
  <si>
    <t>DRI_2025-0347</t>
  </si>
  <si>
    <t>DRI_2025-0348</t>
  </si>
  <si>
    <t>DRI_2025-0349</t>
  </si>
  <si>
    <t>DRI_2025-0350</t>
  </si>
  <si>
    <t>DRI_2025-0351</t>
  </si>
  <si>
    <t>DRI_2025-0352</t>
  </si>
  <si>
    <t>DRI_2025-0353</t>
  </si>
  <si>
    <t>DRI_2025-0354</t>
  </si>
  <si>
    <t>DRI_2025-0355</t>
  </si>
  <si>
    <t>DRI_2025-0356</t>
  </si>
  <si>
    <t>DRI_2025-0357</t>
  </si>
  <si>
    <t>DRI_2025-0358</t>
  </si>
  <si>
    <t>DRI_2025-0359</t>
  </si>
  <si>
    <t>DRI_2025-0360</t>
  </si>
  <si>
    <t>DRI_2025-0361</t>
  </si>
  <si>
    <t>DRI_2025-0362</t>
  </si>
  <si>
    <t>DRI_2025-0363</t>
  </si>
  <si>
    <t>DRI_2025-0364</t>
  </si>
  <si>
    <t>DRI_2025-0365</t>
  </si>
  <si>
    <t>DRI_2025-0366</t>
  </si>
  <si>
    <t>DRI_2025-0367</t>
  </si>
  <si>
    <t>DRI_2025-0368</t>
  </si>
  <si>
    <t>DRI_2025-0369</t>
  </si>
  <si>
    <t>DRI_2025-0370</t>
  </si>
  <si>
    <t>DRI_2025-0371</t>
  </si>
  <si>
    <t>DRI_2025-0372</t>
  </si>
  <si>
    <t>DRI_2025-0373</t>
  </si>
  <si>
    <t>DRI_2025-0374</t>
  </si>
  <si>
    <t>DRI_2025-0375</t>
  </si>
  <si>
    <t>DRI_2025-0376</t>
  </si>
  <si>
    <t>DRI_2025-0377</t>
  </si>
  <si>
    <t>DRI_2025-0378</t>
  </si>
  <si>
    <t>DRI_2025-0379</t>
  </si>
  <si>
    <t>DRI_2025-0380</t>
  </si>
  <si>
    <t>DRI_2025-0381</t>
  </si>
  <si>
    <t>DRI_2025-0382</t>
  </si>
  <si>
    <t>DRI_2025-0383</t>
  </si>
  <si>
    <t>DRI_2025-0384</t>
  </si>
  <si>
    <t>DRI_2025-0385</t>
  </si>
  <si>
    <t>DRI_2025-0386</t>
  </si>
  <si>
    <t>DRI_2025-0387</t>
  </si>
  <si>
    <t>DRI_2025-0388</t>
  </si>
  <si>
    <t>DRI_2025-0389</t>
  </si>
  <si>
    <t>DRI_2025-0390</t>
  </si>
  <si>
    <t>DRI_2025-0391</t>
  </si>
  <si>
    <t>DRI_2025-0392</t>
  </si>
  <si>
    <t>DRI_2025-0393</t>
  </si>
  <si>
    <t>DRI_2025-0394</t>
  </si>
  <si>
    <t>DRI_2025-0395</t>
  </si>
  <si>
    <t>DRI_2025-0396</t>
  </si>
  <si>
    <t>DRI_2025-0397</t>
  </si>
  <si>
    <t>DRI_2025-0398</t>
  </si>
  <si>
    <t>DRI_2025-0399</t>
  </si>
  <si>
    <t>DRI_2025-0400</t>
  </si>
  <si>
    <t>DRI_2025-0401</t>
  </si>
  <si>
    <t>DRI_2025-0402</t>
  </si>
  <si>
    <t>DRI_2025-0403</t>
  </si>
  <si>
    <t>DRI_2025-0404</t>
  </si>
  <si>
    <t>DRI_2025-0405</t>
  </si>
  <si>
    <t>DRI_2025-0406</t>
  </si>
  <si>
    <t>DRI_2025-0407</t>
  </si>
  <si>
    <t>DRI_2025-0408</t>
  </si>
  <si>
    <t>DRI_2025-0409</t>
  </si>
  <si>
    <t>DRI_2025-0410</t>
  </si>
  <si>
    <t>DRI_2025-0411</t>
  </si>
  <si>
    <t>DRI_2025-0412</t>
  </si>
  <si>
    <t>DRI_2025-0413</t>
  </si>
  <si>
    <t>DRI_2025-0414</t>
  </si>
  <si>
    <t>DRI_2025-0415</t>
  </si>
  <si>
    <t>DRI_2025-0416</t>
  </si>
  <si>
    <t>DRI_2025-0417</t>
  </si>
  <si>
    <t>DRI_2025-0418</t>
  </si>
  <si>
    <t>DRI_2025-0419</t>
  </si>
  <si>
    <t>DRI_2025-0420</t>
  </si>
  <si>
    <t>DRI_2025-0421</t>
  </si>
  <si>
    <t>DRI_2025-0422</t>
  </si>
  <si>
    <t>DRI_2025-0423</t>
  </si>
  <si>
    <t>DRI_2025-0424</t>
  </si>
  <si>
    <t>DRI_2025-0425</t>
  </si>
  <si>
    <t>DRI_2025-0426</t>
  </si>
  <si>
    <t>DRI_2025-0427</t>
  </si>
  <si>
    <t>DRI_2025-0428</t>
  </si>
  <si>
    <t>DRI_2025-0429</t>
  </si>
  <si>
    <t>DRI_2025-0430</t>
  </si>
  <si>
    <t>DRI_2025-0431</t>
  </si>
  <si>
    <t>DRI_2025-0432</t>
  </si>
  <si>
    <t>DRI_2025-0433</t>
  </si>
  <si>
    <t>DRI_2025-0434</t>
  </si>
  <si>
    <t>DRI_2025-0435</t>
  </si>
  <si>
    <t>DRI_2025-0436</t>
  </si>
  <si>
    <t>DRI_2025-0437</t>
  </si>
  <si>
    <t>DRI_2025-0438</t>
  </si>
  <si>
    <t>DRI_2025-0439</t>
  </si>
  <si>
    <t>DRI_2025-0440</t>
  </si>
  <si>
    <t>DRI_2025-0441</t>
  </si>
  <si>
    <t>DRI_2025-0442</t>
  </si>
  <si>
    <t>DRI_2025-0443</t>
  </si>
  <si>
    <t>DRI_2025-0444</t>
  </si>
  <si>
    <t>DRI_2025-0445</t>
  </si>
  <si>
    <t>DRI_2025-0446</t>
  </si>
  <si>
    <t>DRI_2025-0447</t>
  </si>
  <si>
    <t>DRI_2025-0448</t>
  </si>
  <si>
    <t>DRI_2025-0449</t>
  </si>
  <si>
    <t>DRI_2025-0450</t>
  </si>
  <si>
    <t>DRI_2025-0451</t>
  </si>
  <si>
    <t>DRI_2025-0452</t>
  </si>
  <si>
    <t>DRI_2025-0453</t>
  </si>
  <si>
    <t>DRI_2025-0454</t>
  </si>
  <si>
    <t>DRI_2025-0455</t>
  </si>
  <si>
    <t>DRI_2025-0456</t>
  </si>
  <si>
    <t>DRI_2025-0457</t>
  </si>
  <si>
    <t>DRI_2025-0458</t>
  </si>
  <si>
    <t>DRI_2025-0459</t>
  </si>
  <si>
    <t>DRI_2025-0460</t>
  </si>
  <si>
    <t>DRI_2025-0461</t>
  </si>
  <si>
    <t>DRI_2025-0462</t>
  </si>
  <si>
    <t>DRI_2025-0463</t>
  </si>
  <si>
    <t>DRI_2025-0464</t>
  </si>
  <si>
    <t>DRI_2025-0465</t>
  </si>
  <si>
    <t>DRI_2025-0466</t>
  </si>
  <si>
    <t>DRI_2025-0467</t>
  </si>
  <si>
    <t>DRI_2025-0468</t>
  </si>
  <si>
    <t>DRI_2025-0469</t>
  </si>
  <si>
    <t>DRI_2025-0470</t>
  </si>
  <si>
    <t>DRI_2025-0471</t>
  </si>
  <si>
    <t>DRI_2025-0472</t>
  </si>
  <si>
    <t>DRI_2025-0473</t>
  </si>
  <si>
    <t>DRI_2025-0474</t>
  </si>
  <si>
    <t>DRI_2025-0475</t>
  </si>
  <si>
    <t>DRI_2025-0476</t>
  </si>
  <si>
    <t>DRI_2025-0477</t>
  </si>
  <si>
    <t>DRI_2025-0478</t>
  </si>
  <si>
    <t>DRI_2025-0479</t>
  </si>
  <si>
    <t>DRI_2025-0480</t>
  </si>
  <si>
    <t>DRI_2025-0481</t>
  </si>
  <si>
    <t>DRI_2025-0482</t>
  </si>
  <si>
    <t>DRI_2025-0483</t>
  </si>
  <si>
    <t>DRI_2025-0484</t>
  </si>
  <si>
    <t>DRI_2025-0485</t>
  </si>
  <si>
    <t>DRI_2025-0486</t>
  </si>
  <si>
    <t>DRI_2025-0487</t>
  </si>
  <si>
    <t>DRI_2025-0488</t>
  </si>
  <si>
    <t>DRI_2025-0489</t>
  </si>
  <si>
    <t>DRI_2025-0490</t>
  </si>
  <si>
    <t>DRI_2025-0491</t>
  </si>
  <si>
    <t>DRI_2025-0492</t>
  </si>
  <si>
    <t>DRI_2025-0493</t>
  </si>
  <si>
    <t>DRI_2025-0494</t>
  </si>
  <si>
    <t>DRI_2025-0495</t>
  </si>
  <si>
    <t>DRI_2025-0496</t>
  </si>
  <si>
    <t>DRI_2025-0497</t>
  </si>
  <si>
    <t>DRI_2025-0498</t>
  </si>
  <si>
    <t>DRI_2025-0499</t>
  </si>
  <si>
    <t>DRI_2025-0500</t>
  </si>
  <si>
    <t>DRI_2025-0501</t>
  </si>
  <si>
    <t>DRI_2025-0502</t>
  </si>
  <si>
    <t>DRI_2025-0503</t>
  </si>
  <si>
    <t>DRI_2025-0504</t>
  </si>
  <si>
    <t>DRI_2025-0505</t>
  </si>
  <si>
    <t>DRI_2025-0506</t>
  </si>
  <si>
    <t>DRI_2025-0507</t>
  </si>
  <si>
    <t>DRI_2025-0508</t>
  </si>
  <si>
    <t>DRI_2025-0509</t>
  </si>
  <si>
    <t>DRI_2025-0510</t>
  </si>
  <si>
    <t>DRI_2025-0511</t>
  </si>
  <si>
    <t>DRI_2025-0512</t>
  </si>
  <si>
    <t>DRI_2025-0513</t>
  </si>
  <si>
    <t>DRI_2025-0514</t>
  </si>
  <si>
    <t>DRI_2025-0515</t>
  </si>
  <si>
    <t>DRI_2025-0516</t>
  </si>
  <si>
    <t>DRI_2025-0517</t>
  </si>
  <si>
    <t>DRI_2025-0518</t>
  </si>
  <si>
    <t>DRI_2025-0519</t>
  </si>
  <si>
    <t>DRI_2025-0520</t>
  </si>
  <si>
    <t>DRI_2025-0521</t>
  </si>
  <si>
    <t>DRI_2025-0522</t>
  </si>
  <si>
    <t>DRI_2025-0523</t>
  </si>
  <si>
    <t>DRI_2025-0524</t>
  </si>
  <si>
    <t>DRI_2025-0525</t>
  </si>
  <si>
    <t>DRI_2025-0526</t>
  </si>
  <si>
    <t>DRI_2025-0527</t>
  </si>
  <si>
    <t>DRI_2025-0528</t>
  </si>
  <si>
    <t>DRI_2025-0529</t>
  </si>
  <si>
    <t>DRI_2025-0530</t>
  </si>
  <si>
    <t>DRI_2025-0531</t>
  </si>
  <si>
    <t>DRI_2025-0532</t>
  </si>
  <si>
    <t>DRI_2025-0533</t>
  </si>
  <si>
    <t>DRI_2025-0534</t>
  </si>
  <si>
    <t>DRI_2025-0535</t>
  </si>
  <si>
    <t>DRI_2025-0536</t>
  </si>
  <si>
    <t>DRI_2025-0537</t>
  </si>
  <si>
    <t>DRI_2025-0538</t>
  </si>
  <si>
    <t>DRI_2025-0539</t>
  </si>
  <si>
    <t>DRI_2025-0540</t>
  </si>
  <si>
    <t>DRI_2025-0541</t>
  </si>
  <si>
    <t>DRI_2025-0542</t>
  </si>
  <si>
    <t>DRI_2025-0543</t>
  </si>
  <si>
    <t>DRI_2025-0544</t>
  </si>
  <si>
    <t>DRI_2025-0545</t>
  </si>
  <si>
    <t>DRI_2025-0546</t>
  </si>
  <si>
    <t>DRI_2025-0547</t>
  </si>
  <si>
    <t>DRI_2025-0548</t>
  </si>
  <si>
    <t>DRI_2025-0549</t>
  </si>
  <si>
    <t>DRI_2025-0550</t>
  </si>
  <si>
    <t>DRI_2025-0551</t>
  </si>
  <si>
    <t>DRI_2025-0552</t>
  </si>
  <si>
    <t>DRI_2025-0553</t>
  </si>
  <si>
    <t>DRI_2025-0554</t>
  </si>
  <si>
    <t>DRI_2025-0555</t>
  </si>
  <si>
    <t>DRI_2025-0556</t>
  </si>
  <si>
    <t>DRI_2025-0557</t>
  </si>
  <si>
    <t>DRI_2025-0558</t>
  </si>
  <si>
    <t>DRI_2025-0559</t>
  </si>
  <si>
    <t>DRI_2025-0560</t>
  </si>
  <si>
    <t>DRI_2025-0561</t>
  </si>
  <si>
    <t>DRI_2025-0562</t>
  </si>
  <si>
    <t>DRI_2025-0563</t>
  </si>
  <si>
    <t>DRI_2025-0564</t>
  </si>
  <si>
    <t>DRI_2025-0565</t>
  </si>
  <si>
    <t>DRI_2025-0566</t>
  </si>
  <si>
    <t>DRI_2025-0567</t>
  </si>
  <si>
    <t>DRI_2025-0568</t>
  </si>
  <si>
    <t>DRI_2025-0569</t>
  </si>
  <si>
    <t>DRI_2025-0570</t>
  </si>
  <si>
    <t>DRI_2025-0571</t>
  </si>
  <si>
    <t>DRI_2025-0572</t>
  </si>
  <si>
    <t>DRI_2025-0573</t>
  </si>
  <si>
    <t>DRI_2025-0574</t>
  </si>
  <si>
    <t>DRI_2025-0575</t>
  </si>
  <si>
    <t>DRI_2025-0576</t>
  </si>
  <si>
    <t>DRI_2025-0577</t>
  </si>
  <si>
    <t>DRI_2025-0578</t>
  </si>
  <si>
    <t>DRI_2025-0579</t>
  </si>
  <si>
    <t>DRI_2025-0580</t>
  </si>
  <si>
    <t>DRI_2025-0581</t>
  </si>
  <si>
    <t>DRI_2025-0582</t>
  </si>
  <si>
    <t>DRI_2025-0583</t>
  </si>
  <si>
    <t>DRI_2025-0584</t>
  </si>
  <si>
    <t>DRI_2025-0585</t>
  </si>
  <si>
    <t>DRI_2025-0586</t>
  </si>
  <si>
    <t>DRI_2025-0587</t>
  </si>
  <si>
    <t>DRI_2025-0588</t>
  </si>
  <si>
    <t>DRI_2025-0589</t>
  </si>
  <si>
    <t>DRI_2025-0590</t>
  </si>
  <si>
    <t>DRI_2025-0591</t>
  </si>
  <si>
    <t>DRI_2025-0592</t>
  </si>
  <si>
    <t>DRI_2025-0593</t>
  </si>
  <si>
    <t>DRI_2025-0594</t>
  </si>
  <si>
    <t>DRI_2025-0595</t>
  </si>
  <si>
    <t>DRI_2025-0596</t>
  </si>
  <si>
    <t>DRI_2025-0597</t>
  </si>
  <si>
    <t>DRI_2025-0598</t>
  </si>
  <si>
    <t>DRI_2025-0599</t>
  </si>
  <si>
    <t>DRI_2025-0600</t>
  </si>
  <si>
    <t>DRI_2025-0601</t>
  </si>
  <si>
    <t>DRI_2025-0602</t>
  </si>
  <si>
    <t>DRI_2025-0603</t>
  </si>
  <si>
    <t>DRI_2025-0604</t>
  </si>
  <si>
    <t>DRI_2025-0605</t>
  </si>
  <si>
    <t>DRI_2025-0606</t>
  </si>
  <si>
    <t>DRI_2025-0608</t>
  </si>
  <si>
    <t>DRI_2025-0609</t>
  </si>
  <si>
    <t>DRI_2025-0610</t>
  </si>
  <si>
    <t>DRI_2025-0611</t>
  </si>
  <si>
    <t>DRI_2025-0612</t>
  </si>
  <si>
    <t>DRI_2025-0613</t>
  </si>
  <si>
    <t>DRI_2025-0614</t>
  </si>
  <si>
    <t>DRI_2025-0615</t>
  </si>
  <si>
    <t>DRI_2025-0616</t>
  </si>
  <si>
    <t>DRI_2025-0617</t>
  </si>
  <si>
    <t>DRI_2025-0619</t>
  </si>
  <si>
    <t>DRI_2025-0620</t>
  </si>
  <si>
    <t>DRI_2025-0621</t>
  </si>
  <si>
    <t>DRI_2025-0622</t>
  </si>
  <si>
    <t>DRI_2025-0623</t>
  </si>
  <si>
    <t>DRI_2025-0624</t>
  </si>
  <si>
    <t>DRI_2025-0625</t>
  </si>
  <si>
    <t>DRI_2025-0626</t>
  </si>
  <si>
    <t>DRI_2025-0627</t>
  </si>
  <si>
    <t>DRI_2025-0628</t>
  </si>
  <si>
    <t>DRI_2025-0629</t>
  </si>
  <si>
    <t>DRI_2025-0630</t>
  </si>
  <si>
    <t>DRI_2025-0631</t>
  </si>
  <si>
    <t>DRI_2025-0632</t>
  </si>
  <si>
    <t>DRI_2025-0633</t>
  </si>
  <si>
    <t>DRI_2025-0634</t>
  </si>
  <si>
    <t>DRI_2025-0635</t>
  </si>
  <si>
    <t>DRI_2025-0636</t>
  </si>
  <si>
    <t>DRI_2025-0637</t>
  </si>
  <si>
    <t>DRI_2025-0638</t>
  </si>
  <si>
    <t>DRI_2025-0639</t>
  </si>
  <si>
    <t>DRI_2025-0640</t>
  </si>
  <si>
    <t>DRI_2025-0641</t>
  </si>
  <si>
    <t>DRI_2025-0642</t>
  </si>
  <si>
    <t>DRI_2025-0643</t>
  </si>
  <si>
    <t>DRI_2025-0644</t>
  </si>
  <si>
    <t>DRI_2025-0645</t>
  </si>
  <si>
    <t>DRI_2025-0646</t>
  </si>
  <si>
    <t>DRI_2025-0647</t>
  </si>
  <si>
    <t>DRI_2025-0648</t>
  </si>
  <si>
    <t>DRI_2025-0649</t>
  </si>
  <si>
    <t>DRI_2025-0650</t>
  </si>
  <si>
    <t>DRI_2025-0651</t>
  </si>
  <si>
    <t>DRI_2025-0652</t>
  </si>
  <si>
    <t>DRI_2025-0653</t>
  </si>
  <si>
    <t>DRI_2025-0654</t>
  </si>
  <si>
    <t>DRI_2025-0655</t>
  </si>
  <si>
    <t>DRI_2025-0656</t>
  </si>
  <si>
    <t>DRI_2025-0657</t>
  </si>
  <si>
    <t>DRI_2025-0658</t>
  </si>
  <si>
    <t>DRI_2025-0659</t>
  </si>
  <si>
    <t>DRI_2025-0660</t>
  </si>
  <si>
    <t>DRI_2025-0661</t>
  </si>
  <si>
    <t>DRI_2025-0662</t>
  </si>
  <si>
    <t>DRI_2025-0663</t>
  </si>
  <si>
    <t>DRI_2025-0664</t>
  </si>
  <si>
    <t>DRI_2025-0665</t>
  </si>
  <si>
    <t>DRI_2025-0666</t>
  </si>
  <si>
    <t>DRI_2025-0667</t>
  </si>
  <si>
    <t>DRI_2025-0668</t>
  </si>
  <si>
    <t>DRI_2025-0669</t>
  </si>
  <si>
    <t>DRI_2025-0670</t>
  </si>
  <si>
    <t>DRI_2025-0671</t>
  </si>
  <si>
    <t>DRI_2025-0672</t>
  </si>
  <si>
    <t>DRI_2025-0675</t>
  </si>
  <si>
    <t>DRI_2025-0676</t>
  </si>
  <si>
    <t>DRI_2025-0677</t>
  </si>
  <si>
    <t>DRI_2025-0678</t>
  </si>
  <si>
    <t>DRI_2025-0679</t>
  </si>
  <si>
    <t>DRI_2025-0680</t>
  </si>
  <si>
    <t>DRI_2025-0681</t>
  </si>
  <si>
    <t>DRI_2025-0682</t>
  </si>
  <si>
    <t>DRI_2025-0683</t>
  </si>
  <si>
    <t>DRI_2025-0684</t>
  </si>
  <si>
    <t>DRI_2025-0685</t>
  </si>
  <si>
    <t>DRI_2025-0686</t>
  </si>
  <si>
    <t>DRI_2025-0687</t>
  </si>
  <si>
    <t>DRI_2025-0688</t>
  </si>
  <si>
    <t>DRI_2025-0689</t>
  </si>
  <si>
    <t>DRI_2025-0690</t>
  </si>
  <si>
    <t>DRI_2025-0691</t>
  </si>
  <si>
    <t>DRI_2025-0692</t>
  </si>
  <si>
    <t>DRI_2025-0693</t>
  </si>
  <si>
    <t>DRI_2025-0694</t>
  </si>
  <si>
    <t>DRI_2025-0695</t>
  </si>
  <si>
    <t>DRI_2025-0696</t>
  </si>
  <si>
    <t>DRI_2025-0697</t>
  </si>
  <si>
    <t>DRI_2025-0698</t>
  </si>
  <si>
    <t>DRI_2025-0699</t>
  </si>
  <si>
    <t>DRI_2025-0700</t>
  </si>
  <si>
    <t>DRI_2025-0701</t>
  </si>
  <si>
    <t>DRI_2025-0702</t>
  </si>
  <si>
    <t>DRI_2025-0703</t>
  </si>
  <si>
    <t>DRI_2025-0704</t>
  </si>
  <si>
    <t>DRI_2025-0705</t>
  </si>
  <si>
    <t>DRI_2025-0706</t>
  </si>
  <si>
    <t>DRI_2025-0707</t>
  </si>
  <si>
    <t>DRI_2025-0708</t>
  </si>
  <si>
    <t>DRI_2025-0709</t>
  </si>
  <si>
    <t>DRI_2025-0710</t>
  </si>
  <si>
    <t>DRI_2025-0711</t>
  </si>
  <si>
    <t>DRI_2025-0712</t>
  </si>
  <si>
    <t>DRI_2025-0713</t>
  </si>
  <si>
    <t>DRI_2025-0714</t>
  </si>
  <si>
    <t>DRI_2025-0715</t>
  </si>
  <si>
    <t>DRI_2025-0716</t>
  </si>
  <si>
    <t>DRI_2025-0717</t>
  </si>
  <si>
    <t>DRI_2025-0718</t>
  </si>
  <si>
    <t>DRI_2025-0719</t>
  </si>
  <si>
    <t>DRI_2025-0720</t>
  </si>
  <si>
    <t>DRI_2025-0721</t>
  </si>
  <si>
    <t>DRI_2025-0722</t>
  </si>
  <si>
    <t>DRI_2025-0723</t>
  </si>
  <si>
    <t>DRI_2025-0724</t>
  </si>
  <si>
    <t>DRI_2025-0725</t>
  </si>
  <si>
    <t>DRI_2025-0726</t>
  </si>
  <si>
    <t>DRI_2025-0727</t>
  </si>
  <si>
    <t>DRI_2025-0728</t>
  </si>
  <si>
    <t>DRI_2025-0729</t>
  </si>
  <si>
    <t>DRI_2025-0730</t>
  </si>
  <si>
    <t>DRI_2025-0731</t>
  </si>
  <si>
    <t>DRI_2025-0732</t>
  </si>
  <si>
    <t>DRI_2025-0733</t>
  </si>
  <si>
    <t>DRI_2025-0734</t>
  </si>
  <si>
    <t>DRI_2025-0735</t>
  </si>
  <si>
    <t>DRI_2025-0736</t>
  </si>
  <si>
    <t>DRI_2025-0737</t>
  </si>
  <si>
    <t>DRI_2025-0738</t>
  </si>
  <si>
    <t>DRI_2025-0739</t>
  </si>
  <si>
    <t>DRI_2025-0740</t>
  </si>
  <si>
    <t>DRI_2025-0743</t>
  </si>
  <si>
    <t>DRI_2025-0744</t>
  </si>
  <si>
    <t>DRI_2025-0745</t>
  </si>
  <si>
    <t>DRI_2025-0746</t>
  </si>
  <si>
    <t>DRI_2025-0747</t>
  </si>
  <si>
    <t>DRI_2025-0748</t>
  </si>
  <si>
    <t>DRI_2025-0749</t>
  </si>
  <si>
    <t>DRI_2025-0750</t>
  </si>
  <si>
    <t>DRI_2025-0751</t>
  </si>
  <si>
    <t>DRI_2025-0752</t>
  </si>
  <si>
    <t>DRI_2025-0753</t>
  </si>
  <si>
    <t>DRI_2025-0754</t>
  </si>
  <si>
    <t>DRI_2025-0755</t>
  </si>
  <si>
    <t>DRI_2025-0756</t>
  </si>
  <si>
    <t>DRI_2025-0757</t>
  </si>
  <si>
    <t>DRI_2025-0758</t>
  </si>
  <si>
    <t>DRI_2025-0759</t>
  </si>
  <si>
    <t>DRI_2025-0760</t>
  </si>
  <si>
    <t>DRI_2025-0761</t>
  </si>
  <si>
    <t>DRI_2025-0762</t>
  </si>
  <si>
    <t>DRI_2025-0763</t>
  </si>
  <si>
    <t>DRI_2025-0764</t>
  </si>
  <si>
    <t>DRI_2025-0767</t>
  </si>
  <si>
    <t>DRI_2025-0768</t>
  </si>
  <si>
    <t>DRI_2025-0771</t>
  </si>
  <si>
    <t>DRI_2025-0772</t>
  </si>
  <si>
    <t>DRI_2025-0773</t>
  </si>
  <si>
    <t>DRI_2025-0774</t>
  </si>
  <si>
    <t>DRI_2025-0775</t>
  </si>
  <si>
    <t>DRI_2025-0776</t>
  </si>
  <si>
    <t>DRI_2025-0777</t>
  </si>
  <si>
    <t>DRI_2025-0778</t>
  </si>
  <si>
    <t>DRI_2025-0779</t>
  </si>
  <si>
    <t>DRI_2025-0780</t>
  </si>
  <si>
    <t>DRI_2025-0781</t>
  </si>
  <si>
    <t>DRI_2025-0782</t>
  </si>
  <si>
    <t>DRI_2025-0783</t>
  </si>
  <si>
    <t>DRI_2025-0784</t>
  </si>
  <si>
    <t>DRI_2025-0785</t>
  </si>
  <si>
    <t>DRI_2025-0786</t>
  </si>
  <si>
    <t>DRI_2025-0787</t>
  </si>
  <si>
    <t>DRI_2025-0788</t>
  </si>
  <si>
    <t>DRI_2025-0789</t>
  </si>
  <si>
    <t>DRI_2025-0790</t>
  </si>
  <si>
    <t>DRI_2025-0791</t>
  </si>
  <si>
    <t>DRI_2025-0792</t>
  </si>
  <si>
    <t>DRI_2025-0793</t>
  </si>
  <si>
    <t>DRI_2025-0794</t>
  </si>
  <si>
    <t>DRI_2025-0795</t>
  </si>
  <si>
    <t>DRI_2025-0796</t>
  </si>
  <si>
    <t>DRI_2025-0797</t>
  </si>
  <si>
    <t>DRI_2025-0798</t>
  </si>
  <si>
    <t>DRI_2025-0799</t>
  </si>
  <si>
    <t>DRI_2025-0800</t>
  </si>
  <si>
    <t>DRI_2025-0801</t>
  </si>
  <si>
    <t>DRI_2025-0802</t>
  </si>
  <si>
    <t>DRI_2025-0807</t>
  </si>
  <si>
    <t>DRI_2025-0808</t>
  </si>
  <si>
    <t>DRI_2025-0809</t>
  </si>
  <si>
    <t>DRI_2025-0810</t>
  </si>
  <si>
    <t>DRI_2025-0811</t>
  </si>
  <si>
    <t>DRI_2025-0812</t>
  </si>
  <si>
    <t>DRI_2025-0814</t>
  </si>
  <si>
    <t>DRI_2025-0815</t>
  </si>
  <si>
    <t>DRI_2025-0816</t>
  </si>
  <si>
    <t>DRI_2025-0817</t>
  </si>
  <si>
    <t>DRI_2025-0818</t>
  </si>
  <si>
    <t>DRI_2025-0819</t>
  </si>
  <si>
    <t>DRI_2025-0820</t>
  </si>
  <si>
    <t>DRI_2025-0821</t>
  </si>
  <si>
    <t>DRI_2025-0822</t>
  </si>
  <si>
    <t>DRI_2025-0823</t>
  </si>
  <si>
    <t>DRI_2025-0824</t>
  </si>
  <si>
    <t>DRI_2025-0825</t>
  </si>
  <si>
    <t>DRI_2025-0826</t>
  </si>
  <si>
    <t>DRI_2025-0827</t>
  </si>
  <si>
    <t>DRI_2025-0828</t>
  </si>
  <si>
    <t>DRI_2025-0833</t>
  </si>
  <si>
    <t>DRI_2025-0834</t>
  </si>
  <si>
    <t>DRI_2025-0835</t>
  </si>
  <si>
    <t>DRI_2025-0836</t>
  </si>
  <si>
    <t>DRI_2025-0837</t>
  </si>
  <si>
    <t>DRI_2025-0838</t>
  </si>
  <si>
    <t>DRI_2025-0839</t>
  </si>
  <si>
    <t>DRI_2025-0840</t>
  </si>
  <si>
    <t>DRI_2025-0841</t>
  </si>
  <si>
    <t>DRI_2025-0842</t>
  </si>
  <si>
    <t>DRI_2025-0843</t>
  </si>
  <si>
    <t>DRI_2025-0844</t>
  </si>
  <si>
    <t>DRI_2025-0845</t>
  </si>
  <si>
    <t>DRI_2025-0846</t>
  </si>
  <si>
    <t>DRI_2025-0847</t>
  </si>
  <si>
    <t>DRI_2025-0848</t>
  </si>
  <si>
    <t>DRI_2025-0849</t>
  </si>
  <si>
    <t>DRI_2025-0850</t>
  </si>
  <si>
    <t>DRI_2025-0851</t>
  </si>
  <si>
    <t>DRI_2025-0852</t>
  </si>
  <si>
    <t>DRI_2025-0853</t>
  </si>
  <si>
    <t>DRI_2025-0854</t>
  </si>
  <si>
    <t>DRI_2025-0855</t>
  </si>
  <si>
    <t>DRI_2025-0856</t>
  </si>
  <si>
    <t>DRI_2025-0857</t>
  </si>
  <si>
    <t>DRI_2025-0858</t>
  </si>
  <si>
    <t>DRI_2025-0859</t>
  </si>
  <si>
    <t>DRI_2025-0860</t>
  </si>
  <si>
    <t>DRI_2025-0861</t>
  </si>
  <si>
    <t>DRI_2025-0862</t>
  </si>
  <si>
    <t>DRI_2025-0863</t>
  </si>
  <si>
    <t>DRI_2025-0864</t>
  </si>
  <si>
    <t>DRI_2025-0865</t>
  </si>
  <si>
    <t>DRI_2025-0866</t>
  </si>
  <si>
    <t>DRI_2025-0867</t>
  </si>
  <si>
    <t>DRI_2025-0868</t>
  </si>
  <si>
    <t>DRI_2025-0869</t>
  </si>
  <si>
    <t>DRI_2025-0870</t>
  </si>
  <si>
    <t>DRI_2025-0871</t>
  </si>
  <si>
    <t>DRI_2025-0872</t>
  </si>
  <si>
    <t>DRI_2025-0873</t>
  </si>
  <si>
    <t>DRI_2025-0874</t>
  </si>
  <si>
    <t>DRI_2025-0875</t>
  </si>
  <si>
    <t>DRI_2025-0876</t>
  </si>
  <si>
    <t>DRI_2025-0877</t>
  </si>
  <si>
    <t>DRI_2025-0878</t>
  </si>
  <si>
    <t>DRI_2025-0879</t>
  </si>
  <si>
    <t>DRI_2025-0880</t>
  </si>
  <si>
    <t>DRI_2025-0881</t>
  </si>
  <si>
    <t>DRI_2025-0882</t>
  </si>
  <si>
    <t>DRI_2025-0883</t>
  </si>
  <si>
    <t>DRI_2025-0884</t>
  </si>
  <si>
    <t>DRI_2025-0885</t>
  </si>
  <si>
    <t>DRI_2025-0886</t>
  </si>
  <si>
    <t>DRI_2025-0887</t>
  </si>
  <si>
    <t>DRI_2025-0888</t>
  </si>
  <si>
    <t>DRI_2025-0889</t>
  </si>
  <si>
    <t>DRI_2025-0890</t>
  </si>
  <si>
    <t>DRI_2025-0891</t>
  </si>
  <si>
    <t>DRI_2025-0892</t>
  </si>
  <si>
    <t>DRI_2025-0893</t>
  </si>
  <si>
    <t>DRI_2025-0894</t>
  </si>
  <si>
    <t>DRI_2025-0895</t>
  </si>
  <si>
    <t>DRI_2025-0896</t>
  </si>
  <si>
    <t>DRI_2025-0897</t>
  </si>
  <si>
    <t>DRI_2025-0898</t>
  </si>
  <si>
    <t>DRI_2025-0899</t>
  </si>
  <si>
    <t>DRI_2025-0900</t>
  </si>
  <si>
    <t>DRI_2025-0901</t>
  </si>
  <si>
    <t>DRI_2025-0902</t>
  </si>
  <si>
    <t>DRI_2025-0903</t>
  </si>
  <si>
    <t>DRI_2025-0904</t>
  </si>
  <si>
    <t>DRI_2025-0905</t>
  </si>
  <si>
    <t>DRI_2025-0906</t>
  </si>
  <si>
    <t>DRI_2025-0907</t>
  </si>
  <si>
    <t>DRI_2025-0908</t>
  </si>
  <si>
    <t>DRI_2025-0909</t>
  </si>
  <si>
    <t>DRI_2025-0910</t>
  </si>
  <si>
    <t>DRI_2025-0911</t>
  </si>
  <si>
    <t>DRI_2025-0912</t>
  </si>
  <si>
    <t>DRI_2025-0913</t>
  </si>
  <si>
    <t>DRI_2025-0914</t>
  </si>
  <si>
    <t>DRI_2025-0915</t>
  </si>
  <si>
    <t>DRI_2025-0926</t>
  </si>
  <si>
    <t>DRI_2025-0927</t>
  </si>
  <si>
    <t>DRI_2025-0928</t>
  </si>
  <si>
    <t>DRI_2025-0929</t>
  </si>
  <si>
    <t>DRI_2025-0930</t>
  </si>
  <si>
    <t>DRI_2025-0931</t>
  </si>
  <si>
    <t>DRI_2025-0932</t>
  </si>
  <si>
    <t>DRI_2025-0933</t>
  </si>
  <si>
    <t>DRI_2025-0934</t>
  </si>
  <si>
    <t>DRI_2025-0935</t>
  </si>
  <si>
    <t>DRI_2025-0936</t>
  </si>
  <si>
    <t>DRI_2025-0937</t>
  </si>
  <si>
    <t>DRI_2025-0938</t>
  </si>
  <si>
    <t>DRI_2025-0939</t>
  </si>
  <si>
    <t>DRI_2025-0940</t>
  </si>
  <si>
    <t>DRI_2025-0941</t>
  </si>
  <si>
    <t>DRI_2025-0942</t>
  </si>
  <si>
    <t>DRI_2025-0943</t>
  </si>
  <si>
    <t>DRI_2025-0944</t>
  </si>
  <si>
    <t>DRI_2025-0945</t>
  </si>
  <si>
    <t>DRI_2025-0946</t>
  </si>
  <si>
    <t>DRI_2025-0947</t>
  </si>
  <si>
    <t>DRI_2025-0948</t>
  </si>
  <si>
    <t>DRI_2025-0949</t>
  </si>
  <si>
    <t>DRI_2025-0950</t>
  </si>
  <si>
    <t>DRI_2025-0951</t>
  </si>
  <si>
    <t>DRI_2025-0952</t>
  </si>
  <si>
    <t>DRI_2025-0953</t>
  </si>
  <si>
    <t>DRI_2025-0954</t>
  </si>
  <si>
    <t>DRI_2025-0955</t>
  </si>
  <si>
    <t>DRI_2025-0956</t>
  </si>
  <si>
    <t>DRI_2025-0957</t>
  </si>
  <si>
    <t>DRI_2025-0958</t>
  </si>
  <si>
    <t>DRI_2025-0959</t>
  </si>
  <si>
    <t>DRI_2025-0960</t>
  </si>
  <si>
    <t>DRI_2025-0961</t>
  </si>
  <si>
    <t>DRI_2025-0962</t>
  </si>
  <si>
    <t>DRI_2025-0963</t>
  </si>
  <si>
    <t>DRI_2025-0964</t>
  </si>
  <si>
    <t>DRI_2025-0965</t>
  </si>
  <si>
    <t>DRI_2025-0966</t>
  </si>
  <si>
    <t>DRI_2025-0967</t>
  </si>
  <si>
    <t>DRI_2025-0968</t>
  </si>
  <si>
    <t>DRI_2025-0969</t>
  </si>
  <si>
    <t>DRI_2025-0970</t>
  </si>
  <si>
    <t>DRI_2025-0971</t>
  </si>
  <si>
    <t>DRI_2025-0972</t>
  </si>
  <si>
    <t>DRI_2025-0973</t>
  </si>
  <si>
    <t>DRI_2025-0974</t>
  </si>
  <si>
    <t>DRI_2025-0975</t>
  </si>
  <si>
    <t>DRI_2025-0976</t>
  </si>
  <si>
    <t>DRI_2025-0977</t>
  </si>
  <si>
    <t>DRI_2025-0978</t>
  </si>
  <si>
    <t>DRI_2025-0979</t>
  </si>
  <si>
    <t>DRI_2025-0980</t>
  </si>
  <si>
    <t>DRI_2025-0981</t>
  </si>
  <si>
    <t>DRI_2025-0982</t>
  </si>
  <si>
    <t>DRI_2025-0983</t>
  </si>
  <si>
    <t>DRI_2025-0984</t>
  </si>
  <si>
    <t>DRI_2025-0985</t>
  </si>
  <si>
    <t>DRI_2025-0986</t>
  </si>
  <si>
    <t>DRI_2025-0987</t>
  </si>
  <si>
    <t>DRI_2025-0988</t>
  </si>
  <si>
    <t>DRI_2025-0989</t>
  </si>
  <si>
    <t>DRI_2025-0990</t>
  </si>
  <si>
    <t>DRI_2025-0991</t>
  </si>
  <si>
    <t>DRI_2025-0992</t>
  </si>
  <si>
    <t>DRI_2025-0993</t>
  </si>
  <si>
    <t>DRI_2025-0994</t>
  </si>
  <si>
    <t>DRI_2025-0995</t>
  </si>
  <si>
    <t>DRI_2025-0996</t>
  </si>
  <si>
    <t>DRI_2025-0997</t>
  </si>
  <si>
    <t>DRI_2025-0998</t>
  </si>
  <si>
    <t>DRI_2025-0999</t>
  </si>
  <si>
    <t>DRI_2025-1000</t>
  </si>
  <si>
    <t>DRI_2025-1001</t>
  </si>
  <si>
    <t>DRI_2025-1002</t>
  </si>
  <si>
    <t>DRI_2025-1003</t>
  </si>
  <si>
    <t>DRI_2025-1004</t>
  </si>
  <si>
    <t>DRI_2025-1005</t>
  </si>
  <si>
    <t>DRI_2025-1006</t>
  </si>
  <si>
    <t>DRI_2025-1007</t>
  </si>
  <si>
    <t>DRI_2025-1008</t>
  </si>
  <si>
    <t>DRI_2025-1009</t>
  </si>
  <si>
    <t>DRI_2025-1010</t>
  </si>
  <si>
    <t>DRI_2025-1011</t>
  </si>
  <si>
    <t>DRI_2025-1012</t>
  </si>
  <si>
    <t>DRI_2025-1013</t>
  </si>
  <si>
    <t>DRI_2025-1014</t>
  </si>
  <si>
    <t>DRI_2025-1015</t>
  </si>
  <si>
    <t>DRI_2025-1016</t>
  </si>
  <si>
    <t>DRI_2025-1017</t>
  </si>
  <si>
    <t>DRI_2025-1018</t>
  </si>
  <si>
    <t>DRI_2025-1019</t>
  </si>
  <si>
    <t>DRI_2025-1020</t>
  </si>
  <si>
    <t>DRI_2025-1021</t>
  </si>
  <si>
    <t>DRI_2025-1022</t>
  </si>
  <si>
    <t>DRI_2025-1023</t>
  </si>
  <si>
    <t>DRI_2025-1024</t>
  </si>
  <si>
    <t>DRI_2025-1025</t>
  </si>
  <si>
    <t>DRI_2025-1026</t>
  </si>
  <si>
    <t>DRI_2025-1027</t>
  </si>
  <si>
    <t>DRI_2025-1028</t>
  </si>
  <si>
    <t>DRI_2025-1029</t>
  </si>
  <si>
    <t>DRI_2025-1030</t>
  </si>
  <si>
    <t>issuance_ref</t>
  </si>
  <si>
    <t>Date</t>
  </si>
  <si>
    <t>issuance_type</t>
  </si>
  <si>
    <t>created_by_username</t>
  </si>
  <si>
    <t>is_pending</t>
  </si>
  <si>
    <t>Issuance</t>
  </si>
  <si>
    <t>TF to WH</t>
  </si>
  <si>
    <t>AGR</t>
  </si>
  <si>
    <t>ISS-2025-001</t>
  </si>
  <si>
    <t>WH to HQ</t>
  </si>
  <si>
    <t>ISS-2024-002</t>
  </si>
  <si>
    <t>ISS-2025-003</t>
  </si>
  <si>
    <t>ISS-2024-004</t>
  </si>
  <si>
    <t>ISS-2025-005</t>
  </si>
  <si>
    <t>ISS-2024-006</t>
  </si>
  <si>
    <t>ISS-2025-007</t>
  </si>
  <si>
    <t>ISS-2024-008</t>
  </si>
  <si>
    <t>ISS-2025-009</t>
  </si>
  <si>
    <t>product_sku</t>
  </si>
  <si>
    <t>sku</t>
  </si>
  <si>
    <t>name</t>
  </si>
  <si>
    <t>unit</t>
  </si>
  <si>
    <t>default_unit_price</t>
  </si>
  <si>
    <t>BondKing Nail Free 400g</t>
  </si>
  <si>
    <t>pc</t>
  </si>
  <si>
    <t>BondKing Nail Free 150g</t>
  </si>
  <si>
    <t xml:space="preserve">Client </t>
  </si>
  <si>
    <t xml:space="preserve">Date </t>
  </si>
  <si>
    <t>DR#</t>
  </si>
  <si>
    <t xml:space="preserve">Status </t>
  </si>
  <si>
    <t xml:space="preserve">Amount </t>
  </si>
  <si>
    <t>Star Scout</t>
  </si>
  <si>
    <t xml:space="preserve">PMCJ Hardware </t>
  </si>
  <si>
    <t>SECB-0000221710 (04/06/25)</t>
  </si>
  <si>
    <t>05/14/2025</t>
  </si>
  <si>
    <t>PULL OUT 15 PCS/ 9PCS PAID BY (05/17/2025)</t>
  </si>
  <si>
    <t>PULL OUT 10PCS / 2PCS PAIDN   ( CASH )</t>
  </si>
  <si>
    <t>04/14/2025</t>
  </si>
  <si>
    <t>BD0-0000398057 (05/14/2025)</t>
  </si>
  <si>
    <t xml:space="preserve">Ultra Bolt Hardware </t>
  </si>
  <si>
    <t>BDO- 0001251790 (05/31/25)</t>
  </si>
  <si>
    <t xml:space="preserve">Melchor Ching </t>
  </si>
  <si>
    <t>04/30/2025</t>
  </si>
  <si>
    <t xml:space="preserve">Villamor  Marketing Corporation </t>
  </si>
  <si>
    <t xml:space="preserve">Artan Hardware </t>
  </si>
  <si>
    <t>05/19/2025</t>
  </si>
  <si>
    <t xml:space="preserve">TMRJ 888 Corporation </t>
  </si>
  <si>
    <t xml:space="preserve">Mafel Joy Hardware </t>
  </si>
  <si>
    <t>2025-094</t>
  </si>
  <si>
    <t xml:space="preserve">Highland lumber &amp; Const. Supply Co. Inc. </t>
  </si>
  <si>
    <t xml:space="preserve">Es Homecar Gen. Merchandise </t>
  </si>
  <si>
    <t>Cancelled DR</t>
  </si>
  <si>
    <t>CR - 0071</t>
  </si>
  <si>
    <t>CR - 0072</t>
  </si>
  <si>
    <t>CR - 0073</t>
  </si>
  <si>
    <t>CR - 0076</t>
  </si>
  <si>
    <t xml:space="preserve">Paid </t>
  </si>
  <si>
    <t>CR - 0077</t>
  </si>
  <si>
    <t>CR - 0078</t>
  </si>
  <si>
    <t>CR - 0079</t>
  </si>
  <si>
    <t>CR - 0080</t>
  </si>
  <si>
    <t>CR - 0081</t>
  </si>
  <si>
    <t>CR - 0082</t>
  </si>
  <si>
    <t xml:space="preserve">Linzer Hardware </t>
  </si>
  <si>
    <t>CR - 0083</t>
  </si>
  <si>
    <t xml:space="preserve">Mega Best Construction Supply </t>
  </si>
  <si>
    <t>CR - 0084</t>
  </si>
  <si>
    <t>CR - 0085</t>
  </si>
  <si>
    <t>CR - 0086</t>
  </si>
  <si>
    <t xml:space="preserve">CR - 0087 </t>
  </si>
  <si>
    <t>CR - 0088</t>
  </si>
  <si>
    <t xml:space="preserve">2LCS Enterprise </t>
  </si>
  <si>
    <t xml:space="preserve">CR - 0089 </t>
  </si>
  <si>
    <t>CR - 0090</t>
  </si>
  <si>
    <t>CR - 0091</t>
  </si>
  <si>
    <t>CR - 0092</t>
  </si>
  <si>
    <t xml:space="preserve">Hillside Hardware </t>
  </si>
  <si>
    <t>CR - 0093</t>
  </si>
  <si>
    <t>CR - 0094</t>
  </si>
  <si>
    <t xml:space="preserve">TJS Hardware  </t>
  </si>
  <si>
    <t>CR - 0095</t>
  </si>
  <si>
    <t>2025-142</t>
  </si>
  <si>
    <t>CR - 0096</t>
  </si>
  <si>
    <t>CR - 0097</t>
  </si>
  <si>
    <t>CR - 0098</t>
  </si>
  <si>
    <t xml:space="preserve">CR - 0099 </t>
  </si>
  <si>
    <t>CR - 0100</t>
  </si>
  <si>
    <t xml:space="preserve">Dream Works </t>
  </si>
  <si>
    <t>CR - 0101</t>
  </si>
  <si>
    <t xml:space="preserve">EAZI Gen. Merchandise </t>
  </si>
  <si>
    <t>CR - 0102</t>
  </si>
  <si>
    <t>Denison</t>
  </si>
  <si>
    <t>CR - 0103</t>
  </si>
  <si>
    <t>CR - 0104</t>
  </si>
  <si>
    <t>CR - 0105</t>
  </si>
  <si>
    <t>CR - 0106</t>
  </si>
  <si>
    <t>CR - 0108</t>
  </si>
  <si>
    <t>CR - 0109</t>
  </si>
  <si>
    <t>CR - 0110</t>
  </si>
  <si>
    <t>CR - 0112</t>
  </si>
  <si>
    <t>CR - 0113</t>
  </si>
  <si>
    <t>CR - 0114</t>
  </si>
  <si>
    <t>CR - 0115</t>
  </si>
  <si>
    <t>CR - 0116</t>
  </si>
  <si>
    <t>CR - 0117</t>
  </si>
  <si>
    <t>CR - 0118</t>
  </si>
  <si>
    <t>Vendor</t>
  </si>
  <si>
    <t xml:space="preserve">Subject </t>
  </si>
  <si>
    <t>Purchase Rep</t>
  </si>
  <si>
    <t>Amount</t>
  </si>
  <si>
    <t xml:space="preserve">MOP </t>
  </si>
  <si>
    <t>Status</t>
  </si>
  <si>
    <t>Remarks</t>
  </si>
  <si>
    <t>PO-0001</t>
  </si>
  <si>
    <t>Bea Chan</t>
  </si>
  <si>
    <t xml:space="preserve">RMB Budget </t>
  </si>
  <si>
    <t>Rosita RMB</t>
  </si>
  <si>
    <t>PAID</t>
  </si>
  <si>
    <t>PO-0002</t>
  </si>
  <si>
    <t>Francesca Lopez</t>
  </si>
  <si>
    <t>Graphic Design Services</t>
  </si>
  <si>
    <t xml:space="preserve">BDO Online </t>
  </si>
  <si>
    <t>PO-0003</t>
  </si>
  <si>
    <t>Alpha Future Leads</t>
  </si>
  <si>
    <t>Marketing: 30k DP</t>
  </si>
  <si>
    <t>PO-0004</t>
  </si>
  <si>
    <t>Kastar Corporation</t>
  </si>
  <si>
    <t>BK-NF 400g</t>
  </si>
  <si>
    <t>PO-0005</t>
  </si>
  <si>
    <t>AFL Marketing Bill 1</t>
  </si>
  <si>
    <t>PO-0006</t>
  </si>
  <si>
    <t>PO-0007</t>
  </si>
  <si>
    <t xml:space="preserve">Alfe Capangpangan </t>
  </si>
  <si>
    <t>Website Domain and Email</t>
  </si>
  <si>
    <t>PO-0008</t>
  </si>
  <si>
    <t>02/19/2025</t>
  </si>
  <si>
    <t>Printing Bar</t>
  </si>
  <si>
    <t>Brochure 500pcs
Flyer 500 pcs
Calling Cards 400 pcs</t>
  </si>
  <si>
    <t>PO-0009</t>
  </si>
  <si>
    <t>04/19/2025</t>
  </si>
  <si>
    <t xml:space="preserve">Wild Flour Bakery+Cafe Corp. </t>
  </si>
  <si>
    <t>Lunch Meeting</t>
  </si>
  <si>
    <t>HJE</t>
  </si>
  <si>
    <t>5,181.43.00</t>
  </si>
  <si>
    <t xml:space="preserve">Card Payment </t>
  </si>
  <si>
    <t>PO-0010</t>
  </si>
  <si>
    <t>02/24/2025</t>
  </si>
  <si>
    <t>Website Building</t>
  </si>
  <si>
    <t>PO-0011</t>
  </si>
  <si>
    <t>02/26/2025</t>
  </si>
  <si>
    <t>Reggie Balagbis</t>
  </si>
  <si>
    <t>SEC Papers</t>
  </si>
  <si>
    <t>RVT</t>
  </si>
  <si>
    <t>PO-0012</t>
  </si>
  <si>
    <t>Lalamove</t>
  </si>
  <si>
    <t>50 boxes to Manda to QC</t>
  </si>
  <si>
    <t>PO-0013</t>
  </si>
  <si>
    <t>AFL Marketing Bill 2</t>
  </si>
  <si>
    <t>BDO Online</t>
  </si>
  <si>
    <t>PO-0014</t>
  </si>
  <si>
    <t>BK Payroll</t>
  </si>
  <si>
    <t>Rosen Portillio</t>
  </si>
  <si>
    <t>Gcash</t>
  </si>
  <si>
    <t>PO-0015</t>
  </si>
  <si>
    <t>03/21/2025</t>
  </si>
  <si>
    <t>Casey Javellana</t>
  </si>
  <si>
    <t>T-Shirts and Uniform (DP 50%)</t>
  </si>
  <si>
    <t>PO-0016</t>
  </si>
  <si>
    <t>Tarps and Flyers (DP)</t>
  </si>
  <si>
    <t>PO-0017</t>
  </si>
  <si>
    <t>Emerson R. (final salary)</t>
  </si>
  <si>
    <t>PO-0018</t>
  </si>
  <si>
    <t>T-shrits and Uniform (Full Payment)</t>
  </si>
  <si>
    <t>PO-0019</t>
  </si>
  <si>
    <t>AFL Marketing (Progress Billing)</t>
  </si>
  <si>
    <t>PO-0020</t>
  </si>
  <si>
    <t>Tarpulin Balance (Full Payment)</t>
  </si>
  <si>
    <t>PO-0021</t>
  </si>
  <si>
    <t>04/16/2025</t>
  </si>
  <si>
    <t>RMB Budget (FOR HOTEL FOR REIMBURSEMENT)</t>
  </si>
  <si>
    <t>PO-0022</t>
  </si>
  <si>
    <t>5 Agents (Daryl/ Dorothy/Elmer/Mark/Jon)</t>
  </si>
  <si>
    <t>PO-0023</t>
  </si>
  <si>
    <t>Revolving Fund</t>
  </si>
  <si>
    <t>PO-0024</t>
  </si>
  <si>
    <t>04/21/2025</t>
  </si>
  <si>
    <t>Journeys &amp; Discoveries Inc</t>
  </si>
  <si>
    <t>China VISA</t>
  </si>
  <si>
    <t>PO-0025</t>
  </si>
  <si>
    <t>Onyx Buiness Solutions Inc.</t>
  </si>
  <si>
    <t xml:space="preserve">Epson LQ-310 Printer </t>
  </si>
  <si>
    <t>PO-0026</t>
  </si>
  <si>
    <t>04/22/2025</t>
  </si>
  <si>
    <t>Salary Jan 2025, Mar 2025</t>
  </si>
  <si>
    <t>PO-0027</t>
  </si>
  <si>
    <t xml:space="preserve">5 Boxes to Cavite </t>
  </si>
  <si>
    <t>PO-0028</t>
  </si>
  <si>
    <t>JerryDelivery Services</t>
  </si>
  <si>
    <t>PO-0029</t>
  </si>
  <si>
    <t>Indeed</t>
  </si>
  <si>
    <t xml:space="preserve">Payment for Employment Ads </t>
  </si>
  <si>
    <t>Card payment</t>
  </si>
  <si>
    <t>PO-0030</t>
  </si>
  <si>
    <t>National Bookstore</t>
  </si>
  <si>
    <t xml:space="preserve">Office Materials </t>
  </si>
  <si>
    <t>PO-0031</t>
  </si>
  <si>
    <t xml:space="preserve">05/15/2025 </t>
  </si>
  <si>
    <t xml:space="preserve">Revolving Funds </t>
  </si>
  <si>
    <t>Dorothy</t>
  </si>
  <si>
    <t xml:space="preserve">Gcash </t>
  </si>
  <si>
    <t>PO-0032</t>
  </si>
  <si>
    <t>05/15/2025</t>
  </si>
  <si>
    <t>3 Agent( Daryl, Dorothy, Ediberto ) &amp; 1 Admin ( Hazel)</t>
  </si>
  <si>
    <t>PO-0033</t>
  </si>
  <si>
    <t>05/17/2025</t>
  </si>
  <si>
    <t xml:space="preserve">Auto Shop </t>
  </si>
  <si>
    <t xml:space="preserve">Car Repair </t>
  </si>
  <si>
    <t>PO-0034</t>
  </si>
  <si>
    <t>05/18/2025</t>
  </si>
  <si>
    <t>Agent Daryl</t>
  </si>
  <si>
    <t>PO-0035</t>
  </si>
  <si>
    <t>05/22/2025</t>
  </si>
  <si>
    <t xml:space="preserve">5 Boxes to office to cavite  </t>
  </si>
  <si>
    <t>PO-0036</t>
  </si>
  <si>
    <t xml:space="preserve">Liquid Nail Smaller  SKU </t>
  </si>
  <si>
    <t>PO-0037</t>
  </si>
  <si>
    <t>05/23/2025</t>
  </si>
  <si>
    <t xml:space="preserve">MAGR TRUCKING </t>
  </si>
  <si>
    <t xml:space="preserve">9 Boxes to Nueva Vizcaya </t>
  </si>
  <si>
    <t>PO-0038</t>
  </si>
  <si>
    <t>05/13/2025</t>
  </si>
  <si>
    <t>Federal Express Pacific, LLC</t>
  </si>
  <si>
    <t xml:space="preserve">Delivery &amp; Tax </t>
  </si>
  <si>
    <t>PO-0039</t>
  </si>
  <si>
    <t>05/25/2025</t>
  </si>
  <si>
    <t xml:space="preserve">BK Payroll </t>
  </si>
  <si>
    <t>BK Driver ( JerrySalahog )</t>
  </si>
  <si>
    <t>PO-0040</t>
  </si>
  <si>
    <t>05/30/2025</t>
  </si>
  <si>
    <t>BK Agent &amp; Admin ( Daryl, Dorothy, Hazel)</t>
  </si>
  <si>
    <t>PO-0041</t>
  </si>
  <si>
    <t xml:space="preserve">Benito Tan </t>
  </si>
  <si>
    <t>Shipping Cost</t>
  </si>
  <si>
    <t>PO-0042</t>
  </si>
  <si>
    <t xml:space="preserve">Gas Allowance </t>
  </si>
  <si>
    <t>PO-0043</t>
  </si>
  <si>
    <t xml:space="preserve">Cash Advance </t>
  </si>
  <si>
    <t xml:space="preserve">BK DarylTan </t>
  </si>
  <si>
    <t>PO-0044</t>
  </si>
  <si>
    <t>06/16/2025</t>
  </si>
  <si>
    <t>2 Agent (Daryl, Dorothy,) 1 Driver ( Jerry) 1 Admin ( Hazel)</t>
  </si>
  <si>
    <t>PO-0045</t>
  </si>
  <si>
    <t>06/20/2025</t>
  </si>
  <si>
    <t xml:space="preserve">Mind Alliance Venture, Inc </t>
  </si>
  <si>
    <t xml:space="preserve">Company Phone and Sim </t>
  </si>
  <si>
    <t>PO-0046</t>
  </si>
  <si>
    <t>Revolving Funds</t>
  </si>
  <si>
    <t>BK Agent Daryland Dorothy</t>
  </si>
  <si>
    <t>PO-0047</t>
  </si>
  <si>
    <t xml:space="preserve">2 Boxes to office to Laspinas city </t>
  </si>
  <si>
    <t>PO-0048</t>
  </si>
  <si>
    <t>06/24/2025</t>
  </si>
  <si>
    <t xml:space="preserve">Lalamove  </t>
  </si>
  <si>
    <t xml:space="preserve">Uniform,100pcs flyers,50pcs tarps., 1 box for sample 
Office to Cavite (BK Agent Jessica) </t>
  </si>
  <si>
    <t>PO-0049</t>
  </si>
  <si>
    <t>06/25/2025</t>
  </si>
  <si>
    <t xml:space="preserve">1 Box to office to Valenzuela city </t>
  </si>
  <si>
    <t>PO-0050</t>
  </si>
  <si>
    <t>06/27/2025</t>
  </si>
  <si>
    <t xml:space="preserve">3 Boxes to office to Paranaque City </t>
  </si>
  <si>
    <t>PO-0051</t>
  </si>
  <si>
    <t xml:space="preserve">1 Box to office to Philippine Animal Medical Center </t>
  </si>
  <si>
    <t>PO-0052</t>
  </si>
  <si>
    <t xml:space="preserve">4 Agents, (Daryl,Dorothy,Analiza,Jessica)   1 Driver (Jerry)  1 Admin ( Hazel) </t>
  </si>
  <si>
    <t>PO-0053</t>
  </si>
  <si>
    <t xml:space="preserve">Mineral Water </t>
  </si>
  <si>
    <t xml:space="preserve">Water For Water Dispenser </t>
  </si>
  <si>
    <t>PO-0054</t>
  </si>
  <si>
    <t>PO-0055</t>
  </si>
  <si>
    <t xml:space="preserve">3 Boxes to office to Laspinas </t>
  </si>
  <si>
    <t>PO-0056</t>
  </si>
  <si>
    <t xml:space="preserve">2 Boxes to office to Paranaque </t>
  </si>
  <si>
    <t>PO-0057</t>
  </si>
  <si>
    <t xml:space="preserve">2 Boxes to office to Muntinlupa </t>
  </si>
  <si>
    <t>PO-0058</t>
  </si>
  <si>
    <t>07/0/2025</t>
  </si>
  <si>
    <t xml:space="preserve">1 Box to office to Muntinlupa </t>
  </si>
  <si>
    <t>PO-0059</t>
  </si>
  <si>
    <t>PO-0060</t>
  </si>
  <si>
    <t>BK Agents ( Daryl, Dorothy, Analiza,Jessica)</t>
  </si>
  <si>
    <t>PO-0061</t>
  </si>
  <si>
    <t xml:space="preserve">BK Agent Jessica( Counters &amp; SI ) </t>
  </si>
  <si>
    <t>PO-0062</t>
  </si>
  <si>
    <t xml:space="preserve">Globe Load </t>
  </si>
  <si>
    <t xml:space="preserve">Load for Company Phone </t>
  </si>
  <si>
    <t xml:space="preserve">PO-0063 </t>
  </si>
  <si>
    <t>PO-0064</t>
  </si>
  <si>
    <t>PO-0065</t>
  </si>
  <si>
    <t xml:space="preserve">BK Driver Payroll </t>
  </si>
  <si>
    <t>PO-0066</t>
  </si>
  <si>
    <t>07/15/2025</t>
  </si>
  <si>
    <t xml:space="preserve">4 Agents, (Daryl,Dorothy,Analiza,Jessica) 1 Admin ( Hazel) </t>
  </si>
  <si>
    <t>PO-0067</t>
  </si>
  <si>
    <t>07/30/2025</t>
  </si>
  <si>
    <t>BK Gas Allowance</t>
  </si>
  <si>
    <t>Bk Driver ( JerrySalahog )</t>
  </si>
  <si>
    <t xml:space="preserve">HJE </t>
  </si>
  <si>
    <t xml:space="preserve">GCash </t>
  </si>
  <si>
    <t xml:space="preserve">PAID </t>
  </si>
  <si>
    <t>PO-0068</t>
  </si>
  <si>
    <t xml:space="preserve">PO-0069 </t>
  </si>
  <si>
    <t xml:space="preserve">BK Revolving funds </t>
  </si>
  <si>
    <t>BK Agent , Analiza, Dorothy, Jessica</t>
  </si>
  <si>
    <t>PO-0070</t>
  </si>
  <si>
    <t xml:space="preserve">BK Gas Allowance </t>
  </si>
  <si>
    <t xml:space="preserve">PO-0071 </t>
  </si>
  <si>
    <t xml:space="preserve">BK Office Supply </t>
  </si>
  <si>
    <t xml:space="preserve">National Book Store , Sealant Gun </t>
  </si>
  <si>
    <t>PO-0072</t>
  </si>
  <si>
    <t xml:space="preserve">PO-0073 </t>
  </si>
  <si>
    <t xml:space="preserve">BK Petty Cash </t>
  </si>
  <si>
    <t xml:space="preserve">Lalamove, Water , Load for Company phone </t>
  </si>
  <si>
    <t>PO-0074</t>
  </si>
  <si>
    <t>08/14/2025</t>
  </si>
  <si>
    <t>BK Agent Daryl</t>
  </si>
  <si>
    <t>PO-0075</t>
  </si>
  <si>
    <t>08/15/2025</t>
  </si>
  <si>
    <t>3 Agents(Dorothy,Analize,Jessica) admin(Hazel) driver(jerry)</t>
  </si>
  <si>
    <t>PO-0076</t>
  </si>
  <si>
    <t>PO-0077</t>
  </si>
  <si>
    <t>08/28/2025</t>
  </si>
  <si>
    <t xml:space="preserve">BK GAS Allowance </t>
  </si>
  <si>
    <t>PO-0078</t>
  </si>
  <si>
    <t xml:space="preserve">NCL Printing Ent. </t>
  </si>
  <si>
    <t xml:space="preserve">BK Flyers </t>
  </si>
  <si>
    <t>PO-0079</t>
  </si>
  <si>
    <t xml:space="preserve">EC Petron Station </t>
  </si>
  <si>
    <t xml:space="preserve">BK Gas Allowance  ( Field Dorothy, Tata) </t>
  </si>
  <si>
    <t xml:space="preserve">PO-0080 </t>
  </si>
  <si>
    <t xml:space="preserve">Jairich Battery Center </t>
  </si>
  <si>
    <t xml:space="preserve">BK Driver ( JerrySalahog ) NSGO MEGA FORCE </t>
  </si>
  <si>
    <t xml:space="preserve">PO-0081 </t>
  </si>
  <si>
    <t xml:space="preserve">PO-0082 </t>
  </si>
  <si>
    <t xml:space="preserve">Trucking,lalamove,water,office supply, computer form </t>
  </si>
  <si>
    <t>PO-0083</t>
  </si>
  <si>
    <t xml:space="preserve">Ms. Maria Regina Balagbis </t>
  </si>
  <si>
    <t>Processing of ded of sale, transfer of stock, sss/philhealth/pagibig registration, grab fare</t>
  </si>
  <si>
    <t xml:space="preserve">Online Pyament </t>
  </si>
  <si>
    <t>PO-0084</t>
  </si>
  <si>
    <t xml:space="preserve">Retainers fee for june to august 2025 </t>
  </si>
  <si>
    <t>PO-0085</t>
  </si>
  <si>
    <t xml:space="preserve">BK REVOLVING FUNDS </t>
  </si>
  <si>
    <t xml:space="preserve">BK Agents ( Dorothy, Analiza,Jessica,John) </t>
  </si>
  <si>
    <t>PO-0086</t>
  </si>
  <si>
    <t xml:space="preserve">Grab Food </t>
  </si>
  <si>
    <t xml:space="preserve">BK Office Meeting Food (Aug. 30, 2025) </t>
  </si>
  <si>
    <t>PO-0087</t>
  </si>
  <si>
    <t xml:space="preserve">Mega Motion </t>
  </si>
  <si>
    <t>PO-0088</t>
  </si>
  <si>
    <t xml:space="preserve">Maxen Print </t>
  </si>
  <si>
    <t xml:space="preserve">Printing of Calling Cards </t>
  </si>
  <si>
    <t>PO-0089</t>
  </si>
  <si>
    <t xml:space="preserve">BK Driver Jerry Salahog </t>
  </si>
  <si>
    <t xml:space="preserve">PO-0090 </t>
  </si>
  <si>
    <t xml:space="preserve">Lalamove, Nlex,Gas Rush ID , Move it, </t>
  </si>
  <si>
    <t xml:space="preserve">PO-0091 </t>
  </si>
  <si>
    <t xml:space="preserve">Bureau of Internal Revenue </t>
  </si>
  <si>
    <t xml:space="preserve">Income Taxes with held </t>
  </si>
  <si>
    <t xml:space="preserve">PO-0092 </t>
  </si>
  <si>
    <t xml:space="preserve">Daily Overland Freight Forwarder </t>
  </si>
  <si>
    <t xml:space="preserve">40 boxes,(BK Agent John) 1box (client) 3boxes (client) 5boxes (client) 5 boxes (client) </t>
  </si>
  <si>
    <t xml:space="preserve">PO-0093 </t>
  </si>
  <si>
    <t xml:space="preserve">Requesat Additional 5,000.00 for petty cash </t>
  </si>
  <si>
    <t xml:space="preserve">PO-0094 </t>
  </si>
  <si>
    <t xml:space="preserve">(BK Agent  3 )Analiza Rafon, Dorothy, Jessica,  (Admin 1 )Hazel </t>
  </si>
  <si>
    <t xml:space="preserve">PO-0095 </t>
  </si>
  <si>
    <t>Mechanic Jelson</t>
  </si>
  <si>
    <t>Plate no. YJS 870 ,Suzuki Multicab Repair</t>
  </si>
  <si>
    <t>PO-0096</t>
  </si>
  <si>
    <t xml:space="preserve">Castirls Enterprises </t>
  </si>
  <si>
    <t xml:space="preserve">BK T-shirt 300 pcs , BK Polo Shirt 30pcs </t>
  </si>
  <si>
    <t>PO-0097</t>
  </si>
  <si>
    <t xml:space="preserve">09/18/2025 </t>
  </si>
  <si>
    <t>BK Collector ( Albert) , BK Driver (Jenny) BK Driver (Jerry)</t>
  </si>
  <si>
    <t>PO-0098</t>
  </si>
  <si>
    <t>09/18/2025</t>
  </si>
  <si>
    <t xml:space="preserve">Mega Motion Work Inc. </t>
  </si>
  <si>
    <t xml:space="preserve">Suzuki Multicab Repair   Plane no. YJS-870 </t>
  </si>
  <si>
    <t>PO-0099</t>
  </si>
  <si>
    <t>PO-0100</t>
  </si>
  <si>
    <t xml:space="preserve">Mr. Jerry Salahog </t>
  </si>
  <si>
    <t xml:space="preserve">PO-0101 </t>
  </si>
  <si>
    <t xml:space="preserve">Mr. Chantal D. Casta </t>
  </si>
  <si>
    <t xml:space="preserve">Billing : 2 Packing Design * Sticker * box , 1- T-shirt Design </t>
  </si>
  <si>
    <t xml:space="preserve">PO-0102 </t>
  </si>
  <si>
    <t xml:space="preserve">Fair N Square Emporium, Inc. </t>
  </si>
  <si>
    <t xml:space="preserve">Asahi EK-017 , Golden Eagle Standfan GSF16, Mikat Rice Cooker mKRC180G </t>
  </si>
  <si>
    <t xml:space="preserve">PO-0103 </t>
  </si>
  <si>
    <t>PO-0104</t>
  </si>
  <si>
    <t xml:space="preserve">09/23/2025 </t>
  </si>
  <si>
    <t xml:space="preserve">Ms. Jenny Hilot </t>
  </si>
  <si>
    <t xml:space="preserve">PO-0105 </t>
  </si>
  <si>
    <t>Mr. Gelson ( Mechanic )</t>
  </si>
  <si>
    <t xml:space="preserve">( Plate no. YJS-870 )    ( Suzuki Multicab Repair )			</t>
  </si>
  <si>
    <t>PO-0106</t>
  </si>
  <si>
    <t>PO-0107</t>
  </si>
  <si>
    <t xml:space="preserve">Gas Allowance Bk Driver Jenny and Jerry , Water </t>
  </si>
  <si>
    <t>PO-0108</t>
  </si>
  <si>
    <t>09/30/2025</t>
  </si>
  <si>
    <t>(BK Agent  3 )Analiza Rafon, Dorothy, Jessica, John, (Collector Albert)   (Admin 1 )Hazel4</t>
  </si>
  <si>
    <t>PO-0109</t>
  </si>
  <si>
    <t>CANCEL PO ( PO WAS DOUBLED )</t>
  </si>
  <si>
    <t>PO-0110</t>
  </si>
  <si>
    <t>MALBCOFF TRADING</t>
  </si>
  <si>
    <t xml:space="preserve">Infinix Smart Phone 5 Pcs Black Silver </t>
  </si>
  <si>
    <t xml:space="preserve">Item </t>
  </si>
  <si>
    <t>Unit</t>
  </si>
  <si>
    <t>PO-0111</t>
  </si>
  <si>
    <t xml:space="preserve">Infinix Smart 10 </t>
  </si>
  <si>
    <t>Units</t>
  </si>
  <si>
    <t>PO-0112</t>
  </si>
  <si>
    <t>PO-0113</t>
  </si>
  <si>
    <t xml:space="preserve">Ms. Maria Regina P. Balagbis </t>
  </si>
  <si>
    <t xml:space="preserve">Retainers Fee for month of September </t>
  </si>
  <si>
    <t xml:space="preserve">PO-0114 </t>
  </si>
  <si>
    <t xml:space="preserve">Mr. Edward Templo </t>
  </si>
  <si>
    <t>PO-0115</t>
  </si>
  <si>
    <t xml:space="preserve">BK Revolving Funds </t>
  </si>
  <si>
    <t>PO-0116</t>
  </si>
  <si>
    <t xml:space="preserve">BK Payroll (Jenny) (4days) (Sept.29-Oct.04,2025) (695per day) plus 100 per day for allowance </t>
  </si>
  <si>
    <t>PO-0117</t>
  </si>
  <si>
    <t xml:space="preserve">Mr. Jerry salahog </t>
  </si>
  <si>
    <t>PO-0118</t>
  </si>
  <si>
    <t xml:space="preserve">Petty Cash </t>
  </si>
  <si>
    <t xml:space="preserve">Lalamove , HI-Top,  Agua de Gandia , Gas Allowance , Hardware </t>
  </si>
  <si>
    <t>PO-0119</t>
  </si>
  <si>
    <t xml:space="preserve">Electrician </t>
  </si>
  <si>
    <t xml:space="preserve">Electrical Labor </t>
  </si>
  <si>
    <t>PO-0120</t>
  </si>
  <si>
    <t>Max's Kitchen , Inc.</t>
  </si>
  <si>
    <t xml:space="preserve">BK Lunch </t>
  </si>
  <si>
    <t>PO-0121</t>
  </si>
  <si>
    <t>PO-0122</t>
  </si>
  <si>
    <t xml:space="preserve">Denison General Merchandise </t>
  </si>
  <si>
    <t xml:space="preserve"># 12 (3.5)mm riyo 1 box, 50m flexiblepose 1/2 , blade, biddet posiecion , angelvalve (3way) </t>
  </si>
  <si>
    <t>PO-0123</t>
  </si>
  <si>
    <t xml:space="preserve">Aircon Dismantling </t>
  </si>
  <si>
    <t>Dismantling of unit (TCL brand 2.5hp-slip type , Reinstallation of unit (TCL brand 2.5hp-slip type)</t>
  </si>
  <si>
    <t>PO-0124</t>
  </si>
  <si>
    <t xml:space="preserve">Ms. Jincel Ecleo </t>
  </si>
  <si>
    <t xml:space="preserve">BK Payroll (Jincel) (sept. 11-19,2025) (8days) (695 per day) </t>
  </si>
  <si>
    <t>PO-0125</t>
  </si>
  <si>
    <t>1010/2025</t>
  </si>
  <si>
    <t xml:space="preserve">09/26/2025-10/10/2025 BK Payroll
Dorothy Leyson - 9,166.63
Analiza Rafon - 7,297.50
Jessica Colleto - 7,645.00
John Cabiling - 8,340.00
Jenny Hilot - 3,180.00
Albert Ortiz - 7,645.00
Albert Ortiz (Allowance) - 2,000.00 </t>
  </si>
  <si>
    <t>PO-0126</t>
  </si>
  <si>
    <t>HQ Expenses</t>
  </si>
  <si>
    <t xml:space="preserve">Jomar - 1,625
Ace Santos - 1,125
Antonio Cabayag - 1,350
Elizar Panoringan - 1,625
</t>
  </si>
  <si>
    <t>PO-0127</t>
  </si>
  <si>
    <t>National Book Store
80 Folders
2 Carbon Paper</t>
  </si>
  <si>
    <t>PO-0128</t>
  </si>
  <si>
    <t>Sales Promo</t>
  </si>
  <si>
    <t>PO-0129</t>
  </si>
  <si>
    <t>National Book Store
LBC
Key Copy</t>
  </si>
  <si>
    <t>PO-0130</t>
  </si>
  <si>
    <t>WH to HQ 
100 boxes BK-NF-400
100 boxes BK-NF-150</t>
  </si>
  <si>
    <t>PO-0131</t>
  </si>
  <si>
    <t xml:space="preserve">10/11/2025-10/25/2025 BK Payroll
Dorothy Leyson - 10,833.29 
Analiza Rafon - 8,340.00
Jessica Colleto - 7,645.00
John Cabiling - 9,035.00
Jenny Hilot - 4,770.00
Albert Ortiz - 8,340.00
Albert Ortiz (Allowance) - 2,000.00 </t>
  </si>
  <si>
    <t>PO-0132</t>
  </si>
  <si>
    <t>10/06/2025 - Double Dragon Petrolyo Inc. 
10/08/2025 - 7Eleven Absolute Water 1L 2pcs
10/09/2025 - PMJSA4 Gas Station
10/09/2025 - 7Eleven Safeguard
10/10/2025 - Petron 
10/10/2025 - Lalamove; 15 boxes office to Sta. Maria Bulacan</t>
  </si>
  <si>
    <t>PO-0133</t>
  </si>
  <si>
    <t xml:space="preserve">Heavy Duty Push Cart </t>
  </si>
  <si>
    <t>PO-0134</t>
  </si>
  <si>
    <t>Gas Expenses</t>
  </si>
  <si>
    <t xml:space="preserve">Gas for Jenny </t>
  </si>
  <si>
    <t xml:space="preserve">RVT </t>
  </si>
  <si>
    <t>PO-0135</t>
  </si>
  <si>
    <t>PM Lopez</t>
  </si>
  <si>
    <t>250 boxes BK-NF-400
500 boxes BK-NF-150</t>
  </si>
  <si>
    <t>PO-0136</t>
  </si>
  <si>
    <t>PO-0137</t>
  </si>
  <si>
    <t>PO-0138</t>
  </si>
  <si>
    <t>PO-0139</t>
  </si>
  <si>
    <t>PO-0140</t>
  </si>
  <si>
    <t>PO-0141</t>
  </si>
  <si>
    <t>PO-0142</t>
  </si>
  <si>
    <t>PO-0143</t>
  </si>
  <si>
    <t>PO-0144</t>
  </si>
  <si>
    <t>PO-0145</t>
  </si>
  <si>
    <t>PO-0146</t>
  </si>
  <si>
    <t>PO-0147</t>
  </si>
  <si>
    <t>PO-0148</t>
  </si>
  <si>
    <t>PO-0149</t>
  </si>
  <si>
    <t>PO-0150</t>
  </si>
  <si>
    <t>PO-0151</t>
  </si>
  <si>
    <t>PO-0152</t>
  </si>
  <si>
    <t>PO-0153</t>
  </si>
  <si>
    <t>PO-0154</t>
  </si>
  <si>
    <t>PO-0155</t>
  </si>
  <si>
    <t>PO-0156</t>
  </si>
  <si>
    <t>PO-0157</t>
  </si>
  <si>
    <t>PO-0158</t>
  </si>
  <si>
    <t>PO-0159</t>
  </si>
  <si>
    <t>PO-0160</t>
  </si>
  <si>
    <t>po_number</t>
  </si>
  <si>
    <t>date</t>
  </si>
  <si>
    <t>product_id</t>
  </si>
  <si>
    <t>paid_to</t>
  </si>
  <si>
    <t>particular</t>
  </si>
  <si>
    <t>qty</t>
  </si>
  <si>
    <t>cost</t>
  </si>
  <si>
    <t>AMOUNT</t>
  </si>
  <si>
    <t>MOP/CHECK#</t>
  </si>
  <si>
    <t>STATUS</t>
  </si>
  <si>
    <t>REMARKS</t>
  </si>
  <si>
    <t>rfp_number</t>
  </si>
  <si>
    <t>BSI-HQ-EXPENSES</t>
  </si>
  <si>
    <t>RMB Budget</t>
  </si>
  <si>
    <t>PO_FILING</t>
  </si>
  <si>
    <t>RFP-0001</t>
  </si>
  <si>
    <t>BSI-MARKETING-SERVICE</t>
  </si>
  <si>
    <t>RFP-0002</t>
  </si>
  <si>
    <t>RFP-0003</t>
  </si>
  <si>
    <t>BSI-INVENTORY</t>
  </si>
  <si>
    <t>RFP-0004</t>
  </si>
  <si>
    <t>RFP-0005</t>
  </si>
  <si>
    <t>RFP-0006</t>
  </si>
  <si>
    <t>Alfe Capangpangan</t>
  </si>
  <si>
    <t>RFP-0007</t>
  </si>
  <si>
    <t>BSI-MARKETING-COLLATERALS</t>
  </si>
  <si>
    <t>RFP-0008</t>
  </si>
  <si>
    <t>Wild Flour Bakery+Cafe Corp.</t>
  </si>
  <si>
    <t>Card Payment</t>
  </si>
  <si>
    <t>RFP-0009</t>
  </si>
  <si>
    <t>RFP-0010</t>
  </si>
  <si>
    <t>RFP-0011</t>
  </si>
  <si>
    <t>BSI-PETTY CASH</t>
  </si>
  <si>
    <t>RFP-0012</t>
  </si>
  <si>
    <t>RFP-0013</t>
  </si>
  <si>
    <t>BSI-PAYROLL</t>
  </si>
  <si>
    <t>RFP-0014</t>
  </si>
  <si>
    <t>RFP-0015</t>
  </si>
  <si>
    <t>RFP-0016</t>
  </si>
  <si>
    <t>RFP-0017</t>
  </si>
  <si>
    <t>RFP-0018</t>
  </si>
  <si>
    <t>RFP-0019</t>
  </si>
  <si>
    <t>RFP-0020</t>
  </si>
  <si>
    <t>RFP-0021</t>
  </si>
  <si>
    <t>BSI-PAYROLL-SALES</t>
  </si>
  <si>
    <t>RFP-0022</t>
  </si>
  <si>
    <t>BSI-SALES-REVFUND</t>
  </si>
  <si>
    <t>RFP-0023</t>
  </si>
  <si>
    <t>RFP-0024</t>
  </si>
  <si>
    <t>Epson LQ-310 Printer</t>
  </si>
  <si>
    <t>RFP-0025</t>
  </si>
  <si>
    <t>BSI-PAYROLL-HQ</t>
  </si>
  <si>
    <t>RFP-0026</t>
  </si>
  <si>
    <t>5 Boxes to Cavite</t>
  </si>
  <si>
    <t>RFP-0027</t>
  </si>
  <si>
    <t>Jerry Delivery Services</t>
  </si>
  <si>
    <t>RFP-0028</t>
  </si>
  <si>
    <t>Payment for Employment Ads</t>
  </si>
  <si>
    <t>RFP-0029</t>
  </si>
  <si>
    <t>Office Materials</t>
  </si>
  <si>
    <t>RFP-0030</t>
  </si>
  <si>
    <t>RFP-0031</t>
  </si>
  <si>
    <t>RFP-0032</t>
  </si>
  <si>
    <t>Mega Motion Work Inc.</t>
  </si>
  <si>
    <t>Altis Car Repair</t>
  </si>
  <si>
    <t>RFP-0033</t>
  </si>
  <si>
    <t>RFP-0034</t>
  </si>
  <si>
    <t>5 Boxes to office to cavite</t>
  </si>
  <si>
    <t>RFP-0035</t>
  </si>
  <si>
    <t>Liquid Nail Smaller SKU</t>
  </si>
  <si>
    <t>RFP-0036</t>
  </si>
  <si>
    <t>MAGR TRUCKING</t>
  </si>
  <si>
    <t>9 Boxes to Nueva Vizcaya</t>
  </si>
  <si>
    <t>RFP-0037</t>
  </si>
  <si>
    <t>Delivery &amp; Tax</t>
  </si>
  <si>
    <t>RFP-0038</t>
  </si>
  <si>
    <t>*WRONG PO NUMBER</t>
  </si>
  <si>
    <t>RFP-0039</t>
  </si>
  <si>
    <t>RFP-0040</t>
  </si>
  <si>
    <t>*CANCEL; DOUBLE PO</t>
  </si>
  <si>
    <t>RFP-0041</t>
  </si>
  <si>
    <t>Benito Tan</t>
  </si>
  <si>
    <t>Bank Transfer</t>
  </si>
  <si>
    <t>*REFERENCE PO 0004</t>
  </si>
  <si>
    <t>RFP-0042</t>
  </si>
  <si>
    <t>BSI-GASEXPENSE</t>
  </si>
  <si>
    <t>Gas Allowance</t>
  </si>
  <si>
    <t>RFP-0043</t>
  </si>
  <si>
    <t>Cash Advance</t>
  </si>
  <si>
    <t>BK DarylTan</t>
  </si>
  <si>
    <t>*Balanced</t>
  </si>
  <si>
    <t>RFP-0044</t>
  </si>
  <si>
    <t>RFP-0045</t>
  </si>
  <si>
    <t>Mind Alliance Venture, Inc</t>
  </si>
  <si>
    <t>Company Phone and Sim</t>
  </si>
  <si>
    <t>RFP-0046</t>
  </si>
  <si>
    <t>BK Agent Daryl and Dorothy</t>
  </si>
  <si>
    <t>RFP-0047</t>
  </si>
  <si>
    <t>2 Boxes to office to Laspinas city</t>
  </si>
  <si>
    <t>RFP-0048</t>
  </si>
  <si>
    <t>Uniform,100pcs flyers,50pcs tarps., 1 box for sample 
Office to Cavite (BK Agent Jessica)</t>
  </si>
  <si>
    <t>RFP-0049</t>
  </si>
  <si>
    <t>1 Box to office to Valenzuela city</t>
  </si>
  <si>
    <t>RFP-0050</t>
  </si>
  <si>
    <t>3 Boxes to office to Paranaque City</t>
  </si>
  <si>
    <t>RFP-0051</t>
  </si>
  <si>
    <t>1 Box to office to Philippine Animal Medical Center</t>
  </si>
  <si>
    <t>RFP-0052</t>
  </si>
  <si>
    <t>4 Agents, (Daryl,Dorothy,Analiza,Jessica) 1 Driver (Jerry) 1 Admin ( Hazel)</t>
  </si>
  <si>
    <t>RFP-0053</t>
  </si>
  <si>
    <t>Mineral Water</t>
  </si>
  <si>
    <t>Water For Water Dispenser</t>
  </si>
  <si>
    <t>RFP-0054</t>
  </si>
  <si>
    <t>BSI-GAS-EXPENSES</t>
  </si>
  <si>
    <t>RFP-0055</t>
  </si>
  <si>
    <t>3 Boxes to office to Laspinas</t>
  </si>
  <si>
    <t>RFP-0056</t>
  </si>
  <si>
    <t>2 Boxes to office to Paranaque</t>
  </si>
  <si>
    <t>RFP-0057</t>
  </si>
  <si>
    <t>2 Boxes to office to Muntinlupa</t>
  </si>
  <si>
    <t>RFP-0058</t>
  </si>
  <si>
    <t>1 Box to office to Muntinlupa</t>
  </si>
  <si>
    <t>RFP-0059</t>
  </si>
  <si>
    <t>RFP-0060</t>
  </si>
  <si>
    <t>Daryl Tan, Dorothy Leyson, Analiza Rafon, Jessica Salahog</t>
  </si>
  <si>
    <t>RFP-0061</t>
  </si>
  <si>
    <t>BK Agent Jessica( Counters &amp; SI )</t>
  </si>
  <si>
    <t>RFP-0062</t>
  </si>
  <si>
    <t>Globe Load</t>
  </si>
  <si>
    <t>Load for Company Phone</t>
  </si>
  <si>
    <t>RFP-0063</t>
  </si>
  <si>
    <t>PO-0063</t>
  </si>
  <si>
    <t>RFP-0064</t>
  </si>
  <si>
    <t>RFP-0065</t>
  </si>
  <si>
    <t>BK Driver Payroll</t>
  </si>
  <si>
    <t>RFP-0066</t>
  </si>
  <si>
    <t>4 Agents, (Daryl,Dorothy,Analiza,Jessica) 1 Admin ( Hazel)</t>
  </si>
  <si>
    <t>RFP-0067</t>
  </si>
  <si>
    <t>GCash</t>
  </si>
  <si>
    <t>RFP-0068</t>
  </si>
  <si>
    <t>RFP-0069</t>
  </si>
  <si>
    <t>PO-0069</t>
  </si>
  <si>
    <t>Analiza Rafon, Dorothy Leyson, Jessica Salahog</t>
  </si>
  <si>
    <t>RFP-0070</t>
  </si>
  <si>
    <t>RFP-0071</t>
  </si>
  <si>
    <t>PO-0071</t>
  </si>
  <si>
    <t>National Book Store</t>
  </si>
  <si>
    <t>National Book Store , Sealant Gun</t>
  </si>
  <si>
    <t>RFP-0072</t>
  </si>
  <si>
    <t>RFP-0073</t>
  </si>
  <si>
    <t>PO-0073</t>
  </si>
  <si>
    <t>BK Petty Cash</t>
  </si>
  <si>
    <t>Lalamove, Water , Load for Company phone</t>
  </si>
  <si>
    <t>RFP-0074</t>
  </si>
  <si>
    <t>Daryl Tan</t>
  </si>
  <si>
    <t>RFP-0075</t>
  </si>
  <si>
    <t>RFP-0076</t>
  </si>
  <si>
    <t>RFP-0077</t>
  </si>
  <si>
    <t>BK GAS Allowance</t>
  </si>
  <si>
    <t>RFP-0078</t>
  </si>
  <si>
    <t>NCL Printing Ent.</t>
  </si>
  <si>
    <t>BK Flyers</t>
  </si>
  <si>
    <t>RFP-0079</t>
  </si>
  <si>
    <t>EC Petron Station</t>
  </si>
  <si>
    <t>BK Gas Allowance ( Field Dorothy, Tata)</t>
  </si>
  <si>
    <t>RFP-0080</t>
  </si>
  <si>
    <t>PO-0080</t>
  </si>
  <si>
    <t>Jairich Battery Center</t>
  </si>
  <si>
    <t>BK Driver ( JerrySalahog ) NSGO MEGA FORCE</t>
  </si>
  <si>
    <t>RFP-0081</t>
  </si>
  <si>
    <t>PO-0081</t>
  </si>
  <si>
    <t>RFP-0082</t>
  </si>
  <si>
    <t>PO-0082</t>
  </si>
  <si>
    <t>Trucking,lalamove,water,office supply, computer form</t>
  </si>
  <si>
    <t>RFP-0083</t>
  </si>
  <si>
    <t>Ms. Maria Regina Balagbis</t>
  </si>
  <si>
    <t>Online Pyament</t>
  </si>
  <si>
    <t>RFP-0084</t>
  </si>
  <si>
    <t>Retainers fee for june to august 2025</t>
  </si>
  <si>
    <t>RFP-0085</t>
  </si>
  <si>
    <t>Dorothy Leyson, Analiza Rafon, Jessica Coleta, John Cabiling</t>
  </si>
  <si>
    <t>BK Agents ( Dorothy, Analiza,Jessica,John)</t>
  </si>
  <si>
    <t>RFP-0086</t>
  </si>
  <si>
    <t>Grab Food</t>
  </si>
  <si>
    <t>BK Office Meeting Food (Aug. 30, 2025)</t>
  </si>
  <si>
    <t>RFP-0087</t>
  </si>
  <si>
    <t>Mega Motion</t>
  </si>
  <si>
    <t>Car Repair</t>
  </si>
  <si>
    <t>RFP-0088</t>
  </si>
  <si>
    <t>Maxen Print</t>
  </si>
  <si>
    <t>Printing of Calling Cards</t>
  </si>
  <si>
    <t>RFP-0089</t>
  </si>
  <si>
    <t>BK Driver Jerry Salahog</t>
  </si>
  <si>
    <t>RFP-0090</t>
  </si>
  <si>
    <t>PO-0090</t>
  </si>
  <si>
    <t>Lalamove, Nlex,Gas Rush ID , Move it,</t>
  </si>
  <si>
    <t>RFP-0091</t>
  </si>
  <si>
    <t>PO-0091</t>
  </si>
  <si>
    <t>Bureau of Internal Revenue</t>
  </si>
  <si>
    <t>Income Taxes with held</t>
  </si>
  <si>
    <t>RFP-0092</t>
  </si>
  <si>
    <t>PO-0092</t>
  </si>
  <si>
    <t>Daily Overland Freight Forwarder</t>
  </si>
  <si>
    <t>40 boxes,(BK Agent John) 1box (client) 3boxes (client) 5boxes (client) 5 boxes (client)</t>
  </si>
  <si>
    <t>RFP-0093</t>
  </si>
  <si>
    <t>PO-0093</t>
  </si>
  <si>
    <t>Requesat Additional 5,000.00 for petty cash</t>
  </si>
  <si>
    <t>RFP-0094</t>
  </si>
  <si>
    <t>PO-0094</t>
  </si>
  <si>
    <t>(BK Agent 3 )Analiza Rafon, Dorothy, Jessica, (Admin 1 )Hazel</t>
  </si>
  <si>
    <t>RFP-0095</t>
  </si>
  <si>
    <t>PO-0095</t>
  </si>
  <si>
    <t>RFP-0096</t>
  </si>
  <si>
    <t>Castiels Enterprises</t>
  </si>
  <si>
    <t>BK T-shirt 300 pcs , BK Polo Shirt 30pcs</t>
  </si>
  <si>
    <t>RFP-0097</t>
  </si>
  <si>
    <t>Albert Ortiz, Jenny Hilot, Jerry Salahog</t>
  </si>
  <si>
    <t>RFP-0098</t>
  </si>
  <si>
    <t>Suzuki Multicab Repair Plane no. YJS-870</t>
  </si>
  <si>
    <t>RFP-0099</t>
  </si>
  <si>
    <t>RFP-0100</t>
  </si>
  <si>
    <t>Mr. Jerry Salahog</t>
  </si>
  <si>
    <t>RFP-0101</t>
  </si>
  <si>
    <t>PO-0101</t>
  </si>
  <si>
    <t>Mr. Chantal D. Casta</t>
  </si>
  <si>
    <t>Billing : 2 Packing Design * Sticker * box , 1- T-shirt Design</t>
  </si>
  <si>
    <t>RFP-0102</t>
  </si>
  <si>
    <t>PO-0102</t>
  </si>
  <si>
    <t>BSI-MARKETING-PROMO</t>
  </si>
  <si>
    <t>Fair N Square Emporium, Inc.</t>
  </si>
  <si>
    <t>Asahi EK-017 , Golden Eagle Standfan GSF16, Mikat Rice Cooker mKRC180G</t>
  </si>
  <si>
    <t>RFP-0103</t>
  </si>
  <si>
    <t>PO-0103</t>
  </si>
  <si>
    <t>RFP-0104</t>
  </si>
  <si>
    <t>Ms. Jenny Hilot</t>
  </si>
  <si>
    <t>RFP-0105</t>
  </si>
  <si>
    <t>PO-0105</t>
  </si>
  <si>
    <t>( Plate no. YJS-870 ) ( Suzuki Multicab Repair )</t>
  </si>
  <si>
    <t>RFP-0106</t>
  </si>
  <si>
    <t>RFP-0107</t>
  </si>
  <si>
    <t>Mr. Jerry Salahog, Jenny Hilot</t>
  </si>
  <si>
    <t>Gas Allowance Bk Driver Jenny and Jerry , Water</t>
  </si>
  <si>
    <t>RFP-0108</t>
  </si>
  <si>
    <t>(BK Agent 3 )Analiza Rafon, Dorothy, Jessica, John, (Collector Albert) (Admin 1 )Hazel4</t>
  </si>
  <si>
    <t>RFP-0109</t>
  </si>
  <si>
    <t>RFP-0110</t>
  </si>
  <si>
    <t>Infinix Smart Phone 5 Pcs Black Silver</t>
  </si>
  <si>
    <t>RFP-0111</t>
  </si>
  <si>
    <t>RFP-0112</t>
  </si>
  <si>
    <t>RFP-0113</t>
  </si>
  <si>
    <t>Ms. Maria Regina P. Balagbis</t>
  </si>
  <si>
    <t>Retainers Fee for month of September</t>
  </si>
  <si>
    <t>RFP-0114</t>
  </si>
  <si>
    <t>PO-0114</t>
  </si>
  <si>
    <t>Mr. Edward Templo</t>
  </si>
  <si>
    <t>RFP-0115</t>
  </si>
  <si>
    <t>RFP-0116</t>
  </si>
  <si>
    <t>BK Payroll (Jenny) (4days) (Sept.29-Oct.04,2025) (695per day) plus 100 per day for allowance</t>
  </si>
  <si>
    <t>RFP-0117</t>
  </si>
  <si>
    <t>Mr. Jerry salahog</t>
  </si>
  <si>
    <t>RFP-0118</t>
  </si>
  <si>
    <t>Lalamove , HI-Top, Agua de Gandia , Gas Allowance , Hardware</t>
  </si>
  <si>
    <t>RFP-0119</t>
  </si>
  <si>
    <t>Electrician</t>
  </si>
  <si>
    <t>Electrical Labor</t>
  </si>
  <si>
    <t>RFP-0120</t>
  </si>
  <si>
    <t>BK Lunch</t>
  </si>
  <si>
    <t>RFP-0121</t>
  </si>
  <si>
    <t>RFP-0122</t>
  </si>
  <si>
    <t># 12 (3.5)mm riyo 1 box, 50m flexiblepose 1/2 , blade, biddet posiecion , angelvalve (3way)</t>
  </si>
  <si>
    <t>RFP-0123</t>
  </si>
  <si>
    <t>Aircon Dismantling</t>
  </si>
  <si>
    <t>RFP-0124</t>
  </si>
  <si>
    <t>Ms. Jincel Ecleo</t>
  </si>
  <si>
    <t>BK Payroll (Jincel) (sept. 11-19,2025) (8days) (695 per day)</t>
  </si>
  <si>
    <t>RFP-0125</t>
  </si>
  <si>
    <t>09/26/2025-10/10/2025 BK Payroll
Dorothy Leyson - 9,166.63
Analiza Rafon - 7,297.50
Jessica Colleto - 7,645.00
John Cabiling - 8,340.00
Jenny Hilot - 3,180.00
Albert Ortiz - 7,645.00
Albert Ortiz (Allowance) - 2,000.00</t>
  </si>
  <si>
    <t>RFP-0126</t>
  </si>
  <si>
    <t>Jomar - 1,625
Ace Santos - 1,125
Antonio Cabayag - 1,350
Elizar Panoringan - 1,625</t>
  </si>
  <si>
    <t>CHECK_CREATION</t>
  </si>
  <si>
    <t>*WRONG DETAILS OF PO.</t>
  </si>
  <si>
    <t>RFP-0127</t>
  </si>
  <si>
    <t>RFP-0128</t>
  </si>
  <si>
    <t>Infinix Smart 10</t>
  </si>
  <si>
    <t>RFP-0129</t>
  </si>
  <si>
    <t>CANCELLED PO</t>
  </si>
  <si>
    <t>RFP-0130</t>
  </si>
  <si>
    <t>RFP-0131</t>
  </si>
  <si>
    <t>10/11/2025-10/25/2025 BK Payroll
Dorothy Leyson - 10,833.29 
Analiza Rafon - 8,340.00
Jessica Colleto - 7,645.00
John Cabiling - 9,035.00
Jenny Hilot - 4,770.00
Albert Ortiz - 8,340.00
Albert Ortiz (Allowance) - 2,000.00</t>
  </si>
  <si>
    <t>RFP-0132</t>
  </si>
  <si>
    <t>RFP-0133</t>
  </si>
  <si>
    <t>Facebook Market Place</t>
  </si>
  <si>
    <t>Heavy Duty Push Cart</t>
  </si>
  <si>
    <t>RFP-0134</t>
  </si>
  <si>
    <t>Gas for Jenny</t>
  </si>
  <si>
    <t>RFP-0135</t>
  </si>
  <si>
    <t>RFP-0136</t>
  </si>
  <si>
    <t>RFP-0137</t>
  </si>
  <si>
    <t>SALES PAYROLL FOR THE MONTH OF (OCT. 25 NOV. 10, 2025)
DOROTHY LEYSON, ALBERT ORTIZ, NORMEL SEVILLA, LESTER DAYUDA, NAMFREL UY, JENNY HILOT, ANALIZA RAFON, BERNADETTE PAZ</t>
  </si>
  <si>
    <t>RFP-0138</t>
  </si>
  <si>
    <t>PETRON/LALAMOVE</t>
  </si>
  <si>
    <t>ALBERT GAS (NOVEMBER 11, 2025 TO RIZAL), 
DELIVERY OF DR#779 &amp; # 778, DELIVERY OF DR# 780, 
DELIVERY OF DR# 383, DELIVERY OF DR#799, 
DELIVERY OF NORMEL STOCKS</t>
  </si>
  <si>
    <t>RFP-0139</t>
  </si>
  <si>
    <t>AUDRIMAN GENERAL MERCHANDISE</t>
  </si>
  <si>
    <t>PROMOS - COBY 32 TV's</t>
  </si>
  <si>
    <t>RFP-0140</t>
  </si>
  <si>
    <t>PETRON / MCDONALDS</t>
  </si>
  <si>
    <t>ALBERT (GAS NOVEMBER 13, 2025 TO IMUS CAVITE),
MCDONALDS Q.AVE. BANAWE (FOOD FOR DR# 405)</t>
  </si>
  <si>
    <t>RFP-0141</t>
  </si>
  <si>
    <t>CASTIELS ENTERPRISES</t>
  </si>
  <si>
    <t>(200PCS. BOND KING SHIRTS) 10,000 DOWNPAYMENT</t>
  </si>
  <si>
    <t>RFP-0142</t>
  </si>
  <si>
    <t>17/11/2025</t>
  </si>
  <si>
    <t>FSS REALTY CORPORATION</t>
  </si>
  <si>
    <t>MERALCO (BILLING PERIOD 11 OCT. 2025 TO 10 NOV. 2025)
FSS REALTY CORP. (BD INTEREST REFUND)</t>
  </si>
  <si>
    <t>CHECK_SIGNING</t>
  </si>
  <si>
    <t>RFP-0143</t>
  </si>
  <si>
    <t>RFP-0144</t>
  </si>
  <si>
    <t>LALAMOVE</t>
  </si>
  <si>
    <t>LALAMOVE FOR MOCK-UP MATERIALS (MANDA TO FSS1)</t>
  </si>
  <si>
    <t>RFP-0145</t>
  </si>
  <si>
    <t>PETRON</t>
  </si>
  <si>
    <t>JENNY HILOT GAS EXPENSES FOR THE WEEK</t>
  </si>
  <si>
    <t>RFP-0146</t>
  </si>
  <si>
    <t>18/11/2025</t>
  </si>
  <si>
    <t>BSI-SALES</t>
  </si>
  <si>
    <t>BSI-SALES- REVOLVING FUNDS</t>
  </si>
  <si>
    <t>SALES REVOLVING FUNDS FOR THE MONTH OF NOVEMBER 2025
DOROTHY LEYSON, BERNADETTE PAZ, JOHN CABILING, NORMEL SEVILLA, LESTER DAYUDA, ANALYSA RAFON, NIKKO ANDRES</t>
  </si>
  <si>
    <t>RFP-0147</t>
  </si>
  <si>
    <t>ONE YEAR CONTRACT (NOVEMBER 1, 2025 - OCTOBER 1, 2026)
SECURITY DEPOSIT (THREE (3) MONTHS), RENTAL ADVANCE</t>
  </si>
  <si>
    <t>RFP-0148</t>
  </si>
  <si>
    <t>20/11/2025</t>
  </si>
  <si>
    <t>BEA CHAN PAYROLL FOR THE MONTH OF APRIL-JUNE, 2025 (3 MONTHS)</t>
  </si>
  <si>
    <t>RFP-0149</t>
  </si>
  <si>
    <t>PM LOPEZ FOREX CORP.</t>
  </si>
  <si>
    <t>JULY 04, 2025 - DOWNPAYMENT
AUGUST 12, 2025 - DOWNPAYMENT
AUGUST 29, 2025 - DOWNPAYMENT
OCTOBER 10, 2025 - DOWNPAYMENT</t>
  </si>
  <si>
    <t>RFP-0150</t>
  </si>
  <si>
    <t>24/11/2025</t>
  </si>
  <si>
    <t>NORMEL SEVILLA EXPENSE REPORT (REVOLVING FUNDS)
TOLL (11-7-2025), TOLL (11-13-2025), TOLL (11-18-2025), GAS (11-4-2025), GAS (11-11-2025), GAS (11-17-2025), MEALS NOV. 3-8, 2025 (150x6DAYS), MEALS NOV. 11-15, 2025 (150x5DAYS), MEALS NOV. 17-22, 2025 (150x6DAYS), MEALS - MEETING W/ TOPLEX SALES 11-21-2025</t>
  </si>
  <si>
    <t>RFP-0151</t>
  </si>
  <si>
    <t>NCL PRINTING ENT.</t>
  </si>
  <si>
    <t>BONDKING A5 FLYERS C2S 80 FRONT AND BACK (2000PCS.)
200- REJECTS</t>
  </si>
  <si>
    <t>RFP-0152</t>
  </si>
  <si>
    <t>MRPB BOOKKEEPING SEREVICES</t>
  </si>
  <si>
    <t>ACCOUNTING REPRESENTATION
RETAINERS FEE FOR THE MONTH OF OCTOBER 2025, RETAINERS FEE FOR THE MONTH OF NOVEMBER 2025</t>
  </si>
  <si>
    <t>RFP-0153</t>
  </si>
  <si>
    <t>WATER BILL (NOVEMBER 19, 2025)</t>
  </si>
  <si>
    <t>RFP-0154</t>
  </si>
  <si>
    <t>POOL ZONE</t>
  </si>
  <si>
    <t>CHRISTMAS PARTY VENUE (POOL ZONE - DOWNPAYMENT)</t>
  </si>
  <si>
    <t>RFP-0155</t>
  </si>
  <si>
    <t>JOHN CABILING PAYROLL FOR THE MONTH OF (OCT. 25 - NOV. 10, 2025)</t>
  </si>
  <si>
    <t>RFP-0156</t>
  </si>
  <si>
    <t>RFP-0157</t>
  </si>
  <si>
    <t>25/11/2025</t>
  </si>
  <si>
    <t>FAIR N SQUARE EMPORIUM, INC.</t>
  </si>
  <si>
    <t>FUJIDENZO MICROWAVE OVEN 20L MANUAL
DOWELL WASHING MACHINE 6.2KG</t>
  </si>
  <si>
    <t>RFP-0158</t>
  </si>
  <si>
    <t>RFP-0159</t>
  </si>
  <si>
    <t>PETRON / GLOBAL OIL HAUZ / SHELL</t>
  </si>
  <si>
    <t>JENNY HILOT GAS EXPENSES FOR THE WEEK 
(11/20/2025, 11/21/2025, 11/25/2025, 11/26/2025, 11/27/2025)
RONNIE GAS EXPENSES FOR THE WEEK (11/28/2025)</t>
  </si>
  <si>
    <t>RFP-0160</t>
  </si>
  <si>
    <t>ALBERT ORTIZ PAYROLL (NOVEMBER 11-25, 2025) (12 DAYS)
NAMFREL UY PAYROLL (NOVEMBER 11-25, 2025) (13 DAYS)
(LESS) NAMFREL UY CELLPHONE PAYMENT</t>
  </si>
  <si>
    <t>RFP-0161</t>
  </si>
  <si>
    <t>PO-0161</t>
  </si>
  <si>
    <t>DELIVERY OF DR# 863 TO INDANG CAVITE (DECEMBER 3, 2025)</t>
  </si>
  <si>
    <t>RFP-0162</t>
  </si>
  <si>
    <t>PO-0162</t>
  </si>
  <si>
    <t>BSI-SALES- REPRESENTATION</t>
  </si>
  <si>
    <t>(JGG) MAPE REPRESENTATION - PAMPANGA (12-03-2025)
(JGG) TOPLEX REPRESENTATION (12-03-2025)</t>
  </si>
  <si>
    <t>RFP-0163</t>
  </si>
  <si>
    <t>PO-0163</t>
  </si>
  <si>
    <t>AGUA DE GANDIA</t>
  </si>
  <si>
    <t>(11-12-25) PURIFIED DRINKING WATER (ROUND)
(11-24-25) PURIFIED DRINKING WATER (ROUND)
(12-04-25) PURIFIED DRINKING WATER (ROUND)</t>
  </si>
  <si>
    <t>RFP-0164</t>
  </si>
  <si>
    <t>PO-0164</t>
  </si>
  <si>
    <t>(12-3-25) AGR (BARTLE BEYL, INC. - PAMPANGA)</t>
  </si>
  <si>
    <t>RFP-0165</t>
  </si>
  <si>
    <t>PO-0165</t>
  </si>
  <si>
    <t>PETRON / JETTI / CALTEX</t>
  </si>
  <si>
    <t>JENNY HILOT GAS EXPENSES (12-04-25)
JENNY HILOT GAS EXPENSES (12-05-25)
GAS FOR DELIVERY OF TOPLEX MAPE (12-05-25) REIMBURSE TO JGG</t>
  </si>
  <si>
    <t>RFP-0166</t>
  </si>
  <si>
    <t>PO-0166</t>
  </si>
  <si>
    <t>NATIONAL BOOK STORE</t>
  </si>
  <si>
    <t>(12-6-25) A4 BONDPAPER - OFFICE SUPPLIES</t>
  </si>
  <si>
    <t>RFP-0167</t>
  </si>
  <si>
    <t>PO-0167</t>
  </si>
  <si>
    <t>NORMEL SEVILLA EXPENSE REPORT (NOVEMBER 24-29, 2025)
(11-27-25) RFID LOAD
(11-24-25) MARK GREGOR GASOLINE STATION
(NOVEMBER 24-29, 2025) MEALS</t>
  </si>
  <si>
    <t>RFP-0168</t>
  </si>
  <si>
    <t>PO-0168</t>
  </si>
  <si>
    <t>SALES REVOLVING FUNDS FOR THE MONTH OF DECEMBER 2025
DOROTHY LEYSON, BERNADETTE PAZ, JOHN CABILING, NORMEL SEVILLA, LESTER DAYUDA, NIKKO ANDRES, ANALYSA RAFON</t>
  </si>
  <si>
    <t>RFP-0169</t>
  </si>
  <si>
    <t>PO-0169</t>
  </si>
  <si>
    <t>PROMOS - INFINIX SMART 10 (64GB)</t>
  </si>
  <si>
    <t>BDO 3224- 0001286246</t>
  </si>
  <si>
    <t>RFP-0170</t>
  </si>
  <si>
    <t>PO-0170</t>
  </si>
  <si>
    <t>GOLDEN EAGLE - STAND FAN 
DOWELL - WASHING MACHINE 6.2KG
FUJIDENZO - MICROWAVE OVEN - BLACK 20L MANUAL</t>
  </si>
  <si>
    <t>BDO 3224- 0001286245</t>
  </si>
  <si>
    <t>RFP-0171</t>
  </si>
  <si>
    <t>PO-0171</t>
  </si>
  <si>
    <t>FACEBOOK MARKET PLACE</t>
  </si>
  <si>
    <t>PROMOS - COBY 32" C - SMART TV's</t>
  </si>
  <si>
    <t>RFP-0172</t>
  </si>
  <si>
    <t>PO-0172</t>
  </si>
  <si>
    <t>MAXEN PRINT</t>
  </si>
  <si>
    <t>(12-5-25) SALES CALLING CARDS (4 BOXES)
(NORMEL SEVILLA, LESTER DADUYA, BERNADETTE PAZ, JOHN CABILING)</t>
  </si>
  <si>
    <t>RFP-0173</t>
  </si>
  <si>
    <t>PO-0173</t>
  </si>
  <si>
    <t>(12-4-25) DRL (MEGAMELT BAKESHOP) 
(12-4-25) DRL (E.N. ALVAREZ CASSAVA CAKE)</t>
  </si>
  <si>
    <t>RFP-0174</t>
  </si>
  <si>
    <t>PO-0174</t>
  </si>
  <si>
    <t>ALFOX PRINTING SERVICES</t>
  </si>
  <si>
    <t>CARBONLESS FORMS 5.5 in X 8in
CARBONLESS FORMS 4 in X 5in
(PULL OUT FORMS AND ORDER FORMS)</t>
  </si>
  <si>
    <t>BDO 3224- 0001286247</t>
  </si>
  <si>
    <t>RFP-0175</t>
  </si>
  <si>
    <t>PO-0175</t>
  </si>
  <si>
    <t>BEA CHAN PAYROLL FOR THE MONTH OF JULY - DECEMBER 2025 (6 MONTHS)</t>
  </si>
  <si>
    <t>RFP-0176</t>
  </si>
  <si>
    <t>PO-0176</t>
  </si>
  <si>
    <t>RONNIE ONG PAYROLL (NOV. 27 - DEC. 10, 2025) (11 DAYS)
JENNY HILOT PAYROLL (NOV. 26 - DEC. 10, 2025) (12 DAYS)
ALBERT ORTIZ PAYROLL (NOV. 26 - DEC. 10, 2025) (12 DAYS)
NAMFREL UY PAYROLL (NOV. 26 - DEC. 10, 2025) (12 DAYS)
(LESS) NAMFREL UY CELLPHONE PAYMENT
LAWRENCE CORTES ( (NOV. 26 - DEC. 10, 2025) (5 DAYS)</t>
  </si>
  <si>
    <t>RFP-0177</t>
  </si>
  <si>
    <t>PO-0177</t>
  </si>
  <si>
    <t>JOHN CABILING (NOV. 26 - DEC. 10, 2025) (10 DAYS)
DOROTHY LEYSON (NOV. 26 - DEC. 10, 2025) (12 DAYS)
LESTER DAYUDA (NOV. 26 - DEC. 10, 2025) (12 DAYS)
ANALIZA RAFON (NOV. 26 - DEC. 10, 2025) (12 DAYS)
NIKKO ANDRES (NOV. 26 - DEC. 10, 2025) (12 DAYS)
BERNADETTE PAZ (NOV. 26 - DEC. 10, 2025) (12 DAYS)
NORMEL SEVILLA (NOV. 26 - DEC. 10, 2025) (12 DAYS)
MARY JANE AVELINO (DEC. 1- 10, 2025) (8 DAYS)</t>
  </si>
  <si>
    <t>RFP-0178</t>
  </si>
  <si>
    <t>RFP-0179</t>
  </si>
  <si>
    <t>PO-0178</t>
  </si>
  <si>
    <t>BENITO TAN</t>
  </si>
  <si>
    <t>SHIPPING FOR PO 2 
250 BOXES = BK-NF-400
500 BOXES = BK-NF-150</t>
  </si>
  <si>
    <t>BDO 3224- 0001286248</t>
  </si>
  <si>
    <t>RFP-0180</t>
  </si>
  <si>
    <t>PO-0179</t>
  </si>
  <si>
    <t>RFP-0181</t>
  </si>
  <si>
    <t>PO-0180</t>
  </si>
  <si>
    <t>PETRON
GLOBAL OIL HAUZ
SHELL</t>
  </si>
  <si>
    <t>JENNY GAS EXPENSES FOR THE WEEK
TUESDAY, DECEMBER 9, 2025
WEDNESDAY, DECEMBER 10, 2025
THURSDAY, DECEMBER 11, 2025
SATURDAY, DECEMBER 13, 2025
RONNIE GAS EXPENSES FOR THE WEEK
THURSDAY, DECEMBER 11, 2025</t>
  </si>
  <si>
    <t>BDO 3224- 0001286249</t>
  </si>
  <si>
    <t>RFP-0182</t>
  </si>
  <si>
    <t>PO-0181</t>
  </si>
  <si>
    <t>JOHN CABILING
DOROTHY LEYSON
LESTER DADUYA
ANALIZA RAFON
NIKKO ANDRES
BERNADETTE PAZ
NORMEL SEVILLA</t>
  </si>
  <si>
    <t>JOHN CABILING (NOV.26 - DEC.10) (13 DAYS)
DOROTHY LEYSON (NOV.26 - DEC.10) (12 DAYS)
LESTER DADUYA (NOV.26 - DEC.10) (12 DAYS)
ANALIZA RAFON (NOV.26 - DEC.10) (12 DAYS)
NIKKO ANDRES (NOV.26 - DEC.10) (12 DAYS)
BERNADETTE PAZ (NOV.26 - DEC.10) (12 DAYS)
NORMEL SEVILLA (NOV.26 - DEC.10) (12 DAYS)</t>
  </si>
  <si>
    <t>BDO 3224- 0001286250</t>
  </si>
  <si>
    <t>RFP-0183</t>
  </si>
  <si>
    <t xml:space="preserve">DarylTAN </t>
  </si>
  <si>
    <t xml:space="preserve">(Bulacan </t>
  </si>
  <si>
    <t>CLIENT NAME</t>
  </si>
  <si>
    <t>ADDRESS</t>
  </si>
  <si>
    <t>CONTACT NUMBER</t>
  </si>
  <si>
    <t>TIER</t>
  </si>
  <si>
    <t xml:space="preserve">HARDWORKS CONSTRUCTION MATERIAL </t>
  </si>
  <si>
    <t xml:space="preserve">DRT HIWAY BLK LOT 5 STA. BARBARA BAILUAG BULACAN CITY </t>
  </si>
  <si>
    <t>0995-450-4906</t>
  </si>
  <si>
    <t xml:space="preserve">MANATAL MPC HARDWARE </t>
  </si>
  <si>
    <t xml:space="preserve">PROVINCIAL RD. BUNSURAN 2ND, PANDI BULACAN CITY </t>
  </si>
  <si>
    <t>0925-829-2005</t>
  </si>
  <si>
    <t xml:space="preserve">SZAMANTA ENTERPRISE CO. </t>
  </si>
  <si>
    <t xml:space="preserve">3A-1 QUIRINO HIWAY PASONG PUTIK, NOVALICHES QC. </t>
  </si>
  <si>
    <t>0917-873-9016</t>
  </si>
  <si>
    <t xml:space="preserve">SKY COLOURS HARDWARE TRADING CORP. </t>
  </si>
  <si>
    <t xml:space="preserve">NATIONAL RD. ROXAS SOLANO, NUEVA VIZCAYA </t>
  </si>
  <si>
    <t>0977-429-7368</t>
  </si>
  <si>
    <t xml:space="preserve">RJ TILES TRADING </t>
  </si>
  <si>
    <t xml:space="preserve">015 BOLIVAR ST. PHASE 8 NORTH FAIRVIEW QC. </t>
  </si>
  <si>
    <t>0917-456-9828</t>
  </si>
  <si>
    <t xml:space="preserve">T &amp; A HARDWARE </t>
  </si>
  <si>
    <t xml:space="preserve">SAN GABRIEL, STA MARIA BULACAN </t>
  </si>
  <si>
    <t>0961-788-6980</t>
  </si>
  <si>
    <t xml:space="preserve">GL PAINT CENTER </t>
  </si>
  <si>
    <t xml:space="preserve">LOT 26 BLK 17 ASSUMPTION,CITY OF SAN JOSE DELMONTE BULACAN </t>
  </si>
  <si>
    <t>0956-510-9948</t>
  </si>
  <si>
    <t xml:space="preserve">SAND ART PAINT CENTER </t>
  </si>
  <si>
    <t xml:space="preserve">01 JACINTO ST. BRGY. CANALABE MALOLOS BULACAN CITY </t>
  </si>
  <si>
    <t>0917-712-9055</t>
  </si>
  <si>
    <t xml:space="preserve">CMB HARDWARE </t>
  </si>
  <si>
    <t xml:space="preserve">VILLARICA ROAD SANGKA PRENZA 1 MARILAO, BULACAN </t>
  </si>
  <si>
    <t xml:space="preserve">ONIPSE TRADING </t>
  </si>
  <si>
    <t xml:space="preserve">AFP/PNP VILLAGE BRGY. BATIA BOCAUE, BULACAN </t>
  </si>
  <si>
    <t>0932-422-0048</t>
  </si>
  <si>
    <t xml:space="preserve">MELDITH GEN. MERCHANDISE </t>
  </si>
  <si>
    <t xml:space="preserve">BRGY. BATIA BOCAUE, BULACAN </t>
  </si>
  <si>
    <t>0917-344-6105</t>
  </si>
  <si>
    <t xml:space="preserve">RS TIBURCIO TRADING </t>
  </si>
  <si>
    <t xml:space="preserve">BUTOIS PANDI RD. CUPANG PANDI BULACAN </t>
  </si>
  <si>
    <t>0922-810-4337</t>
  </si>
  <si>
    <t xml:space="preserve">VMC PAINT CENTER </t>
  </si>
  <si>
    <t xml:space="preserve">CCDS BLG TECSON ST. SAN VICENTE SAN MIGUEL BULACAN </t>
  </si>
  <si>
    <t>0945-192-2403</t>
  </si>
  <si>
    <t xml:space="preserve">VENERACION HARDWARE </t>
  </si>
  <si>
    <t xml:space="preserve">TAMBUBONG, SAN RAFAEL BULACAN </t>
  </si>
  <si>
    <t>0955-103-8609</t>
  </si>
  <si>
    <t xml:space="preserve">AJAM HARDWARE </t>
  </si>
  <si>
    <t xml:space="preserve">VILLA GRANDE SUBD. BRGY. LABAKIN MARILAO BULACAN </t>
  </si>
  <si>
    <t>0966-341-8334</t>
  </si>
  <si>
    <t xml:space="preserve">TOTO PAINT &amp; FIBERGLASS CENTER </t>
  </si>
  <si>
    <t xml:space="preserve">BRGY. CANARUAN, CAUAYAN ISABELA CITY </t>
  </si>
  <si>
    <t>0966-419-0848</t>
  </si>
  <si>
    <t xml:space="preserve">LIZETTE HARDWARE </t>
  </si>
  <si>
    <t xml:space="preserve">PINAOD, SAN 2 DEFONSO, BULACAN </t>
  </si>
  <si>
    <t>0975-071-0060</t>
  </si>
  <si>
    <t xml:space="preserve">HILLSIDE HARDWARE </t>
  </si>
  <si>
    <t xml:space="preserve">MAHARLIKA HIWAY HOMESTEAD BAMBANG,NUEVA VIZCAYA </t>
  </si>
  <si>
    <t>0945-3 81-9770</t>
  </si>
  <si>
    <t xml:space="preserve">MIRACLE ENTERPRISE </t>
  </si>
  <si>
    <t xml:space="preserve">MAHARLIKA HIWAY NAGCUARTELAN, ARTAO NUEVA VIZCAYA </t>
  </si>
  <si>
    <t>0968-245-8245</t>
  </si>
  <si>
    <t xml:space="preserve">TJS HARDWARE </t>
  </si>
  <si>
    <t xml:space="preserve">NATIONAL SANTIAGO </t>
  </si>
  <si>
    <t>0999-173-7248</t>
  </si>
  <si>
    <t xml:space="preserve">CDK LUMBER &amp; HARDWARE </t>
  </si>
  <si>
    <t xml:space="preserve">STA.CRUZ, STA. MARIA, BULACAN </t>
  </si>
  <si>
    <t xml:space="preserve">0917-882-981 </t>
  </si>
  <si>
    <t xml:space="preserve">BY PASS RD. BAGBAGUIN STA. MARIA </t>
  </si>
  <si>
    <t xml:space="preserve">RJ AVANCENA ENTERPRISE </t>
  </si>
  <si>
    <t xml:space="preserve">DR. ROQUERO AVE. BAGONG BUHAY CSJDM, BULACAN </t>
  </si>
  <si>
    <t xml:space="preserve">HOMEFIX TILE STORE </t>
  </si>
  <si>
    <t xml:space="preserve">QUIRINO HIWAY STO. CRISTO, CSJDM. BULACAN </t>
  </si>
  <si>
    <t xml:space="preserve">TEVES HARDWAE </t>
  </si>
  <si>
    <t xml:space="preserve">HERITAGE VILLAGE LOMA DE GATO MARILAO, BULACAN </t>
  </si>
  <si>
    <t>0915-701-7723</t>
  </si>
  <si>
    <t xml:space="preserve">RICHARD O. MARIACA CONSTRUCTION SUPPLY </t>
  </si>
  <si>
    <t xml:space="preserve">1462 G. TUAZON ST. SAMPALOC MANILA </t>
  </si>
  <si>
    <t>8-244-3870</t>
  </si>
  <si>
    <t xml:space="preserve">SAMPALOC LUMBER HARDWARE </t>
  </si>
  <si>
    <t xml:space="preserve">1316-F JHOCSON ST. BRGY. 407 SAMPALOC MANILA </t>
  </si>
  <si>
    <t>0945-527-1655</t>
  </si>
  <si>
    <t xml:space="preserve">LIFETIME HARDAWRE </t>
  </si>
  <si>
    <t xml:space="preserve">3425-27 RAMON MAGSAYSAY BLVD. STA. MESA MANILA </t>
  </si>
  <si>
    <t>0908-482-1797</t>
  </si>
  <si>
    <t xml:space="preserve">1ST VERGARA HARDWARE </t>
  </si>
  <si>
    <t xml:space="preserve">2322 TEJERON ST. ANA MANILA </t>
  </si>
  <si>
    <t>0977-7290-416</t>
  </si>
  <si>
    <t xml:space="preserve">BLUE MOON ENTERPRISE </t>
  </si>
  <si>
    <t xml:space="preserve">PASO DEBLAS ROAD VALENZUELA CITY </t>
  </si>
  <si>
    <t>0925-538-2736</t>
  </si>
  <si>
    <t>TIAGO AT JUANING GEN. MERCH.</t>
  </si>
  <si>
    <t xml:space="preserve">152 GEN. KALENTONG MANDALUYONG CITY </t>
  </si>
  <si>
    <t>8-364-9966</t>
  </si>
  <si>
    <t xml:space="preserve">LADJ GENERAL MERCHANDISE </t>
  </si>
  <si>
    <t xml:space="preserve">1000 LOREX AVE. COR. GEN. T DELEON VALENZUELA </t>
  </si>
  <si>
    <t>0968-749-2164</t>
  </si>
  <si>
    <t>PF 19 HARDWARE</t>
  </si>
  <si>
    <t xml:space="preserve">10 SHAW BLVD BRGY. SAN ANTONIO PASIG CITY </t>
  </si>
  <si>
    <t>0917-998-6338</t>
  </si>
  <si>
    <t xml:space="preserve">FIVE J HARDWARE </t>
  </si>
  <si>
    <t xml:space="preserve">600 PASIG SHAW BRGY. KAPITOLYO PASIG CITY </t>
  </si>
  <si>
    <t>0917-727-8616</t>
  </si>
  <si>
    <t xml:space="preserve">TGF HARDWARE </t>
  </si>
  <si>
    <t xml:space="preserve">5018 GEN. T DE LEON ROAD HEN. T. DEE LEON VALENZUELA CITY </t>
  </si>
  <si>
    <t xml:space="preserve">0943-480-8057 </t>
  </si>
  <si>
    <t xml:space="preserve">DorothyLEYSON </t>
  </si>
  <si>
    <t xml:space="preserve">NCM CONSUMER GOODS TRADING </t>
  </si>
  <si>
    <t xml:space="preserve">1582 PEDRO GIL ST. MANILA </t>
  </si>
  <si>
    <t>0994-493-9782</t>
  </si>
  <si>
    <t xml:space="preserve">VANCOWER HARDWARE </t>
  </si>
  <si>
    <t xml:space="preserve">EAZI GEN. MERCHANDISE </t>
  </si>
  <si>
    <t xml:space="preserve">BLK 88 LOT 44 DOMINGO DE RAMOS ST. GREATER LARGO 2 FAIRVIEW QC. </t>
  </si>
  <si>
    <t>0925-522-9884</t>
  </si>
  <si>
    <t xml:space="preserve">VICTORY HARDWARE </t>
  </si>
  <si>
    <t xml:space="preserve">B1 CRISPOLO ST. VICTORY SUBD. CALOOCAN CITY </t>
  </si>
  <si>
    <t>0965-843-7552</t>
  </si>
  <si>
    <t xml:space="preserve">BARAZON HARDWARE &amp; CONST. SUPPLIES </t>
  </si>
  <si>
    <t xml:space="preserve">4033 QUE GRANDE ST. UGONG DIST. 2 VALENZUELA CITY </t>
  </si>
  <si>
    <t>0917-626-6488</t>
  </si>
  <si>
    <t xml:space="preserve">R-MAC HAGRDWARE </t>
  </si>
  <si>
    <t xml:space="preserve">3077 F. BAUTISTA ST. UGONG VALENZUELA CITY </t>
  </si>
  <si>
    <t>0920-949-1523</t>
  </si>
  <si>
    <t xml:space="preserve">ALMIGHTY TRADING </t>
  </si>
  <si>
    <t xml:space="preserve">235 BRGY. ALULOD PUROK 4 INDANG CAVITE CITY </t>
  </si>
  <si>
    <t>0917-900-0206</t>
  </si>
  <si>
    <t xml:space="preserve">KHERWIN ENTERPRISES </t>
  </si>
  <si>
    <t xml:space="preserve">497 G. PASCANAL ST. DAANG HARI DIST. 2 NAVOITAS </t>
  </si>
  <si>
    <t>0965-621-3674</t>
  </si>
  <si>
    <t xml:space="preserve">DE OLAZO HARDWARE </t>
  </si>
  <si>
    <t xml:space="preserve">1303 M. NAVAL ST. NAVOTAS </t>
  </si>
  <si>
    <t>0922-876-3176</t>
  </si>
  <si>
    <t xml:space="preserve">LUCKY OLYM TRADING </t>
  </si>
  <si>
    <t xml:space="preserve">BLK 35 LOT 1 &amp; 2CALOOCAN </t>
  </si>
  <si>
    <t>0917-716-6599</t>
  </si>
  <si>
    <t xml:space="preserve">LWJ HARDWARE </t>
  </si>
  <si>
    <t xml:space="preserve">74 VISTA VERDE CAYBIGA CALOOCAN CITY </t>
  </si>
  <si>
    <t>0956-872-6247</t>
  </si>
  <si>
    <t xml:space="preserve">CAMS CONSTRUCTION </t>
  </si>
  <si>
    <t xml:space="preserve">714 LLANO RD BRGY. 167 CALOOCAN CITY </t>
  </si>
  <si>
    <t>0920-952-5165</t>
  </si>
  <si>
    <t xml:space="preserve">PLAN N EXCUTE HARDWARE </t>
  </si>
  <si>
    <t xml:space="preserve">TORONTO ST. VISTA VERDE CALOOCAN CITY </t>
  </si>
  <si>
    <t>0921-287-0120</t>
  </si>
  <si>
    <t xml:space="preserve">2 LCS ENTERPRISE </t>
  </si>
  <si>
    <t xml:space="preserve">562 LLANO RD. BRGY. LLANO CALOOCAN CITY </t>
  </si>
  <si>
    <t>0917-972-7006 / 0949-839-1058</t>
  </si>
  <si>
    <t xml:space="preserve">PMCJ DE GUZMAN HARDWARE &amp;CONTS. SUPPLIES </t>
  </si>
  <si>
    <t xml:space="preserve">PMCJ DE GUZMAN HARDWARE </t>
  </si>
  <si>
    <t>0926-280-6041</t>
  </si>
  <si>
    <t xml:space="preserve">LINZER HARDWARE &amp; CONSTRUCTION SUPPLY </t>
  </si>
  <si>
    <t xml:space="preserve">3143 NEW PANADEW ST. STA ANA MANILA </t>
  </si>
  <si>
    <t>8-532-4829</t>
  </si>
  <si>
    <t xml:space="preserve">TOPAZ HARDWARE </t>
  </si>
  <si>
    <t xml:space="preserve">20 301 RIZAL AVE CORNER LAGUNA ST. STA. CRUZ MANILA </t>
  </si>
  <si>
    <t xml:space="preserve">REYLIN'S BUILDERS DEPOT INC. </t>
  </si>
  <si>
    <t xml:space="preserve">47-51 A VILLEGAS STYY. TANONG VALENZUELA CITY </t>
  </si>
  <si>
    <t>0995-321-9352</t>
  </si>
  <si>
    <t xml:space="preserve">GNO DREAM BUILDERS INC. </t>
  </si>
  <si>
    <t xml:space="preserve">722 B BRGY. TALAYAN DEL MONTE QC. </t>
  </si>
  <si>
    <t xml:space="preserve">SQUARE-B COMMERCIAL </t>
  </si>
  <si>
    <t>8-927-8029</t>
  </si>
  <si>
    <t xml:space="preserve">3 HAN PAINT CENTER </t>
  </si>
  <si>
    <t xml:space="preserve">SPDMP ENTERPRISE CO. </t>
  </si>
  <si>
    <t xml:space="preserve">MEGA BEST CONSTRUCTION SUPPLY </t>
  </si>
  <si>
    <t xml:space="preserve">SAN JUAN CITY </t>
  </si>
  <si>
    <t>0917-985-4986</t>
  </si>
  <si>
    <t xml:space="preserve">LLR CONSTRUCTION SUPPLY </t>
  </si>
  <si>
    <t xml:space="preserve">433 F. MANALO ST. BATIS </t>
  </si>
  <si>
    <t>0908-872-9336</t>
  </si>
  <si>
    <t xml:space="preserve">AAR CONSTRUCTION SUPPLY </t>
  </si>
  <si>
    <t xml:space="preserve">17TH GREGORIO ARANETA COR. PALANZA ST. BRGY. SANTOL QC. </t>
  </si>
  <si>
    <t>0995-252-165</t>
  </si>
  <si>
    <t xml:space="preserve">ANDREW KODAVIA </t>
  </si>
  <si>
    <t xml:space="preserve">17TH GREGORIO ARANETA COR. PALANZA ST. BRGY. SANTOL CITY </t>
  </si>
  <si>
    <t xml:space="preserve">LORENZ ONG </t>
  </si>
  <si>
    <t xml:space="preserve">143. F AURORA BOULEVARD CALAPAN SAN JUAN CITY </t>
  </si>
  <si>
    <t>0917-531-3860</t>
  </si>
  <si>
    <t xml:space="preserve">IDEN BART HARDWARE </t>
  </si>
  <si>
    <t xml:space="preserve">LCS CONSTRUCTION </t>
  </si>
  <si>
    <t xml:space="preserve">SM HOMES SUBDIVISION VICAS CAMARIN CALOOCAN </t>
  </si>
  <si>
    <t xml:space="preserve">BIG ORTIGAS CONST. &amp; ELECTRICAL SUPPLY CO. </t>
  </si>
  <si>
    <t xml:space="preserve">168 ORTIGAS AVE. PASIG CITY </t>
  </si>
  <si>
    <t>0917-186-9453</t>
  </si>
  <si>
    <t xml:space="preserve">EAST ASIA BUILDERS SUPPLY INC. </t>
  </si>
  <si>
    <t xml:space="preserve">115 QUIRINO HI-WAY BALONG BATO QC. </t>
  </si>
  <si>
    <t>0927-437-0036</t>
  </si>
  <si>
    <t xml:space="preserve">SANDBLOCK CONSTRUCTION SUPPLY </t>
  </si>
  <si>
    <t xml:space="preserve">1683 CAVITE ST. STA. CRUZ MANILA </t>
  </si>
  <si>
    <t>0923-187-4260</t>
  </si>
  <si>
    <t xml:space="preserve">DOUBLE JJ CONSUMER GOOD TRADING </t>
  </si>
  <si>
    <t xml:space="preserve">191 DEPARE BRGY. 168 DEPARO 1400 CALOOCAN CITY </t>
  </si>
  <si>
    <t>0967-219-7595</t>
  </si>
  <si>
    <t xml:space="preserve">GOLDEN BUILD HARDWARE </t>
  </si>
  <si>
    <t>BLK 1 LOT 1 SUSANO RD. COR. CON ALEJANDRO ST. GREEN FIELDS III SUBD. SAN AGUSTIN NOVALICHES QC</t>
  </si>
  <si>
    <t>0919-487-2935</t>
  </si>
  <si>
    <t xml:space="preserve">VILLAMOR MARKETING CORP. </t>
  </si>
  <si>
    <t xml:space="preserve">LOT 20 B63 DON MARIUANO MARCOS AVE BRGY. GREATER FAIRVIEW DIST. 2 QC. </t>
  </si>
  <si>
    <t>0933-438-4715</t>
  </si>
  <si>
    <t xml:space="preserve">WELL 88 HARDWARE </t>
  </si>
  <si>
    <t xml:space="preserve">68 BUKIDON ST. BAGO BANTAY QC. </t>
  </si>
  <si>
    <t>0933-019-4475</t>
  </si>
  <si>
    <t>CARRY ALL BILDERS SUPPLY INC.</t>
  </si>
  <si>
    <t xml:space="preserve">146 ROAD 20 COR. PARINYAS PROJ. 8 QUEZON CITY </t>
  </si>
  <si>
    <t>0968-657-9581</t>
  </si>
  <si>
    <t xml:space="preserve">ARTAN HARDWARE </t>
  </si>
  <si>
    <t xml:space="preserve">19 JP RIZAL ST. LUCIA NOVALICHES QUEZON CITY </t>
  </si>
  <si>
    <t>0933-821-2878</t>
  </si>
  <si>
    <t xml:space="preserve">L CAMPOS TILES TRADING </t>
  </si>
  <si>
    <t xml:space="preserve">2209 KM 17 COMMONWEALTH AVE. BRGY. HOLY SPIRIT QUEZON CITY </t>
  </si>
  <si>
    <t>0917-126-9877</t>
  </si>
  <si>
    <t xml:space="preserve">GENERIC STEEL MARKETING </t>
  </si>
  <si>
    <t xml:space="preserve">19 E. AGUINALDO ST. STA. LUCIA NOVALICHES QUEZON CITY </t>
  </si>
  <si>
    <t>0917-837-5758</t>
  </si>
  <si>
    <t xml:space="preserve">TMRJ 888 CORP. </t>
  </si>
  <si>
    <t xml:space="preserve">1531 GEN. LUNA ST. PACO MANILA </t>
  </si>
  <si>
    <t>0917-322-0715</t>
  </si>
  <si>
    <t xml:space="preserve">PERFERCT WEAPON CAR ACCESORIES </t>
  </si>
  <si>
    <t xml:space="preserve">8460 NIA ROAD CALSADANG BAGO IMUS CAVITE </t>
  </si>
  <si>
    <t>0998-356-5496</t>
  </si>
  <si>
    <t xml:space="preserve">HIGHLAND LUMBER &amp; CONT. SUPPLY CO.INC. </t>
  </si>
  <si>
    <t xml:space="preserve">2213-19 ESPANIA BLVD, SAMPALOC MANILA </t>
  </si>
  <si>
    <t>0927--688-6772</t>
  </si>
  <si>
    <t xml:space="preserve">TBH BUILDERS </t>
  </si>
  <si>
    <t xml:space="preserve">706 A GENERAL LUIS ST. CAYBIGA CALOOCAN CITY </t>
  </si>
  <si>
    <t>0951-989-8888</t>
  </si>
  <si>
    <t xml:space="preserve">ES HOME CAR GEN. MERCHANDISE </t>
  </si>
  <si>
    <t xml:space="preserve">0006 A DUPAX COMPOUND KING POINT ST. BAGBAG QUEZON CITY </t>
  </si>
  <si>
    <t>0948-647-4210</t>
  </si>
  <si>
    <t xml:space="preserve">17 BONIFACIO HARDWARE &amp; CONST. SUPPLIER </t>
  </si>
  <si>
    <t xml:space="preserve">597 QUIRINO HIWAY BAGBAG QUEZON CITY </t>
  </si>
  <si>
    <t>0915-674-7112</t>
  </si>
  <si>
    <t xml:space="preserve">JJM HARDWARE &amp; CONSTRUCTION SUPPLIES </t>
  </si>
  <si>
    <t xml:space="preserve">2223 TEJERON ST. STA ANA </t>
  </si>
  <si>
    <t>0917-512-8833</t>
  </si>
  <si>
    <t xml:space="preserve">JAYME HARDWARE </t>
  </si>
  <si>
    <t xml:space="preserve">371 KATIPUNAN AVE. BLK 1 DAANG TUBO , UP CAMPUS QUEZON CITY </t>
  </si>
  <si>
    <t>0995-662-0271</t>
  </si>
  <si>
    <t xml:space="preserve">JD CONSTRUCTION SUPPLY </t>
  </si>
  <si>
    <t xml:space="preserve">KARNANI INC. </t>
  </si>
  <si>
    <t xml:space="preserve">ACAI MAKYACA </t>
  </si>
  <si>
    <t xml:space="preserve">88 GOLDEN HARDWARE </t>
  </si>
  <si>
    <t xml:space="preserve">1656 D 0ROQUETA ST. , STA. CRUZ MANILA </t>
  </si>
  <si>
    <t>0930-917-1229</t>
  </si>
  <si>
    <t xml:space="preserve">MILLEAN DEVELOPMENT CORP. </t>
  </si>
  <si>
    <t xml:space="preserve">93-C TOLENTINO ST. SFDM BRGY. DEL MONTE QC. </t>
  </si>
  <si>
    <t>0917-522-4641</t>
  </si>
  <si>
    <t xml:space="preserve">Jsssica </t>
  </si>
  <si>
    <t>MAP LINK</t>
  </si>
  <si>
    <t>CONTACT PERSON</t>
  </si>
  <si>
    <t xml:space="preserve">YEM KU GENERAL MERCHANDISE </t>
  </si>
  <si>
    <t xml:space="preserve">CRM AVE LAS PINAS CITY </t>
  </si>
  <si>
    <t>0917-336-7477</t>
  </si>
  <si>
    <t xml:space="preserve">ELUZ ENTERPRISE </t>
  </si>
  <si>
    <t xml:space="preserve">QUIRINO AVE. BRGY. DON GALO PARANAQUE CITY </t>
  </si>
  <si>
    <t>8-852-1447</t>
  </si>
  <si>
    <t xml:space="preserve">ALL PEOPLE GENERAL MERCHANDISE </t>
  </si>
  <si>
    <t xml:space="preserve">QURINO AVE BRGY. SAN DIONISIO PARANAQUE CITY </t>
  </si>
  <si>
    <t>0919-001-8159</t>
  </si>
  <si>
    <t xml:space="preserve">REAL ELECTRICAL </t>
  </si>
  <si>
    <t xml:space="preserve">235 PALANYAG BERNABE GATCHALIAN </t>
  </si>
  <si>
    <t>0921-552-0673</t>
  </si>
  <si>
    <t xml:space="preserve">BAZAARISTA MERCHANDISING </t>
  </si>
  <si>
    <t xml:space="preserve">44 LUNA ST. COR. APOLIO 4 MOONWALK VILLAGE TALON 5 LASPINAS </t>
  </si>
  <si>
    <t>0985-8443-3201</t>
  </si>
  <si>
    <t xml:space="preserve">EVERYDAY HARDWARE </t>
  </si>
  <si>
    <t xml:space="preserve">221 NATIONAL ROAD BAYANAN MUNTINLUPA CITY </t>
  </si>
  <si>
    <t>0963-032-9692</t>
  </si>
  <si>
    <t xml:space="preserve">NEW AMG GENERAL MERCHANDISE </t>
  </si>
  <si>
    <t xml:space="preserve">46 KATIHAN ST. POBLACION MUNTINLUPA CITY </t>
  </si>
  <si>
    <t>0920-902-0481</t>
  </si>
  <si>
    <t>Analiza</t>
  </si>
  <si>
    <t xml:space="preserve">DENISON </t>
  </si>
  <si>
    <t xml:space="preserve">10 SCT.MADRIN ST. DILIMAN QUEZON CITY </t>
  </si>
  <si>
    <t>0917-848-4439</t>
  </si>
  <si>
    <t>INTERPOWER</t>
  </si>
  <si>
    <t xml:space="preserve">KAICO TRADSING </t>
  </si>
  <si>
    <t xml:space="preserve">27 PANAY AVENUE COR. ROSES QUEZON CITY </t>
  </si>
  <si>
    <t>0922-855-5515</t>
  </si>
  <si>
    <t xml:space="preserve">PRINCE DY </t>
  </si>
  <si>
    <t xml:space="preserve">26 B SAMAT </t>
  </si>
  <si>
    <t xml:space="preserve">SCOUT BUILDERS </t>
  </si>
  <si>
    <t xml:space="preserve">39 SCT. YBARDOLAZA COR. SCT. RALLOS </t>
  </si>
  <si>
    <t>0977-306-8696</t>
  </si>
  <si>
    <t xml:space="preserve">START SCOUT </t>
  </si>
  <si>
    <t xml:space="preserve">2D SCOUT SANTIAGO , TIMOG QUEZON CITY </t>
  </si>
  <si>
    <t>0917-174-3098</t>
  </si>
  <si>
    <t xml:space="preserve">MELCHOR CHING </t>
  </si>
  <si>
    <t xml:space="preserve">PHIPPINE ANIMAL MEDICALCENTER </t>
  </si>
  <si>
    <t>0942-361-2545</t>
  </si>
  <si>
    <t xml:space="preserve">POWER CAST </t>
  </si>
  <si>
    <t xml:space="preserve">42 KAMUNING RD QUEZON CITY </t>
  </si>
  <si>
    <t>0991-340-1637</t>
  </si>
  <si>
    <t>username</t>
  </si>
  <si>
    <t>first_name</t>
  </si>
  <si>
    <t>last_name</t>
  </si>
  <si>
    <t>email</t>
  </si>
  <si>
    <t>is_active</t>
  </si>
  <si>
    <t>group</t>
  </si>
  <si>
    <t>SalesAgent</t>
  </si>
  <si>
    <t>LRD</t>
  </si>
  <si>
    <t>AGR, TopManagement</t>
  </si>
  <si>
    <t>RVT, TopManagement</t>
  </si>
  <si>
    <t>JGG</t>
  </si>
  <si>
    <t>JGG, TopManagement</t>
  </si>
  <si>
    <t>Client</t>
  </si>
  <si>
    <t>company_name</t>
  </si>
  <si>
    <t>name_of_owner</t>
  </si>
  <si>
    <t>rented</t>
  </si>
  <si>
    <t>since</t>
  </si>
  <si>
    <t>unit_room</t>
  </si>
  <si>
    <t>street_number</t>
  </si>
  <si>
    <t>street_name</t>
  </si>
  <si>
    <t>barangay</t>
  </si>
  <si>
    <t>city_municipality</t>
  </si>
  <si>
    <t>province_state</t>
  </si>
  <si>
    <t>postal_code</t>
  </si>
  <si>
    <t>contact_number</t>
  </si>
  <si>
    <t>preferred_mop</t>
  </si>
  <si>
    <t>Joel A. Durante</t>
  </si>
  <si>
    <t xml:space="preserve">Herrera St. Quinale Cabasan. </t>
  </si>
  <si>
    <t>Tabaco City</t>
  </si>
  <si>
    <t>Lenard Gil Alcazar</t>
  </si>
  <si>
    <t>Purok 2, Rawis</t>
  </si>
  <si>
    <t>Legaspi City</t>
  </si>
  <si>
    <t>Joel P. Dumoran Jr.</t>
  </si>
  <si>
    <t>Katipunan, Placer</t>
  </si>
  <si>
    <t>Masbate City</t>
  </si>
  <si>
    <t>Jerican Saplot Aso</t>
  </si>
  <si>
    <t>Calzada</t>
  </si>
  <si>
    <t>Ligao City</t>
  </si>
  <si>
    <t>Carlyn C. Lucas</t>
  </si>
  <si>
    <t>P-2 Brgy.Balogo</t>
  </si>
  <si>
    <t>Sorsogon City</t>
  </si>
  <si>
    <t>Helen Lisay Balde</t>
  </si>
  <si>
    <t>P-2 Brgy.Anislag, Daraga Albay</t>
  </si>
  <si>
    <t>Bicol City</t>
  </si>
  <si>
    <t>(S.D.K.) Sahig, Ding-Ding, Kisame</t>
  </si>
  <si>
    <t>Gustavo D. Neri III</t>
  </si>
  <si>
    <t>17 Pulumbarit St. Taytay Rizal</t>
  </si>
  <si>
    <t>Rizal</t>
  </si>
  <si>
    <t>Dayawon Hardware</t>
  </si>
  <si>
    <t xml:space="preserve">Josie Corbilla Dayawon </t>
  </si>
  <si>
    <t>P-1A Tigbi, Tiwi Albay</t>
  </si>
  <si>
    <t>Albay City</t>
  </si>
  <si>
    <t xml:space="preserve">Romeo P. Osorio </t>
  </si>
  <si>
    <t>BII L9 Quirino Highway Bankers Vill II Tala</t>
  </si>
  <si>
    <t>Caloocan City</t>
  </si>
  <si>
    <t>Evelyn Lao</t>
  </si>
  <si>
    <t>140 N. Domingo</t>
  </si>
  <si>
    <t>San Juan City</t>
  </si>
  <si>
    <t>2D Scout Santiago, Timog</t>
  </si>
  <si>
    <t>Quezon City</t>
  </si>
  <si>
    <t>Joyce Tan</t>
  </si>
  <si>
    <t xml:space="preserve">16 Scout Madrinan, Timog </t>
  </si>
  <si>
    <t>Earl</t>
  </si>
  <si>
    <t xml:space="preserve">122 Don A. Roces Ave. </t>
  </si>
  <si>
    <t>Arlyn Fetalcorin</t>
  </si>
  <si>
    <t>39 Scout Ybardolaza, Timog</t>
  </si>
  <si>
    <t>312 Fernando Poe Jr. Ave</t>
  </si>
  <si>
    <t>137 Congressional Ave. Bago Bantay</t>
  </si>
  <si>
    <t>322 Fernando Poe Jr. Ave. San Francisco Del Monte</t>
  </si>
  <si>
    <t xml:space="preserve">25 Ilocos Norte Street, Bago Bantay </t>
  </si>
  <si>
    <t xml:space="preserve">13 MH Del Pilar Brgy. San Antonio </t>
  </si>
  <si>
    <t xml:space="preserve">201 B Del Monte St. Masambong </t>
  </si>
  <si>
    <t>1143 F SFDM Ave. Brgy. Palitok</t>
  </si>
  <si>
    <t>722 B Del Monte Ave.</t>
  </si>
  <si>
    <t>27 Panay Ave. Diliman</t>
  </si>
  <si>
    <t xml:space="preserve">80 Road 20 </t>
  </si>
  <si>
    <t>146 Road 20 Corner Pariñas Project 8</t>
  </si>
  <si>
    <t>1 Ofelia St Road 20 ave. Bahay Toro</t>
  </si>
  <si>
    <t xml:space="preserve">Uy Tit and Company </t>
  </si>
  <si>
    <t>155 p. Sevilla st. Between 7th and 8th ave. Gray gate</t>
  </si>
  <si>
    <t xml:space="preserve">678 Bicoleyte St. Commonwealth </t>
  </si>
  <si>
    <t>115 Quirino Highway Balong Bato</t>
  </si>
  <si>
    <t>015 Bolivar St. Phase 8 North Fairview</t>
  </si>
  <si>
    <t xml:space="preserve">Arnie Sari </t>
  </si>
  <si>
    <t>Block 9 lot 1 Carissa Homes Camarin , Brgy 171</t>
  </si>
  <si>
    <t>Rosemarie Villacarlos Bernardo</t>
  </si>
  <si>
    <t>Block 3 Lot 5 Sta.Barbara Heights Sta.Barbara,Baliuag</t>
  </si>
  <si>
    <t>Bulacan</t>
  </si>
  <si>
    <t>Provincial Rd. Bunsuran 2nd,Pandi</t>
  </si>
  <si>
    <t xml:space="preserve">Remus Babiera </t>
  </si>
  <si>
    <t>1683 Cavite St. Sta. Cruz</t>
  </si>
  <si>
    <t>Metro Manila</t>
  </si>
  <si>
    <t>Ms. Alice</t>
  </si>
  <si>
    <t xml:space="preserve">191 Deparo Road Brgy. 168 Deparo  </t>
  </si>
  <si>
    <t>Richmond Santos</t>
  </si>
  <si>
    <t xml:space="preserve">Blk 1 lot 1 Susano road corner Don Alejandro St. greenfields III subd. San Agustin Novaliches </t>
  </si>
  <si>
    <t>Sir Henry</t>
  </si>
  <si>
    <t xml:space="preserve">3A-1 Quirino Hiway Pasong Putik, Novaliches </t>
  </si>
  <si>
    <t>National Rd. Roxas, Solano</t>
  </si>
  <si>
    <t>Nueva Vizcaya</t>
  </si>
  <si>
    <t xml:space="preserve">Tambubong San Rafael </t>
  </si>
  <si>
    <t>1650 Ilang-ilang St</t>
  </si>
  <si>
    <t xml:space="preserve">Blk 14 lot 8 ph 5A PKG 5 Brgy 176 Bagong Silang  </t>
  </si>
  <si>
    <t xml:space="preserve">Phase 8B Pkg.3 Blk.50 Lot 18 Bagong Silang </t>
  </si>
  <si>
    <t>Sir Jhoy</t>
  </si>
  <si>
    <t xml:space="preserve">Lot 20 B63 Don Mariano Marcos Ave. Brgy. Greater Fairview Dist. 2  </t>
  </si>
  <si>
    <t>Wilma Bacar</t>
  </si>
  <si>
    <t>MGR Bldg.#451 Boni Ave.</t>
  </si>
  <si>
    <t>Mandaluyong City</t>
  </si>
  <si>
    <t xml:space="preserve">68 Bukidnon st. Bago Bantay </t>
  </si>
  <si>
    <t>CCDS Bldg. Tecson St. San Vicente,San Miguel</t>
  </si>
  <si>
    <t>Bustos-Pandi Rd. Cupang,Pandi</t>
  </si>
  <si>
    <t>647 CRM Ave</t>
  </si>
  <si>
    <t>Las Pinas</t>
  </si>
  <si>
    <t>939 D Quirino Ave</t>
  </si>
  <si>
    <t>Paranaque City</t>
  </si>
  <si>
    <t>Quirino Ave. Brgy. San Dionisio</t>
  </si>
  <si>
    <t xml:space="preserve">Joy Imperial </t>
  </si>
  <si>
    <t>Blk 32 Martinez St.Brgy Additionhills</t>
  </si>
  <si>
    <t>Lot 26 Blk 17 Assumption, City of San Jose del Monte</t>
  </si>
  <si>
    <t>Villa Grande Subd. Brgy.Lambakin, Marilao</t>
  </si>
  <si>
    <t>JR</t>
  </si>
  <si>
    <t xml:space="preserve">#19 J.P rizal St. Sta. Lucia Novaliches </t>
  </si>
  <si>
    <t>Sir Isagani</t>
  </si>
  <si>
    <t xml:space="preserve">#19 E. Aguinaldo St. Sta. Lucia Novaliches </t>
  </si>
  <si>
    <t>Leon Campos</t>
  </si>
  <si>
    <t xml:space="preserve">2209 km. 17 Commonwealth Ave. Brgy. Holy Spirit  </t>
  </si>
  <si>
    <t>Quezon city</t>
  </si>
  <si>
    <t>5019 Gen. T. de Leon, Valenzuela</t>
  </si>
  <si>
    <t>Valenzuela City</t>
  </si>
  <si>
    <t>3013 Gen. T. de Leon, Valenzuela</t>
  </si>
  <si>
    <t>James Carolino</t>
  </si>
  <si>
    <t xml:space="preserve">600 Pasig Shaw Brgy.Kapitolyo </t>
  </si>
  <si>
    <t>Pasig City</t>
  </si>
  <si>
    <t>Marlyn Cortez</t>
  </si>
  <si>
    <t xml:space="preserve">10 Shaw blvd. Brgy San Antonio </t>
  </si>
  <si>
    <t>Tek Chua</t>
  </si>
  <si>
    <t xml:space="preserve">#1531 Gen. Luna st. Paco </t>
  </si>
  <si>
    <t xml:space="preserve">1000 lorex ave cor. Gen T de leon </t>
  </si>
  <si>
    <t>AFP/PNP Village Brgy.Batia,Bocaue</t>
  </si>
  <si>
    <t>Villarica Rd. Sangka Prenza 1,Marilao</t>
  </si>
  <si>
    <t>Brgy. Batia,Bocaue</t>
  </si>
  <si>
    <t>Mam Beverly</t>
  </si>
  <si>
    <t>#3 New Panaderos Ext. Haraping Ang Bukas</t>
  </si>
  <si>
    <t>8534-6367</t>
  </si>
  <si>
    <t>Eric Dy</t>
  </si>
  <si>
    <t xml:space="preserve">#8460 Nia Road Calsadang Bago Imus </t>
  </si>
  <si>
    <t>Cavite City</t>
  </si>
  <si>
    <t>Romy Pascua</t>
  </si>
  <si>
    <t xml:space="preserve">953 D.Santiago St.Sampaloc </t>
  </si>
  <si>
    <t>Ren Mendoza</t>
  </si>
  <si>
    <t xml:space="preserve">83 Urbano Velasco Pinagbuhatan </t>
  </si>
  <si>
    <t>Sir Jess</t>
  </si>
  <si>
    <t xml:space="preserve">235 Palanyag Bernabe Gatchalian San Dionisio </t>
  </si>
  <si>
    <t>Mam Vangie</t>
  </si>
  <si>
    <t xml:space="preserve">Jacinto St, Santiago Malolos </t>
  </si>
  <si>
    <t>Sir Jan</t>
  </si>
  <si>
    <t>San Gabriel. Sta. Maria</t>
  </si>
  <si>
    <t>Sir Richard</t>
  </si>
  <si>
    <t xml:space="preserve">221 National Road Bayanan </t>
  </si>
  <si>
    <t>Muntinlupa City</t>
  </si>
  <si>
    <t>Judith Gozun</t>
  </si>
  <si>
    <t xml:space="preserve">46 Katihan St., Poblacion </t>
  </si>
  <si>
    <t>PX5V+VPG, Road, Valenzuela, 1422 Metro Manila</t>
  </si>
  <si>
    <t>Sir Leo</t>
  </si>
  <si>
    <t>2215-19 España Blvd, Sampaloc, Manila, 1008 Metro Manila</t>
  </si>
  <si>
    <t>Brgy Cabaruan, Cauayan City</t>
  </si>
  <si>
    <t>Isabela</t>
  </si>
  <si>
    <t>Tin Mendeja</t>
  </si>
  <si>
    <t xml:space="preserve">706 A. General Luis St. Caybiga </t>
  </si>
  <si>
    <t>Catino Vergara</t>
  </si>
  <si>
    <t>1st Tejeron St, Sta Ana</t>
  </si>
  <si>
    <t>Mam Vilma</t>
  </si>
  <si>
    <t xml:space="preserve">#0006 A Dupax Compound, Kingspoint St. Bagbag 6, (landmark Jollibee Sauyo) </t>
  </si>
  <si>
    <t xml:space="preserve">Mark Anthony Ramos </t>
  </si>
  <si>
    <t xml:space="preserve">597 Quirino Highway Bagbag </t>
  </si>
  <si>
    <t>Sir Bryan</t>
  </si>
  <si>
    <t xml:space="preserve">44 Luna St., cor. Apollo 4 Moonwalk Village Talon 5 </t>
  </si>
  <si>
    <t>Manuel Ty</t>
  </si>
  <si>
    <t>3425-27 Ramon Magsaysay Blvd.Sta. Mesa</t>
  </si>
  <si>
    <t>209 Sanciangco St Catmon</t>
  </si>
  <si>
    <t>Malabon City</t>
  </si>
  <si>
    <t>Wilson Dy</t>
  </si>
  <si>
    <t>1316 F.Jhocson st. Brgy 407 Sampaloc</t>
  </si>
  <si>
    <t>1462 G.Tuazon st.Sampaloc</t>
  </si>
  <si>
    <t>Sta.Cruz, Sta.Maria</t>
  </si>
  <si>
    <t>Pinaod, San Ildefonso</t>
  </si>
  <si>
    <t>Provincial Rd. Borol 2nd,Balagtas</t>
  </si>
  <si>
    <t>Bypass Rd. Brgy.Tiaong, Guiguinto</t>
  </si>
  <si>
    <t>Roy See</t>
  </si>
  <si>
    <t>#3143 new panaderos st. barangay 894, zone 99, Sta. Ana</t>
  </si>
  <si>
    <t xml:space="preserve">433 F. Manalo St. Batis </t>
  </si>
  <si>
    <t xml:space="preserve">17th Gregorio Araneta Cor. Palaza St. Brgy. Santol  </t>
  </si>
  <si>
    <t>Rommel Sumer</t>
  </si>
  <si>
    <t xml:space="preserve">Toronto St. Vista Verde </t>
  </si>
  <si>
    <t xml:space="preserve">714 Llano Road Brgy. 167 </t>
  </si>
  <si>
    <t xml:space="preserve">562 Llano Road Brgy. Llano </t>
  </si>
  <si>
    <t>74 Vista Verde Caybiga</t>
  </si>
  <si>
    <t>235 Brgy. Alulod Purok 4 Indang</t>
  </si>
  <si>
    <t>2301, Rizal Ave. Cor. Laguna Street Sta. Cruz, Manila</t>
  </si>
  <si>
    <t>Maharlika Highway Nagcuartelan, Aritao</t>
  </si>
  <si>
    <t>National Highway Don Mariano Perez, Bayombong</t>
  </si>
  <si>
    <t xml:space="preserve">497 G. PASCANAL ST. DAANG HARI DIST. 2 </t>
  </si>
  <si>
    <t>Navotas City</t>
  </si>
  <si>
    <t xml:space="preserve">1303 M. NAVAL ST. </t>
  </si>
  <si>
    <t>BLK 35 LOT 1 &amp; 2</t>
  </si>
  <si>
    <t>Quarry Road, Pantok, Binangonan</t>
  </si>
  <si>
    <t>M. L. Quezon Avenue San Isidro, Angono</t>
  </si>
  <si>
    <t xml:space="preserve">Taytay Rizal </t>
  </si>
  <si>
    <t>Floodway Taytay</t>
  </si>
  <si>
    <t>Cainta Rizal</t>
  </si>
  <si>
    <t xml:space="preserve">47-51 A VILLEGAS STYY. TANONG </t>
  </si>
  <si>
    <t>Cogeo Gate 2 Antipolo</t>
  </si>
  <si>
    <t>Eduard Hernandez</t>
  </si>
  <si>
    <t>Blk 88 Lot 44 Domingo De Ramos St. Greater Lagro 2 fairview</t>
  </si>
  <si>
    <t>Regine Dedoqui</t>
  </si>
  <si>
    <t xml:space="preserve">Blk 1 Crispolo St. Victory Subd. Caloocan (beside Victory heights subdivision) </t>
  </si>
  <si>
    <t>F. Bautista St. Brgy. Ugong, Valenzuela</t>
  </si>
  <si>
    <t xml:space="preserve">2020 Renaissance St. Sta. Ana, Manila. </t>
  </si>
  <si>
    <t xml:space="preserve">1582 PEDRO GIL ST. </t>
  </si>
  <si>
    <t>Sir Robert</t>
  </si>
  <si>
    <t>BAGBAGUIN, STA.MARIA</t>
  </si>
  <si>
    <t>V355+Q77, SJDM</t>
  </si>
  <si>
    <t>Quirino Hwy, SJDM, 3023</t>
  </si>
  <si>
    <t>Blk21 Lot54-1 Main Rd, Ph1 Metrogate Subd, Loma de Gato Marilao</t>
  </si>
  <si>
    <t>42 Kamuning Rd, Diliman, Quezon City, Metro Manila</t>
  </si>
  <si>
    <t xml:space="preserve">Maam Ruby </t>
  </si>
  <si>
    <t xml:space="preserve">#168 Ortigas Ave. </t>
  </si>
  <si>
    <t>Sir Arnold</t>
  </si>
  <si>
    <t>Matarik St. Bagong Silang Phase 1</t>
  </si>
  <si>
    <t>Sm Homes Camarin road, Brgy. 170</t>
  </si>
  <si>
    <t>#26 Sitio uno kaliwa, Batasan Hills Quezon</t>
  </si>
  <si>
    <t xml:space="preserve">#87 Dr. Sixto Antonio ave. </t>
  </si>
  <si>
    <t>49 Evangelista St, Pasig, 1610 Metro Manila</t>
  </si>
  <si>
    <t>640 Boni Serrano/ Katipunan Interchange</t>
  </si>
  <si>
    <t>371 Katipunan Ave</t>
  </si>
  <si>
    <t xml:space="preserve">Sir Juan Carlos Idar </t>
  </si>
  <si>
    <t xml:space="preserve">Blk 14 lot 30 Pomelo st. Rainbow Village 5, Bagumbong </t>
  </si>
  <si>
    <t>447 Quirino Hi-way Talipapa</t>
  </si>
  <si>
    <t>472 Quirino Hi-way, Talipapa</t>
  </si>
  <si>
    <t xml:space="preserve">Rainbow Village 5 Ph. 2 Blk. 36 Lot 31 Acacia St. Cor Santol </t>
  </si>
  <si>
    <t xml:space="preserve">919 EF Aurora Blvd. </t>
  </si>
  <si>
    <t>Mam Mari</t>
  </si>
  <si>
    <t>138 Bunsuran 1st, Pandi</t>
  </si>
  <si>
    <t>#60 Maysan Road</t>
  </si>
  <si>
    <t>Libis St. Dagat-dagatan Caloocan</t>
  </si>
  <si>
    <t>1475 A. Mabini St, Sangandaan, Caloocan, 1116 Metro Manila</t>
  </si>
  <si>
    <t>Camarin Road, Caloocan</t>
  </si>
  <si>
    <t>910 Blumentritt St. Cor. Espana Sampaloc, Manila</t>
  </si>
  <si>
    <t>215 B Laon Laan St. Sampaloc Manila</t>
  </si>
  <si>
    <t>#191 Batasan Hills</t>
  </si>
  <si>
    <t xml:space="preserve">Sir Robert Cochite </t>
  </si>
  <si>
    <t xml:space="preserve">Dela Fuente Sampaloc </t>
  </si>
  <si>
    <t xml:space="preserve">Sir Gary </t>
  </si>
  <si>
    <t xml:space="preserve">Sarino Village Pulang Lupa Uno  </t>
  </si>
  <si>
    <t xml:space="preserve">Mam Maimai Diaz </t>
  </si>
  <si>
    <t xml:space="preserve">1880 Felix Huertas St. Sta. Cruz </t>
  </si>
  <si>
    <t xml:space="preserve">Sir Dino Karnani </t>
  </si>
  <si>
    <t xml:space="preserve">1690 Malabon St. Sta.Cruz </t>
  </si>
  <si>
    <t xml:space="preserve">93-C Tolentino St. SFDM Brgy. Del Monte </t>
  </si>
  <si>
    <t>Sir Rey</t>
  </si>
  <si>
    <t>829 Mayon St.Corner Sta. Catalina, La Loma, Quezon City, 1114 Metro Manila</t>
  </si>
  <si>
    <t xml:space="preserve">Cor Annex 41 Upper Santa Ana Drive SunValley </t>
  </si>
  <si>
    <t xml:space="preserve">Mam Beth </t>
  </si>
  <si>
    <t>650 Severina Diamond Ave</t>
  </si>
  <si>
    <t>345 Gen. Luna St.</t>
  </si>
  <si>
    <t>5th Ave Grace Park, Caloocan</t>
  </si>
  <si>
    <t>Zapote St. Corner Camarin Area D</t>
  </si>
  <si>
    <t>1420, St. Jude St. Cor. Governor I. Santiago St., Valenzuela,</t>
  </si>
  <si>
    <t xml:space="preserve">Sir Gilbert </t>
  </si>
  <si>
    <t xml:space="preserve">L9 B1 Marcos Golden  Acres subdivision Talon V </t>
  </si>
  <si>
    <t>Marcos Alvares Ave. Talon V</t>
  </si>
  <si>
    <t xml:space="preserve">Lot 14C Rizal St Katihan Poblacion </t>
  </si>
  <si>
    <r>
      <rPr>
        <rFont val="Arial"/>
        <color theme="1"/>
      </rPr>
      <t xml:space="preserve">F </t>
    </r>
    <r>
      <rPr>
        <rFont val="Arial"/>
        <color theme="1"/>
      </rPr>
      <t xml:space="preserve">Baron Construction &amp; Supply Inc. </t>
    </r>
  </si>
  <si>
    <t>Block 2 Lot 9 Soldiers Hills Ipon Roman Cruz Ave</t>
  </si>
  <si>
    <t xml:space="preserve">241 National Road Bayanan  </t>
  </si>
  <si>
    <t>Cheska Genato</t>
  </si>
  <si>
    <t>1792 E Rodriguez Sr. Ave</t>
  </si>
  <si>
    <t>14 Marcelo H. Del Pilar St. Malabon</t>
  </si>
  <si>
    <t>Sir Roel</t>
  </si>
  <si>
    <t>M.Valte. Rd., Dona Remedios Trinidad, Bulacan</t>
  </si>
  <si>
    <t>Mam Sheryl</t>
  </si>
  <si>
    <t>799 Zone 4, Muzon SJDM</t>
  </si>
  <si>
    <t>Sir Rouie</t>
  </si>
  <si>
    <t>Guijo, San Jose Del Monte</t>
  </si>
  <si>
    <t>Package 3 Phase 6, Camarin, North Caloocan</t>
  </si>
  <si>
    <t>854 Saint Paul St. Barracks 2, Tala Caloocan</t>
  </si>
  <si>
    <t>1961 St. Joseph Ave. Barracks 2, Tala Caloocan</t>
  </si>
  <si>
    <t xml:space="preserve">Sir Tommy Ong </t>
  </si>
  <si>
    <t xml:space="preserve">1422 Sampaguita st. </t>
  </si>
  <si>
    <t>1168-B Quirino Hwy, Novaliches, Quezon City, Metro Manila</t>
  </si>
  <si>
    <t>Sir Marvin</t>
  </si>
  <si>
    <t>860 Pugpog, Brgy Partida, Norzagaray</t>
  </si>
  <si>
    <t>Mam Roda</t>
  </si>
  <si>
    <t>1200 EDSA, Project 8</t>
  </si>
  <si>
    <t>Mam Dina</t>
  </si>
  <si>
    <t>499-E Mayon St, Santa Mesa Heights</t>
  </si>
  <si>
    <t>Mam Leah</t>
  </si>
  <si>
    <t>C Mercado, Brgy Tabe Guiguinto</t>
  </si>
  <si>
    <t>Mam Santillan</t>
  </si>
  <si>
    <t>371 Rizal Ave. Bet 9&amp;10 Caloocan</t>
  </si>
  <si>
    <t>Sir Andrei</t>
  </si>
  <si>
    <t>Lot13 Blk K59 Anonas St cor K10th Ave</t>
  </si>
  <si>
    <t>8926-4332 / 8921-4039</t>
  </si>
  <si>
    <t xml:space="preserve">Sir Egat </t>
  </si>
  <si>
    <t>Buli, Muntinlupa</t>
  </si>
  <si>
    <t xml:space="preserve">421 Purok 2 </t>
  </si>
  <si>
    <t>Mam Vanessa</t>
  </si>
  <si>
    <t>Brgy Lawang Pare, SJDM</t>
  </si>
  <si>
    <t xml:space="preserve">Blk 209 Lot 36 Labayani St. North Fairview </t>
  </si>
  <si>
    <t>001 Dove St. Cor. Eagle St. Bagong Silangan</t>
  </si>
  <si>
    <t>Unit- 13, Qge Building, E. Monsera Street, Phase 1 BF Homes</t>
  </si>
  <si>
    <t xml:space="preserve">A.Bonifacio, Tramo  </t>
  </si>
  <si>
    <t>Block 68, Lot 2 C. Arellano, Katarungan Village</t>
  </si>
  <si>
    <t>Mam Kate</t>
  </si>
  <si>
    <t xml:space="preserve">4234 Santo Tomas </t>
  </si>
  <si>
    <t>Batangas City</t>
  </si>
  <si>
    <t>Mam Thess</t>
  </si>
  <si>
    <t xml:space="preserve">A Pulo 4217 Lipa  </t>
  </si>
  <si>
    <t>Sir Leonardo</t>
  </si>
  <si>
    <t>Villarica Rd Loma de Gato Marilao</t>
  </si>
  <si>
    <t>Kenny Lim</t>
  </si>
  <si>
    <t>Mountain view, Muzon CSJDM</t>
  </si>
  <si>
    <t>San Narciso, Zambales</t>
  </si>
  <si>
    <t>Zambales</t>
  </si>
  <si>
    <t xml:space="preserve">Cesar Salvilla </t>
  </si>
  <si>
    <t>Blumentritt España</t>
  </si>
  <si>
    <t xml:space="preserve">Benjie </t>
  </si>
  <si>
    <t>202 Aguirre Ave.</t>
  </si>
  <si>
    <t>Mam Better or Mam Dai</t>
  </si>
  <si>
    <t>118 Gloria Diaz, Talon</t>
  </si>
  <si>
    <t>Mam Janet</t>
  </si>
  <si>
    <t>263 Santa Maria, Pandi Road</t>
  </si>
  <si>
    <t>Mam Sharm</t>
  </si>
  <si>
    <t>1M Villarica Rd, SJDM</t>
  </si>
  <si>
    <t>903 Maceda St. Barangay Sampaloc</t>
  </si>
  <si>
    <t>Sto. Nino Baliuag Bulacan</t>
  </si>
  <si>
    <t>Mam Feli</t>
  </si>
  <si>
    <t>21 St Francis</t>
  </si>
  <si>
    <t>001 Aguinaldo Boulevard, E3, Bacoor, 4102 Cavite</t>
  </si>
  <si>
    <t>Sir Johnny</t>
  </si>
  <si>
    <t>Guiguinto</t>
  </si>
  <si>
    <t>Sir Raffy</t>
  </si>
  <si>
    <t>Malacanang, Pres. E. Aguinaldo</t>
  </si>
  <si>
    <t>Melanie Villaflor</t>
  </si>
  <si>
    <t xml:space="preserve">750 NS Amoranto Sr. St. Sampaloc </t>
  </si>
  <si>
    <t>Manotoc Street, 644 Tondo, Manila</t>
  </si>
  <si>
    <t>Versailles Town Plaza, Beside Escobar Steak House</t>
  </si>
  <si>
    <t>Mam Gigi</t>
  </si>
  <si>
    <t>336 Naga Road</t>
  </si>
  <si>
    <t>Sir Carlo</t>
  </si>
  <si>
    <t>63B Saudi Arabia</t>
  </si>
  <si>
    <t>Mam Rose</t>
  </si>
  <si>
    <t>11 Pag Asa St. Laloma Brgy. San Jose</t>
  </si>
  <si>
    <t xml:space="preserve">Sir Richard </t>
  </si>
  <si>
    <t>#67 National Road, Putatan</t>
  </si>
  <si>
    <t>Sir Paul</t>
  </si>
  <si>
    <t>BLK 12 Lot 11 &amp; 12 Editorial Lane Fourth State</t>
  </si>
  <si>
    <t>Ar. Wilfredo</t>
  </si>
  <si>
    <t>Sitio Tikiw Bulucan Calapan City, Oriental Mindoro</t>
  </si>
  <si>
    <t>Mindoro City</t>
  </si>
  <si>
    <t>Sir Benedict</t>
  </si>
  <si>
    <t>Sto Cristo, SJDM</t>
  </si>
  <si>
    <t>Blk 26 Lot 32 Makabud St., Amparo Subd. Caloocan City</t>
  </si>
  <si>
    <t>9541855462 / 9233120118</t>
  </si>
  <si>
    <t>1800 Angel Linao St. Paco, Manila</t>
  </si>
  <si>
    <t>Jun Venegas</t>
  </si>
  <si>
    <t xml:space="preserve">Lot 16 Block 1 St. Mary Home Barangay Almanza 1 </t>
  </si>
  <si>
    <t>#75 15th ave Murphy, Cubao</t>
  </si>
  <si>
    <t>Matibag, Commonwealth Market</t>
  </si>
  <si>
    <t>Phase 8, Lot 47 Block 215 Corner Mark and, Dollar, Quezon City, Metro Manila</t>
  </si>
  <si>
    <t>Sir Ryan</t>
  </si>
  <si>
    <t>Bac III Dr</t>
  </si>
  <si>
    <t>Pasay City</t>
  </si>
  <si>
    <t>Mam Marvi</t>
  </si>
  <si>
    <t>97 Pinagkwartelan Pandi</t>
  </si>
  <si>
    <t>Mam Marlyn</t>
  </si>
  <si>
    <t>0508 Gen.Alejo Santos Hiway Plaridel</t>
  </si>
  <si>
    <t>Sir Horhe</t>
  </si>
  <si>
    <t>Brgy. San Marcos Calumpit, Bulacan</t>
  </si>
  <si>
    <t xml:space="preserve">Erwin Ong </t>
  </si>
  <si>
    <t>324 Quirino Ave</t>
  </si>
  <si>
    <t>Mam Raiza</t>
  </si>
  <si>
    <t>West Fairview</t>
  </si>
  <si>
    <t>SJDM</t>
  </si>
  <si>
    <t>Sir Raymark</t>
  </si>
  <si>
    <t xml:space="preserve">Sta Maria </t>
  </si>
  <si>
    <t>004 Provincial Road Bunsuran 3rd, Pandi, Bulacan</t>
  </si>
  <si>
    <t>SIR ALBERT</t>
  </si>
  <si>
    <t>GULOD PULONG BUHANGIN, STA.MARIA</t>
  </si>
  <si>
    <t>36 Russia, Parañaque, 1709 Metro Manila</t>
  </si>
  <si>
    <t xml:space="preserve">Mam Priscilla </t>
  </si>
  <si>
    <t xml:space="preserve">BF Resort Village Talon 2 </t>
  </si>
  <si>
    <t>Mam Merly</t>
  </si>
  <si>
    <t>BF Resort Dr</t>
  </si>
  <si>
    <t xml:space="preserve">#36 Kasayahan St. IBP Road Batasan Hills </t>
  </si>
  <si>
    <t>Stall 110 Southville 3 Commercial Complex Southville, 3, Muntinlupa</t>
  </si>
  <si>
    <t>Sir Pito</t>
  </si>
  <si>
    <t>Ulingao, National Highway, San Rafael</t>
  </si>
  <si>
    <t>Senator L. Sumulong Memorial Circle, Brgy. San Isidro Siete y Media, Antipolo City</t>
  </si>
  <si>
    <t>936180133 / 9051409318</t>
  </si>
  <si>
    <t>Mam Victoria</t>
  </si>
  <si>
    <t>L.Sumulong Memorial Circle Antipolo</t>
  </si>
  <si>
    <t>Mam Archielyn</t>
  </si>
  <si>
    <t>Unit D, 280 El Grande Ave, International</t>
  </si>
  <si>
    <t>Road 20</t>
  </si>
  <si>
    <t>Sapang Palay Proper, San Jose Del Monte</t>
  </si>
  <si>
    <t>Mam Jessica</t>
  </si>
  <si>
    <t>Blk1 Lot 7 National Road Brgy Lawang Pare SJDM</t>
  </si>
  <si>
    <t>Ma'am Nora</t>
  </si>
  <si>
    <t>Sir Vincent</t>
  </si>
  <si>
    <t>Pamplona, Camarines Sur</t>
  </si>
  <si>
    <t>Camarines Sur</t>
  </si>
  <si>
    <t>Sir Joel</t>
  </si>
  <si>
    <t>Daraga Albay</t>
  </si>
  <si>
    <t>Winston R. Dimaiwat</t>
  </si>
  <si>
    <t>Hi-Way 1 San Roque, Iriga City</t>
  </si>
  <si>
    <t>Iriga City</t>
  </si>
  <si>
    <t>Ar. Kirsten</t>
  </si>
  <si>
    <t xml:space="preserve">Km4e Mc Arthur Hiway, Malolos </t>
  </si>
  <si>
    <t>Unit 2 Adeline Arcade 8888 Pangarap Village Brgy. 182 , District 3</t>
  </si>
  <si>
    <t>22 Redwood road Don Bosco</t>
  </si>
  <si>
    <t>#3 Apple St. Dividend Homes Subd. Brgy. San Juan Taytay</t>
  </si>
  <si>
    <t>53 L. Gutierrez St. Malabon</t>
  </si>
  <si>
    <t>Merville Access Rd, 201, Pasay City, 1309 Metro Manila</t>
  </si>
  <si>
    <t>Amparo Road</t>
  </si>
  <si>
    <t>38 Forestry, Diliman, Quezon City, 1128 Metro Manila</t>
  </si>
  <si>
    <t>Jovelyn Andrada / Armando Andrada</t>
  </si>
  <si>
    <t>Gimeno Bldg. Nat'l Rd.cor Gun-gon St. Guyong Sta Maria</t>
  </si>
  <si>
    <t>MAM ELENA</t>
  </si>
  <si>
    <t>1 Main Street Marietta-Romeo Village sta. LUCIA</t>
  </si>
  <si>
    <t>9555 Kalayaan Ave, Makati City, 1212 Metro Manila</t>
  </si>
  <si>
    <t>Makati City</t>
  </si>
  <si>
    <t>DRL/BAP</t>
  </si>
  <si>
    <t>2719 Taft Ave, Pasay City, 1304 Metro Manila</t>
  </si>
  <si>
    <t>1116 Kalayaan Ave, Gudalupe Nuevo, Makati City, 1212 Metro Manila</t>
  </si>
  <si>
    <t>1778 Eulogio Amang Rodriguez Ave, Dela Paz, Pasig, 1600 Metro Manila</t>
  </si>
  <si>
    <t>403 D.V. Laurilla St, Taguig, 1213 Metro Manila</t>
  </si>
  <si>
    <t>Taguig City</t>
  </si>
  <si>
    <t>2398 Antipolo St. Cor Yabut Guadalupe Nuevo</t>
  </si>
  <si>
    <t>901 J. P. Rizal St, Poblacion, 1210 Metro Manila</t>
  </si>
  <si>
    <t>880 J. P. Rizal St, 1210 Metro Manila</t>
  </si>
  <si>
    <t>917 JP Rizal St, corner Makati Ave, 7801 Metro Manila</t>
  </si>
  <si>
    <t>Mam Cynthia</t>
  </si>
  <si>
    <t>210 Purok 2 Lucero St, Mabolo Malolos</t>
  </si>
  <si>
    <t>Sir Frenzel</t>
  </si>
  <si>
    <t>Zone1 Paulien St, Iba</t>
  </si>
  <si>
    <t>Mam Ghie</t>
  </si>
  <si>
    <t>B20 L30 Galaxy St, cor Coaster St, Brixstoneville subd, Camarin</t>
  </si>
  <si>
    <t>Mam Amor</t>
  </si>
  <si>
    <t xml:space="preserve">2433 East Service Road </t>
  </si>
  <si>
    <t>1A, 1637 Seagull Ave, Taguig, Metro Manila</t>
  </si>
  <si>
    <t>11 Maestrang Pinang, Taguig, Metro Manila</t>
  </si>
  <si>
    <t xml:space="preserve">Maam mimie </t>
  </si>
  <si>
    <t xml:space="preserve">Stockholm Ave. </t>
  </si>
  <si>
    <t>Sir Manny</t>
  </si>
  <si>
    <t>Rosal St. T.S Cruz</t>
  </si>
  <si>
    <t>Sir Danny</t>
  </si>
  <si>
    <t>1362 Victoria Village Pag-Asa Binangonan</t>
  </si>
  <si>
    <t>Wilma Perlas</t>
  </si>
  <si>
    <t xml:space="preserve">Unit E 7B. A. SANDOVAL, PINAGBUHATAN </t>
  </si>
  <si>
    <t>Mam Judy</t>
  </si>
  <si>
    <t>129 Staghunt St.</t>
  </si>
  <si>
    <t xml:space="preserve">Aimie </t>
  </si>
  <si>
    <t xml:space="preserve">#932 Capistrano St. Ibayo Tipas </t>
  </si>
  <si>
    <t>Sir Denreck</t>
  </si>
  <si>
    <t xml:space="preserve">200 URBANO VELASCO, PINAGBUHATAN </t>
  </si>
  <si>
    <t>Mam Emily</t>
  </si>
  <si>
    <t xml:space="preserve">426 San Agustin, Palatine </t>
  </si>
  <si>
    <t>Nap Rivera</t>
  </si>
  <si>
    <t>536 Semintina St. Arnaiz Ave.</t>
  </si>
  <si>
    <t>Crisanta Palermo</t>
  </si>
  <si>
    <t>BLK32 LOT6, PHASE II-C2 KAALINSABAY ST. KARANGALAN VILLAGE, MANGAHAN</t>
  </si>
  <si>
    <t>8646-6790</t>
  </si>
  <si>
    <t>#147 Antonio Ave. Arnaiz, Pasay</t>
  </si>
  <si>
    <t>P39-09 10th-13th st Brgy.183 Pasay</t>
  </si>
  <si>
    <t>Maria Erla Baluyot</t>
  </si>
  <si>
    <t>L8-C JENNYS EXT. COR. FRANCISCO ST. SAN MIGUEL</t>
  </si>
  <si>
    <t>Ma. Theresa Lee Jacobe</t>
  </si>
  <si>
    <t>LOT II A-3 M.EUSEBIO Avenue ,San Miguel</t>
  </si>
  <si>
    <t>Marlon Ebin</t>
  </si>
  <si>
    <t>652 R. Castillo St. Brgy. Kalawaan</t>
  </si>
  <si>
    <t>Ricardo Idanan Delvalle</t>
  </si>
  <si>
    <t>246 Vergel St. Barangay 118</t>
  </si>
  <si>
    <t>Jtb bldg, 2165 P. Binay St, Bangkal, Makati City, 1233 Metro Manila</t>
  </si>
  <si>
    <t>Masangkay St, 261 Zone 24 Tondo Manila, 1003 Metro Manila</t>
  </si>
  <si>
    <t xml:space="preserve">Mam Maridel </t>
  </si>
  <si>
    <t>1496, Santa Maria Bypass Rd, Santa Maria</t>
  </si>
  <si>
    <t>Sir Rogelio</t>
  </si>
  <si>
    <t>83 Capitol Blvd, Sto Nino, San Fernando</t>
  </si>
  <si>
    <t>Pampanga</t>
  </si>
  <si>
    <t>Zone 051, 920 Blumentritt Rd, Sampaloc, Manila, 1008 Metro Manila</t>
  </si>
  <si>
    <t>Sir Raymond</t>
  </si>
  <si>
    <t>BLK 1 LOT 19 PINAGSAMA PHASE 2</t>
  </si>
  <si>
    <t xml:space="preserve">Sir Danny </t>
  </si>
  <si>
    <t xml:space="preserve">2674 South Avenue Olympia Cor. Jp Rizal  </t>
  </si>
  <si>
    <t>Glorie Cayanes</t>
  </si>
  <si>
    <t xml:space="preserve">6927 Washington St. Pio Del Pilar </t>
  </si>
  <si>
    <t>Sir Dennis</t>
  </si>
  <si>
    <t>1804 Taft Ave. Cor. Inquimboy St</t>
  </si>
  <si>
    <t>Mam Nena</t>
  </si>
  <si>
    <t>Blk 1 Lot 7 Riverside Drive Ortigas Ave Ext (Beside SM East Ortigas)</t>
  </si>
  <si>
    <t>Mam Amy</t>
  </si>
  <si>
    <t>23 A. BONIFACIO BARANGKA</t>
  </si>
  <si>
    <t>Marikina City</t>
  </si>
  <si>
    <t>JX3J+79H, F. Torres St, Binondo</t>
  </si>
  <si>
    <t>3 Angela St. Talon 1</t>
  </si>
  <si>
    <t>Sir Peter</t>
  </si>
  <si>
    <t>Quirion Hiway, SJDM</t>
  </si>
  <si>
    <t>Mam Ivy</t>
  </si>
  <si>
    <t>San Isidro, Lubao</t>
  </si>
  <si>
    <t>Sir John Mark</t>
  </si>
  <si>
    <t>BESc21 Purok 4 St, Graceville SJDM</t>
  </si>
  <si>
    <t>Bankers Dr, Caloocan, Metro Manila</t>
  </si>
  <si>
    <t>Towerville Brgy. Gaya Gaya San Jose Del Monte, Bulacan</t>
  </si>
  <si>
    <t>2780 Beata, Pandacan, Manila, 1011 Metro Manila</t>
  </si>
  <si>
    <t>Zone 2, 6 Ballecer, Taguig, 1632 Metro Manila</t>
  </si>
  <si>
    <t>2304 Laura St. Brgy 863 Zone 094 Pandacan, Manila</t>
  </si>
  <si>
    <t>120 P. Rosales, Pateros, Metro Manila</t>
  </si>
  <si>
    <t xml:space="preserve">2433 Rizal Ave Barangay 209 Zone 19 1012 Tondo I/II </t>
  </si>
  <si>
    <t>426 Martinez Corp. Sanggumay Paain View</t>
  </si>
  <si>
    <t>8th Street, Taguig, Metro Manila</t>
  </si>
  <si>
    <t>31 T. Alonzo St, Taguig, 1215 Metro Manila</t>
  </si>
  <si>
    <t>Barangay Pio Del Pilar, 6527 Washington, Makati City, Metro Manila</t>
  </si>
  <si>
    <t>Blk 215, Lot 27, Dollar, Novaliches, 1121 Metro Manila</t>
  </si>
  <si>
    <t>Blk 3 Lot 1 Towerville , Brgy.Gaya Gaya SJDM Bulacan</t>
  </si>
  <si>
    <t>Mangga Road, Sta. Maria Bulacan</t>
  </si>
  <si>
    <t>Kaypian Road, San Jose Del Monte City, Bulacan</t>
  </si>
  <si>
    <t>Blk 1 Lot 25 Area I Lawang Pari, SJDM, Bulacan</t>
  </si>
  <si>
    <t xml:space="preserve">St. Peter Brgy. 179, Maricaban Pasay </t>
  </si>
  <si>
    <t>85 Sen. Gil J. Puyat Ave, Pasay City, 1300 Metro Manila</t>
  </si>
  <si>
    <t>269 Commonwealth Ave. Diliman</t>
  </si>
  <si>
    <t>Abram St. Cor. Mt. Mayon, Taguig, Metro Manila</t>
  </si>
  <si>
    <t>Block 85 Lot 46 Phase 6A. Bonifacio Ave Upper Bicutan</t>
  </si>
  <si>
    <t>006 Everlasting St. 2nd Avenue Purok 6. Sta. Rita Minalin, Pampanga</t>
  </si>
  <si>
    <t>Unit 12, Jake Gonzales Bldg. Malabanias Angeles, Pampanga</t>
  </si>
  <si>
    <t>Lias Road Marilao, Bulacan</t>
  </si>
  <si>
    <t>San Nicolas, Poblacion Concepcion, Tarlac</t>
  </si>
  <si>
    <t>Tarlac</t>
  </si>
  <si>
    <t>Concepcion, Tarlac</t>
  </si>
  <si>
    <t>San Manuel, Tarlac</t>
  </si>
  <si>
    <t>110 B Purok 1 Paguiruan Floridablanca, Pampanga</t>
  </si>
  <si>
    <t>Pasville Pulungmasle Guagua, Pampanga</t>
  </si>
  <si>
    <t>Pook United Loma de Gato Marilao, Bulacan</t>
  </si>
  <si>
    <t>J.P Rizal St. Sta. Maria, Bulacan</t>
  </si>
  <si>
    <t>J Casim Bldg. 5402 Curie St. Palanan cor. Filmovest Makati</t>
  </si>
  <si>
    <t>25 Gen. Luna St, Taguig, 1632 Metro Manila</t>
  </si>
  <si>
    <t>#24 8th Street Nort Signal Taguig</t>
  </si>
  <si>
    <t>115 Purok 1 Sampaloc, Apalit, San Simon</t>
  </si>
  <si>
    <t>1702 Jose Laurel St, San Miguel, Manila, 1005 Metro Manila</t>
  </si>
  <si>
    <t xml:space="preserve">#65 15th Ave Murphy, Cubao Brgy. Socorro </t>
  </si>
  <si>
    <t>4th ave. Cor Del Mundo, Caloocan</t>
  </si>
  <si>
    <t>Bato, Camarines Sur</t>
  </si>
  <si>
    <t>936 Blumentritt Rd, Sampaloc, Manila</t>
  </si>
  <si>
    <t>Pandi, Bulacan</t>
  </si>
  <si>
    <t>Sheena Mae Pallanan</t>
  </si>
  <si>
    <t>Blk 30 Lot 39 EP Vill. Ph Western Bicutan, Taguig</t>
  </si>
  <si>
    <t>Pag-asa, Binangonan Rizal</t>
  </si>
  <si>
    <t>210 P. Santos St, Pasay City</t>
  </si>
  <si>
    <t>Tara Residences, Unit 221 No. 398, Tandang Sora Ave</t>
  </si>
  <si>
    <t>8952-0486</t>
  </si>
  <si>
    <t>830 Espeleta St, Sta. Cruz, Manila</t>
  </si>
  <si>
    <t>8738-5241</t>
  </si>
  <si>
    <t>M.H Del Pilar St, San Mateo, Rizal</t>
  </si>
  <si>
    <t>12 Welfareville Compound, Mandaluyong City</t>
  </si>
  <si>
    <t>8363-6443</t>
  </si>
  <si>
    <t>Barrameda, Taguig, Metro Manila</t>
  </si>
  <si>
    <t>8837-0335</t>
  </si>
  <si>
    <t>7627 Dela Rosa St, Brgy, Makati</t>
  </si>
  <si>
    <t>8818-8948</t>
  </si>
  <si>
    <t>Norzagaray - Minuyan, Bulacan</t>
  </si>
  <si>
    <t>Block 68, Lot 2C. Arellano, Katarungan Village, Muntinlupa</t>
  </si>
  <si>
    <t>389 Gen. Ordonez St, Marikina</t>
  </si>
  <si>
    <t>Blk 2 Lot 2 Isabelle Village, Kaypian SJDM Bulacan</t>
  </si>
  <si>
    <t>#001 Dove St. Corner Eagle St. Veteran's Village, Bagong Silang</t>
  </si>
  <si>
    <t>Chestnut, Cainta, 1900 Rizal</t>
  </si>
  <si>
    <t>8866-0104</t>
  </si>
  <si>
    <t>Maple-Sunrise Merchandising</t>
  </si>
  <si>
    <t>Block 1 Lot 5 Maple St. Greenwoods Executive, San andres Cainta, Rizal</t>
  </si>
  <si>
    <t>145 Dr. Sixto Antonio Ave., Pasig, Metro Manila</t>
  </si>
  <si>
    <t>Pasig, Metro Manila</t>
  </si>
  <si>
    <t>#13 Daffolly St. Rizal, Taguig City</t>
  </si>
  <si>
    <t>2412 Tejeron St, 878 Sta. Ana, Manila</t>
  </si>
  <si>
    <t>94-B Don A. Roces Ave, Diliman, Quezon City</t>
  </si>
  <si>
    <t>038 Receiver ST. CAA / 1038 recever street, Bf International/ CCA, Las Pinas, Metro Manila</t>
  </si>
  <si>
    <t>Las Pinas City</t>
  </si>
  <si>
    <t>533 A. De Leon Compound, Taytay, 1920 Rizal</t>
  </si>
  <si>
    <t>402, 1550 Barangka Dr., Mandaluyong City, Metro Manila</t>
  </si>
  <si>
    <t>654 T. Alonzo St. Sta. Cruz Manila</t>
  </si>
  <si>
    <t>(632) 733-5348</t>
  </si>
  <si>
    <t>1457 - 1459 Soler St, 2A Z 29 Sta. Cruz, Manila</t>
  </si>
  <si>
    <t>8733-7421</t>
  </si>
  <si>
    <t>Tolentino St., Pasay City</t>
  </si>
  <si>
    <t>144 Isarog, La Loma, Quezon City, 1114 Metro Manila</t>
  </si>
  <si>
    <t>A. Mariano St. Bagbaguin, Valenzuela</t>
  </si>
  <si>
    <t>3456-7090</t>
  </si>
  <si>
    <t>523 Mac Arthur Hi-Way, Malanday Valenzuela</t>
  </si>
  <si>
    <t>108, R. Jabson St, Pasig, 1600 Metro Manila</t>
  </si>
  <si>
    <t>Blk 9 Lot 26 La Adea del Rio Calawisan, Cebu</t>
  </si>
  <si>
    <t>Cebu City</t>
  </si>
  <si>
    <t>175 Gov. F. Halili Ext, Bocaue, 3018 Bulacan</t>
  </si>
  <si>
    <t>Highway San Jose patag, Santa Maria, 3022 Bulacan</t>
  </si>
  <si>
    <t>Marlane Subd., Quirino Hi-way, Brgy. Minuyan, Norzagaray, Bulacan</t>
  </si>
  <si>
    <t>National Road, Pulilan, Bulacan</t>
  </si>
  <si>
    <t>Jose Abad Santos Ave, Mexico, Pampanga</t>
  </si>
  <si>
    <t>Gregorio Del Pilar St., Calumpit Bulacan</t>
  </si>
  <si>
    <t>Bypass Road, San Rafael, 3008 Bulacan</t>
  </si>
  <si>
    <t>501 B. Serrano, Street, Taguig, 1100 Metro Manila</t>
  </si>
  <si>
    <t>153 Zone 2 Brgy. Muzon, SJDM Bulacan</t>
  </si>
  <si>
    <t>254A National Road, Muntinlupa, Metro Manila</t>
  </si>
  <si>
    <t>185-A 27Th Avenue Corner JP Rizal Extension, Taguig, 1216 Metro Manila</t>
  </si>
  <si>
    <t>8346-6313</t>
  </si>
  <si>
    <t>20 Stella Maris Ave, Pasig, 1607 Metro Manila</t>
  </si>
  <si>
    <t>8641-2501</t>
  </si>
  <si>
    <t>Mac Arthur Hi-way, Malolos, Bulacan</t>
  </si>
  <si>
    <t>General Alejo G. Santos Hwy, Plaridel, Bulacan</t>
  </si>
  <si>
    <t>Cabanatuan City, Nueva Ecija</t>
  </si>
  <si>
    <t>Nueva Ecija</t>
  </si>
  <si>
    <t>Burgos St. La Paz, Tarlac</t>
  </si>
  <si>
    <t>MacArthur Hwy, Apalit, Pampanga</t>
  </si>
  <si>
    <t>Masantol Road, Apalit-Macabebe. Apalit, Pampanga</t>
  </si>
  <si>
    <t>37 Apalit - Macabebe - Masantol Rd, Macabebe, Pampanga</t>
  </si>
  <si>
    <t>368, Laug, Mexico, Pampanga</t>
  </si>
  <si>
    <t>Mac Arthur Hi-way, San Fernando, Pampanga</t>
  </si>
  <si>
    <t>National Road cor. Jasmin St. Brgy. Green Village, Concepcion, Tarlac</t>
  </si>
  <si>
    <t>PGMR Hardware</t>
  </si>
  <si>
    <t>Jefmin Village Brgy. Dutung A Matas, Concepcion, Tarlac</t>
  </si>
  <si>
    <t>32 Paterno St, Balanga City, 2100 Bataan</t>
  </si>
  <si>
    <t>Bataan</t>
  </si>
  <si>
    <t>Mt.View Mariveles, Bataan, 2105</t>
  </si>
  <si>
    <t>71 Sct. Fernandez St, Diliman, Quezon City, 1103 Metro Manila</t>
  </si>
  <si>
    <t>141 1630, C-6, Taguig, 1632 Metro Manila</t>
  </si>
  <si>
    <t>Brgy. Camaias, San Miguel, Bulacan</t>
  </si>
  <si>
    <t>9068142455 / 9069482939</t>
  </si>
  <si>
    <t>Santa Rosa - Tarlac Rd, Santa Rosa, Nueva Ecija</t>
  </si>
  <si>
    <t>Santisima Trinidad, Malolos, Bulacan</t>
  </si>
  <si>
    <t>05 Del Pilar, San Fernando, 2000 Pampanga</t>
  </si>
  <si>
    <t>Sitio Argonza Brgy. Mt. View, Roman Superhighway, Mariveles, 2105 Bataan</t>
  </si>
  <si>
    <t>6 MacArthur Hwy, Potrero, Malabon, Metro Manila</t>
  </si>
  <si>
    <t>Extension, B136 L8 Mindanao Ave, Quezon City, Metro Manila</t>
  </si>
  <si>
    <t>Block 9 Lot, 25 Malanting, Amparo Subd, Caloocan, 1425 Metro Manila</t>
  </si>
  <si>
    <t>8814-0392</t>
  </si>
  <si>
    <t>191 N.S. Amoranto Sr. St, La Loma, Quezon City, 1114 Metro Manila</t>
  </si>
  <si>
    <t>2053-2055 Laong Laan Street, Brgy. 514 , Sampaloc East , 1008 City of Manila , Metro Manila</t>
  </si>
  <si>
    <t>1215 Pinaglabanan, Baclaran</t>
  </si>
  <si>
    <t>AREA 1</t>
  </si>
  <si>
    <t>(North Caloocan, Quezon City, San Juan, Marikina)</t>
  </si>
  <si>
    <t>JRA HARDWARE</t>
  </si>
  <si>
    <t>35 ILOCOS NORTHE ST. BANTAY QC.</t>
  </si>
  <si>
    <t>https://maps.app.goo.gl/i9pCasi2wwS4Na9U8</t>
  </si>
  <si>
    <t>0970-476-6309</t>
  </si>
  <si>
    <t>MANG AMBO PHIL. TRADING CORP.</t>
  </si>
  <si>
    <t>H31 M.H DELPILAR SAN ANTONIO QC.</t>
  </si>
  <si>
    <t>https://maps.app.goo.gl/xWAiojjVhXZotzLE6</t>
  </si>
  <si>
    <t>0916-475-3535</t>
  </si>
  <si>
    <t>JUNDANG 8 HARDWARE CONTRUCTION SUPPLY</t>
  </si>
  <si>
    <t>80 ROAD 20 QC.</t>
  </si>
  <si>
    <t>https://maps.app.goo.gl/7xc3yGZ64PRadcu88</t>
  </si>
  <si>
    <t>0905-614-7232</t>
  </si>
  <si>
    <t>ULTRA BOLT HARDWARE</t>
  </si>
  <si>
    <t>201B DELMONTE ST. MASAMBONG QC.</t>
  </si>
  <si>
    <t>https://maps.app.goo.gl/VgoFZcondZWX8nWu8</t>
  </si>
  <si>
    <t>0923-233-3242</t>
  </si>
  <si>
    <t>PMCJ DE GUZMAN HARDWARE &amp; CONSTRUCTION SUPPLY</t>
  </si>
  <si>
    <t>312 FPJ AVE. BRGY. SAN ANTONIO QC.</t>
  </si>
  <si>
    <t>https://maps.app.goo.gl/My3NikJUXRbJTyCq6</t>
  </si>
  <si>
    <t>LMDC HARDWARE</t>
  </si>
  <si>
    <t>1 OFELIA ST. BAHAY TORO QC.</t>
  </si>
  <si>
    <t>https://maps.app.goo.gl/bVygzwKeB8YJTdiK6</t>
  </si>
  <si>
    <t>0999-169-8785</t>
  </si>
  <si>
    <t>CARRY ALL BAILDERS SUPPLY INC.</t>
  </si>
  <si>
    <t>146 ROAD 20 COR. PROJ. 8 QC.</t>
  </si>
  <si>
    <t>https://maps.app.goo.gl/VsKkT84X2P1VHcoH9</t>
  </si>
  <si>
    <t>WELL 88 HARDWARE</t>
  </si>
  <si>
    <t>68 BUKDON ST. BAGO BANTAY QC.</t>
  </si>
  <si>
    <t>https://maps.app.goo.gl/KJ452sRgv5bebeTw9</t>
  </si>
  <si>
    <t>EAST ASIA BUILDERS SUPPLY INC.</t>
  </si>
  <si>
    <t>115 QUIRINO HIWAY BALONG BATO QC.</t>
  </si>
  <si>
    <t>https://maps.app.goo.gl/sE8cBXPdSCX2jLaq8</t>
  </si>
  <si>
    <t>ABILIS HARDWARE CONSTRUCTION &amp; SUPPLY</t>
  </si>
  <si>
    <t>3211 MANILA GRAVEL PIT RD. QC.</t>
  </si>
  <si>
    <t>https://maps.app.goo.gl/zeiZkFZSZx2GZPes7</t>
  </si>
  <si>
    <t>0917-148-9961</t>
  </si>
  <si>
    <t>JOMarkBUILDERS SUPPLY</t>
  </si>
  <si>
    <t>301 ROOSEVELT QC.</t>
  </si>
  <si>
    <t>https://maps.app.goo.gl/avuDfddBfuoce4g68</t>
  </si>
  <si>
    <t>0917-325-9552</t>
  </si>
  <si>
    <t>GNO DREAM BUILDERS INC.</t>
  </si>
  <si>
    <t>722 B BRGY. TALAYAN DELMONTE QC.</t>
  </si>
  <si>
    <t xml:space="preserve">870-4825/ 8712-4472 </t>
  </si>
  <si>
    <t>3 HAN PAINT CENTER</t>
  </si>
  <si>
    <t>1143 F SFDM AVE. BRGY. PALTOK QC.</t>
  </si>
  <si>
    <t>0961-187-8316</t>
  </si>
  <si>
    <t>SPDMP ENTERPRISE CO.</t>
  </si>
  <si>
    <t>332 FERNANDO POE JR. AVE VETERANS</t>
  </si>
  <si>
    <t xml:space="preserve">MAAM BERNIE </t>
  </si>
  <si>
    <t>0915-153-764</t>
  </si>
  <si>
    <t>SQUARE -B COMMERCIAL</t>
  </si>
  <si>
    <t>C-2 CONGRESSIONAL AVE BRGY. RAMON MAGSAYSAY QC.</t>
  </si>
  <si>
    <t>0908-609-1735</t>
  </si>
  <si>
    <t>LCS CONNSTRUCTION</t>
  </si>
  <si>
    <t>BRGY. 17TH NORTH CALOOCAN CITY</t>
  </si>
  <si>
    <t>0917-890-3474</t>
  </si>
  <si>
    <t>GENERIC STEEL MARKETING</t>
  </si>
  <si>
    <t>19 E. AGUINALDO ST. STA LUCIA NOVALICHES QC.</t>
  </si>
  <si>
    <t>ARTAN HARDWARE</t>
  </si>
  <si>
    <t>19 JP RIZAL ST. STA. LUCIA NOVALICHES QC.</t>
  </si>
  <si>
    <t>https://maps.app.goo.gl/2h7vMufKb6e3bvbZ6</t>
  </si>
  <si>
    <t>DOUBLE JJ CONSUMER GOOD TRADING</t>
  </si>
  <si>
    <t>191 DEPARO ROAD BRGY. 168 DEPARO 1400 CALOOCAN CITY</t>
  </si>
  <si>
    <t>https://maps.app.goo.gl/SNLjHqoQDoJSscjq7</t>
  </si>
  <si>
    <t>0967-219-759</t>
  </si>
  <si>
    <t>GOLDEN BUILD HARDWARE</t>
  </si>
  <si>
    <t>BLK 1 LOT 1SUSANO ROAD COR. DON ALEJANDO ST. GREENFIELDS SUBD.SAN AGUSTIN NOVALICHES QC.</t>
  </si>
  <si>
    <t xml:space="preserve">L CAMPOS TRADING </t>
  </si>
  <si>
    <t>2209 KM 17 COMMONWEALTH AVE BRGY. HOLY SPIRIT QC.</t>
  </si>
  <si>
    <t>VILLAMOR MARKETING CORP.</t>
  </si>
  <si>
    <t>LOT 20 B63 DON MARIANO MARCOS AVE BRGY. GREATER FAIRVIEW DIST. 2 QC.</t>
  </si>
  <si>
    <t>TBH BUILDERS</t>
  </si>
  <si>
    <t>706 A. GENERAL LUIS ST. CAYBIGA CALOOCAN CITY</t>
  </si>
  <si>
    <t>https://maps.app.goo.gl/Ms6FjvBU7tfGwrSE7</t>
  </si>
  <si>
    <t>SZAMANTA ENTERPRISE CO.</t>
  </si>
  <si>
    <t>3A-1 QUIRINO HIWAY PASONG PUTIK , NOVALICHES QC .</t>
  </si>
  <si>
    <t>https://maps.app.goo.gl/YtnQsMpN3Tkm33tx9</t>
  </si>
  <si>
    <t>RJ TILES TRADING</t>
  </si>
  <si>
    <t>015 BOLIVAR ST. PHASE 8 NORTH FAIRVIEW QC .</t>
  </si>
  <si>
    <t>https://maps.app.goo.gl/N6MyqHJtTgLLtuuF8</t>
  </si>
  <si>
    <t xml:space="preserve">FIRST TAP COMMERCIAL </t>
  </si>
  <si>
    <t xml:space="preserve">VIS INDUSTRIAL SALES CORPORATION </t>
  </si>
  <si>
    <t xml:space="preserve">NEO REIN MERCHANDISING </t>
  </si>
  <si>
    <t xml:space="preserve">MSRA EDIFICE TRADING CORPORATION </t>
  </si>
  <si>
    <t xml:space="preserve">POWER PRIME HARDWARE </t>
  </si>
  <si>
    <t xml:space="preserve">DMKA COCOLUMBER TRADING </t>
  </si>
  <si>
    <t xml:space="preserve">PLAN N EXECUTE HARDWARE </t>
  </si>
  <si>
    <t xml:space="preserve">HIGHLAND LAMBER </t>
  </si>
  <si>
    <t xml:space="preserve">EGV HARDWARE </t>
  </si>
  <si>
    <t xml:space="preserve">TOPCRAT HARDWARE </t>
  </si>
  <si>
    <t xml:space="preserve">NEW DD HARDWARE </t>
  </si>
  <si>
    <t xml:space="preserve">MELCO HARDWARE </t>
  </si>
  <si>
    <t xml:space="preserve">SANDBLOCK SAN CONSTRUCTION SUPPLY </t>
  </si>
  <si>
    <t>KABAYAN SAN JOSE BUILDERS &amp; CONSTRUCTION</t>
  </si>
  <si>
    <t xml:space="preserve">NENG UN </t>
  </si>
  <si>
    <t>0933-442-4865</t>
  </si>
  <si>
    <t xml:space="preserve">MCH HARDWARE </t>
  </si>
  <si>
    <t xml:space="preserve">BUASEN HARDWARE </t>
  </si>
  <si>
    <t xml:space="preserve">HUMILDE HARDWARE </t>
  </si>
  <si>
    <t xml:space="preserve">MEGACEM CONSTRUCTION SUPPLY </t>
  </si>
  <si>
    <t xml:space="preserve">BOSTRON BUILDERS CENTER </t>
  </si>
  <si>
    <t xml:space="preserve">NORHT LANDERS MARKETING CORPORATION </t>
  </si>
  <si>
    <t xml:space="preserve">CKR HARDWARE </t>
  </si>
  <si>
    <t xml:space="preserve">SAMLINCO MARKETING </t>
  </si>
  <si>
    <t xml:space="preserve">CM VILLAFLOR JR. </t>
  </si>
  <si>
    <t xml:space="preserve">RON &amp; JAY HARDWARE </t>
  </si>
  <si>
    <t xml:space="preserve">NEPO CONSTRUCTION SUPPLY </t>
  </si>
  <si>
    <t xml:space="preserve">EM EALORADO HARDWARE </t>
  </si>
  <si>
    <t xml:space="preserve">NEW SCC HARDWARE </t>
  </si>
  <si>
    <t xml:space="preserve">RIS INDUSTRIAL SALES </t>
  </si>
  <si>
    <t xml:space="preserve">CORIGEN TRADING </t>
  </si>
  <si>
    <t xml:space="preserve">VICPAR 888  HARDWARE </t>
  </si>
  <si>
    <t xml:space="preserve">GLORINJIN CONSTRUCTION SUPPLY </t>
  </si>
  <si>
    <t xml:space="preserve">LEN MINI HARDWARE </t>
  </si>
  <si>
    <t xml:space="preserve">EXY HARDWARE </t>
  </si>
  <si>
    <t xml:space="preserve">NJQ HARDWARE </t>
  </si>
  <si>
    <t xml:space="preserve">MANLANG ENTERPRISE </t>
  </si>
  <si>
    <t xml:space="preserve">GOLDEN BUILT HARDWARE </t>
  </si>
  <si>
    <t xml:space="preserve">PRIMAB HARDWARE </t>
  </si>
  <si>
    <t xml:space="preserve">TRUE TEMPES HARDWARE CORPORATION </t>
  </si>
  <si>
    <t xml:space="preserve">ZAPOTE TRADING </t>
  </si>
  <si>
    <t xml:space="preserve">AAETC </t>
  </si>
  <si>
    <t xml:space="preserve">LEO HARDWARE </t>
  </si>
  <si>
    <t xml:space="preserve">AIBEN TRADING </t>
  </si>
  <si>
    <t xml:space="preserve">MATARIK CONSTRUCTION SUPPLY </t>
  </si>
  <si>
    <t xml:space="preserve">GEORGE MIRASOL </t>
  </si>
  <si>
    <t>0919-638-0074</t>
  </si>
  <si>
    <t xml:space="preserve">KLENG KLENG CONSTRUCTION SUPPLY </t>
  </si>
  <si>
    <t xml:space="preserve">VIMALLOR MARKETING </t>
  </si>
  <si>
    <t xml:space="preserve">RANCE AARON </t>
  </si>
  <si>
    <t xml:space="preserve">KIM JOY HARDWARE </t>
  </si>
  <si>
    <t xml:space="preserve">HODIENG TRADING </t>
  </si>
  <si>
    <t xml:space="preserve">PRIME MarkBUILDERS </t>
  </si>
  <si>
    <t xml:space="preserve">CITI DRAGON BUILDERS </t>
  </si>
  <si>
    <t xml:space="preserve">LPM CONSTRUCTION SUPPLY </t>
  </si>
  <si>
    <t xml:space="preserve">ADS COMMERCIAL </t>
  </si>
  <si>
    <t xml:space="preserve">JOHNSON CHUA </t>
  </si>
  <si>
    <t>0917-835-0126</t>
  </si>
  <si>
    <t xml:space="preserve">ZETA  INTERNATONAL TRADING CORP. </t>
  </si>
  <si>
    <t xml:space="preserve">YOUR HOME </t>
  </si>
  <si>
    <t xml:space="preserve">JM HARDWARE </t>
  </si>
  <si>
    <t xml:space="preserve">HOLDING TRADING </t>
  </si>
  <si>
    <t xml:space="preserve">NESLIE BUILDERS SUPPLY </t>
  </si>
  <si>
    <t xml:space="preserve">LCT/ L. CAMPUS TILES TRADING </t>
  </si>
  <si>
    <t xml:space="preserve">SIGN WOOD </t>
  </si>
  <si>
    <t xml:space="preserve">JNCS HARDWARE </t>
  </si>
  <si>
    <t xml:space="preserve">COLONIALSTAR TRADING </t>
  </si>
  <si>
    <t xml:space="preserve">CENTRAL ASIA HARDWARE </t>
  </si>
  <si>
    <t xml:space="preserve">TMRS 888 CORPORATION </t>
  </si>
  <si>
    <t xml:space="preserve">SPARTAN 888 TRADING </t>
  </si>
  <si>
    <t xml:space="preserve">DELIGHT  CONSTRGUCTION SUPPLY </t>
  </si>
  <si>
    <t xml:space="preserve">SEEMAN ENTERPRISE </t>
  </si>
  <si>
    <t xml:space="preserve">CALOOCAN </t>
  </si>
  <si>
    <t xml:space="preserve">TIN MENDIJA </t>
  </si>
  <si>
    <t>0951-989-888</t>
  </si>
  <si>
    <t xml:space="preserve">VREY MAR HARDWARE </t>
  </si>
  <si>
    <t xml:space="preserve">VINCE ZUNIGA </t>
  </si>
  <si>
    <t>0999-677-8559</t>
  </si>
  <si>
    <t xml:space="preserve">RNA HARDWARE </t>
  </si>
  <si>
    <t xml:space="preserve">MARIZ </t>
  </si>
  <si>
    <t>0917-186-6836</t>
  </si>
  <si>
    <t xml:space="preserve">PARVIEW HARDWARE </t>
  </si>
  <si>
    <t xml:space="preserve">NENG </t>
  </si>
  <si>
    <t>0918-416-8688</t>
  </si>
  <si>
    <t xml:space="preserve">AIMATSO </t>
  </si>
  <si>
    <t xml:space="preserve">DONIS DIVINA </t>
  </si>
  <si>
    <t>09976-113-540</t>
  </si>
  <si>
    <t xml:space="preserve">NEUZZO ENT. CO </t>
  </si>
  <si>
    <t xml:space="preserve">QUEZON CITY </t>
  </si>
  <si>
    <t xml:space="preserve">JOANNA SEMILA </t>
  </si>
  <si>
    <t xml:space="preserve">0976-505-5370 </t>
  </si>
  <si>
    <t xml:space="preserve">EAZL GEN. MERCHADISE </t>
  </si>
  <si>
    <t xml:space="preserve">EDWARD HENANDEZ </t>
  </si>
  <si>
    <t xml:space="preserve">ZUNIGA  FRANCISCO HARDWARE </t>
  </si>
  <si>
    <t xml:space="preserve">FRANCISCO </t>
  </si>
  <si>
    <t>0927-160-6249</t>
  </si>
  <si>
    <t xml:space="preserve">POWER BUILT HARDWARE </t>
  </si>
  <si>
    <t xml:space="preserve">TOMMY ONG </t>
  </si>
  <si>
    <t>0927-428-8880</t>
  </si>
  <si>
    <t xml:space="preserve">IVJQ CONSTRUCTION SUPPLY </t>
  </si>
  <si>
    <t xml:space="preserve">SHIRLEY </t>
  </si>
  <si>
    <t>0998-264-3545</t>
  </si>
  <si>
    <t xml:space="preserve">LELORIJAN CONSTRUCTION SUPPLY </t>
  </si>
  <si>
    <t xml:space="preserve">JANICE LUNGAY </t>
  </si>
  <si>
    <t>0927-868-1584</t>
  </si>
  <si>
    <t xml:space="preserve">LEN'S MINI HARDWARE </t>
  </si>
  <si>
    <t xml:space="preserve">NICOLE ABACA </t>
  </si>
  <si>
    <t>0954-398-3302</t>
  </si>
  <si>
    <t xml:space="preserve">JEZZEL JANET </t>
  </si>
  <si>
    <t>0917-509-3135</t>
  </si>
  <si>
    <t xml:space="preserve">RODY CONSTRUCTION </t>
  </si>
  <si>
    <t xml:space="preserve">JESTONI </t>
  </si>
  <si>
    <t>0966-546-1638</t>
  </si>
  <si>
    <t xml:space="preserve">JAYMarkBUILDERS </t>
  </si>
  <si>
    <t xml:space="preserve">JESSIE PAGULAYAN </t>
  </si>
  <si>
    <t>0956-602-4869</t>
  </si>
  <si>
    <t xml:space="preserve">ZY EJJG ELECRIC SUPPLY </t>
  </si>
  <si>
    <t>EDILAN GUEVEO</t>
  </si>
  <si>
    <t>0943-338-6104</t>
  </si>
  <si>
    <t xml:space="preserve">LUCKY HANA HARDWARE </t>
  </si>
  <si>
    <t xml:space="preserve">LANGIT ROAD CALOOCAN </t>
  </si>
  <si>
    <t xml:space="preserve">0977-287-1040 </t>
  </si>
  <si>
    <t xml:space="preserve">DOUBLE A'S HARDWARE </t>
  </si>
  <si>
    <t xml:space="preserve">BAGONG SILANG CALOOCAN </t>
  </si>
  <si>
    <t>0927-186-6318</t>
  </si>
  <si>
    <t xml:space="preserve">AL-LI J.E HARDWARE </t>
  </si>
  <si>
    <t>0997-186-6318</t>
  </si>
  <si>
    <t xml:space="preserve">SOLITO EBAS </t>
  </si>
  <si>
    <t>0905-546-1903</t>
  </si>
  <si>
    <t xml:space="preserve">VICOL TRADING </t>
  </si>
  <si>
    <t>0956-574-5137</t>
  </si>
  <si>
    <t xml:space="preserve">MYZAME HARDWARE </t>
  </si>
  <si>
    <t xml:space="preserve">CAMARIN CALOOCAN </t>
  </si>
  <si>
    <t>0915-289-0102</t>
  </si>
  <si>
    <t xml:space="preserve">RMND HARDWARE </t>
  </si>
  <si>
    <t>0917-202-4405</t>
  </si>
  <si>
    <t xml:space="preserve">NEAVILLE HARDWARE </t>
  </si>
  <si>
    <t xml:space="preserve">SAMPAGUITA ST. QUEZSON CITY </t>
  </si>
  <si>
    <t xml:space="preserve">ROSE </t>
  </si>
  <si>
    <t>0975-368-281</t>
  </si>
  <si>
    <t xml:space="preserve">GOOD HARDWARE </t>
  </si>
  <si>
    <t>0936-363-5797</t>
  </si>
  <si>
    <t xml:space="preserve">CJCY HARDWARE </t>
  </si>
  <si>
    <t xml:space="preserve">JEREME </t>
  </si>
  <si>
    <t>0906-699-5818</t>
  </si>
  <si>
    <t xml:space="preserve">LEN-MAE HARDWARE </t>
  </si>
  <si>
    <t xml:space="preserve">MALIGAY ST. QUEZON CITY </t>
  </si>
  <si>
    <t xml:space="preserve">PAULO </t>
  </si>
  <si>
    <t>0995-897-8145</t>
  </si>
  <si>
    <t xml:space="preserve">PARKLAND HARDWARE CONSTRUCTION SUPPLY </t>
  </si>
  <si>
    <t>0928-777-7747</t>
  </si>
  <si>
    <t>AREA 2</t>
  </si>
  <si>
    <t>(South Caloocan, Malabon, Navotas, Valenzuela)</t>
  </si>
  <si>
    <t>VICOL TRADING</t>
  </si>
  <si>
    <t>PH8 PKG6 BLK LOT 6 BRGY. 176 BAGONG SILANG CALOOCAN CITY</t>
  </si>
  <si>
    <t>https://maps.app.goo.gl/11fV5odZ19DnvuT7A</t>
  </si>
  <si>
    <t/>
  </si>
  <si>
    <t>SOLITO EBAS</t>
  </si>
  <si>
    <t>PH 8B PKG 3 BLK 50 LOT 19 BAGONG SILANG CALOOCAN CITY</t>
  </si>
  <si>
    <t>RHND HARDWARE</t>
  </si>
  <si>
    <t>BLK 14 LOT 8 PH 5 A PKG BRGY. 176 BAGONG SILANG CALOOCAN CITY</t>
  </si>
  <si>
    <t>MYZAINE HARDWARE</t>
  </si>
  <si>
    <t>1650 ILANG ILANG ST. PHHC CAMARIN AREA B BRGY. 174 CALOOCAN CITY</t>
  </si>
  <si>
    <t>LADJ GENERAL MERCHANDISE</t>
  </si>
  <si>
    <t>1000 LOUREX AVE COR. GEN T. DE LEON VALENZUELA CITY</t>
  </si>
  <si>
    <t>TGF HARDWARE</t>
  </si>
  <si>
    <t>5018 GEN T. DE LEON ROAD HEN T. DE LEON VALENZUELA CITY</t>
  </si>
  <si>
    <t>https://maps.app.goo.gl/FZbZK17bELaZZvLj7</t>
  </si>
  <si>
    <t>BUILD WORKS HARDWARE &amp; CONST. SUPPLIES</t>
  </si>
  <si>
    <t>3013 GEN T. DE LEON RD. GENN T. DE LEON VALENZUELA CITY</t>
  </si>
  <si>
    <t>BLUE MOON ENTERPRISE</t>
  </si>
  <si>
    <t>PASO DE BLAS ROAD, VALENZUELA CITY</t>
  </si>
  <si>
    <t>https://maps.app.goo.gl/Tn14ijCJPsxQQpM5A</t>
  </si>
  <si>
    <t xml:space="preserve">WHITEKING HARDWARE </t>
  </si>
  <si>
    <t xml:space="preserve">GENERAL LIUS VALENZUELA CITY </t>
  </si>
  <si>
    <t xml:space="preserve">SUN TAP HARDWARE </t>
  </si>
  <si>
    <t>0933-665-9178</t>
  </si>
  <si>
    <t xml:space="preserve">GDE HGARDWARE </t>
  </si>
  <si>
    <t>0945-568-8199</t>
  </si>
  <si>
    <t xml:space="preserve">STRONG HOLD HARDWARE </t>
  </si>
  <si>
    <t>0919-783-7349</t>
  </si>
  <si>
    <t xml:space="preserve">RTN CONSTUCTION SUPPLY </t>
  </si>
  <si>
    <t xml:space="preserve">F. BAUTISTA VALENZUELA CITY </t>
  </si>
  <si>
    <t>0933-637-9596</t>
  </si>
  <si>
    <t xml:space="preserve">R-MAC HARDWARE </t>
  </si>
  <si>
    <t xml:space="preserve">BUILD IT HARDWARE </t>
  </si>
  <si>
    <t xml:space="preserve">SOUTH SERVICE ROAD VALENZUELA CITY </t>
  </si>
  <si>
    <t xml:space="preserve">PAT </t>
  </si>
  <si>
    <t>0998-895-7357</t>
  </si>
  <si>
    <t xml:space="preserve">VERK GENERAL MERCH. </t>
  </si>
  <si>
    <t xml:space="preserve">QUE GRANDE ROAD VALENZUELA CITY </t>
  </si>
  <si>
    <t>0917-323-4226</t>
  </si>
  <si>
    <t xml:space="preserve">SAMANIEGO HARDAWRE </t>
  </si>
  <si>
    <t>0922-736-9142</t>
  </si>
  <si>
    <t xml:space="preserve">WLC TILE CENTER </t>
  </si>
  <si>
    <t>0938-830-8157</t>
  </si>
  <si>
    <t xml:space="preserve">EAST OCEAN HARDWARE </t>
  </si>
  <si>
    <t>0927-219-5617</t>
  </si>
  <si>
    <t xml:space="preserve">GABDAN HARDWARE </t>
  </si>
  <si>
    <t>0933-399-8512</t>
  </si>
  <si>
    <t xml:space="preserve">NICMAR TRADING </t>
  </si>
  <si>
    <t xml:space="preserve">0907-016-3520 </t>
  </si>
  <si>
    <t xml:space="preserve">JJMW ROOFING &amp; HARDWARE </t>
  </si>
  <si>
    <t xml:space="preserve">GENERAL T. DE LEON VALENZUELA CITY </t>
  </si>
  <si>
    <t>0945-133-2098</t>
  </si>
  <si>
    <t>0943-480-8057</t>
  </si>
  <si>
    <t xml:space="preserve">NMASA-TORT HARDWARE  </t>
  </si>
  <si>
    <t xml:space="preserve">SANTOLAN ROAD VALENZUELA CITY </t>
  </si>
  <si>
    <t>0969-068-7875</t>
  </si>
  <si>
    <t xml:space="preserve">GEN. MERCHANDISE </t>
  </si>
  <si>
    <t xml:space="preserve">OLD SANTOLAN ROAD VALENZUELA CITY </t>
  </si>
  <si>
    <t>0915-841-0380</t>
  </si>
  <si>
    <t xml:space="preserve">BUILDWORKS HARDWARE &amp; CONST. SUPPLIES </t>
  </si>
  <si>
    <t>0949-779-2647</t>
  </si>
  <si>
    <t xml:space="preserve">LAV OTO HAND TRADING </t>
  </si>
  <si>
    <t>0961-496-2315</t>
  </si>
  <si>
    <t xml:space="preserve">SB PINALAKAS HARDWARE </t>
  </si>
  <si>
    <t xml:space="preserve">GENERRAL T. DE LEON  VALENZUELA  CITY </t>
  </si>
  <si>
    <t>0961-065-9913</t>
  </si>
  <si>
    <t xml:space="preserve">BACES MERCHANDISE </t>
  </si>
  <si>
    <t>0923-844-4634</t>
  </si>
  <si>
    <t xml:space="preserve">JSP FLOOR TRADING </t>
  </si>
  <si>
    <t>02-440-477</t>
  </si>
  <si>
    <t xml:space="preserve">RCDJR GENERAL MERCH. </t>
  </si>
  <si>
    <t xml:space="preserve">DE GUIA VALENZUELA CITY </t>
  </si>
  <si>
    <t>0928-289-0990</t>
  </si>
  <si>
    <t xml:space="preserve">GOLDEMPRESS HARDWARE </t>
  </si>
  <si>
    <t xml:space="preserve">KARUHATAN ROAD VALENZUELA CITY </t>
  </si>
  <si>
    <t>0917-548-2008</t>
  </si>
  <si>
    <t xml:space="preserve">DRAGON -EAST HARDWARE </t>
  </si>
  <si>
    <t>0928-930-0404</t>
  </si>
  <si>
    <t xml:space="preserve">GOLDENTOWN BROS CORP. </t>
  </si>
  <si>
    <t>829-14995</t>
  </si>
  <si>
    <t xml:space="preserve">RED BOTS HARDWARE </t>
  </si>
  <si>
    <t xml:space="preserve">SAN MIGUEL VALENZUELA CITY </t>
  </si>
  <si>
    <t>0921-604-1786</t>
  </si>
  <si>
    <t xml:space="preserve">TRIPLE B HARDWARE TRADING </t>
  </si>
  <si>
    <t xml:space="preserve">MACARTHUR HIWAY VALENZUELA CITY </t>
  </si>
  <si>
    <t>08-291-6473</t>
  </si>
  <si>
    <t xml:space="preserve">JEVY HARDWARE </t>
  </si>
  <si>
    <t xml:space="preserve">ZAPOTE CALOOCAN CITY </t>
  </si>
  <si>
    <t>0930-215-8118</t>
  </si>
  <si>
    <t xml:space="preserve">AKGG HARDWARE TRADING </t>
  </si>
  <si>
    <t xml:space="preserve">ISAIAH CALOOCAN CITY </t>
  </si>
  <si>
    <t>0929-959-1291</t>
  </si>
  <si>
    <t xml:space="preserve">HLSF CONSTRUCTION SUPPLY </t>
  </si>
  <si>
    <t xml:space="preserve">MAHOGANY ST. CALOOCAN CITY </t>
  </si>
  <si>
    <t>0948-141-6926</t>
  </si>
  <si>
    <t xml:space="preserve">FOUR Z HARDWARE </t>
  </si>
  <si>
    <t xml:space="preserve">ZABARTE ROAD CALOOCAN CITY </t>
  </si>
  <si>
    <t>0917-823-7747</t>
  </si>
  <si>
    <t xml:space="preserve">MSTA TRADING </t>
  </si>
  <si>
    <t>0921-329-8051</t>
  </si>
  <si>
    <t xml:space="preserve">NORTH BUILT TRADING </t>
  </si>
  <si>
    <t xml:space="preserve">DEPARO ROAD CALOOCAN CITY </t>
  </si>
  <si>
    <t>0969-491-8891</t>
  </si>
  <si>
    <t xml:space="preserve">PRIMAB </t>
  </si>
  <si>
    <t xml:space="preserve">CAMARIN ROAD CALOOCAN CITY </t>
  </si>
  <si>
    <t>0918-916-3972</t>
  </si>
  <si>
    <t xml:space="preserve">SJA 888 </t>
  </si>
  <si>
    <t>0991-701-6678</t>
  </si>
  <si>
    <t xml:space="preserve">V-C MINI HARDWARE </t>
  </si>
  <si>
    <t>0919-353-8818</t>
  </si>
  <si>
    <t xml:space="preserve">GBG HARDWARE </t>
  </si>
  <si>
    <t xml:space="preserve">MALIGAY ST. CALOOCAN CITY </t>
  </si>
  <si>
    <t>0977-459-1243</t>
  </si>
  <si>
    <t>AREA 3</t>
  </si>
  <si>
    <t>(Manila, Mandaluyong, Makati, Pasig, Pateros)</t>
  </si>
  <si>
    <t>KAT &amp; REN HARDWARE</t>
  </si>
  <si>
    <t>83 URBAN PINAG BUTAHAN PASIG CITY</t>
  </si>
  <si>
    <t>RITZ JOY CORPORATION</t>
  </si>
  <si>
    <t>BLK 32 MARTINEZ ST. BRGY. ADDITIONAL HILLS MANDALUYONG CITY</t>
  </si>
  <si>
    <t>https://maps.app.goo.gl/iNdtbQZudHnTd9zi9</t>
  </si>
  <si>
    <t>BBB METAL PRODUCTS &amp; HARDWARE</t>
  </si>
  <si>
    <t>MGR BLDG 451 BONI AVE MANDALUYONG CITY</t>
  </si>
  <si>
    <t>GREEN VALLEY HARDWARE</t>
  </si>
  <si>
    <t>953 D. SANTIAGO ST. SAMPALOC MANILA</t>
  </si>
  <si>
    <t>https://maps.app.goo.gl/qW9GRgqN96Ge1w9t5</t>
  </si>
  <si>
    <t>MAFEL JOY HARDWARE</t>
  </si>
  <si>
    <t>6 BRGY ADDITIONAHILLS MANDALUYONG CITY</t>
  </si>
  <si>
    <t>https://maps.app.goo.gl/kngg25GAq4QxK7yX8</t>
  </si>
  <si>
    <t>152 GEN. KALENTONG MANDALUYONG CITY</t>
  </si>
  <si>
    <t>https://maps.app.goo.gl/BZy5x3eVVUwr8Knt7</t>
  </si>
  <si>
    <t>FIVE J HARDWARE</t>
  </si>
  <si>
    <t>600 PASIG SHAW BRGY. KAPITOLYO PASIG CITY</t>
  </si>
  <si>
    <t>10 SHAW BLVD BRGY SAN ANTONIO PASIG CITY</t>
  </si>
  <si>
    <t>https://maps.app.goo.gl/WrxvDX4hDkWXuw5B8</t>
  </si>
  <si>
    <t>1ST VERGARA HARDWARE</t>
  </si>
  <si>
    <t>2322 TEJERON ST. STA. ANA MANILA</t>
  </si>
  <si>
    <t>https://maps.app.goo.gl/3pKzsTX1tvh9XHkA6</t>
  </si>
  <si>
    <t>AREA 4</t>
  </si>
  <si>
    <t>(Muntinlupa, Las Pinas, Paranaque, Pasay, Taguig)</t>
  </si>
  <si>
    <t>NEW AMG GENERAL MERCHANDISE</t>
  </si>
  <si>
    <t>46 KATIHAN ST. POBLACIO MUNTINLUPA CITY</t>
  </si>
  <si>
    <t>https://maps.app.goo.gl/h1fYTTvZWmkR5irY6</t>
  </si>
  <si>
    <t>EVERYDAY HARDWARE</t>
  </si>
  <si>
    <t>221 NATIONAL ROAD BAYANAN MUNTINLUPA CITY</t>
  </si>
  <si>
    <t>https://maps.app.goo.gl/L6VeHWQLWJHP924A6</t>
  </si>
  <si>
    <t>ELUZ ENTERPRISE</t>
  </si>
  <si>
    <t>QUIRINO AVE,BRGY. DONGALO PARANAQUE CITY</t>
  </si>
  <si>
    <t>https://maps.app.goo.gl/v1wGjYvL7xY2SXNZ8</t>
  </si>
  <si>
    <t>YEM KU GENERAL MERCHANDISE</t>
  </si>
  <si>
    <t>CRM AVE. LAS PINAS CITY</t>
  </si>
  <si>
    <t>https://maps.app.goo.gl/nacTjwncNfhxq3L3A</t>
  </si>
  <si>
    <t>REAL ELECTRICAL</t>
  </si>
  <si>
    <t>235 PALANYAG BERNABE GATCHALIAN SAN DIONSIO PARANAQUE CITY</t>
  </si>
  <si>
    <t>https://maps.app.goo.gl/XKvEiF6t77HNsHNk8</t>
  </si>
  <si>
    <t>ALL PEOPLE GENERAL MERCHANDISE</t>
  </si>
  <si>
    <t>QUIRINO AVE . BRGY. SAN DIONISIO PARANAQUE CITY</t>
  </si>
  <si>
    <t xml:space="preserve">AREA 5  </t>
  </si>
  <si>
    <t xml:space="preserve">CDK  LUMBER AND HARDWARE </t>
  </si>
  <si>
    <t>PROVINCIAL RD. STA.CRUZ,STA.MARIA,BULACAN</t>
  </si>
  <si>
    <t>MA'AM NILDA MACALINAO</t>
  </si>
  <si>
    <t>SANTA MARIA 888 HARDWARE &amp; CONST.SUPPLY</t>
  </si>
  <si>
    <t xml:space="preserve"> STA.MARIA-PANDI RD. STA.CRUZ,STA.MARIA,BULACAN</t>
  </si>
  <si>
    <t xml:space="preserve"> SIR ERWIN TAN</t>
  </si>
  <si>
    <t xml:space="preserve"> DRD CONSTRUCTION SUPPLY </t>
  </si>
  <si>
    <t>STA.MARIA-PANDI RD. STA.CRUZ, STA.MARIA,BULACAN</t>
  </si>
  <si>
    <t>SIR DONALD</t>
  </si>
  <si>
    <t xml:space="preserve">LMS HARDWARE </t>
  </si>
  <si>
    <t>STA.MARIA-PANDI RD. STA.CRUZ,STA.MARIA,BULACAN</t>
  </si>
  <si>
    <t>MA'AM LILIA</t>
  </si>
  <si>
    <t>JDS BUILDER'S SUPPLY</t>
  </si>
  <si>
    <t xml:space="preserve"> SIR MARVIN CHONG</t>
  </si>
  <si>
    <t>DZON HARDWARE TRADING</t>
  </si>
  <si>
    <t>STA.MARIA-PANDI RD. MANGGAHAN,STA.MARIA,BULACAN</t>
  </si>
  <si>
    <t>MA'AM MYLENE</t>
  </si>
  <si>
    <t xml:space="preserve">DC MARIANO'S HARDWARE </t>
  </si>
  <si>
    <t>STA.CRUZ, STA.MARIA, BULACAN</t>
  </si>
  <si>
    <t>SIR DANILO</t>
  </si>
  <si>
    <t xml:space="preserve">Blueland Builders supply </t>
  </si>
  <si>
    <t>Mc Arthur Hiway Borol 1st, Balagtas, Bulacan</t>
  </si>
  <si>
    <t>GB Centennial Hardware</t>
  </si>
  <si>
    <t>Mc Arthur Hiway Brgy.Borol 1st, Balagtas,Bulacan</t>
  </si>
  <si>
    <t xml:space="preserve"> Ma'am Vivian Paguia</t>
  </si>
  <si>
    <t xml:space="preserve">JUNMYN HARDWARE </t>
  </si>
  <si>
    <t>PROVINCIAL RD. BOROL 2ND, BALAGTAS,BULACAN</t>
  </si>
  <si>
    <t>SIR RICARDO</t>
  </si>
  <si>
    <t xml:space="preserve">BGS CONSTRUCTION SUPPLY </t>
  </si>
  <si>
    <t xml:space="preserve"> PROVINCIAL RD. PULONG GUBAT, BALAGTAS,BULACAN</t>
  </si>
  <si>
    <t xml:space="preserve"> MA'AM VIVIAN SANTIAGO</t>
  </si>
  <si>
    <t xml:space="preserve">UNCLE SAM HARDWARE </t>
  </si>
  <si>
    <t>PROVINCIAL RD. BRGY.SANTOL, BALAGTAS,BULACAN</t>
  </si>
  <si>
    <t>SIR RICKY</t>
  </si>
  <si>
    <t xml:space="preserve">GARY-LHEN HARDWARE </t>
  </si>
  <si>
    <t xml:space="preserve"> PROVINCIAL RD. SANTOL,BALAGTAS,BULACAN</t>
  </si>
  <si>
    <t>MA'AM LHEN-LHEN PAGUIA</t>
  </si>
  <si>
    <t>BALAGTAS HEIGHTS GEN.MERCHANDISE</t>
  </si>
  <si>
    <t xml:space="preserve"> NORTHVILLE VILLAGE BRGY.SANTOL, BALAGTAS, BULACAN</t>
  </si>
  <si>
    <t>MA'AM ANGELA MENDOZA</t>
  </si>
  <si>
    <t xml:space="preserve">ERA CONSTRUCTION SUPPLY </t>
  </si>
  <si>
    <t>LAJOM ST. STO.CRISTO,BALIUAG, BULACAN</t>
  </si>
  <si>
    <t>MA'AM MARICAR</t>
  </si>
  <si>
    <t>VICTOR GONZALES GEN.MERCHANDISE</t>
  </si>
  <si>
    <t>BENIGNO S. AQUINO AVE. TANGOS,BALIUAG,BULACAN</t>
  </si>
  <si>
    <t>SIR VICTOR</t>
  </si>
  <si>
    <t xml:space="preserve">BER-DE PAINT CENTER </t>
  </si>
  <si>
    <t xml:space="preserve"> BENIGNO S.AQUINO AVE. TANGOS,BALIUAG,BULACAN</t>
  </si>
  <si>
    <t>MA'AM GINA BERNABE</t>
  </si>
  <si>
    <t xml:space="preserve"> RXJ HARDWARE</t>
  </si>
  <si>
    <t xml:space="preserve"> BENIGNO S. AQUINO AVE. TANGOS,BALIUAG,BULACAN</t>
  </si>
  <si>
    <t>SIR JAY-R CHUA</t>
  </si>
  <si>
    <t xml:space="preserve">ZFV HARDWARE </t>
  </si>
  <si>
    <t xml:space="preserve"> MAGSAYSAY ST. TILAPAYONG,BALIUAG,BULACAN</t>
  </si>
  <si>
    <t>MA'AM GRACE</t>
  </si>
  <si>
    <t>HOMEE DEPOT TILE CENTER</t>
  </si>
  <si>
    <t xml:space="preserve">MAGSAYSAY ST. TILAPAYONG, BALIUAG, BULACAN </t>
  </si>
  <si>
    <t>MA'AM JENNIFER</t>
  </si>
  <si>
    <t>ACCA HARDWARE</t>
  </si>
  <si>
    <t>MAGSAYSAY ST. SULIVAN,BALIUAG,BULACAN</t>
  </si>
  <si>
    <t xml:space="preserve"> SIR KEVIN ONG</t>
  </si>
  <si>
    <t xml:space="preserve"> RANCEP HARDWARE</t>
  </si>
  <si>
    <t>GEN.ALEJO G.SANTOS HIWAY SAN PEDRO,BUSTOS,BULACAN</t>
  </si>
  <si>
    <t>SIR RANDY</t>
  </si>
  <si>
    <t xml:space="preserve"> RICO HARDWARE </t>
  </si>
  <si>
    <t xml:space="preserve"> GEN.ALEJO SANTOS HIWAY SAN PEDRO,BUSTOS,BULACAN</t>
  </si>
  <si>
    <t>SIR RICO UY</t>
  </si>
  <si>
    <t xml:space="preserve">J4ML HARDWARE </t>
  </si>
  <si>
    <t>STO.NIÑO ST. POBLACION,BUSTOS,BULACAN</t>
  </si>
  <si>
    <t>MA'AM CHARRIE MANIEGO</t>
  </si>
  <si>
    <t xml:space="preserve">JE CORNERSTONE HARDWARE TRADING </t>
  </si>
  <si>
    <t xml:space="preserve"> GEN.ALEJO SANTOS HIWAY BONGA MAYOR,BUSTOS,BULACAN</t>
  </si>
  <si>
    <t>SIR DENNIS</t>
  </si>
  <si>
    <t xml:space="preserve">DIKONG HARDWARE </t>
  </si>
  <si>
    <t xml:space="preserve">CLARO SANTOS ST. BONGA MAYOR, BUSTOS, BULACAN </t>
  </si>
  <si>
    <t>MA'AM LILIA DE LEON</t>
  </si>
  <si>
    <t xml:space="preserve">JEG HARDWARE </t>
  </si>
  <si>
    <t>HENSON ST. CATACTE,BUSTOS,BULACAN</t>
  </si>
  <si>
    <t>SIR JAMES</t>
  </si>
  <si>
    <t xml:space="preserve">IBAYO CONSTRUCTION SUPPLY </t>
  </si>
  <si>
    <t>SITIO IBAYO BRGY.LICIADA,BUSTOS,BULACAN</t>
  </si>
  <si>
    <t>SIR RICHARD</t>
  </si>
  <si>
    <t>ONIPSE TRADING</t>
  </si>
  <si>
    <t>AFP/PNP VILLAGE BATIA,BOCAUE,BULACAN</t>
  </si>
  <si>
    <t>SIR JAYPEE ESPINO</t>
  </si>
  <si>
    <t xml:space="preserve">DG HALILI HARDWARE </t>
  </si>
  <si>
    <t xml:space="preserve"> PANDI-BATIA RD. BATIA, BOCAUE,BULACAN</t>
  </si>
  <si>
    <t>SIR DANNY HALILI</t>
  </si>
  <si>
    <t>MELDITH GENERAL</t>
  </si>
  <si>
    <t>PANDI-BATIA RD. BATIA,BOCAUE,BULACAN</t>
  </si>
  <si>
    <t>MA'AM EDITH</t>
  </si>
  <si>
    <t xml:space="preserve">LVH HARDWARE </t>
  </si>
  <si>
    <t xml:space="preserve"> STA.MARIA-BOCAUE RD. TAMBUBONG, BOCAUE,BULACAN</t>
  </si>
  <si>
    <t>MA'AM MIRASOL</t>
  </si>
  <si>
    <t xml:space="preserve">VLCD COMMERCIAL </t>
  </si>
  <si>
    <t>TA.MARIA-BOCAUE RD. TAAL,BOCAUE,BULACAN</t>
  </si>
  <si>
    <t>MA'AM LAILA SAMSON</t>
  </si>
  <si>
    <t xml:space="preserve">T&amp;A HARDWARE </t>
  </si>
  <si>
    <t>MAHABANG PARANG RD. SAN GABRIEL,STA.MARIA,BULACAN</t>
  </si>
  <si>
    <t>SIR JOHN TAN</t>
  </si>
  <si>
    <t>SAPANG PALAY, CSJDM,BULACA</t>
  </si>
  <si>
    <t>SIR BRYAN</t>
  </si>
  <si>
    <t xml:space="preserve">RM LAZARO </t>
  </si>
  <si>
    <t xml:space="preserve">SAN MIGUEL BULACAN </t>
  </si>
  <si>
    <t xml:space="preserve">SIR RONALD </t>
  </si>
  <si>
    <t xml:space="preserve">TORRES CONSTRUCTION SUPPLY </t>
  </si>
  <si>
    <t xml:space="preserve">MAAM BING </t>
  </si>
  <si>
    <t xml:space="preserve">VMC PAINT </t>
  </si>
  <si>
    <t>SIR Mark</t>
  </si>
  <si>
    <t xml:space="preserve">SAN VICEDNTE TRADING </t>
  </si>
  <si>
    <t xml:space="preserve">SIR ALBERT </t>
  </si>
  <si>
    <t xml:space="preserve">KAMIAS CONSTRUCTION SUPPLY </t>
  </si>
  <si>
    <t xml:space="preserve">SIR PAUL </t>
  </si>
  <si>
    <t xml:space="preserve">PANDI BULACAN </t>
  </si>
  <si>
    <t xml:space="preserve">SIR ROLLY </t>
  </si>
  <si>
    <t xml:space="preserve">DCNK COLOUR </t>
  </si>
  <si>
    <t xml:space="preserve">MAAM DANE </t>
  </si>
  <si>
    <t xml:space="preserve">DCA COMML </t>
  </si>
  <si>
    <t xml:space="preserve">MARILAO BULACAN </t>
  </si>
  <si>
    <t xml:space="preserve">SIR DANILO </t>
  </si>
  <si>
    <t xml:space="preserve">SIR MELVIN </t>
  </si>
  <si>
    <t xml:space="preserve">METAFIX HARDWARE </t>
  </si>
  <si>
    <t xml:space="preserve">SIR JAYSON </t>
  </si>
  <si>
    <t xml:space="preserve">SIR ANGEL </t>
  </si>
  <si>
    <t xml:space="preserve">MARIDEN TRADING </t>
  </si>
  <si>
    <t xml:space="preserve">CSJDM BULACAN </t>
  </si>
  <si>
    <t xml:space="preserve">MAAM CHELLE </t>
  </si>
  <si>
    <t xml:space="preserve">PHINXIAN HARDWARE </t>
  </si>
  <si>
    <t xml:space="preserve">MAAM JENNY </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</si>
</sst>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M/d/yyyy"/>
    <numFmt numFmtId="166" formatCode="m/d/yyyy"/>
    <numFmt numFmtId="167" formatCode="dd/mm/yyyy"/>
    <numFmt numFmtId="168" formatCode="dd/mm/yy"/>
    <numFmt numFmtId="169" formatCode="d/m/yyyy"/>
    <numFmt numFmtId="170" formatCode="mm/dd/yyyy"/>
    <numFmt numFmtId="171" formatCode="&quot;₱&quot;#,##0.00"/>
  </numFmts>
  <fonts count="33">
    <font>
      <sz val="10.0"/>
      <color rgb="FF000000"/>
      <name val="Arial"/>
      <scheme val="minor"/>
    </font>
    <font>
      <color theme="1"/>
      <name val="Arial"/>
      <scheme val="minor"/>
    </font>
    <font>
      <b/>
      <i/>
      <color theme="1"/>
      <name val="Arial"/>
    </font>
    <font>
      <b/>
      <i/>
      <color rgb="FFFF0000"/>
      <name val="Arial"/>
    </font>
    <font>
      <color theme="1"/>
      <name val="Arial"/>
    </font>
    <font>
      <b/>
      <color rgb="FFFF0000"/>
      <name val="Arial"/>
    </font>
    <font>
      <b/>
      <color theme="1"/>
      <name val="Arial"/>
    </font>
    <font>
      <color rgb="FF000000"/>
      <name val="Arial"/>
    </font>
    <font>
      <b/>
      <sz val="10.0"/>
      <color rgb="FFFF0000"/>
      <name val="Arial"/>
    </font>
    <font>
      <sz val="10.0"/>
      <color theme="1"/>
      <name val="Arial"/>
    </font>
    <font>
      <sz val="10.0"/>
      <color rgb="FF000000"/>
      <name val="Arial"/>
    </font>
    <font>
      <sz val="11.0"/>
      <color theme="1"/>
      <name val="Arial"/>
    </font>
    <font>
      <b/>
      <color rgb="FF000000"/>
      <name val="Arial"/>
    </font>
    <font>
      <b/>
      <sz val="10.0"/>
      <color rgb="FF000000"/>
      <name val="Arial"/>
    </font>
    <font>
      <sz val="9.0"/>
      <color theme="1"/>
      <name val="Arial"/>
    </font>
    <font>
      <b/>
      <sz val="10.0"/>
      <color theme="1"/>
      <name val="Arial"/>
    </font>
    <font>
      <b/>
      <color rgb="FFEA4335"/>
      <name val="Arial"/>
    </font>
    <font>
      <b/>
      <color theme="5"/>
      <name val="Arial"/>
    </font>
    <font>
      <color rgb="FF101010"/>
      <name val="Arial"/>
    </font>
    <font>
      <b/>
      <sz val="9.0"/>
      <color rgb="FF000000"/>
      <name val="Arial"/>
    </font>
    <font>
      <sz val="9.0"/>
      <color rgb="FF000000"/>
      <name val="Arial"/>
    </font>
    <font>
      <sz val="9.0"/>
      <color rgb="FFFF0000"/>
      <name val="Arial"/>
    </font>
    <font>
      <b/>
      <sz val="9.0"/>
      <color rgb="FFFF0000"/>
      <name val="Arial"/>
    </font>
    <font>
      <b/>
      <i/>
      <sz val="9.0"/>
      <color rgb="FF000000"/>
      <name val="Arial"/>
    </font>
    <font>
      <b/>
      <i/>
      <sz val="9.0"/>
      <color rgb="FFFF0000"/>
      <name val="Arial"/>
    </font>
    <font>
      <color rgb="FFFF0000"/>
      <name val="Arial"/>
    </font>
    <font>
      <b/>
      <sz val="9.0"/>
      <color theme="1"/>
      <name val="Arial"/>
    </font>
    <font>
      <b/>
      <sz val="11.0"/>
      <color rgb="FF000000"/>
      <name val="Arial Narrow"/>
    </font>
    <font>
      <b/>
      <sz val="11.0"/>
      <color theme="1"/>
      <name val="Arial Narrow"/>
    </font>
    <font>
      <b/>
      <u/>
      <sz val="11.0"/>
      <color rgb="FF0000FF"/>
      <name val="Arial Narrow"/>
    </font>
    <font>
      <b/>
      <color theme="1"/>
      <name val="Arial Narrow"/>
    </font>
    <font>
      <b/>
      <u/>
      <color rgb="FF0000FF"/>
    </font>
    <font>
      <u/>
      <color rgb="FF0000FF"/>
    </font>
  </fonts>
  <fills count="15">
    <fill>
      <patternFill patternType="none"/>
    </fill>
    <fill>
      <patternFill patternType="lightGray"/>
    </fill>
    <fill>
      <patternFill patternType="solid">
        <fgColor theme="7"/>
        <bgColor theme="7"/>
      </patternFill>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theme="0"/>
        <bgColor theme="0"/>
      </patternFill>
    </fill>
    <fill>
      <patternFill patternType="solid">
        <fgColor rgb="FFC9DAF8"/>
        <bgColor rgb="FFC9DAF8"/>
      </patternFill>
    </fill>
    <fill>
      <patternFill patternType="solid">
        <fgColor rgb="FFFF9900"/>
        <bgColor rgb="FFFF9900"/>
      </patternFill>
    </fill>
    <fill>
      <patternFill patternType="solid">
        <fgColor theme="5"/>
        <bgColor theme="5"/>
      </patternFill>
    </fill>
    <fill>
      <patternFill patternType="solid">
        <fgColor rgb="FF00FFFF"/>
        <bgColor rgb="FF00FFFF"/>
      </patternFill>
    </fill>
    <fill>
      <patternFill patternType="solid">
        <fgColor rgb="FFE06666"/>
        <bgColor rgb="FFE06666"/>
      </patternFill>
    </fill>
    <fill>
      <patternFill patternType="solid">
        <fgColor rgb="FF00FF00"/>
        <bgColor rgb="FF00FF00"/>
      </patternFill>
    </fill>
    <fill>
      <patternFill patternType="solid">
        <fgColor rgb="FFF4CCCC"/>
        <bgColor rgb="FFF4CCCC"/>
      </patternFill>
    </fill>
    <fill>
      <patternFill patternType="solid">
        <fgColor rgb="FFA9D08E"/>
        <bgColor rgb="FFA9D08E"/>
      </patternFill>
    </fill>
  </fills>
  <borders count="1">
    <border/>
  </borders>
  <cellStyleXfs count="1">
    <xf borderId="0" fillId="0" fontId="0" numFmtId="0" applyAlignment="1" applyFont="1"/>
  </cellStyleXfs>
  <cellXfs count="35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xf>
    <xf borderId="0" fillId="0" fontId="2" numFmtId="0" xfId="0" applyAlignment="1" applyFont="1">
      <alignment horizontal="left"/>
    </xf>
    <xf borderId="0" fillId="0" fontId="2" numFmtId="164" xfId="0" applyAlignment="1" applyFont="1" applyNumberFormat="1">
      <alignment horizontal="left"/>
    </xf>
    <xf borderId="0" fillId="0" fontId="2" numFmtId="0" xfId="0" applyFont="1"/>
    <xf borderId="0" fillId="0" fontId="3" numFmtId="0" xfId="0" applyAlignment="1" applyFont="1">
      <alignment horizontal="left" shrinkToFit="0" wrapText="1"/>
    </xf>
    <xf borderId="0" fillId="2" fontId="4" numFmtId="0" xfId="0" applyAlignment="1" applyFill="1" applyFont="1">
      <alignment horizontal="left"/>
    </xf>
    <xf borderId="0" fillId="2" fontId="4" numFmtId="0" xfId="0" applyAlignment="1" applyFont="1">
      <alignment horizontal="left" readingOrder="0" shrinkToFit="0" wrapText="1"/>
    </xf>
    <xf borderId="0" fillId="2" fontId="4" numFmtId="165" xfId="0" applyAlignment="1" applyFont="1" applyNumberFormat="1">
      <alignment horizontal="left"/>
    </xf>
    <xf borderId="0" fillId="2" fontId="4" numFmtId="164" xfId="0" applyAlignment="1" applyFont="1" applyNumberFormat="1">
      <alignment horizontal="left"/>
    </xf>
    <xf borderId="0" fillId="2" fontId="4" numFmtId="0" xfId="0" applyAlignment="1" applyFont="1">
      <alignment horizontal="left" readingOrder="0"/>
    </xf>
    <xf borderId="0" fillId="2" fontId="5" numFmtId="0" xfId="0" applyAlignment="1" applyFont="1">
      <alignment horizontal="left" shrinkToFit="0" wrapText="1"/>
    </xf>
    <xf borderId="0" fillId="2" fontId="4" numFmtId="0" xfId="0" applyAlignment="1" applyFont="1">
      <alignment horizontal="left" shrinkToFit="0" wrapText="1"/>
    </xf>
    <xf borderId="0" fillId="3" fontId="4" numFmtId="0" xfId="0" applyAlignment="1" applyFill="1" applyFont="1">
      <alignment shrinkToFit="0" vertical="bottom" wrapText="1"/>
    </xf>
    <xf borderId="0" fillId="0" fontId="1" numFmtId="0" xfId="0" applyFont="1"/>
    <xf borderId="0" fillId="2" fontId="4" numFmtId="0" xfId="0" applyFont="1"/>
    <xf borderId="0" fillId="2" fontId="4" numFmtId="0" xfId="0" applyAlignment="1" applyFont="1">
      <alignment readingOrder="0"/>
    </xf>
    <xf borderId="0" fillId="4" fontId="4" numFmtId="0" xfId="0" applyAlignment="1" applyFill="1" applyFont="1">
      <alignment horizontal="left"/>
    </xf>
    <xf borderId="0" fillId="4" fontId="4" numFmtId="0" xfId="0" applyAlignment="1" applyFont="1">
      <alignment horizontal="left" shrinkToFit="0" wrapText="1"/>
    </xf>
    <xf borderId="0" fillId="4" fontId="4" numFmtId="165" xfId="0" applyAlignment="1" applyFont="1" applyNumberFormat="1">
      <alignment horizontal="left"/>
    </xf>
    <xf borderId="0" fillId="4" fontId="4" numFmtId="164" xfId="0" applyAlignment="1" applyFont="1" applyNumberFormat="1">
      <alignment horizontal="left"/>
    </xf>
    <xf borderId="0" fillId="4" fontId="4" numFmtId="0" xfId="0" applyAlignment="1" applyFont="1">
      <alignment horizontal="left" readingOrder="0"/>
    </xf>
    <xf borderId="0" fillId="4" fontId="5" numFmtId="0" xfId="0" applyAlignment="1" applyFont="1">
      <alignment horizontal="left" shrinkToFit="0" wrapText="1"/>
    </xf>
    <xf borderId="0" fillId="0" fontId="4" numFmtId="0" xfId="0" applyAlignment="1" applyFont="1">
      <alignment horizontal="left"/>
    </xf>
    <xf borderId="0" fillId="0" fontId="4" numFmtId="0" xfId="0" applyAlignment="1" applyFont="1">
      <alignment horizontal="left" shrinkToFit="0" wrapText="1"/>
    </xf>
    <xf borderId="0" fillId="0" fontId="4" numFmtId="165" xfId="0" applyAlignment="1" applyFont="1" applyNumberFormat="1">
      <alignment horizontal="left"/>
    </xf>
    <xf borderId="0" fillId="0" fontId="4" numFmtId="164" xfId="0" applyAlignment="1" applyFont="1" applyNumberFormat="1">
      <alignment horizontal="left"/>
    </xf>
    <xf borderId="0" fillId="0" fontId="4" numFmtId="0" xfId="0" applyAlignment="1" applyFont="1">
      <alignment horizontal="left" readingOrder="0"/>
    </xf>
    <xf borderId="0" fillId="0" fontId="5" numFmtId="0" xfId="0" applyAlignment="1" applyFont="1">
      <alignment horizontal="left" shrinkToFit="0" wrapText="1"/>
    </xf>
    <xf borderId="0" fillId="5" fontId="4" numFmtId="0" xfId="0" applyAlignment="1" applyFill="1" applyFont="1">
      <alignment horizontal="left"/>
    </xf>
    <xf borderId="0" fillId="5" fontId="4" numFmtId="0" xfId="0" applyAlignment="1" applyFont="1">
      <alignment horizontal="left" shrinkToFit="0" wrapText="1"/>
    </xf>
    <xf borderId="0" fillId="5" fontId="4" numFmtId="165" xfId="0" applyAlignment="1" applyFont="1" applyNumberFormat="1">
      <alignment horizontal="left"/>
    </xf>
    <xf borderId="0" fillId="5" fontId="4" numFmtId="164" xfId="0" applyAlignment="1" applyFont="1" applyNumberFormat="1">
      <alignment horizontal="left"/>
    </xf>
    <xf borderId="0" fillId="5" fontId="4" numFmtId="0" xfId="0" applyAlignment="1" applyFont="1">
      <alignment horizontal="left" readingOrder="0"/>
    </xf>
    <xf borderId="0" fillId="5" fontId="5" numFmtId="0" xfId="0" applyAlignment="1" applyFont="1">
      <alignment horizontal="left" shrinkToFit="0" wrapText="1"/>
    </xf>
    <xf borderId="0" fillId="2" fontId="6" numFmtId="0" xfId="0" applyAlignment="1" applyFont="1">
      <alignment horizontal="left" shrinkToFit="0" wrapText="1"/>
    </xf>
    <xf borderId="0" fillId="2" fontId="7" numFmtId="0" xfId="0" applyAlignment="1" applyFont="1">
      <alignment horizontal="left" shrinkToFit="0" wrapText="1"/>
    </xf>
    <xf borderId="0" fillId="2" fontId="7" numFmtId="165" xfId="0" applyAlignment="1" applyFont="1" applyNumberFormat="1">
      <alignment horizontal="left"/>
    </xf>
    <xf borderId="0" fillId="2" fontId="7" numFmtId="0" xfId="0" applyAlignment="1" applyFont="1">
      <alignment horizontal="left"/>
    </xf>
    <xf borderId="0" fillId="2" fontId="7" numFmtId="164" xfId="0" applyAlignment="1" applyFont="1" applyNumberFormat="1">
      <alignment horizontal="left"/>
    </xf>
    <xf borderId="0" fillId="2" fontId="7" numFmtId="0" xfId="0" applyAlignment="1" applyFont="1">
      <alignment horizontal="left" readingOrder="0"/>
    </xf>
    <xf borderId="0" fillId="5" fontId="7" numFmtId="164" xfId="0" applyAlignment="1" applyFont="1" applyNumberFormat="1">
      <alignment horizontal="left"/>
    </xf>
    <xf borderId="0" fillId="2" fontId="4" numFmtId="0" xfId="0" applyAlignment="1" applyFont="1">
      <alignment vertical="bottom"/>
    </xf>
    <xf borderId="0" fillId="2" fontId="4" numFmtId="0" xfId="0" applyAlignment="1" applyFont="1">
      <alignment readingOrder="0" vertical="bottom"/>
    </xf>
    <xf borderId="0" fillId="2" fontId="5" numFmtId="164" xfId="0" applyAlignment="1" applyFont="1" applyNumberFormat="1">
      <alignment shrinkToFit="0" vertical="bottom" wrapText="1"/>
    </xf>
    <xf borderId="0" fillId="2" fontId="4" numFmtId="164" xfId="0" applyAlignment="1" applyFont="1" applyNumberFormat="1">
      <alignment shrinkToFit="0" vertical="bottom" wrapText="1"/>
    </xf>
    <xf borderId="0" fillId="2" fontId="4" numFmtId="164" xfId="0" applyAlignment="1" applyFont="1" applyNumberFormat="1">
      <alignment readingOrder="0" vertical="bottom"/>
    </xf>
    <xf borderId="0" fillId="2" fontId="4" numFmtId="0" xfId="0" applyAlignment="1" applyFont="1">
      <alignment shrinkToFit="0" wrapText="1"/>
    </xf>
    <xf borderId="0" fillId="2" fontId="8" numFmtId="0" xfId="0" applyAlignment="1" applyFont="1">
      <alignment horizontal="left" shrinkToFit="0" wrapText="1"/>
    </xf>
    <xf borderId="0" fillId="6" fontId="4" numFmtId="165" xfId="0" applyAlignment="1" applyFill="1" applyFont="1" applyNumberFormat="1">
      <alignment horizontal="left"/>
    </xf>
    <xf borderId="0" fillId="2" fontId="4" numFmtId="10" xfId="0" applyAlignment="1" applyFont="1" applyNumberFormat="1">
      <alignment horizontal="left" shrinkToFit="0" wrapText="1"/>
    </xf>
    <xf borderId="0" fillId="6" fontId="7" numFmtId="0" xfId="0" applyAlignment="1" applyFont="1">
      <alignment horizontal="left"/>
    </xf>
    <xf borderId="0" fillId="6" fontId="7" numFmtId="0" xfId="0" applyAlignment="1" applyFont="1">
      <alignment horizontal="left" shrinkToFit="0" wrapText="1"/>
    </xf>
    <xf borderId="0" fillId="6" fontId="7" numFmtId="165" xfId="0" applyAlignment="1" applyFont="1" applyNumberFormat="1">
      <alignment horizontal="left"/>
    </xf>
    <xf borderId="0" fillId="6" fontId="7" numFmtId="164" xfId="0" applyAlignment="1" applyFont="1" applyNumberFormat="1">
      <alignment horizontal="left"/>
    </xf>
    <xf borderId="0" fillId="6" fontId="7" numFmtId="0" xfId="0" applyAlignment="1" applyFont="1">
      <alignment horizontal="left" readingOrder="0"/>
    </xf>
    <xf borderId="0" fillId="6" fontId="5" numFmtId="0" xfId="0" applyAlignment="1" applyFont="1">
      <alignment horizontal="left" shrinkToFit="0" wrapText="1"/>
    </xf>
    <xf borderId="0" fillId="5" fontId="4" numFmtId="0" xfId="0" applyAlignment="1" applyFont="1">
      <alignment horizontal="left" readingOrder="0" shrinkToFit="0" wrapText="1"/>
    </xf>
    <xf borderId="0" fillId="3" fontId="4" numFmtId="0" xfId="0" applyAlignment="1" applyFont="1">
      <alignment horizontal="left"/>
    </xf>
    <xf borderId="0" fillId="3" fontId="4" numFmtId="0" xfId="0" applyAlignment="1" applyFont="1">
      <alignment horizontal="left" shrinkToFit="0" wrapText="1"/>
    </xf>
    <xf borderId="0" fillId="3" fontId="4" numFmtId="165" xfId="0" applyAlignment="1" applyFont="1" applyNumberFormat="1">
      <alignment horizontal="left"/>
    </xf>
    <xf borderId="0" fillId="3" fontId="4" numFmtId="164" xfId="0" applyAlignment="1" applyFont="1" applyNumberFormat="1">
      <alignment horizontal="left"/>
    </xf>
    <xf borderId="0" fillId="3" fontId="4" numFmtId="0" xfId="0" applyAlignment="1" applyFont="1">
      <alignment horizontal="left" readingOrder="0"/>
    </xf>
    <xf borderId="0" fillId="2" fontId="7" numFmtId="0" xfId="0" applyAlignment="1" applyFont="1">
      <alignment horizontal="left" readingOrder="0" shrinkToFit="0" wrapText="1"/>
    </xf>
    <xf borderId="0" fillId="5" fontId="4" numFmtId="164" xfId="0" applyFont="1" applyNumberFormat="1"/>
    <xf borderId="0" fillId="5" fontId="4" numFmtId="0" xfId="0" applyFont="1"/>
    <xf borderId="0" fillId="2" fontId="5" numFmtId="0" xfId="0" applyAlignment="1" applyFont="1">
      <alignment shrinkToFit="0" wrapText="1"/>
    </xf>
    <xf borderId="0" fillId="7" fontId="4" numFmtId="0" xfId="0" applyAlignment="1" applyFill="1" applyFont="1">
      <alignment horizontal="left" readingOrder="0"/>
    </xf>
    <xf borderId="0" fillId="5" fontId="8" numFmtId="0" xfId="0" applyAlignment="1" applyFont="1">
      <alignment horizontal="left" shrinkToFit="0" wrapText="1"/>
    </xf>
    <xf borderId="0" fillId="5" fontId="9" numFmtId="0" xfId="0" applyAlignment="1" applyFont="1">
      <alignment horizontal="left" shrinkToFit="0" wrapText="1"/>
    </xf>
    <xf borderId="0" fillId="5" fontId="4" numFmtId="0" xfId="0" applyAlignment="1" applyFont="1">
      <alignment shrinkToFit="0" wrapText="1"/>
    </xf>
    <xf borderId="0" fillId="2" fontId="4" numFmtId="165" xfId="0" applyFont="1" applyNumberFormat="1"/>
    <xf borderId="0" fillId="2" fontId="9" numFmtId="0" xfId="0" applyAlignment="1" applyFont="1">
      <alignment horizontal="left" shrinkToFit="0" wrapText="1"/>
    </xf>
    <xf borderId="0" fillId="2" fontId="7" numFmtId="0" xfId="0" applyAlignment="1" applyFont="1">
      <alignment shrinkToFit="0" wrapText="1"/>
    </xf>
    <xf borderId="0" fillId="2" fontId="10" numFmtId="165" xfId="0" applyFont="1" applyNumberFormat="1"/>
    <xf borderId="0" fillId="2" fontId="7" numFmtId="0" xfId="0" applyFont="1"/>
    <xf borderId="0" fillId="2" fontId="10" numFmtId="0" xfId="0" applyAlignment="1" applyFont="1">
      <alignment horizontal="left" shrinkToFit="0" wrapText="1"/>
    </xf>
    <xf borderId="0" fillId="2" fontId="11" numFmtId="165" xfId="0" applyAlignment="1" applyFont="1" applyNumberFormat="1">
      <alignment horizontal="left"/>
    </xf>
    <xf borderId="0" fillId="2" fontId="11" numFmtId="165" xfId="0" applyFont="1" applyNumberFormat="1"/>
    <xf borderId="0" fillId="2" fontId="11" numFmtId="164" xfId="0" applyAlignment="1" applyFont="1" applyNumberFormat="1">
      <alignment horizontal="left"/>
    </xf>
    <xf borderId="0" fillId="2" fontId="11" numFmtId="0" xfId="0" applyAlignment="1" applyFont="1">
      <alignment horizontal="left" readingOrder="0"/>
    </xf>
    <xf borderId="0" fillId="2" fontId="9" numFmtId="0" xfId="0" applyFont="1"/>
    <xf borderId="0" fillId="2" fontId="11" numFmtId="0" xfId="0" applyAlignment="1" applyFont="1">
      <alignment horizontal="left"/>
    </xf>
    <xf borderId="0" fillId="2" fontId="9" numFmtId="0" xfId="0" applyAlignment="1" applyFont="1">
      <alignment horizontal="left"/>
    </xf>
    <xf borderId="0" fillId="5" fontId="9" numFmtId="0" xfId="0" applyAlignment="1" applyFont="1">
      <alignment horizontal="left" readingOrder="0" shrinkToFit="0" wrapText="1"/>
    </xf>
    <xf borderId="0" fillId="5" fontId="11" numFmtId="165" xfId="0" applyAlignment="1" applyFont="1" applyNumberFormat="1">
      <alignment horizontal="left"/>
    </xf>
    <xf borderId="0" fillId="5" fontId="11" numFmtId="0" xfId="0" applyAlignment="1" applyFont="1">
      <alignment horizontal="left"/>
    </xf>
    <xf borderId="0" fillId="5" fontId="11" numFmtId="164" xfId="0" applyAlignment="1" applyFont="1" applyNumberFormat="1">
      <alignment horizontal="left"/>
    </xf>
    <xf borderId="0" fillId="5" fontId="9" numFmtId="0" xfId="0" applyAlignment="1" applyFont="1">
      <alignment horizontal="left"/>
    </xf>
    <xf borderId="0" fillId="5" fontId="11" numFmtId="0" xfId="0" applyAlignment="1" applyFont="1">
      <alignment horizontal="left" readingOrder="0"/>
    </xf>
    <xf borderId="0" fillId="5" fontId="9" numFmtId="0" xfId="0" applyFont="1"/>
    <xf borderId="0" fillId="4" fontId="4" numFmtId="0" xfId="0" applyFont="1"/>
    <xf borderId="0" fillId="4" fontId="8" numFmtId="0" xfId="0" applyAlignment="1" applyFont="1">
      <alignment horizontal="left" shrinkToFit="0" wrapText="1"/>
    </xf>
    <xf borderId="0" fillId="4" fontId="9" numFmtId="0" xfId="0" applyAlignment="1" applyFont="1">
      <alignment horizontal="left" shrinkToFit="0" wrapText="1"/>
    </xf>
    <xf borderId="0" fillId="0" fontId="9" numFmtId="0" xfId="0" applyAlignment="1" applyFont="1">
      <alignment horizontal="left"/>
    </xf>
    <xf borderId="0" fillId="0" fontId="4" numFmtId="0" xfId="0" applyFont="1"/>
    <xf borderId="0" fillId="0" fontId="8" numFmtId="0" xfId="0" applyAlignment="1" applyFont="1">
      <alignment horizontal="left" shrinkToFit="0" wrapText="1"/>
    </xf>
    <xf borderId="0" fillId="0" fontId="9" numFmtId="0" xfId="0" applyAlignment="1" applyFont="1">
      <alignment horizontal="left" shrinkToFit="0" wrapText="1"/>
    </xf>
    <xf borderId="0" fillId="2" fontId="12" numFmtId="0" xfId="0" applyAlignment="1" applyFont="1">
      <alignment horizontal="left"/>
    </xf>
    <xf borderId="0" fillId="2" fontId="12" numFmtId="0" xfId="0" applyAlignment="1" applyFont="1">
      <alignment readingOrder="0" shrinkToFit="0" wrapText="1"/>
    </xf>
    <xf borderId="0" fillId="2" fontId="12" numFmtId="165" xfId="0" applyAlignment="1" applyFont="1" applyNumberFormat="1">
      <alignment horizontal="left"/>
    </xf>
    <xf borderId="0" fillId="2" fontId="12" numFmtId="164" xfId="0" applyAlignment="1" applyFont="1" applyNumberFormat="1">
      <alignment horizontal="left"/>
    </xf>
    <xf borderId="0" fillId="2" fontId="12" numFmtId="0" xfId="0" applyAlignment="1" applyFont="1">
      <alignment horizontal="left" readingOrder="0"/>
    </xf>
    <xf borderId="0" fillId="2" fontId="12" numFmtId="0" xfId="0" applyFont="1"/>
    <xf borderId="0" fillId="2" fontId="13" numFmtId="0" xfId="0" applyAlignment="1" applyFont="1">
      <alignment horizontal="left" shrinkToFit="0" wrapText="1"/>
    </xf>
    <xf borderId="0" fillId="6" fontId="4" numFmtId="0" xfId="0" applyAlignment="1" applyFont="1">
      <alignment horizontal="left"/>
    </xf>
    <xf borderId="0" fillId="6" fontId="4" numFmtId="0" xfId="0" applyAlignment="1" applyFont="1">
      <alignment horizontal="left" readingOrder="0" shrinkToFit="0" wrapText="1"/>
    </xf>
    <xf borderId="0" fillId="6" fontId="4" numFmtId="164" xfId="0" applyAlignment="1" applyFont="1" applyNumberFormat="1">
      <alignment horizontal="left"/>
    </xf>
    <xf borderId="0" fillId="6" fontId="4" numFmtId="0" xfId="0" applyAlignment="1" applyFont="1">
      <alignment horizontal="left" readingOrder="0"/>
    </xf>
    <xf borderId="0" fillId="6" fontId="4" numFmtId="0" xfId="0" applyFont="1"/>
    <xf borderId="0" fillId="6" fontId="8" numFmtId="0" xfId="0" applyAlignment="1" applyFont="1">
      <alignment horizontal="left" shrinkToFit="0" wrapText="1"/>
    </xf>
    <xf borderId="0" fillId="6" fontId="9" numFmtId="0" xfId="0" applyAlignment="1" applyFont="1">
      <alignment horizontal="left" shrinkToFit="0" wrapText="1"/>
    </xf>
    <xf borderId="0" fillId="2" fontId="14" numFmtId="0" xfId="0" applyAlignment="1" applyFont="1">
      <alignment horizontal="left" shrinkToFit="0" wrapText="1"/>
    </xf>
    <xf borderId="0" fillId="5" fontId="4" numFmtId="165" xfId="0" applyFont="1" applyNumberFormat="1"/>
    <xf borderId="0" fillId="0" fontId="4" numFmtId="0" xfId="0" applyAlignment="1" applyFont="1">
      <alignment horizontal="left" readingOrder="0" shrinkToFit="0" wrapText="1"/>
    </xf>
    <xf borderId="0" fillId="0" fontId="9" numFmtId="0" xfId="0" applyAlignment="1" applyFont="1">
      <alignment horizontal="left" readingOrder="0" shrinkToFit="0" wrapText="1"/>
    </xf>
    <xf borderId="0" fillId="8" fontId="4" numFmtId="0" xfId="0" applyAlignment="1" applyFill="1" applyFont="1">
      <alignment horizontal="left"/>
    </xf>
    <xf borderId="0" fillId="8" fontId="4" numFmtId="0" xfId="0" applyAlignment="1" applyFont="1">
      <alignment horizontal="left" shrinkToFit="0" wrapText="1"/>
    </xf>
    <xf borderId="0" fillId="8" fontId="4" numFmtId="165" xfId="0" applyAlignment="1" applyFont="1" applyNumberFormat="1">
      <alignment horizontal="left"/>
    </xf>
    <xf borderId="0" fillId="8" fontId="4" numFmtId="164" xfId="0" applyAlignment="1" applyFont="1" applyNumberFormat="1">
      <alignment horizontal="left"/>
    </xf>
    <xf borderId="0" fillId="8" fontId="4" numFmtId="0" xfId="0" applyAlignment="1" applyFont="1">
      <alignment horizontal="left" readingOrder="0"/>
    </xf>
    <xf borderId="0" fillId="8" fontId="4" numFmtId="0" xfId="0" applyFont="1"/>
    <xf borderId="0" fillId="8" fontId="8" numFmtId="0" xfId="0" applyAlignment="1" applyFont="1">
      <alignment horizontal="left" shrinkToFit="0" wrapText="1"/>
    </xf>
    <xf borderId="0" fillId="8" fontId="9" numFmtId="0" xfId="0" applyAlignment="1" applyFont="1">
      <alignment horizontal="left" shrinkToFit="0" wrapText="1"/>
    </xf>
    <xf borderId="0" fillId="2" fontId="9" numFmtId="0" xfId="0" applyAlignment="1" applyFont="1">
      <alignment horizontal="left" readingOrder="0" shrinkToFit="0" wrapText="1"/>
    </xf>
    <xf borderId="0" fillId="2" fontId="4" numFmtId="0" xfId="0" applyAlignment="1" applyFont="1">
      <alignment readingOrder="0" shrinkToFit="0" wrapText="1"/>
    </xf>
    <xf borderId="0" fillId="2" fontId="15" numFmtId="0" xfId="0" applyAlignment="1" applyFont="1">
      <alignment horizontal="left" shrinkToFit="0" wrapText="1"/>
    </xf>
    <xf borderId="0" fillId="0" fontId="4" numFmtId="0" xfId="0" applyAlignment="1" applyFont="1">
      <alignment readingOrder="0" shrinkToFit="0" wrapText="1"/>
    </xf>
    <xf borderId="0" fillId="0" fontId="9" numFmtId="165" xfId="0" applyAlignment="1" applyFont="1" applyNumberFormat="1">
      <alignment horizontal="left"/>
    </xf>
    <xf borderId="0" fillId="0" fontId="9" numFmtId="164" xfId="0" applyAlignment="1" applyFont="1" applyNumberFormat="1">
      <alignment horizontal="left"/>
    </xf>
    <xf borderId="0" fillId="0" fontId="9" numFmtId="0" xfId="0" applyAlignment="1" applyFont="1">
      <alignment horizontal="left" readingOrder="0"/>
    </xf>
    <xf borderId="0" fillId="6" fontId="4" numFmtId="0" xfId="0" applyAlignment="1" applyFont="1">
      <alignment horizontal="left" shrinkToFit="0" wrapText="1"/>
    </xf>
    <xf borderId="0" fillId="0" fontId="5" numFmtId="0" xfId="0" applyAlignment="1" applyFont="1">
      <alignment shrinkToFit="0" wrapText="1"/>
    </xf>
    <xf borderId="0" fillId="0" fontId="4" numFmtId="0" xfId="0" applyAlignment="1" applyFont="1">
      <alignment readingOrder="0" vertical="bottom"/>
    </xf>
    <xf borderId="0" fillId="0" fontId="6" numFmtId="0" xfId="0" applyAlignment="1" applyFont="1">
      <alignment horizontal="left" shrinkToFit="0" wrapText="1"/>
    </xf>
    <xf borderId="0" fillId="0" fontId="7" numFmtId="0" xfId="0" applyAlignment="1" applyFont="1">
      <alignment horizontal="left"/>
    </xf>
    <xf borderId="0" fillId="0" fontId="7" numFmtId="0" xfId="0" applyAlignment="1" applyFont="1">
      <alignment horizontal="left" readingOrder="0" shrinkToFit="0" wrapText="1"/>
    </xf>
    <xf borderId="0" fillId="0" fontId="7" numFmtId="165" xfId="0" applyAlignment="1" applyFont="1" applyNumberFormat="1">
      <alignment horizontal="left"/>
    </xf>
    <xf borderId="0" fillId="0" fontId="7" numFmtId="164" xfId="0" applyAlignment="1" applyFont="1" applyNumberFormat="1">
      <alignment horizontal="left"/>
    </xf>
    <xf borderId="0" fillId="0" fontId="7" numFmtId="0" xfId="0" applyAlignment="1" applyFont="1">
      <alignment horizontal="left" readingOrder="0"/>
    </xf>
    <xf borderId="0" fillId="0" fontId="7" numFmtId="0" xfId="0" applyFont="1"/>
    <xf borderId="0" fillId="0" fontId="7" numFmtId="0" xfId="0" applyAlignment="1" applyFont="1">
      <alignment horizontal="left" shrinkToFit="0" wrapText="1"/>
    </xf>
    <xf borderId="0" fillId="0" fontId="4" numFmtId="0" xfId="0" applyAlignment="1" applyFont="1">
      <alignment shrinkToFit="0" wrapText="1"/>
    </xf>
    <xf borderId="0" fillId="0" fontId="4" numFmtId="0" xfId="0" applyAlignment="1" applyFont="1">
      <alignment shrinkToFit="0" vertical="bottom" wrapText="1"/>
    </xf>
    <xf borderId="0" fillId="9" fontId="4" numFmtId="0" xfId="0" applyAlignment="1" applyFill="1" applyFont="1">
      <alignment horizontal="left"/>
    </xf>
    <xf borderId="0" fillId="9" fontId="4" numFmtId="0" xfId="0" applyAlignment="1" applyFont="1">
      <alignment horizontal="left" readingOrder="0" shrinkToFit="0" wrapText="1"/>
    </xf>
    <xf borderId="0" fillId="9" fontId="4" numFmtId="165" xfId="0" applyAlignment="1" applyFont="1" applyNumberFormat="1">
      <alignment horizontal="left"/>
    </xf>
    <xf borderId="0" fillId="9" fontId="4" numFmtId="164" xfId="0" applyAlignment="1" applyFont="1" applyNumberFormat="1">
      <alignment horizontal="left"/>
    </xf>
    <xf borderId="0" fillId="9" fontId="4" numFmtId="0" xfId="0" applyAlignment="1" applyFont="1">
      <alignment horizontal="left" readingOrder="0"/>
    </xf>
    <xf borderId="0" fillId="9" fontId="4" numFmtId="0" xfId="0" applyFont="1"/>
    <xf borderId="0" fillId="9" fontId="5" numFmtId="0" xfId="0" applyAlignment="1" applyFont="1">
      <alignment horizontal="left" shrinkToFit="0" wrapText="1"/>
    </xf>
    <xf borderId="0" fillId="9" fontId="4" numFmtId="0" xfId="0" applyAlignment="1" applyFont="1">
      <alignment horizontal="left" shrinkToFit="0" wrapText="1"/>
    </xf>
    <xf borderId="0" fillId="9" fontId="4" numFmtId="165" xfId="0" applyFont="1" applyNumberFormat="1"/>
    <xf borderId="0" fillId="5" fontId="4" numFmtId="3" xfId="0" applyAlignment="1" applyFont="1" applyNumberFormat="1">
      <alignment horizontal="left"/>
    </xf>
    <xf borderId="0" fillId="10" fontId="4" numFmtId="0" xfId="0" applyAlignment="1" applyFill="1" applyFont="1">
      <alignment horizontal="left"/>
    </xf>
    <xf borderId="0" fillId="10" fontId="4" numFmtId="0" xfId="0" applyAlignment="1" applyFont="1">
      <alignment horizontal="left" readingOrder="0" shrinkToFit="0" wrapText="1"/>
    </xf>
    <xf borderId="0" fillId="10" fontId="4" numFmtId="165" xfId="0" applyAlignment="1" applyFont="1" applyNumberFormat="1">
      <alignment horizontal="left"/>
    </xf>
    <xf borderId="0" fillId="10" fontId="4" numFmtId="164" xfId="0" applyAlignment="1" applyFont="1" applyNumberFormat="1">
      <alignment horizontal="left"/>
    </xf>
    <xf borderId="0" fillId="10" fontId="4" numFmtId="0" xfId="0" applyAlignment="1" applyFont="1">
      <alignment horizontal="left" readingOrder="0"/>
    </xf>
    <xf borderId="0" fillId="10" fontId="4" numFmtId="0" xfId="0" applyFont="1"/>
    <xf borderId="0" fillId="10" fontId="5" numFmtId="0" xfId="0" applyAlignment="1" applyFont="1">
      <alignment horizontal="left" shrinkToFit="0" wrapText="1"/>
    </xf>
    <xf borderId="0" fillId="10" fontId="4" numFmtId="0" xfId="0" applyAlignment="1" applyFont="1">
      <alignment horizontal="left" shrinkToFit="0" wrapText="1"/>
    </xf>
    <xf borderId="0" fillId="7" fontId="4" numFmtId="0" xfId="0" applyAlignment="1" applyFont="1">
      <alignment horizontal="left" shrinkToFit="0" wrapText="1"/>
    </xf>
    <xf borderId="0" fillId="7" fontId="4" numFmtId="165" xfId="0" applyAlignment="1" applyFont="1" applyNumberFormat="1">
      <alignment horizontal="left"/>
    </xf>
    <xf borderId="0" fillId="7" fontId="4" numFmtId="0" xfId="0" applyAlignment="1" applyFont="1">
      <alignment horizontal="left"/>
    </xf>
    <xf borderId="0" fillId="7" fontId="4" numFmtId="164" xfId="0" applyAlignment="1" applyFont="1" applyNumberFormat="1">
      <alignment horizontal="left"/>
    </xf>
    <xf borderId="0" fillId="7" fontId="4" numFmtId="0" xfId="0" applyFont="1"/>
    <xf borderId="0" fillId="7" fontId="5" numFmtId="0" xfId="0" applyAlignment="1" applyFont="1">
      <alignment horizontal="left" shrinkToFit="0" wrapText="1"/>
    </xf>
    <xf borderId="0" fillId="7" fontId="4" numFmtId="0" xfId="0" applyAlignment="1" applyFont="1">
      <alignment horizontal="left" readingOrder="0" shrinkToFit="0" wrapText="1"/>
    </xf>
    <xf borderId="0" fillId="0" fontId="10" numFmtId="0" xfId="0" applyAlignment="1" applyFont="1">
      <alignment horizontal="left" shrinkToFit="0" vertical="bottom" wrapText="0"/>
    </xf>
    <xf borderId="0" fillId="0" fontId="10" numFmtId="165" xfId="0" applyAlignment="1" applyFont="1" applyNumberFormat="1">
      <alignment horizontal="left" shrinkToFit="0" vertical="bottom" wrapText="0"/>
    </xf>
    <xf borderId="0" fillId="0" fontId="10" numFmtId="0" xfId="0" applyAlignment="1" applyFont="1">
      <alignment horizontal="left" shrinkToFit="0" wrapText="0"/>
    </xf>
    <xf borderId="0" fillId="0" fontId="10" numFmtId="164" xfId="0" applyAlignment="1" applyFont="1" applyNumberFormat="1">
      <alignment horizontal="left" shrinkToFit="0" vertical="bottom" wrapText="0"/>
    </xf>
    <xf borderId="0" fillId="0" fontId="10" numFmtId="0" xfId="0" applyAlignment="1" applyFont="1">
      <alignment horizontal="left" readingOrder="0" shrinkToFit="0" vertical="bottom" wrapText="0"/>
    </xf>
    <xf borderId="0" fillId="3" fontId="4" numFmtId="0" xfId="0" applyAlignment="1" applyFont="1">
      <alignment readingOrder="0" shrinkToFit="0" vertical="bottom" wrapText="1"/>
    </xf>
    <xf borderId="0" fillId="0" fontId="1" numFmtId="0" xfId="0" applyFont="1"/>
    <xf borderId="0" fillId="0" fontId="1" numFmtId="164" xfId="0" applyFont="1" applyNumberFormat="1"/>
    <xf borderId="0" fillId="0" fontId="1" numFmtId="164" xfId="0" applyAlignment="1" applyFont="1" applyNumberFormat="1">
      <alignment readingOrder="0"/>
    </xf>
    <xf borderId="0" fillId="0" fontId="4" numFmtId="0" xfId="0" applyAlignment="1" applyFont="1">
      <alignment readingOrder="0"/>
    </xf>
    <xf borderId="0" fillId="0" fontId="4" numFmtId="166" xfId="0" applyFont="1" applyNumberFormat="1"/>
    <xf borderId="0" fillId="0" fontId="6" numFmtId="0" xfId="0" applyFont="1"/>
    <xf borderId="0" fillId="4" fontId="6" numFmtId="0" xfId="0" applyFont="1"/>
    <xf borderId="0" fillId="0" fontId="4" numFmtId="167" xfId="0" applyAlignment="1" applyFont="1" applyNumberFormat="1">
      <alignment horizontal="left"/>
    </xf>
    <xf borderId="0" fillId="0" fontId="6" numFmtId="164" xfId="0" applyFont="1" applyNumberFormat="1"/>
    <xf borderId="0" fillId="8" fontId="6" numFmtId="0" xfId="0" applyFont="1"/>
    <xf borderId="0" fillId="0" fontId="4" numFmtId="0" xfId="0" applyAlignment="1" applyFont="1">
      <alignment horizontal="left" vertical="bottom"/>
    </xf>
    <xf borderId="0" fillId="11" fontId="6" numFmtId="0" xfId="0" applyFill="1" applyFont="1"/>
    <xf borderId="0" fillId="0" fontId="16" numFmtId="164" xfId="0" applyFont="1" applyNumberFormat="1"/>
    <xf borderId="0" fillId="0" fontId="6" numFmtId="0" xfId="0" applyAlignment="1" applyFont="1">
      <alignment vertical="bottom"/>
    </xf>
    <xf borderId="0" fillId="0" fontId="4" numFmtId="0" xfId="0" applyAlignment="1" applyFont="1">
      <alignment vertical="bottom"/>
    </xf>
    <xf borderId="0" fillId="0" fontId="6" numFmtId="164" xfId="0" applyAlignment="1" applyFont="1" applyNumberFormat="1">
      <alignment horizontal="right" vertical="bottom"/>
    </xf>
    <xf borderId="0" fillId="0" fontId="16" numFmtId="164" xfId="0" applyAlignment="1" applyFont="1" applyNumberFormat="1">
      <alignment horizontal="right" vertical="bottom"/>
    </xf>
    <xf borderId="0" fillId="2" fontId="12" numFmtId="0" xfId="0" applyAlignment="1" applyFont="1">
      <alignment vertical="bottom"/>
    </xf>
    <xf borderId="0" fillId="2" fontId="7" numFmtId="0" xfId="0" applyAlignment="1" applyFont="1">
      <alignment vertical="bottom"/>
    </xf>
    <xf borderId="0" fillId="2" fontId="7" numFmtId="0" xfId="0" applyAlignment="1" applyFont="1">
      <alignment horizontal="left" vertical="bottom"/>
    </xf>
    <xf borderId="0" fillId="2" fontId="12" numFmtId="164" xfId="0" applyAlignment="1" applyFont="1" applyNumberFormat="1">
      <alignment horizontal="right" vertical="bottom"/>
    </xf>
    <xf borderId="0" fillId="3" fontId="7" numFmtId="0" xfId="0" applyAlignment="1" applyFont="1">
      <alignment vertical="bottom"/>
    </xf>
    <xf borderId="0" fillId="3" fontId="7" numFmtId="0" xfId="0" applyAlignment="1" applyFont="1">
      <alignment horizontal="left" vertical="bottom"/>
    </xf>
    <xf borderId="0" fillId="3" fontId="17" numFmtId="164" xfId="0" applyAlignment="1" applyFont="1" applyNumberFormat="1">
      <alignment horizontal="right" vertical="bottom"/>
    </xf>
    <xf borderId="0" fillId="0" fontId="4" numFmtId="164" xfId="0" applyAlignment="1" applyFont="1" applyNumberFormat="1">
      <alignment vertical="bottom"/>
    </xf>
    <xf borderId="0" fillId="2" fontId="6" numFmtId="0" xfId="0" applyAlignment="1" applyFont="1">
      <alignment vertical="bottom"/>
    </xf>
    <xf borderId="0" fillId="2" fontId="4" numFmtId="0" xfId="0" applyAlignment="1" applyFont="1">
      <alignment horizontal="left" vertical="bottom"/>
    </xf>
    <xf borderId="0" fillId="2" fontId="4" numFmtId="164" xfId="0" applyAlignment="1" applyFont="1" applyNumberFormat="1">
      <alignment vertical="bottom"/>
    </xf>
    <xf borderId="0" fillId="0" fontId="7" numFmtId="164" xfId="0" applyAlignment="1" applyFont="1" applyNumberFormat="1">
      <alignment horizontal="right" vertical="bottom"/>
    </xf>
    <xf borderId="0" fillId="3" fontId="4" numFmtId="0" xfId="0" applyAlignment="1" applyFont="1">
      <alignment vertical="bottom"/>
    </xf>
    <xf borderId="0" fillId="3" fontId="4" numFmtId="0" xfId="0" applyAlignment="1" applyFont="1">
      <alignment horizontal="left" vertical="bottom"/>
    </xf>
    <xf borderId="0" fillId="3" fontId="16" numFmtId="164" xfId="0" applyAlignment="1" applyFont="1" applyNumberFormat="1">
      <alignment horizontal="right" vertical="bottom"/>
    </xf>
    <xf borderId="0" fillId="0" fontId="4" numFmtId="167" xfId="0" applyAlignment="1" applyFont="1" applyNumberFormat="1">
      <alignment horizontal="left" vertical="bottom"/>
    </xf>
    <xf borderId="0" fillId="0" fontId="4" numFmtId="4" xfId="0" applyFont="1" applyNumberFormat="1"/>
    <xf borderId="0" fillId="0" fontId="6" numFmtId="4" xfId="0" applyFont="1" applyNumberFormat="1"/>
    <xf borderId="0" fillId="0" fontId="4" numFmtId="168" xfId="0" applyAlignment="1" applyFont="1" applyNumberFormat="1">
      <alignment horizontal="left" vertical="bottom"/>
    </xf>
    <xf borderId="0" fillId="2" fontId="4" numFmtId="167" xfId="0" applyAlignment="1" applyFont="1" applyNumberFormat="1">
      <alignment horizontal="left" vertical="bottom"/>
    </xf>
    <xf borderId="0" fillId="2" fontId="6" numFmtId="0" xfId="0" applyFont="1"/>
    <xf borderId="0" fillId="2" fontId="6" numFmtId="4" xfId="0" applyFont="1" applyNumberFormat="1"/>
    <xf borderId="0" fillId="0" fontId="4" numFmtId="9" xfId="0" applyAlignment="1" applyFont="1" applyNumberFormat="1">
      <alignment horizontal="left"/>
    </xf>
    <xf borderId="0" fillId="0" fontId="6" numFmtId="4" xfId="0" applyAlignment="1" applyFont="1" applyNumberFormat="1">
      <alignment horizontal="right" vertical="bottom"/>
    </xf>
    <xf borderId="0" fillId="0" fontId="15" numFmtId="0" xfId="0" applyAlignment="1" applyFont="1">
      <alignment horizontal="left"/>
    </xf>
    <xf borderId="0" fillId="2" fontId="9" numFmtId="167" xfId="0" applyAlignment="1" applyFont="1" applyNumberFormat="1">
      <alignment horizontal="left"/>
    </xf>
    <xf borderId="0" fillId="2" fontId="9" numFmtId="164" xfId="0" applyAlignment="1" applyFont="1" applyNumberFormat="1">
      <alignment horizontal="left"/>
    </xf>
    <xf borderId="0" fillId="2" fontId="9" numFmtId="169" xfId="0" applyAlignment="1" applyFont="1" applyNumberFormat="1">
      <alignment horizontal="left"/>
    </xf>
    <xf borderId="0" fillId="4" fontId="9" numFmtId="0" xfId="0" applyAlignment="1" applyFont="1">
      <alignment horizontal="left"/>
    </xf>
    <xf borderId="0" fillId="4" fontId="9" numFmtId="164" xfId="0" applyAlignment="1" applyFont="1" applyNumberFormat="1">
      <alignment horizontal="left"/>
    </xf>
    <xf borderId="0" fillId="4" fontId="9" numFmtId="167" xfId="0" applyAlignment="1" applyFont="1" applyNumberFormat="1">
      <alignment horizontal="left"/>
    </xf>
    <xf borderId="0" fillId="4" fontId="9" numFmtId="0" xfId="0" applyFont="1"/>
    <xf borderId="0" fillId="6" fontId="9" numFmtId="0" xfId="0" applyAlignment="1" applyFont="1">
      <alignment horizontal="left"/>
    </xf>
    <xf borderId="0" fillId="6" fontId="9" numFmtId="164" xfId="0" applyAlignment="1" applyFont="1" applyNumberFormat="1">
      <alignment horizontal="left"/>
    </xf>
    <xf borderId="0" fillId="0" fontId="9" numFmtId="167" xfId="0" applyAlignment="1" applyFont="1" applyNumberFormat="1">
      <alignment horizontal="left"/>
    </xf>
    <xf borderId="0" fillId="0" fontId="8" numFmtId="0" xfId="0" applyAlignment="1" applyFont="1">
      <alignment horizontal="left"/>
    </xf>
    <xf borderId="0" fillId="0" fontId="18" numFmtId="0" xfId="0" applyAlignment="1" applyFont="1">
      <alignment shrinkToFit="0" wrapText="0"/>
    </xf>
    <xf borderId="0" fillId="0" fontId="5" numFmtId="0" xfId="0" applyAlignment="1" applyFont="1">
      <alignment shrinkToFit="0" wrapText="0"/>
    </xf>
    <xf borderId="0" fillId="0" fontId="9" numFmtId="166" xfId="0" applyAlignment="1" applyFont="1" applyNumberFormat="1">
      <alignment horizontal="left"/>
    </xf>
    <xf borderId="0" fillId="0" fontId="9" numFmtId="170" xfId="0" applyAlignment="1" applyFont="1" applyNumberFormat="1">
      <alignment horizontal="left"/>
    </xf>
    <xf borderId="0" fillId="0" fontId="19" numFmtId="0" xfId="0" applyAlignment="1" applyFont="1">
      <alignment horizontal="center" readingOrder="0" vertical="bottom"/>
    </xf>
    <xf borderId="0" fillId="0" fontId="19" numFmtId="0" xfId="0" applyAlignment="1" applyFont="1">
      <alignment horizontal="left" readingOrder="0" vertical="bottom"/>
    </xf>
    <xf borderId="0" fillId="0" fontId="19" numFmtId="164" xfId="0" applyAlignment="1" applyFont="1" applyNumberFormat="1">
      <alignment horizontal="left" readingOrder="0" vertical="bottom"/>
    </xf>
    <xf borderId="0" fillId="0" fontId="19" numFmtId="164" xfId="0" applyAlignment="1" applyFont="1" applyNumberFormat="1">
      <alignment horizontal="left" vertical="bottom"/>
    </xf>
    <xf borderId="0" fillId="0" fontId="19" numFmtId="0" xfId="0" applyAlignment="1" applyFont="1">
      <alignment horizontal="center" vertical="bottom"/>
    </xf>
    <xf borderId="0" fillId="12" fontId="20" numFmtId="0" xfId="0" applyAlignment="1" applyFill="1" applyFont="1">
      <alignment vertical="bottom"/>
    </xf>
    <xf borderId="0" fillId="12" fontId="20" numFmtId="170" xfId="0" applyAlignment="1" applyFont="1" applyNumberFormat="1">
      <alignment horizontal="left" vertical="bottom"/>
    </xf>
    <xf borderId="0" fillId="12" fontId="20" numFmtId="0" xfId="0" applyAlignment="1" applyFont="1">
      <alignment horizontal="left" vertical="bottom"/>
    </xf>
    <xf borderId="0" fillId="12" fontId="20" numFmtId="171" xfId="0" applyAlignment="1" applyFont="1" applyNumberFormat="1">
      <alignment horizontal="left" vertical="bottom"/>
    </xf>
    <xf borderId="0" fillId="12" fontId="19" numFmtId="164" xfId="0" applyAlignment="1" applyFont="1" applyNumberFormat="1">
      <alignment horizontal="left" vertical="bottom"/>
    </xf>
    <xf borderId="0" fillId="12" fontId="19" numFmtId="0" xfId="0" applyAlignment="1" applyFont="1">
      <alignment horizontal="left" vertical="bottom"/>
    </xf>
    <xf borderId="0" fillId="12" fontId="20" numFmtId="0" xfId="0" applyAlignment="1" applyFont="1">
      <alignment readingOrder="0" vertical="bottom"/>
    </xf>
    <xf borderId="0" fillId="12" fontId="4" numFmtId="0" xfId="0" applyAlignment="1" applyFont="1">
      <alignment readingOrder="0"/>
    </xf>
    <xf borderId="0" fillId="12" fontId="4" numFmtId="0" xfId="0" applyFont="1"/>
    <xf borderId="0" fillId="12" fontId="20" numFmtId="166" xfId="0" applyAlignment="1" applyFont="1" applyNumberFormat="1">
      <alignment horizontal="left" vertical="bottom"/>
    </xf>
    <xf borderId="0" fillId="12" fontId="20" numFmtId="164" xfId="0" applyAlignment="1" applyFont="1" applyNumberFormat="1">
      <alignment horizontal="left" vertical="bottom"/>
    </xf>
    <xf borderId="0" fillId="12" fontId="21" numFmtId="0" xfId="0" applyAlignment="1" applyFont="1">
      <alignment vertical="bottom"/>
    </xf>
    <xf borderId="0" fillId="4" fontId="21" numFmtId="0" xfId="0" applyAlignment="1" applyFont="1">
      <alignment vertical="bottom"/>
    </xf>
    <xf borderId="0" fillId="4" fontId="20" numFmtId="170" xfId="0" applyAlignment="1" applyFont="1" applyNumberFormat="1">
      <alignment horizontal="left" vertical="bottom"/>
    </xf>
    <xf borderId="0" fillId="4" fontId="20" numFmtId="0" xfId="0" applyAlignment="1" applyFont="1">
      <alignment horizontal="left" vertical="bottom"/>
    </xf>
    <xf borderId="0" fillId="4" fontId="20" numFmtId="0" xfId="0" applyAlignment="1" applyFont="1">
      <alignment vertical="bottom"/>
    </xf>
    <xf borderId="0" fillId="4" fontId="20" numFmtId="164" xfId="0" applyAlignment="1" applyFont="1" applyNumberFormat="1">
      <alignment horizontal="left" vertical="bottom"/>
    </xf>
    <xf borderId="0" fillId="4" fontId="19" numFmtId="164" xfId="0" applyAlignment="1" applyFont="1" applyNumberFormat="1">
      <alignment horizontal="left" vertical="bottom"/>
    </xf>
    <xf borderId="0" fillId="4" fontId="19" numFmtId="0" xfId="0" applyAlignment="1" applyFont="1">
      <alignment horizontal="left" vertical="bottom"/>
    </xf>
    <xf borderId="0" fillId="4" fontId="20" numFmtId="0" xfId="0" applyAlignment="1" applyFont="1">
      <alignment readingOrder="0" vertical="bottom"/>
    </xf>
    <xf borderId="0" fillId="13" fontId="20" numFmtId="0" xfId="0" applyAlignment="1" applyFill="1" applyFont="1">
      <alignment vertical="bottom"/>
    </xf>
    <xf borderId="0" fillId="13" fontId="20" numFmtId="170" xfId="0" applyAlignment="1" applyFont="1" applyNumberFormat="1">
      <alignment horizontal="left" vertical="bottom"/>
    </xf>
    <xf borderId="0" fillId="13" fontId="20" numFmtId="0" xfId="0" applyAlignment="1" applyFont="1">
      <alignment horizontal="left" vertical="bottom"/>
    </xf>
    <xf borderId="0" fillId="13" fontId="20" numFmtId="171" xfId="0" applyAlignment="1" applyFont="1" applyNumberFormat="1">
      <alignment horizontal="left" vertical="bottom"/>
    </xf>
    <xf borderId="0" fillId="13" fontId="19" numFmtId="164" xfId="0" applyAlignment="1" applyFont="1" applyNumberFormat="1">
      <alignment horizontal="left" vertical="bottom"/>
    </xf>
    <xf borderId="0" fillId="13" fontId="19" numFmtId="0" xfId="0" applyAlignment="1" applyFont="1">
      <alignment horizontal="left" vertical="bottom"/>
    </xf>
    <xf borderId="0" fillId="13" fontId="20" numFmtId="0" xfId="0" applyAlignment="1" applyFont="1">
      <alignment readingOrder="0" vertical="bottom"/>
    </xf>
    <xf borderId="0" fillId="13" fontId="4" numFmtId="0" xfId="0" applyAlignment="1" applyFont="1">
      <alignment readingOrder="0"/>
    </xf>
    <xf borderId="0" fillId="13" fontId="4" numFmtId="0" xfId="0" applyFont="1"/>
    <xf borderId="0" fillId="0" fontId="20" numFmtId="0" xfId="0" applyAlignment="1" applyFont="1">
      <alignment vertical="bottom"/>
    </xf>
    <xf borderId="0" fillId="0" fontId="20" numFmtId="170" xfId="0" applyAlignment="1" applyFont="1" applyNumberFormat="1">
      <alignment horizontal="left" vertical="bottom"/>
    </xf>
    <xf borderId="0" fillId="0" fontId="20" numFmtId="0" xfId="0" applyAlignment="1" applyFont="1">
      <alignment horizontal="left" vertical="bottom"/>
    </xf>
    <xf borderId="0" fillId="0" fontId="22" numFmtId="0" xfId="0" applyAlignment="1" applyFont="1">
      <alignment horizontal="left" vertical="bottom"/>
    </xf>
    <xf borderId="0" fillId="0" fontId="20" numFmtId="164" xfId="0" applyAlignment="1" applyFont="1" applyNumberFormat="1">
      <alignment horizontal="left" vertical="bottom"/>
    </xf>
    <xf borderId="0" fillId="0" fontId="19" numFmtId="0" xfId="0" applyAlignment="1" applyFont="1">
      <alignment horizontal="left" vertical="bottom"/>
    </xf>
    <xf borderId="0" fillId="4" fontId="20" numFmtId="166" xfId="0" applyAlignment="1" applyFont="1" applyNumberFormat="1">
      <alignment horizontal="left" vertical="bottom"/>
    </xf>
    <xf borderId="0" fillId="14" fontId="21" numFmtId="0" xfId="0" applyAlignment="1" applyFill="1" applyFont="1">
      <alignment vertical="bottom"/>
    </xf>
    <xf borderId="0" fillId="14" fontId="20" numFmtId="166" xfId="0" applyAlignment="1" applyFont="1" applyNumberFormat="1">
      <alignment horizontal="left" vertical="bottom"/>
    </xf>
    <xf borderId="0" fillId="14" fontId="20" numFmtId="0" xfId="0" applyAlignment="1" applyFont="1">
      <alignment horizontal="left" vertical="bottom"/>
    </xf>
    <xf borderId="0" fillId="14" fontId="20" numFmtId="0" xfId="0" applyAlignment="1" applyFont="1">
      <alignment vertical="bottom"/>
    </xf>
    <xf borderId="0" fillId="14" fontId="20" numFmtId="164" xfId="0" applyAlignment="1" applyFont="1" applyNumberFormat="1">
      <alignment horizontal="left" vertical="bottom"/>
    </xf>
    <xf borderId="0" fillId="14" fontId="19" numFmtId="164" xfId="0" applyAlignment="1" applyFont="1" applyNumberFormat="1">
      <alignment horizontal="left" vertical="bottom"/>
    </xf>
    <xf borderId="0" fillId="14" fontId="19" numFmtId="0" xfId="0" applyAlignment="1" applyFont="1">
      <alignment horizontal="left" vertical="bottom"/>
    </xf>
    <xf borderId="0" fillId="14" fontId="20" numFmtId="0" xfId="0" applyAlignment="1" applyFont="1">
      <alignment readingOrder="0" vertical="bottom"/>
    </xf>
    <xf borderId="0" fillId="0" fontId="20" numFmtId="0" xfId="0" applyAlignment="1" applyFont="1">
      <alignment readingOrder="0" vertical="bottom"/>
    </xf>
    <xf borderId="0" fillId="14" fontId="23" numFmtId="0" xfId="0" applyAlignment="1" applyFont="1">
      <alignment horizontal="left" vertical="bottom"/>
    </xf>
    <xf borderId="0" fillId="0" fontId="23" numFmtId="0" xfId="0" applyAlignment="1" applyFont="1">
      <alignment horizontal="left" vertical="bottom"/>
    </xf>
    <xf borderId="0" fillId="5" fontId="20" numFmtId="0" xfId="0" applyAlignment="1" applyFont="1">
      <alignment vertical="bottom"/>
    </xf>
    <xf borderId="0" fillId="5" fontId="20" numFmtId="0" xfId="0" applyAlignment="1" applyFont="1">
      <alignment horizontal="left" vertical="bottom"/>
    </xf>
    <xf borderId="0" fillId="5" fontId="20" numFmtId="164" xfId="0" applyAlignment="1" applyFont="1" applyNumberFormat="1">
      <alignment horizontal="left" vertical="bottom"/>
    </xf>
    <xf borderId="0" fillId="5" fontId="19" numFmtId="164" xfId="0" applyAlignment="1" applyFont="1" applyNumberFormat="1">
      <alignment horizontal="left" vertical="bottom"/>
    </xf>
    <xf borderId="0" fillId="5" fontId="19" numFmtId="0" xfId="0" applyAlignment="1" applyFont="1">
      <alignment horizontal="left" vertical="bottom"/>
    </xf>
    <xf borderId="0" fillId="5" fontId="20" numFmtId="0" xfId="0" applyAlignment="1" applyFont="1">
      <alignment readingOrder="0" vertical="bottom"/>
    </xf>
    <xf borderId="0" fillId="14" fontId="21" numFmtId="0" xfId="0" applyAlignment="1" applyFont="1">
      <alignment horizontal="left" vertical="bottom"/>
    </xf>
    <xf borderId="0" fillId="14" fontId="24" numFmtId="0" xfId="0" applyAlignment="1" applyFont="1">
      <alignment horizontal="left" vertical="bottom"/>
    </xf>
    <xf borderId="0" fillId="14" fontId="21" numFmtId="164" xfId="0" applyAlignment="1" applyFont="1" applyNumberFormat="1">
      <alignment horizontal="left" vertical="bottom"/>
    </xf>
    <xf borderId="0" fillId="14" fontId="22" numFmtId="164" xfId="0" applyAlignment="1" applyFont="1" applyNumberFormat="1">
      <alignment horizontal="left" vertical="bottom"/>
    </xf>
    <xf borderId="0" fillId="14" fontId="22" numFmtId="0" xfId="0" applyAlignment="1" applyFont="1">
      <alignment horizontal="left" vertical="bottom"/>
    </xf>
    <xf borderId="0" fillId="14" fontId="21" numFmtId="0" xfId="0" applyAlignment="1" applyFont="1">
      <alignment readingOrder="0" vertical="bottom"/>
    </xf>
    <xf borderId="0" fillId="4" fontId="23" numFmtId="0" xfId="0" applyAlignment="1" applyFont="1">
      <alignment horizontal="left" vertical="bottom"/>
    </xf>
    <xf borderId="0" fillId="14" fontId="21" numFmtId="170" xfId="0" applyAlignment="1" applyFont="1" applyNumberFormat="1">
      <alignment horizontal="left" vertical="bottom"/>
    </xf>
    <xf borderId="0" fillId="14" fontId="21" numFmtId="0" xfId="0" applyAlignment="1" applyFont="1">
      <alignment horizontal="left" vertical="top"/>
    </xf>
    <xf borderId="0" fillId="14" fontId="25" numFmtId="0" xfId="0" applyAlignment="1" applyFont="1">
      <alignment vertical="bottom"/>
    </xf>
    <xf borderId="0" fillId="4" fontId="7" numFmtId="0" xfId="0" applyAlignment="1" applyFont="1">
      <alignment vertical="bottom"/>
    </xf>
    <xf borderId="0" fillId="0" fontId="7" numFmtId="0" xfId="0" applyAlignment="1" applyFont="1">
      <alignment vertical="bottom"/>
    </xf>
    <xf borderId="0" fillId="14" fontId="21" numFmtId="166" xfId="0" applyAlignment="1" applyFont="1" applyNumberFormat="1">
      <alignment horizontal="left" vertical="bottom"/>
    </xf>
    <xf borderId="0" fillId="4" fontId="21" numFmtId="166" xfId="0" applyAlignment="1" applyFont="1" applyNumberFormat="1">
      <alignment horizontal="left" vertical="bottom"/>
    </xf>
    <xf borderId="0" fillId="4" fontId="21" numFmtId="0" xfId="0" applyAlignment="1" applyFont="1">
      <alignment horizontal="left" vertical="bottom"/>
    </xf>
    <xf borderId="0" fillId="4" fontId="21" numFmtId="164" xfId="0" applyAlignment="1" applyFont="1" applyNumberFormat="1">
      <alignment horizontal="left" vertical="bottom"/>
    </xf>
    <xf borderId="0" fillId="4" fontId="22" numFmtId="164" xfId="0" applyAlignment="1" applyFont="1" applyNumberFormat="1">
      <alignment horizontal="left" vertical="bottom"/>
    </xf>
    <xf borderId="0" fillId="4" fontId="22" numFmtId="0" xfId="0" applyAlignment="1" applyFont="1">
      <alignment horizontal="left" vertical="bottom"/>
    </xf>
    <xf borderId="0" fillId="4" fontId="25" numFmtId="0" xfId="0" applyAlignment="1" applyFont="1">
      <alignment vertical="bottom"/>
    </xf>
    <xf borderId="0" fillId="0" fontId="14" numFmtId="0" xfId="0" applyAlignment="1" applyFont="1">
      <alignment vertical="bottom"/>
    </xf>
    <xf borderId="0" fillId="0" fontId="14" numFmtId="166" xfId="0" applyAlignment="1" applyFont="1" applyNumberFormat="1">
      <alignment horizontal="left" shrinkToFit="0" wrapText="1"/>
    </xf>
    <xf borderId="0" fillId="0" fontId="14" numFmtId="0" xfId="0" applyAlignment="1" applyFont="1">
      <alignment horizontal="left" shrinkToFit="0" wrapText="1"/>
    </xf>
    <xf borderId="0" fillId="0" fontId="14" numFmtId="0" xfId="0" applyAlignment="1" applyFont="1">
      <alignment shrinkToFit="0" wrapText="1"/>
    </xf>
    <xf borderId="0" fillId="0" fontId="14" numFmtId="164" xfId="0" applyAlignment="1" applyFont="1" applyNumberFormat="1">
      <alignment horizontal="left" shrinkToFit="0" wrapText="1"/>
    </xf>
    <xf borderId="0" fillId="0" fontId="26" numFmtId="164" xfId="0" applyAlignment="1" applyFont="1" applyNumberFormat="1">
      <alignment horizontal="left" shrinkToFit="0" wrapText="1"/>
    </xf>
    <xf borderId="0" fillId="0" fontId="26" numFmtId="0" xfId="0" applyAlignment="1" applyFont="1">
      <alignment shrinkToFit="0" wrapText="1"/>
    </xf>
    <xf borderId="0" fillId="0" fontId="14" numFmtId="0" xfId="0" applyAlignment="1" applyFont="1">
      <alignment readingOrder="0" shrinkToFit="0" wrapText="1"/>
    </xf>
    <xf borderId="0" fillId="0" fontId="6" numFmtId="0" xfId="0" applyAlignment="1" applyFont="1">
      <alignment shrinkToFit="0" wrapText="1"/>
    </xf>
    <xf borderId="0" fillId="8" fontId="27" numFmtId="0" xfId="0" applyAlignment="1" applyFont="1">
      <alignment horizontal="center" shrinkToFit="0" vertical="bottom" wrapText="1"/>
    </xf>
    <xf borderId="0" fillId="0" fontId="27" numFmtId="0" xfId="0" applyAlignment="1" applyFont="1">
      <alignment shrinkToFit="0" vertical="bottom" wrapText="1"/>
    </xf>
    <xf borderId="0" fillId="6" fontId="6" numFmtId="0" xfId="0" applyFont="1"/>
    <xf borderId="0" fillId="6" fontId="6" numFmtId="0" xfId="0" applyAlignment="1" applyFont="1">
      <alignment shrinkToFit="0" wrapText="1"/>
    </xf>
    <xf borderId="0" fillId="4" fontId="6" numFmtId="0" xfId="0" applyAlignment="1" applyFont="1">
      <alignment shrinkToFit="0" wrapText="1"/>
    </xf>
    <xf borderId="0" fillId="4" fontId="27" numFmtId="0" xfId="0" applyAlignment="1" applyFont="1">
      <alignment shrinkToFit="0" vertical="bottom" wrapText="1"/>
    </xf>
    <xf borderId="0" fillId="0" fontId="6" numFmtId="0" xfId="0" applyAlignment="1" applyFont="1">
      <alignment horizontal="left"/>
    </xf>
    <xf borderId="0" fillId="8" fontId="6" numFmtId="0" xfId="0" applyAlignment="1" applyFont="1">
      <alignment readingOrder="0" shrinkToFit="0" vertical="bottom" wrapText="1"/>
    </xf>
    <xf borderId="0" fillId="8" fontId="6" numFmtId="0" xfId="0" applyAlignment="1" applyFont="1">
      <alignment readingOrder="0" vertical="bottom"/>
    </xf>
    <xf borderId="0" fillId="8" fontId="4" numFmtId="0" xfId="0" applyAlignment="1" applyFont="1">
      <alignment readingOrder="0" shrinkToFit="0" vertical="bottom" wrapText="1"/>
    </xf>
    <xf borderId="0" fillId="8" fontId="4" numFmtId="0" xfId="0" applyAlignment="1" applyFont="1">
      <alignment readingOrder="0" vertical="bottom"/>
    </xf>
    <xf borderId="0" fillId="0" fontId="4" numFmtId="0" xfId="0" applyAlignment="1" applyFont="1">
      <alignment vertical="bottom"/>
    </xf>
    <xf borderId="0" fillId="3" fontId="4" numFmtId="0" xfId="0" applyAlignment="1" applyFont="1">
      <alignment vertical="bottom"/>
    </xf>
    <xf borderId="0" fillId="0" fontId="4" numFmtId="0" xfId="0" applyAlignment="1" applyFont="1">
      <alignment readingOrder="0" shrinkToFit="0" vertical="bottom" wrapText="1"/>
    </xf>
    <xf borderId="0" fillId="3" fontId="4" numFmtId="0" xfId="0" applyAlignment="1" applyFont="1">
      <alignment readingOrder="0" vertical="bottom"/>
    </xf>
    <xf borderId="0" fillId="3" fontId="11" numFmtId="0" xfId="0" applyAlignment="1" applyFont="1">
      <alignment shrinkToFit="0" vertical="bottom" wrapText="1"/>
    </xf>
    <xf borderId="0" fillId="3" fontId="4" numFmtId="10" xfId="0" applyAlignment="1" applyFont="1" applyNumberFormat="1">
      <alignment shrinkToFit="0" vertical="bottom" wrapText="1"/>
    </xf>
    <xf borderId="0" fillId="3" fontId="25" numFmtId="0" xfId="0" applyAlignment="1" applyFont="1">
      <alignment shrinkToFit="0" vertical="bottom" wrapText="1"/>
    </xf>
    <xf borderId="0" fillId="3" fontId="11" numFmtId="0" xfId="0" applyAlignment="1" applyFont="1">
      <alignment vertical="bottom"/>
    </xf>
    <xf borderId="0" fillId="3" fontId="6" numFmtId="0" xfId="0" applyAlignment="1" applyFont="1">
      <alignment shrinkToFit="0" vertical="bottom" wrapText="1"/>
    </xf>
    <xf borderId="0" fillId="0" fontId="4" numFmtId="0" xfId="0" applyAlignment="1" applyFont="1">
      <alignment shrinkToFit="0" vertical="bottom" wrapText="1"/>
    </xf>
    <xf borderId="0" fillId="0" fontId="1" numFmtId="166" xfId="0" applyAlignment="1" applyFont="1" applyNumberFormat="1">
      <alignment readingOrder="0"/>
    </xf>
    <xf borderId="0" fillId="0" fontId="28" numFmtId="0" xfId="0" applyAlignment="1" applyFont="1">
      <alignment shrinkToFit="0" wrapText="1"/>
    </xf>
    <xf borderId="0" fillId="0" fontId="29" numFmtId="0" xfId="0" applyAlignment="1" applyFont="1">
      <alignment shrinkToFit="0" wrapText="1"/>
    </xf>
    <xf borderId="0" fillId="0" fontId="27" numFmtId="0" xfId="0" applyAlignment="1" applyFont="1">
      <alignment shrinkToFit="0" vertical="bottom" wrapText="0"/>
    </xf>
    <xf borderId="0" fillId="0" fontId="28" numFmtId="0" xfId="0" applyFont="1"/>
    <xf borderId="0" fillId="0" fontId="30" numFmtId="0" xfId="0" applyFont="1"/>
    <xf borderId="0" fillId="0" fontId="31" numFmtId="0" xfId="0" applyAlignment="1" applyFont="1">
      <alignment shrinkToFit="0" wrapText="1"/>
    </xf>
    <xf quotePrefix="1" borderId="0" fillId="0" fontId="6" numFmtId="0" xfId="0" applyAlignment="1" applyFont="1">
      <alignment shrinkToFit="0" wrapText="1"/>
    </xf>
    <xf quotePrefix="1" borderId="0" fillId="0" fontId="4" numFmtId="0" xfId="0" applyAlignment="1" applyFont="1">
      <alignment shrinkToFit="0" wrapText="1"/>
    </xf>
    <xf borderId="0" fillId="0" fontId="3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1" Type="http://schemas.openxmlformats.org/officeDocument/2006/relationships/hyperlink" Target="https://maps.app.goo.gl/avuDfddBfuoce4g68" TargetMode="External"/><Relationship Id="rId10" Type="http://schemas.openxmlformats.org/officeDocument/2006/relationships/hyperlink" Target="https://maps.app.goo.gl/zeiZkFZSZx2GZPes7" TargetMode="External"/><Relationship Id="rId13" Type="http://schemas.openxmlformats.org/officeDocument/2006/relationships/hyperlink" Target="https://maps.app.goo.gl/SNLjHqoQDoJSscjq7" TargetMode="External"/><Relationship Id="rId12" Type="http://schemas.openxmlformats.org/officeDocument/2006/relationships/hyperlink" Target="https://maps.app.goo.gl/2h7vMufKb6e3bvbZ6" TargetMode="External"/><Relationship Id="rId1" Type="http://schemas.openxmlformats.org/officeDocument/2006/relationships/hyperlink" Target="https://maps.app.goo.gl/i9pCasi2wwS4Na9U8" TargetMode="External"/><Relationship Id="rId2" Type="http://schemas.openxmlformats.org/officeDocument/2006/relationships/hyperlink" Target="https://maps.app.goo.gl/xWAiojjVhXZotzLE6" TargetMode="External"/><Relationship Id="rId3" Type="http://schemas.openxmlformats.org/officeDocument/2006/relationships/hyperlink" Target="https://maps.app.goo.gl/7xc3yGZ64PRadcu88" TargetMode="External"/><Relationship Id="rId4" Type="http://schemas.openxmlformats.org/officeDocument/2006/relationships/hyperlink" Target="https://maps.app.goo.gl/VgoFZcondZWX8nWu8" TargetMode="External"/><Relationship Id="rId9" Type="http://schemas.openxmlformats.org/officeDocument/2006/relationships/hyperlink" Target="https://maps.app.goo.gl/sE8cBXPdSCX2jLaq8" TargetMode="External"/><Relationship Id="rId15" Type="http://schemas.openxmlformats.org/officeDocument/2006/relationships/hyperlink" Target="https://maps.app.goo.gl/YtnQsMpN3Tkm33tx9" TargetMode="External"/><Relationship Id="rId14" Type="http://schemas.openxmlformats.org/officeDocument/2006/relationships/hyperlink" Target="https://maps.app.goo.gl/Ms6FjvBU7tfGwrSE7" TargetMode="External"/><Relationship Id="rId17" Type="http://schemas.openxmlformats.org/officeDocument/2006/relationships/drawing" Target="../drawings/drawing18.xml"/><Relationship Id="rId16" Type="http://schemas.openxmlformats.org/officeDocument/2006/relationships/hyperlink" Target="https://maps.app.goo.gl/N6MyqHJtTgLLtuuF8" TargetMode="External"/><Relationship Id="rId5" Type="http://schemas.openxmlformats.org/officeDocument/2006/relationships/hyperlink" Target="https://maps.app.goo.gl/My3NikJUXRbJTyCq6" TargetMode="External"/><Relationship Id="rId6" Type="http://schemas.openxmlformats.org/officeDocument/2006/relationships/hyperlink" Target="https://maps.app.goo.gl/bVygzwKeB8YJTdiK6" TargetMode="External"/><Relationship Id="rId7" Type="http://schemas.openxmlformats.org/officeDocument/2006/relationships/hyperlink" Target="https://maps.app.goo.gl/VsKkT84X2P1VHcoH9" TargetMode="External"/><Relationship Id="rId8" Type="http://schemas.openxmlformats.org/officeDocument/2006/relationships/hyperlink" Target="https://maps.app.goo.gl/KJ452sRgv5bebeTw9"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maps.app.goo.gl/11fV5odZ19DnvuT7A" TargetMode="External"/><Relationship Id="rId2" Type="http://schemas.openxmlformats.org/officeDocument/2006/relationships/hyperlink" Target="https://maps.app.goo.gl/FZbZK17bELaZZvLj7" TargetMode="External"/><Relationship Id="rId3" Type="http://schemas.openxmlformats.org/officeDocument/2006/relationships/hyperlink" Target="https://maps.app.goo.gl/Tn14ijCJPsxQQpM5A"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maps.app.goo.gl/iNdtbQZudHnTd9zi9" TargetMode="External"/><Relationship Id="rId2" Type="http://schemas.openxmlformats.org/officeDocument/2006/relationships/hyperlink" Target="https://maps.app.goo.gl/qW9GRgqN96Ge1w9t5" TargetMode="External"/><Relationship Id="rId3" Type="http://schemas.openxmlformats.org/officeDocument/2006/relationships/hyperlink" Target="https://maps.app.goo.gl/kngg25GAq4QxK7yX8" TargetMode="External"/><Relationship Id="rId4" Type="http://schemas.openxmlformats.org/officeDocument/2006/relationships/hyperlink" Target="https://maps.app.goo.gl/BZy5x3eVVUwr8Knt7" TargetMode="External"/><Relationship Id="rId5" Type="http://schemas.openxmlformats.org/officeDocument/2006/relationships/hyperlink" Target="https://maps.app.goo.gl/WrxvDX4hDkWXuw5B8" TargetMode="External"/><Relationship Id="rId6" Type="http://schemas.openxmlformats.org/officeDocument/2006/relationships/hyperlink" Target="https://maps.app.goo.gl/3pKzsTX1tvh9XHkA6" TargetMode="External"/><Relationship Id="rId7"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maps.app.goo.gl/h1fYTTvZWmkR5irY6" TargetMode="External"/><Relationship Id="rId2" Type="http://schemas.openxmlformats.org/officeDocument/2006/relationships/hyperlink" Target="https://maps.app.goo.gl/L6VeHWQLWJHP924A6" TargetMode="External"/><Relationship Id="rId3" Type="http://schemas.openxmlformats.org/officeDocument/2006/relationships/hyperlink" Target="https://maps.app.goo.gl/v1wGjYvL7xY2SXNZ8" TargetMode="External"/><Relationship Id="rId4" Type="http://schemas.openxmlformats.org/officeDocument/2006/relationships/hyperlink" Target="https://maps.app.goo.gl/nacTjwncNfhxq3L3A" TargetMode="External"/><Relationship Id="rId5" Type="http://schemas.openxmlformats.org/officeDocument/2006/relationships/hyperlink" Target="https://maps.app.goo.gl/XKvEiF6t77HNsHNk8" TargetMode="External"/><Relationship Id="rId6"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63"/>
    <col customWidth="1" min="2" max="2" width="40.25"/>
    <col customWidth="1" min="3" max="3" width="12.63"/>
    <col customWidth="1" min="4" max="4" width="14.63"/>
    <col customWidth="1" min="5" max="5" width="17.0"/>
    <col customWidth="1" min="6" max="6" width="10.13"/>
    <col customWidth="1" min="10" max="11" width="22.13"/>
    <col customWidth="1" min="12" max="12" width="16.5"/>
    <col customWidth="1" min="13" max="13" width="27.13"/>
    <col customWidth="1" min="14" max="14" width="25.5"/>
    <col customWidth="1" min="15" max="15" width="22.13"/>
  </cols>
  <sheetData>
    <row r="1" ht="15.75" customHeight="1">
      <c r="A1" s="1" t="s">
        <v>0</v>
      </c>
      <c r="B1" s="1" t="s">
        <v>1</v>
      </c>
      <c r="C1" s="1" t="s">
        <v>2</v>
      </c>
      <c r="D1" s="2" t="s">
        <v>3</v>
      </c>
      <c r="E1" s="3" t="s">
        <v>4</v>
      </c>
      <c r="F1" s="3" t="s">
        <v>5</v>
      </c>
      <c r="G1" s="4" t="s">
        <v>6</v>
      </c>
      <c r="H1" s="2" t="s">
        <v>7</v>
      </c>
      <c r="I1" s="1" t="s">
        <v>8</v>
      </c>
      <c r="J1" s="1" t="s">
        <v>9</v>
      </c>
      <c r="K1" s="1" t="s">
        <v>10</v>
      </c>
      <c r="L1" s="5" t="s">
        <v>11</v>
      </c>
      <c r="M1" s="6" t="s">
        <v>12</v>
      </c>
      <c r="N1" s="1" t="s">
        <v>13</v>
      </c>
      <c r="O1" s="1" t="s">
        <v>14</v>
      </c>
      <c r="P1" s="1" t="s">
        <v>15</v>
      </c>
      <c r="Q1" s="1" t="s">
        <v>16</v>
      </c>
      <c r="R1" s="1" t="s">
        <v>17</v>
      </c>
      <c r="S1" s="1" t="s">
        <v>18</v>
      </c>
    </row>
    <row r="2" ht="15.75" customHeight="1">
      <c r="A2" s="7" t="s">
        <v>19</v>
      </c>
      <c r="B2" s="8" t="s">
        <v>20</v>
      </c>
      <c r="C2" s="9">
        <v>45710.0</v>
      </c>
      <c r="D2" s="9"/>
      <c r="E2" s="7" t="s">
        <v>21</v>
      </c>
      <c r="F2" s="7">
        <v>24.0</v>
      </c>
      <c r="G2" s="10">
        <v>121.5</v>
      </c>
      <c r="H2" s="7" t="s">
        <v>22</v>
      </c>
      <c r="I2" s="11" t="s">
        <v>23</v>
      </c>
      <c r="J2" s="11" t="s">
        <v>24</v>
      </c>
      <c r="K2" s="11" t="s">
        <v>25</v>
      </c>
      <c r="L2" s="7"/>
      <c r="M2" s="12" t="s">
        <v>26</v>
      </c>
      <c r="N2" s="13"/>
      <c r="O2" s="11" t="s">
        <v>27</v>
      </c>
      <c r="P2" s="7" t="s">
        <v>22</v>
      </c>
      <c r="Q2" s="14" t="b">
        <f t="shared" ref="Q2:Q1031" si="1">K2=$K$2</f>
        <v>1</v>
      </c>
      <c r="R2" s="15" t="b">
        <f t="shared" ref="R2:R1031" si="2">O2="Cancelled"</f>
        <v>0</v>
      </c>
      <c r="S2" s="15" t="str">
        <f t="shared" ref="S2:S1031" si="3">if(K2="DEPOSITED","APPROVED","PENDING")</f>
        <v>APPROVED</v>
      </c>
    </row>
    <row r="3" ht="15.75" customHeight="1">
      <c r="A3" s="7" t="s">
        <v>28</v>
      </c>
      <c r="B3" s="8" t="s">
        <v>29</v>
      </c>
      <c r="C3" s="9">
        <v>45710.0</v>
      </c>
      <c r="D3" s="9"/>
      <c r="E3" s="7" t="s">
        <v>21</v>
      </c>
      <c r="F3" s="7">
        <v>72.0</v>
      </c>
      <c r="G3" s="10">
        <v>0.0</v>
      </c>
      <c r="H3" s="7" t="s">
        <v>22</v>
      </c>
      <c r="I3" s="11" t="s">
        <v>23</v>
      </c>
      <c r="J3" s="11" t="s">
        <v>30</v>
      </c>
      <c r="K3" s="7" t="s">
        <v>31</v>
      </c>
      <c r="L3" s="16"/>
      <c r="M3" s="12" t="s">
        <v>32</v>
      </c>
      <c r="N3" s="13"/>
      <c r="O3" s="11" t="s">
        <v>27</v>
      </c>
      <c r="P3" s="7" t="s">
        <v>22</v>
      </c>
      <c r="Q3" s="14" t="b">
        <f t="shared" si="1"/>
        <v>0</v>
      </c>
      <c r="R3" s="15" t="b">
        <f t="shared" si="2"/>
        <v>0</v>
      </c>
      <c r="S3" s="15" t="str">
        <f t="shared" si="3"/>
        <v>PENDING</v>
      </c>
    </row>
    <row r="4" ht="15.75" customHeight="1">
      <c r="A4" s="7" t="s">
        <v>33</v>
      </c>
      <c r="B4" s="8" t="s">
        <v>34</v>
      </c>
      <c r="C4" s="9">
        <v>45710.0</v>
      </c>
      <c r="D4" s="9"/>
      <c r="E4" s="7" t="s">
        <v>21</v>
      </c>
      <c r="F4" s="7">
        <v>24.0</v>
      </c>
      <c r="G4" s="10">
        <v>121.5</v>
      </c>
      <c r="H4" s="7" t="s">
        <v>22</v>
      </c>
      <c r="I4" s="11" t="s">
        <v>23</v>
      </c>
      <c r="J4" s="11" t="s">
        <v>35</v>
      </c>
      <c r="K4" s="11" t="s">
        <v>25</v>
      </c>
      <c r="L4" s="7"/>
      <c r="M4" s="12" t="s">
        <v>36</v>
      </c>
      <c r="N4" s="13"/>
      <c r="O4" s="11" t="s">
        <v>27</v>
      </c>
      <c r="P4" s="7" t="s">
        <v>22</v>
      </c>
      <c r="Q4" s="14" t="b">
        <f t="shared" si="1"/>
        <v>1</v>
      </c>
      <c r="R4" s="15" t="b">
        <f t="shared" si="2"/>
        <v>0</v>
      </c>
      <c r="S4" s="15" t="str">
        <f t="shared" si="3"/>
        <v>APPROVED</v>
      </c>
    </row>
    <row r="5" ht="15.75" customHeight="1">
      <c r="A5" s="7" t="s">
        <v>37</v>
      </c>
      <c r="B5" s="13" t="s">
        <v>38</v>
      </c>
      <c r="C5" s="9"/>
      <c r="D5" s="9"/>
      <c r="E5" s="7" t="s">
        <v>21</v>
      </c>
      <c r="F5" s="7">
        <v>96.0</v>
      </c>
      <c r="G5" s="10">
        <v>0.0</v>
      </c>
      <c r="H5" s="7"/>
      <c r="I5" s="11" t="s">
        <v>23</v>
      </c>
      <c r="J5" s="11" t="s">
        <v>30</v>
      </c>
      <c r="K5" s="7" t="s">
        <v>31</v>
      </c>
      <c r="L5" s="7"/>
      <c r="M5" s="12" t="s">
        <v>32</v>
      </c>
      <c r="N5" s="13"/>
      <c r="O5" s="11" t="s">
        <v>27</v>
      </c>
      <c r="P5" s="7"/>
      <c r="Q5" s="14" t="b">
        <f t="shared" si="1"/>
        <v>0</v>
      </c>
      <c r="R5" s="15" t="b">
        <f t="shared" si="2"/>
        <v>0</v>
      </c>
      <c r="S5" s="15" t="str">
        <f t="shared" si="3"/>
        <v>PENDING</v>
      </c>
    </row>
    <row r="6" ht="15.75" customHeight="1">
      <c r="A6" s="7" t="s">
        <v>39</v>
      </c>
      <c r="B6" s="13" t="s">
        <v>40</v>
      </c>
      <c r="C6" s="9"/>
      <c r="D6" s="9"/>
      <c r="E6" s="7" t="s">
        <v>21</v>
      </c>
      <c r="F6" s="7">
        <v>72.0</v>
      </c>
      <c r="G6" s="10">
        <v>0.0</v>
      </c>
      <c r="H6" s="7"/>
      <c r="I6" s="11" t="s">
        <v>23</v>
      </c>
      <c r="J6" s="11" t="s">
        <v>30</v>
      </c>
      <c r="K6" s="7" t="s">
        <v>31</v>
      </c>
      <c r="L6" s="7"/>
      <c r="M6" s="12" t="s">
        <v>32</v>
      </c>
      <c r="N6" s="13"/>
      <c r="O6" s="11" t="s">
        <v>27</v>
      </c>
      <c r="P6" s="7"/>
      <c r="Q6" s="14" t="b">
        <f t="shared" si="1"/>
        <v>0</v>
      </c>
      <c r="R6" s="15" t="b">
        <f t="shared" si="2"/>
        <v>0</v>
      </c>
      <c r="S6" s="15" t="str">
        <f t="shared" si="3"/>
        <v>PENDING</v>
      </c>
    </row>
    <row r="7" ht="15.75" customHeight="1">
      <c r="A7" s="7" t="s">
        <v>41</v>
      </c>
      <c r="B7" s="13" t="s">
        <v>42</v>
      </c>
      <c r="C7" s="9">
        <v>45710.0</v>
      </c>
      <c r="D7" s="9"/>
      <c r="E7" s="7" t="s">
        <v>21</v>
      </c>
      <c r="F7" s="7">
        <v>7.0</v>
      </c>
      <c r="G7" s="10">
        <v>121.5</v>
      </c>
      <c r="H7" s="7" t="s">
        <v>22</v>
      </c>
      <c r="I7" s="11" t="s">
        <v>23</v>
      </c>
      <c r="J7" s="11" t="s">
        <v>24</v>
      </c>
      <c r="K7" s="11" t="s">
        <v>25</v>
      </c>
      <c r="L7" s="7"/>
      <c r="M7" s="12" t="s">
        <v>43</v>
      </c>
      <c r="N7" s="13"/>
      <c r="O7" s="17" t="s">
        <v>27</v>
      </c>
      <c r="P7" s="7" t="s">
        <v>22</v>
      </c>
      <c r="Q7" s="14" t="b">
        <f t="shared" si="1"/>
        <v>1</v>
      </c>
      <c r="R7" s="15" t="b">
        <f t="shared" si="2"/>
        <v>0</v>
      </c>
      <c r="S7" s="15" t="str">
        <f t="shared" si="3"/>
        <v>APPROVED</v>
      </c>
    </row>
    <row r="8" ht="15.75" customHeight="1">
      <c r="A8" s="7" t="s">
        <v>44</v>
      </c>
      <c r="B8" s="8" t="s">
        <v>29</v>
      </c>
      <c r="C8" s="9">
        <v>45713.0</v>
      </c>
      <c r="D8" s="9"/>
      <c r="E8" s="7" t="s">
        <v>21</v>
      </c>
      <c r="F8" s="7">
        <v>240.0</v>
      </c>
      <c r="G8" s="10">
        <v>120.0</v>
      </c>
      <c r="H8" s="7" t="s">
        <v>22</v>
      </c>
      <c r="I8" s="11" t="s">
        <v>23</v>
      </c>
      <c r="J8" s="11" t="s">
        <v>35</v>
      </c>
      <c r="K8" s="11" t="s">
        <v>25</v>
      </c>
      <c r="L8" s="7"/>
      <c r="M8" s="12" t="s">
        <v>45</v>
      </c>
      <c r="N8" s="13"/>
      <c r="O8" s="11" t="s">
        <v>27</v>
      </c>
      <c r="P8" s="7" t="s">
        <v>22</v>
      </c>
      <c r="Q8" s="14" t="b">
        <f t="shared" si="1"/>
        <v>1</v>
      </c>
      <c r="R8" s="15" t="b">
        <f t="shared" si="2"/>
        <v>0</v>
      </c>
      <c r="S8" s="15" t="str">
        <f t="shared" si="3"/>
        <v>APPROVED</v>
      </c>
    </row>
    <row r="9" ht="15.75" customHeight="1">
      <c r="A9" s="18" t="s">
        <v>46</v>
      </c>
      <c r="B9" s="19" t="s">
        <v>47</v>
      </c>
      <c r="C9" s="20">
        <v>45713.0</v>
      </c>
      <c r="D9" s="20"/>
      <c r="E9" s="18" t="s">
        <v>21</v>
      </c>
      <c r="F9" s="18">
        <v>120.0</v>
      </c>
      <c r="G9" s="21">
        <v>95.0</v>
      </c>
      <c r="H9" s="18" t="s">
        <v>22</v>
      </c>
      <c r="I9" s="22" t="s">
        <v>23</v>
      </c>
      <c r="J9" s="22" t="s">
        <v>48</v>
      </c>
      <c r="K9" s="22" t="s">
        <v>49</v>
      </c>
      <c r="L9" s="18" t="s">
        <v>50</v>
      </c>
      <c r="M9" s="23" t="s">
        <v>51</v>
      </c>
      <c r="N9" s="19"/>
      <c r="O9" s="22" t="s">
        <v>27</v>
      </c>
      <c r="P9" s="18" t="s">
        <v>22</v>
      </c>
      <c r="Q9" s="14" t="b">
        <f t="shared" si="1"/>
        <v>0</v>
      </c>
      <c r="R9" s="15" t="b">
        <f t="shared" si="2"/>
        <v>0</v>
      </c>
      <c r="S9" s="15" t="str">
        <f t="shared" si="3"/>
        <v>PENDING</v>
      </c>
    </row>
    <row r="10" ht="15.75" customHeight="1">
      <c r="A10" s="7" t="s">
        <v>52</v>
      </c>
      <c r="B10" s="13" t="s">
        <v>53</v>
      </c>
      <c r="C10" s="9">
        <v>45713.0</v>
      </c>
      <c r="D10" s="9"/>
      <c r="E10" s="7" t="s">
        <v>21</v>
      </c>
      <c r="F10" s="7">
        <v>24.0</v>
      </c>
      <c r="G10" s="10">
        <v>110.0</v>
      </c>
      <c r="H10" s="7" t="s">
        <v>22</v>
      </c>
      <c r="I10" s="11" t="s">
        <v>23</v>
      </c>
      <c r="J10" s="11" t="s">
        <v>30</v>
      </c>
      <c r="K10" s="11" t="s">
        <v>25</v>
      </c>
      <c r="L10" s="7"/>
      <c r="M10" s="12" t="s">
        <v>54</v>
      </c>
      <c r="N10" s="13"/>
      <c r="O10" s="11" t="s">
        <v>27</v>
      </c>
      <c r="P10" s="7" t="s">
        <v>22</v>
      </c>
      <c r="Q10" s="14" t="b">
        <f t="shared" si="1"/>
        <v>1</v>
      </c>
      <c r="R10" s="15" t="b">
        <f t="shared" si="2"/>
        <v>0</v>
      </c>
      <c r="S10" s="15" t="str">
        <f t="shared" si="3"/>
        <v>APPROVED</v>
      </c>
    </row>
    <row r="11" ht="15.75" customHeight="1">
      <c r="A11" s="7" t="s">
        <v>55</v>
      </c>
      <c r="B11" s="13" t="s">
        <v>56</v>
      </c>
      <c r="C11" s="9"/>
      <c r="D11" s="9"/>
      <c r="E11" s="7" t="s">
        <v>21</v>
      </c>
      <c r="F11" s="7">
        <v>24.0</v>
      </c>
      <c r="G11" s="10"/>
      <c r="H11" s="7" t="s">
        <v>22</v>
      </c>
      <c r="I11" s="11" t="s">
        <v>23</v>
      </c>
      <c r="J11" s="11" t="s">
        <v>30</v>
      </c>
      <c r="K11" s="7" t="s">
        <v>31</v>
      </c>
      <c r="L11" s="7"/>
      <c r="M11" s="12"/>
      <c r="N11" s="13"/>
      <c r="O11" s="11" t="s">
        <v>27</v>
      </c>
      <c r="P11" s="7" t="s">
        <v>22</v>
      </c>
      <c r="Q11" s="14" t="b">
        <f t="shared" si="1"/>
        <v>0</v>
      </c>
      <c r="R11" s="15" t="b">
        <f t="shared" si="2"/>
        <v>0</v>
      </c>
      <c r="S11" s="15" t="str">
        <f t="shared" si="3"/>
        <v>PENDING</v>
      </c>
    </row>
    <row r="12" ht="15.75" customHeight="1">
      <c r="A12" s="7" t="s">
        <v>57</v>
      </c>
      <c r="B12" s="13" t="s">
        <v>58</v>
      </c>
      <c r="C12" s="9"/>
      <c r="D12" s="9"/>
      <c r="E12" s="7" t="s">
        <v>21</v>
      </c>
      <c r="F12" s="7">
        <v>24.0</v>
      </c>
      <c r="G12" s="10"/>
      <c r="H12" s="7" t="s">
        <v>22</v>
      </c>
      <c r="I12" s="11" t="s">
        <v>23</v>
      </c>
      <c r="J12" s="11" t="s">
        <v>30</v>
      </c>
      <c r="K12" s="7" t="s">
        <v>31</v>
      </c>
      <c r="L12" s="7"/>
      <c r="M12" s="12"/>
      <c r="N12" s="13"/>
      <c r="O12" s="11" t="s">
        <v>27</v>
      </c>
      <c r="P12" s="7" t="s">
        <v>22</v>
      </c>
      <c r="Q12" s="14" t="b">
        <f t="shared" si="1"/>
        <v>0</v>
      </c>
      <c r="R12" s="15" t="b">
        <f t="shared" si="2"/>
        <v>0</v>
      </c>
      <c r="S12" s="15" t="str">
        <f t="shared" si="3"/>
        <v>PENDING</v>
      </c>
    </row>
    <row r="13" ht="15.75" customHeight="1">
      <c r="A13" s="7" t="s">
        <v>59</v>
      </c>
      <c r="B13" s="8" t="s">
        <v>60</v>
      </c>
      <c r="C13" s="9"/>
      <c r="D13" s="9"/>
      <c r="E13" s="7" t="s">
        <v>21</v>
      </c>
      <c r="F13" s="7">
        <v>24.0</v>
      </c>
      <c r="G13" s="10"/>
      <c r="H13" s="7" t="s">
        <v>22</v>
      </c>
      <c r="I13" s="11" t="s">
        <v>23</v>
      </c>
      <c r="J13" s="11" t="s">
        <v>30</v>
      </c>
      <c r="K13" s="7" t="s">
        <v>31</v>
      </c>
      <c r="L13" s="7"/>
      <c r="M13" s="12"/>
      <c r="N13" s="13"/>
      <c r="O13" s="11" t="s">
        <v>27</v>
      </c>
      <c r="P13" s="7" t="s">
        <v>22</v>
      </c>
      <c r="Q13" s="14" t="b">
        <f t="shared" si="1"/>
        <v>0</v>
      </c>
      <c r="R13" s="15" t="b">
        <f t="shared" si="2"/>
        <v>0</v>
      </c>
      <c r="S13" s="15" t="str">
        <f t="shared" si="3"/>
        <v>PENDING</v>
      </c>
    </row>
    <row r="14" ht="15.75" customHeight="1">
      <c r="A14" s="7" t="s">
        <v>61</v>
      </c>
      <c r="B14" s="13" t="s">
        <v>62</v>
      </c>
      <c r="C14" s="9"/>
      <c r="D14" s="9"/>
      <c r="E14" s="7" t="s">
        <v>21</v>
      </c>
      <c r="F14" s="7">
        <v>24.0</v>
      </c>
      <c r="G14" s="10">
        <v>150.0</v>
      </c>
      <c r="H14" s="7" t="s">
        <v>22</v>
      </c>
      <c r="I14" s="11" t="s">
        <v>23</v>
      </c>
      <c r="J14" s="11" t="s">
        <v>30</v>
      </c>
      <c r="K14" s="11" t="s">
        <v>25</v>
      </c>
      <c r="L14" s="7" t="s">
        <v>63</v>
      </c>
      <c r="M14" s="12" t="s">
        <v>64</v>
      </c>
      <c r="N14" s="13"/>
      <c r="O14" s="11" t="s">
        <v>27</v>
      </c>
      <c r="P14" s="7" t="s">
        <v>22</v>
      </c>
      <c r="Q14" s="14" t="b">
        <f t="shared" si="1"/>
        <v>1</v>
      </c>
      <c r="R14" s="15" t="b">
        <f t="shared" si="2"/>
        <v>0</v>
      </c>
      <c r="S14" s="15" t="str">
        <f t="shared" si="3"/>
        <v>APPROVED</v>
      </c>
    </row>
    <row r="15" ht="15.75" customHeight="1">
      <c r="A15" s="18" t="s">
        <v>65</v>
      </c>
      <c r="B15" s="19" t="s">
        <v>66</v>
      </c>
      <c r="C15" s="20">
        <v>45719.0</v>
      </c>
      <c r="D15" s="20">
        <v>45719.0</v>
      </c>
      <c r="E15" s="18" t="s">
        <v>21</v>
      </c>
      <c r="F15" s="18">
        <v>2400.0</v>
      </c>
      <c r="G15" s="21">
        <v>95.0</v>
      </c>
      <c r="H15" s="18" t="s">
        <v>22</v>
      </c>
      <c r="I15" s="22" t="s">
        <v>23</v>
      </c>
      <c r="J15" s="22" t="s">
        <v>30</v>
      </c>
      <c r="K15" s="22" t="s">
        <v>49</v>
      </c>
      <c r="L15" s="18" t="s">
        <v>67</v>
      </c>
      <c r="M15" s="23" t="s">
        <v>51</v>
      </c>
      <c r="N15" s="19" t="s">
        <v>68</v>
      </c>
      <c r="O15" s="22" t="s">
        <v>27</v>
      </c>
      <c r="P15" s="18" t="s">
        <v>22</v>
      </c>
      <c r="Q15" s="14" t="b">
        <f t="shared" si="1"/>
        <v>0</v>
      </c>
      <c r="R15" s="15" t="b">
        <f t="shared" si="2"/>
        <v>0</v>
      </c>
      <c r="S15" s="15" t="str">
        <f t="shared" si="3"/>
        <v>PENDING</v>
      </c>
    </row>
    <row r="16" ht="15.75" customHeight="1">
      <c r="A16" s="7" t="s">
        <v>69</v>
      </c>
      <c r="B16" s="8" t="s">
        <v>29</v>
      </c>
      <c r="C16" s="9">
        <v>45721.0</v>
      </c>
      <c r="D16" s="9">
        <v>45780.0</v>
      </c>
      <c r="E16" s="7" t="s">
        <v>21</v>
      </c>
      <c r="F16" s="7">
        <v>480.0</v>
      </c>
      <c r="G16" s="10">
        <v>115.0</v>
      </c>
      <c r="H16" s="7" t="s">
        <v>22</v>
      </c>
      <c r="I16" s="11" t="s">
        <v>23</v>
      </c>
      <c r="J16" s="11" t="s">
        <v>70</v>
      </c>
      <c r="K16" s="11" t="s">
        <v>25</v>
      </c>
      <c r="L16" s="7"/>
      <c r="M16" s="12" t="s">
        <v>71</v>
      </c>
      <c r="N16" s="13"/>
      <c r="O16" s="11" t="s">
        <v>27</v>
      </c>
      <c r="P16" s="7" t="s">
        <v>22</v>
      </c>
      <c r="Q16" s="14" t="b">
        <f t="shared" si="1"/>
        <v>1</v>
      </c>
      <c r="R16" s="15" t="b">
        <f t="shared" si="2"/>
        <v>0</v>
      </c>
      <c r="S16" s="15" t="str">
        <f t="shared" si="3"/>
        <v>APPROVED</v>
      </c>
    </row>
    <row r="17" ht="15.75" customHeight="1">
      <c r="A17" s="7" t="s">
        <v>72</v>
      </c>
      <c r="B17" s="8" t="s">
        <v>73</v>
      </c>
      <c r="C17" s="9">
        <v>45721.0</v>
      </c>
      <c r="D17" s="9" t="s">
        <v>74</v>
      </c>
      <c r="E17" s="7" t="s">
        <v>21</v>
      </c>
      <c r="F17" s="7">
        <v>48.0</v>
      </c>
      <c r="G17" s="10">
        <v>128.25</v>
      </c>
      <c r="H17" s="7" t="s">
        <v>75</v>
      </c>
      <c r="I17" s="11" t="s">
        <v>23</v>
      </c>
      <c r="J17" s="11" t="s">
        <v>48</v>
      </c>
      <c r="K17" s="11" t="s">
        <v>25</v>
      </c>
      <c r="L17" s="7" t="s">
        <v>76</v>
      </c>
      <c r="M17" s="12" t="s">
        <v>77</v>
      </c>
      <c r="N17" s="13"/>
      <c r="O17" s="11" t="s">
        <v>27</v>
      </c>
      <c r="P17" s="7" t="s">
        <v>75</v>
      </c>
      <c r="Q17" s="14" t="b">
        <f t="shared" si="1"/>
        <v>1</v>
      </c>
      <c r="R17" s="15" t="b">
        <f t="shared" si="2"/>
        <v>0</v>
      </c>
      <c r="S17" s="15" t="str">
        <f t="shared" si="3"/>
        <v>APPROVED</v>
      </c>
    </row>
    <row r="18" ht="15.75" customHeight="1">
      <c r="A18" s="7" t="s">
        <v>78</v>
      </c>
      <c r="B18" s="13" t="s">
        <v>79</v>
      </c>
      <c r="C18" s="9">
        <v>45721.0</v>
      </c>
      <c r="D18" s="9" t="s">
        <v>74</v>
      </c>
      <c r="E18" s="7" t="s">
        <v>21</v>
      </c>
      <c r="F18" s="7">
        <v>12.0</v>
      </c>
      <c r="G18" s="10">
        <v>135.0</v>
      </c>
      <c r="H18" s="7" t="s">
        <v>75</v>
      </c>
      <c r="I18" s="11" t="s">
        <v>23</v>
      </c>
      <c r="J18" s="11" t="s">
        <v>24</v>
      </c>
      <c r="K18" s="11" t="s">
        <v>25</v>
      </c>
      <c r="L18" s="7" t="s">
        <v>80</v>
      </c>
      <c r="M18" s="12" t="s">
        <v>81</v>
      </c>
      <c r="N18" s="13"/>
      <c r="O18" s="11" t="s">
        <v>27</v>
      </c>
      <c r="P18" s="7" t="s">
        <v>75</v>
      </c>
      <c r="Q18" s="14" t="b">
        <f t="shared" si="1"/>
        <v>1</v>
      </c>
      <c r="R18" s="15" t="b">
        <f t="shared" si="2"/>
        <v>0</v>
      </c>
      <c r="S18" s="15" t="str">
        <f t="shared" si="3"/>
        <v>APPROVED</v>
      </c>
    </row>
    <row r="19" ht="15.75" customHeight="1">
      <c r="A19" s="24" t="s">
        <v>82</v>
      </c>
      <c r="B19" s="25" t="s">
        <v>83</v>
      </c>
      <c r="C19" s="26">
        <v>45721.0</v>
      </c>
      <c r="D19" s="26" t="s">
        <v>74</v>
      </c>
      <c r="E19" s="24" t="s">
        <v>21</v>
      </c>
      <c r="F19" s="24">
        <v>12.0</v>
      </c>
      <c r="G19" s="27">
        <v>135.0</v>
      </c>
      <c r="H19" s="24" t="s">
        <v>75</v>
      </c>
      <c r="I19" s="28" t="s">
        <v>23</v>
      </c>
      <c r="J19" s="28" t="s">
        <v>24</v>
      </c>
      <c r="K19" s="28" t="s">
        <v>84</v>
      </c>
      <c r="L19" s="24" t="s">
        <v>85</v>
      </c>
      <c r="M19" s="29" t="s">
        <v>86</v>
      </c>
      <c r="N19" s="25"/>
      <c r="O19" s="28" t="s">
        <v>27</v>
      </c>
      <c r="P19" s="24" t="s">
        <v>75</v>
      </c>
      <c r="Q19" s="14" t="b">
        <f t="shared" si="1"/>
        <v>0</v>
      </c>
      <c r="R19" s="15" t="b">
        <f t="shared" si="2"/>
        <v>0</v>
      </c>
      <c r="S19" s="15" t="str">
        <f t="shared" si="3"/>
        <v>PENDING</v>
      </c>
    </row>
    <row r="20" ht="15.75" customHeight="1">
      <c r="A20" s="7" t="s">
        <v>87</v>
      </c>
      <c r="B20" s="13" t="s">
        <v>88</v>
      </c>
      <c r="C20" s="9">
        <v>45721.0</v>
      </c>
      <c r="D20" s="9">
        <v>45780.0</v>
      </c>
      <c r="E20" s="7" t="s">
        <v>21</v>
      </c>
      <c r="F20" s="7">
        <v>12.0</v>
      </c>
      <c r="G20" s="10">
        <v>121.84</v>
      </c>
      <c r="H20" s="7" t="s">
        <v>75</v>
      </c>
      <c r="I20" s="11" t="s">
        <v>23</v>
      </c>
      <c r="J20" s="11" t="s">
        <v>30</v>
      </c>
      <c r="K20" s="11" t="s">
        <v>25</v>
      </c>
      <c r="L20" s="7"/>
      <c r="M20" s="12" t="s">
        <v>89</v>
      </c>
      <c r="N20" s="13"/>
      <c r="O20" s="11" t="s">
        <v>27</v>
      </c>
      <c r="P20" s="7" t="s">
        <v>75</v>
      </c>
      <c r="Q20" s="14" t="b">
        <f t="shared" si="1"/>
        <v>1</v>
      </c>
      <c r="R20" s="15" t="b">
        <f t="shared" si="2"/>
        <v>0</v>
      </c>
      <c r="S20" s="15" t="str">
        <f t="shared" si="3"/>
        <v>APPROVED</v>
      </c>
    </row>
    <row r="21" ht="15.75" customHeight="1">
      <c r="A21" s="18" t="s">
        <v>90</v>
      </c>
      <c r="B21" s="19" t="s">
        <v>91</v>
      </c>
      <c r="C21" s="20">
        <v>45743.0</v>
      </c>
      <c r="D21" s="20">
        <v>45743.0</v>
      </c>
      <c r="E21" s="18" t="s">
        <v>21</v>
      </c>
      <c r="F21" s="18">
        <v>24.0</v>
      </c>
      <c r="G21" s="21">
        <v>135.0</v>
      </c>
      <c r="H21" s="18" t="s">
        <v>22</v>
      </c>
      <c r="I21" s="22" t="s">
        <v>23</v>
      </c>
      <c r="J21" s="22" t="s">
        <v>24</v>
      </c>
      <c r="K21" s="22" t="s">
        <v>49</v>
      </c>
      <c r="L21" s="18" t="s">
        <v>92</v>
      </c>
      <c r="M21" s="23" t="s">
        <v>51</v>
      </c>
      <c r="N21" s="19"/>
      <c r="O21" s="22" t="s">
        <v>27</v>
      </c>
      <c r="P21" s="18" t="s">
        <v>22</v>
      </c>
      <c r="Q21" s="14" t="b">
        <f t="shared" si="1"/>
        <v>0</v>
      </c>
      <c r="R21" s="15" t="b">
        <f t="shared" si="2"/>
        <v>0</v>
      </c>
      <c r="S21" s="15" t="str">
        <f t="shared" si="3"/>
        <v>PENDING</v>
      </c>
    </row>
    <row r="22" ht="15.75" customHeight="1">
      <c r="A22" s="30" t="s">
        <v>93</v>
      </c>
      <c r="B22" s="31" t="s">
        <v>94</v>
      </c>
      <c r="C22" s="32">
        <v>45728.0</v>
      </c>
      <c r="D22" s="32">
        <v>45994.0</v>
      </c>
      <c r="E22" s="30" t="s">
        <v>21</v>
      </c>
      <c r="F22" s="30"/>
      <c r="G22" s="33"/>
      <c r="H22" s="30" t="s">
        <v>95</v>
      </c>
      <c r="I22" s="34" t="s">
        <v>23</v>
      </c>
      <c r="J22" s="34" t="s">
        <v>24</v>
      </c>
      <c r="K22" s="34" t="s">
        <v>49</v>
      </c>
      <c r="L22" s="30" t="s">
        <v>96</v>
      </c>
      <c r="M22" s="35" t="s">
        <v>97</v>
      </c>
      <c r="N22" s="31"/>
      <c r="O22" s="30" t="s">
        <v>98</v>
      </c>
      <c r="P22" s="30" t="s">
        <v>95</v>
      </c>
      <c r="Q22" s="14" t="b">
        <f t="shared" si="1"/>
        <v>0</v>
      </c>
      <c r="R22" s="15" t="b">
        <f t="shared" si="2"/>
        <v>1</v>
      </c>
      <c r="S22" s="15" t="str">
        <f t="shared" si="3"/>
        <v>PENDING</v>
      </c>
    </row>
    <row r="23" ht="15.75" customHeight="1">
      <c r="A23" s="7" t="s">
        <v>99</v>
      </c>
      <c r="B23" s="13" t="s">
        <v>100</v>
      </c>
      <c r="C23" s="9">
        <v>45728.0</v>
      </c>
      <c r="D23" s="9">
        <v>45994.0</v>
      </c>
      <c r="E23" s="7" t="s">
        <v>21</v>
      </c>
      <c r="F23" s="7">
        <v>12.0</v>
      </c>
      <c r="G23" s="10">
        <v>135.0</v>
      </c>
      <c r="H23" s="7" t="s">
        <v>95</v>
      </c>
      <c r="I23" s="11" t="s">
        <v>23</v>
      </c>
      <c r="J23" s="11" t="s">
        <v>24</v>
      </c>
      <c r="K23" s="11" t="s">
        <v>25</v>
      </c>
      <c r="L23" s="7" t="s">
        <v>101</v>
      </c>
      <c r="M23" s="12" t="s">
        <v>102</v>
      </c>
      <c r="N23" s="13"/>
      <c r="O23" s="11" t="s">
        <v>27</v>
      </c>
      <c r="P23" s="7" t="s">
        <v>95</v>
      </c>
      <c r="Q23" s="14" t="b">
        <f t="shared" si="1"/>
        <v>1</v>
      </c>
      <c r="R23" s="15" t="b">
        <f t="shared" si="2"/>
        <v>0</v>
      </c>
      <c r="S23" s="15" t="str">
        <f t="shared" si="3"/>
        <v>APPROVED</v>
      </c>
    </row>
    <row r="24" ht="15.75" customHeight="1">
      <c r="A24" s="7" t="s">
        <v>103</v>
      </c>
      <c r="B24" s="13" t="s">
        <v>104</v>
      </c>
      <c r="C24" s="9">
        <v>45728.0</v>
      </c>
      <c r="D24" s="9">
        <v>45994.0</v>
      </c>
      <c r="E24" s="7" t="s">
        <v>21</v>
      </c>
      <c r="F24" s="7">
        <v>24.0</v>
      </c>
      <c r="G24" s="10">
        <v>121.84</v>
      </c>
      <c r="H24" s="7" t="s">
        <v>75</v>
      </c>
      <c r="I24" s="11" t="s">
        <v>23</v>
      </c>
      <c r="J24" s="11" t="s">
        <v>30</v>
      </c>
      <c r="K24" s="11" t="s">
        <v>25</v>
      </c>
      <c r="L24" s="7"/>
      <c r="M24" s="12" t="s">
        <v>89</v>
      </c>
      <c r="N24" s="13"/>
      <c r="O24" s="11" t="s">
        <v>27</v>
      </c>
      <c r="P24" s="7" t="s">
        <v>75</v>
      </c>
      <c r="Q24" s="14" t="b">
        <f t="shared" si="1"/>
        <v>1</v>
      </c>
      <c r="R24" s="15" t="b">
        <f t="shared" si="2"/>
        <v>0</v>
      </c>
      <c r="S24" s="15" t="str">
        <f t="shared" si="3"/>
        <v>APPROVED</v>
      </c>
    </row>
    <row r="25" ht="15.75" customHeight="1">
      <c r="A25" s="7" t="s">
        <v>105</v>
      </c>
      <c r="B25" s="13" t="s">
        <v>106</v>
      </c>
      <c r="C25" s="9">
        <v>45728.0</v>
      </c>
      <c r="D25" s="9">
        <v>45994.0</v>
      </c>
      <c r="E25" s="7" t="s">
        <v>21</v>
      </c>
      <c r="F25" s="7">
        <v>6.0</v>
      </c>
      <c r="G25" s="10">
        <v>135.0</v>
      </c>
      <c r="H25" s="7" t="s">
        <v>75</v>
      </c>
      <c r="I25" s="11" t="s">
        <v>23</v>
      </c>
      <c r="J25" s="11" t="s">
        <v>24</v>
      </c>
      <c r="K25" s="11" t="s">
        <v>25</v>
      </c>
      <c r="L25" s="7"/>
      <c r="M25" s="12" t="s">
        <v>107</v>
      </c>
      <c r="N25" s="13"/>
      <c r="O25" s="11" t="s">
        <v>27</v>
      </c>
      <c r="P25" s="7" t="s">
        <v>75</v>
      </c>
      <c r="Q25" s="14" t="b">
        <f t="shared" si="1"/>
        <v>1</v>
      </c>
      <c r="R25" s="15" t="b">
        <f t="shared" si="2"/>
        <v>0</v>
      </c>
      <c r="S25" s="15" t="str">
        <f t="shared" si="3"/>
        <v>APPROVED</v>
      </c>
    </row>
    <row r="26" ht="15.75" customHeight="1">
      <c r="A26" s="7" t="s">
        <v>108</v>
      </c>
      <c r="B26" s="13" t="s">
        <v>109</v>
      </c>
      <c r="C26" s="9">
        <v>45728.0</v>
      </c>
      <c r="D26" s="9">
        <v>45994.0</v>
      </c>
      <c r="E26" s="7" t="s">
        <v>21</v>
      </c>
      <c r="F26" s="7">
        <v>24.0</v>
      </c>
      <c r="G26" s="10">
        <f>135*0.95</f>
        <v>128.25</v>
      </c>
      <c r="H26" s="7" t="s">
        <v>75</v>
      </c>
      <c r="I26" s="11" t="s">
        <v>23</v>
      </c>
      <c r="J26" s="11" t="s">
        <v>48</v>
      </c>
      <c r="K26" s="11" t="s">
        <v>25</v>
      </c>
      <c r="L26" s="7" t="s">
        <v>110</v>
      </c>
      <c r="M26" s="12" t="s">
        <v>111</v>
      </c>
      <c r="N26" s="13"/>
      <c r="O26" s="11" t="s">
        <v>27</v>
      </c>
      <c r="P26" s="7" t="s">
        <v>75</v>
      </c>
      <c r="Q26" s="14" t="b">
        <f t="shared" si="1"/>
        <v>1</v>
      </c>
      <c r="R26" s="15" t="b">
        <f t="shared" si="2"/>
        <v>0</v>
      </c>
      <c r="S26" s="15" t="str">
        <f t="shared" si="3"/>
        <v>APPROVED</v>
      </c>
    </row>
    <row r="27" ht="15.75" customHeight="1">
      <c r="A27" s="7" t="s">
        <v>112</v>
      </c>
      <c r="B27" s="13" t="s">
        <v>113</v>
      </c>
      <c r="C27" s="9">
        <v>45728.0</v>
      </c>
      <c r="D27" s="9">
        <v>45994.0</v>
      </c>
      <c r="E27" s="7" t="s">
        <v>21</v>
      </c>
      <c r="F27" s="7">
        <v>12.0</v>
      </c>
      <c r="G27" s="10">
        <v>135.0</v>
      </c>
      <c r="H27" s="7" t="s">
        <v>75</v>
      </c>
      <c r="I27" s="11" t="s">
        <v>23</v>
      </c>
      <c r="J27" s="11" t="s">
        <v>24</v>
      </c>
      <c r="K27" s="11" t="s">
        <v>25</v>
      </c>
      <c r="L27" s="7" t="s">
        <v>114</v>
      </c>
      <c r="M27" s="12" t="s">
        <v>115</v>
      </c>
      <c r="N27" s="36"/>
      <c r="O27" s="11" t="s">
        <v>27</v>
      </c>
      <c r="P27" s="7" t="s">
        <v>75</v>
      </c>
      <c r="Q27" s="14" t="b">
        <f t="shared" si="1"/>
        <v>1</v>
      </c>
      <c r="R27" s="15" t="b">
        <f t="shared" si="2"/>
        <v>0</v>
      </c>
      <c r="S27" s="15" t="str">
        <f t="shared" si="3"/>
        <v>APPROVED</v>
      </c>
    </row>
    <row r="28" ht="15.75" customHeight="1">
      <c r="A28" s="7" t="s">
        <v>116</v>
      </c>
      <c r="B28" s="13" t="s">
        <v>117</v>
      </c>
      <c r="C28" s="9">
        <v>45730.0</v>
      </c>
      <c r="D28" s="9">
        <v>45730.0</v>
      </c>
      <c r="E28" s="7" t="s">
        <v>21</v>
      </c>
      <c r="F28" s="7">
        <v>10.0</v>
      </c>
      <c r="G28" s="10"/>
      <c r="H28" s="7" t="s">
        <v>22</v>
      </c>
      <c r="I28" s="11" t="s">
        <v>23</v>
      </c>
      <c r="J28" s="11" t="s">
        <v>30</v>
      </c>
      <c r="K28" s="7" t="s">
        <v>31</v>
      </c>
      <c r="L28" s="7"/>
      <c r="M28" s="12"/>
      <c r="N28" s="13"/>
      <c r="O28" s="11" t="s">
        <v>27</v>
      </c>
      <c r="P28" s="7" t="s">
        <v>22</v>
      </c>
      <c r="Q28" s="14" t="b">
        <f t="shared" si="1"/>
        <v>0</v>
      </c>
      <c r="R28" s="15" t="b">
        <f t="shared" si="2"/>
        <v>0</v>
      </c>
      <c r="S28" s="15" t="str">
        <f t="shared" si="3"/>
        <v>PENDING</v>
      </c>
    </row>
    <row r="29" ht="15.75" customHeight="1">
      <c r="A29" s="7" t="s">
        <v>118</v>
      </c>
      <c r="B29" s="13" t="s">
        <v>119</v>
      </c>
      <c r="C29" s="9">
        <v>45733.0</v>
      </c>
      <c r="D29" s="9">
        <v>45733.0</v>
      </c>
      <c r="E29" s="7" t="s">
        <v>21</v>
      </c>
      <c r="F29" s="7">
        <v>48.0</v>
      </c>
      <c r="G29" s="10">
        <v>121.84</v>
      </c>
      <c r="H29" s="7" t="s">
        <v>22</v>
      </c>
      <c r="I29" s="11" t="s">
        <v>23</v>
      </c>
      <c r="J29" s="11" t="s">
        <v>48</v>
      </c>
      <c r="K29" s="11" t="s">
        <v>25</v>
      </c>
      <c r="L29" s="7" t="s">
        <v>120</v>
      </c>
      <c r="M29" s="12" t="s">
        <v>121</v>
      </c>
      <c r="N29" s="13"/>
      <c r="O29" s="11" t="s">
        <v>27</v>
      </c>
      <c r="P29" s="7" t="s">
        <v>22</v>
      </c>
      <c r="Q29" s="14" t="b">
        <f t="shared" si="1"/>
        <v>1</v>
      </c>
      <c r="R29" s="15" t="b">
        <f t="shared" si="2"/>
        <v>0</v>
      </c>
      <c r="S29" s="15" t="str">
        <f t="shared" si="3"/>
        <v>APPROVED</v>
      </c>
    </row>
    <row r="30" ht="15.75" customHeight="1">
      <c r="A30" s="30" t="s">
        <v>122</v>
      </c>
      <c r="B30" s="31" t="s">
        <v>123</v>
      </c>
      <c r="C30" s="32">
        <v>45728.0</v>
      </c>
      <c r="D30" s="32">
        <v>45994.0</v>
      </c>
      <c r="E30" s="30" t="s">
        <v>21</v>
      </c>
      <c r="F30" s="30"/>
      <c r="G30" s="33"/>
      <c r="H30" s="30" t="s">
        <v>95</v>
      </c>
      <c r="I30" s="34" t="s">
        <v>23</v>
      </c>
      <c r="J30" s="34" t="s">
        <v>24</v>
      </c>
      <c r="K30" s="34" t="s">
        <v>49</v>
      </c>
      <c r="L30" s="30" t="s">
        <v>124</v>
      </c>
      <c r="M30" s="35" t="s">
        <v>125</v>
      </c>
      <c r="N30" s="31"/>
      <c r="O30" s="30" t="s">
        <v>98</v>
      </c>
      <c r="P30" s="30" t="s">
        <v>95</v>
      </c>
      <c r="Q30" s="14" t="b">
        <f t="shared" si="1"/>
        <v>0</v>
      </c>
      <c r="R30" s="15" t="b">
        <f t="shared" si="2"/>
        <v>1</v>
      </c>
      <c r="S30" s="15" t="str">
        <f t="shared" si="3"/>
        <v>PENDING</v>
      </c>
    </row>
    <row r="31" ht="15.75" customHeight="1">
      <c r="A31" s="30" t="s">
        <v>126</v>
      </c>
      <c r="B31" s="31" t="s">
        <v>127</v>
      </c>
      <c r="C31" s="32">
        <v>45735.0</v>
      </c>
      <c r="D31" s="32">
        <v>45735.0</v>
      </c>
      <c r="E31" s="30" t="s">
        <v>21</v>
      </c>
      <c r="F31" s="30"/>
      <c r="G31" s="33"/>
      <c r="H31" s="30" t="s">
        <v>75</v>
      </c>
      <c r="I31" s="34" t="s">
        <v>23</v>
      </c>
      <c r="J31" s="34" t="s">
        <v>24</v>
      </c>
      <c r="K31" s="34" t="s">
        <v>49</v>
      </c>
      <c r="L31" s="30" t="s">
        <v>128</v>
      </c>
      <c r="M31" s="35" t="s">
        <v>97</v>
      </c>
      <c r="N31" s="31"/>
      <c r="O31" s="30" t="s">
        <v>98</v>
      </c>
      <c r="P31" s="30" t="s">
        <v>75</v>
      </c>
      <c r="Q31" s="14" t="b">
        <f t="shared" si="1"/>
        <v>0</v>
      </c>
      <c r="R31" s="15" t="b">
        <f t="shared" si="2"/>
        <v>1</v>
      </c>
      <c r="S31" s="15" t="str">
        <f t="shared" si="3"/>
        <v>PENDING</v>
      </c>
    </row>
    <row r="32" ht="15.75" customHeight="1">
      <c r="A32" s="7" t="s">
        <v>129</v>
      </c>
      <c r="B32" s="37" t="s">
        <v>130</v>
      </c>
      <c r="C32" s="38">
        <v>45735.0</v>
      </c>
      <c r="D32" s="9">
        <v>45735.0</v>
      </c>
      <c r="E32" s="39" t="s">
        <v>21</v>
      </c>
      <c r="F32" s="39">
        <v>24.0</v>
      </c>
      <c r="G32" s="40">
        <v>121.84</v>
      </c>
      <c r="H32" s="39" t="s">
        <v>75</v>
      </c>
      <c r="I32" s="41" t="s">
        <v>23</v>
      </c>
      <c r="J32" s="41" t="s">
        <v>30</v>
      </c>
      <c r="K32" s="41" t="s">
        <v>25</v>
      </c>
      <c r="L32" s="7"/>
      <c r="M32" s="12" t="s">
        <v>89</v>
      </c>
      <c r="N32" s="37"/>
      <c r="O32" s="41" t="s">
        <v>27</v>
      </c>
      <c r="P32" s="39" t="s">
        <v>75</v>
      </c>
      <c r="Q32" s="14" t="b">
        <f t="shared" si="1"/>
        <v>1</v>
      </c>
      <c r="R32" s="15" t="b">
        <f t="shared" si="2"/>
        <v>0</v>
      </c>
      <c r="S32" s="15" t="str">
        <f t="shared" si="3"/>
        <v>APPROVED</v>
      </c>
    </row>
    <row r="33" ht="15.75" customHeight="1">
      <c r="A33" s="30" t="s">
        <v>131</v>
      </c>
      <c r="B33" s="31" t="s">
        <v>132</v>
      </c>
      <c r="C33" s="32">
        <v>45735.0</v>
      </c>
      <c r="D33" s="32">
        <v>45735.0</v>
      </c>
      <c r="E33" s="30" t="s">
        <v>21</v>
      </c>
      <c r="F33" s="30"/>
      <c r="G33" s="33"/>
      <c r="H33" s="30" t="s">
        <v>75</v>
      </c>
      <c r="I33" s="34" t="s">
        <v>23</v>
      </c>
      <c r="J33" s="34" t="s">
        <v>30</v>
      </c>
      <c r="K33" s="30" t="s">
        <v>31</v>
      </c>
      <c r="L33" s="30"/>
      <c r="M33" s="35"/>
      <c r="N33" s="31"/>
      <c r="O33" s="30" t="s">
        <v>98</v>
      </c>
      <c r="P33" s="30" t="s">
        <v>75</v>
      </c>
      <c r="Q33" s="14" t="b">
        <f t="shared" si="1"/>
        <v>0</v>
      </c>
      <c r="R33" s="15" t="b">
        <f t="shared" si="2"/>
        <v>1</v>
      </c>
      <c r="S33" s="15" t="str">
        <f t="shared" si="3"/>
        <v>PENDING</v>
      </c>
    </row>
    <row r="34" ht="15.75" customHeight="1">
      <c r="A34" s="7" t="s">
        <v>133</v>
      </c>
      <c r="B34" s="13" t="s">
        <v>134</v>
      </c>
      <c r="C34" s="9">
        <v>45735.0</v>
      </c>
      <c r="D34" s="9">
        <v>45735.0</v>
      </c>
      <c r="E34" s="7" t="s">
        <v>21</v>
      </c>
      <c r="F34" s="7">
        <v>12.0</v>
      </c>
      <c r="G34" s="10">
        <v>121.84</v>
      </c>
      <c r="H34" s="7" t="s">
        <v>75</v>
      </c>
      <c r="I34" s="11" t="s">
        <v>23</v>
      </c>
      <c r="J34" s="11" t="s">
        <v>30</v>
      </c>
      <c r="K34" s="11" t="s">
        <v>25</v>
      </c>
      <c r="L34" s="7"/>
      <c r="M34" s="12" t="s">
        <v>89</v>
      </c>
      <c r="N34" s="13"/>
      <c r="O34" s="11" t="s">
        <v>27</v>
      </c>
      <c r="P34" s="7" t="s">
        <v>75</v>
      </c>
      <c r="Q34" s="14" t="b">
        <f t="shared" si="1"/>
        <v>1</v>
      </c>
      <c r="R34" s="15" t="b">
        <f t="shared" si="2"/>
        <v>0</v>
      </c>
      <c r="S34" s="15" t="str">
        <f t="shared" si="3"/>
        <v>APPROVED</v>
      </c>
    </row>
    <row r="35" ht="15.75" customHeight="1">
      <c r="A35" s="30" t="s">
        <v>135</v>
      </c>
      <c r="B35" s="31" t="s">
        <v>136</v>
      </c>
      <c r="C35" s="32">
        <v>42084.0</v>
      </c>
      <c r="D35" s="32">
        <v>45737.0</v>
      </c>
      <c r="E35" s="30" t="s">
        <v>21</v>
      </c>
      <c r="F35" s="30"/>
      <c r="G35" s="33"/>
      <c r="H35" s="30" t="s">
        <v>137</v>
      </c>
      <c r="I35" s="34" t="s">
        <v>23</v>
      </c>
      <c r="J35" s="34" t="s">
        <v>24</v>
      </c>
      <c r="K35" s="34" t="s">
        <v>49</v>
      </c>
      <c r="L35" s="30" t="s">
        <v>138</v>
      </c>
      <c r="M35" s="35" t="s">
        <v>139</v>
      </c>
      <c r="N35" s="31"/>
      <c r="O35" s="30" t="s">
        <v>98</v>
      </c>
      <c r="P35" s="30" t="s">
        <v>137</v>
      </c>
      <c r="Q35" s="14" t="b">
        <f t="shared" si="1"/>
        <v>0</v>
      </c>
      <c r="R35" s="15" t="b">
        <f t="shared" si="2"/>
        <v>1</v>
      </c>
      <c r="S35" s="15" t="str">
        <f t="shared" si="3"/>
        <v>PENDING</v>
      </c>
    </row>
    <row r="36" ht="15.75" customHeight="1">
      <c r="A36" s="30" t="s">
        <v>140</v>
      </c>
      <c r="B36" s="31" t="s">
        <v>141</v>
      </c>
      <c r="C36" s="32">
        <v>45727.0</v>
      </c>
      <c r="D36" s="32">
        <v>45964.0</v>
      </c>
      <c r="E36" s="30" t="s">
        <v>21</v>
      </c>
      <c r="F36" s="30"/>
      <c r="G36" s="42"/>
      <c r="H36" s="30" t="s">
        <v>142</v>
      </c>
      <c r="I36" s="34" t="s">
        <v>23</v>
      </c>
      <c r="J36" s="34" t="s">
        <v>24</v>
      </c>
      <c r="K36" s="30" t="s">
        <v>31</v>
      </c>
      <c r="L36" s="30"/>
      <c r="M36" s="35"/>
      <c r="N36" s="31"/>
      <c r="O36" s="30" t="s">
        <v>98</v>
      </c>
      <c r="P36" s="30" t="s">
        <v>142</v>
      </c>
      <c r="Q36" s="14" t="b">
        <f t="shared" si="1"/>
        <v>0</v>
      </c>
      <c r="R36" s="15" t="b">
        <f t="shared" si="2"/>
        <v>1</v>
      </c>
      <c r="S36" s="15" t="str">
        <f t="shared" si="3"/>
        <v>PENDING</v>
      </c>
    </row>
    <row r="37" ht="15.75" customHeight="1">
      <c r="A37" s="7" t="s">
        <v>143</v>
      </c>
      <c r="B37" s="8" t="s">
        <v>144</v>
      </c>
      <c r="C37" s="9">
        <v>45735.0</v>
      </c>
      <c r="D37" s="9">
        <v>45735.0</v>
      </c>
      <c r="E37" s="7" t="s">
        <v>21</v>
      </c>
      <c r="F37" s="7">
        <v>24.0</v>
      </c>
      <c r="G37" s="10">
        <v>121.84</v>
      </c>
      <c r="H37" s="43" t="s">
        <v>137</v>
      </c>
      <c r="I37" s="11" t="s">
        <v>23</v>
      </c>
      <c r="J37" s="44" t="s">
        <v>30</v>
      </c>
      <c r="K37" s="44" t="s">
        <v>25</v>
      </c>
      <c r="L37" s="7"/>
      <c r="M37" s="45" t="s">
        <v>89</v>
      </c>
      <c r="N37" s="46"/>
      <c r="O37" s="47" t="s">
        <v>27</v>
      </c>
      <c r="P37" s="43" t="s">
        <v>137</v>
      </c>
      <c r="Q37" s="14" t="b">
        <f t="shared" si="1"/>
        <v>1</v>
      </c>
      <c r="R37" s="15" t="b">
        <f t="shared" si="2"/>
        <v>0</v>
      </c>
      <c r="S37" s="15" t="str">
        <f t="shared" si="3"/>
        <v>APPROVED</v>
      </c>
    </row>
    <row r="38" ht="15.75" customHeight="1">
      <c r="A38" s="7" t="s">
        <v>145</v>
      </c>
      <c r="B38" s="13" t="s">
        <v>146</v>
      </c>
      <c r="C38" s="9">
        <v>45735.0</v>
      </c>
      <c r="D38" s="9">
        <v>45735.0</v>
      </c>
      <c r="E38" s="7" t="s">
        <v>21</v>
      </c>
      <c r="F38" s="7">
        <v>24.0</v>
      </c>
      <c r="G38" s="10">
        <v>100.0</v>
      </c>
      <c r="H38" s="10" t="s">
        <v>22</v>
      </c>
      <c r="I38" s="11" t="s">
        <v>23</v>
      </c>
      <c r="J38" s="11" t="s">
        <v>30</v>
      </c>
      <c r="K38" s="11" t="s">
        <v>25</v>
      </c>
      <c r="L38" s="7"/>
      <c r="M38" s="12" t="s">
        <v>89</v>
      </c>
      <c r="N38" s="13"/>
      <c r="O38" s="11" t="s">
        <v>27</v>
      </c>
      <c r="P38" s="10" t="s">
        <v>22</v>
      </c>
      <c r="Q38" s="14" t="b">
        <f t="shared" si="1"/>
        <v>1</v>
      </c>
      <c r="R38" s="15" t="b">
        <f t="shared" si="2"/>
        <v>0</v>
      </c>
      <c r="S38" s="15" t="str">
        <f t="shared" si="3"/>
        <v>APPROVED</v>
      </c>
    </row>
    <row r="39" ht="15.75" customHeight="1">
      <c r="A39" s="24" t="s">
        <v>147</v>
      </c>
      <c r="B39" s="25" t="s">
        <v>148</v>
      </c>
      <c r="C39" s="26">
        <v>45735.0</v>
      </c>
      <c r="D39" s="26">
        <v>45735.0</v>
      </c>
      <c r="E39" s="24" t="s">
        <v>21</v>
      </c>
      <c r="F39" s="24">
        <v>240.0</v>
      </c>
      <c r="G39" s="27">
        <v>115.0</v>
      </c>
      <c r="H39" s="24" t="s">
        <v>22</v>
      </c>
      <c r="I39" s="28" t="s">
        <v>23</v>
      </c>
      <c r="J39" s="28" t="s">
        <v>30</v>
      </c>
      <c r="K39" s="28" t="s">
        <v>49</v>
      </c>
      <c r="L39" s="24" t="s">
        <v>149</v>
      </c>
      <c r="M39" s="29"/>
      <c r="N39" s="25"/>
      <c r="O39" s="28" t="s">
        <v>27</v>
      </c>
      <c r="P39" s="24" t="s">
        <v>22</v>
      </c>
      <c r="Q39" s="14" t="b">
        <f t="shared" si="1"/>
        <v>0</v>
      </c>
      <c r="R39" s="15" t="b">
        <f t="shared" si="2"/>
        <v>0</v>
      </c>
      <c r="S39" s="15" t="str">
        <f t="shared" si="3"/>
        <v>PENDING</v>
      </c>
    </row>
    <row r="40" ht="15.75" customHeight="1">
      <c r="A40" s="7" t="s">
        <v>150</v>
      </c>
      <c r="B40" s="13" t="s">
        <v>151</v>
      </c>
      <c r="C40" s="9">
        <v>45737.0</v>
      </c>
      <c r="D40" s="9">
        <v>45737.0</v>
      </c>
      <c r="E40" s="7" t="s">
        <v>21</v>
      </c>
      <c r="F40" s="7">
        <v>48.0</v>
      </c>
      <c r="G40" s="10">
        <v>121.84</v>
      </c>
      <c r="H40" s="7" t="s">
        <v>152</v>
      </c>
      <c r="I40" s="11" t="s">
        <v>23</v>
      </c>
      <c r="J40" s="11" t="s">
        <v>30</v>
      </c>
      <c r="K40" s="11" t="s">
        <v>25</v>
      </c>
      <c r="L40" s="7"/>
      <c r="M40" s="12" t="s">
        <v>89</v>
      </c>
      <c r="N40" s="13"/>
      <c r="O40" s="11" t="s">
        <v>27</v>
      </c>
      <c r="P40" s="7" t="s">
        <v>152</v>
      </c>
      <c r="Q40" s="14" t="b">
        <f t="shared" si="1"/>
        <v>1</v>
      </c>
      <c r="R40" s="15" t="b">
        <f t="shared" si="2"/>
        <v>0</v>
      </c>
      <c r="S40" s="15" t="str">
        <f t="shared" si="3"/>
        <v>APPROVED</v>
      </c>
    </row>
    <row r="41" ht="15.75" customHeight="1">
      <c r="A41" s="7" t="s">
        <v>153</v>
      </c>
      <c r="B41" s="13" t="s">
        <v>154</v>
      </c>
      <c r="C41" s="9">
        <v>45737.0</v>
      </c>
      <c r="D41" s="9">
        <v>45737.0</v>
      </c>
      <c r="E41" s="7" t="s">
        <v>21</v>
      </c>
      <c r="F41" s="7">
        <v>12.0</v>
      </c>
      <c r="G41" s="10">
        <v>135.0</v>
      </c>
      <c r="H41" s="7" t="s">
        <v>75</v>
      </c>
      <c r="I41" s="11" t="s">
        <v>23</v>
      </c>
      <c r="J41" s="11" t="s">
        <v>24</v>
      </c>
      <c r="K41" s="11" t="s">
        <v>25</v>
      </c>
      <c r="L41" s="7" t="s">
        <v>155</v>
      </c>
      <c r="M41" s="12" t="s">
        <v>156</v>
      </c>
      <c r="N41" s="13"/>
      <c r="O41" s="11" t="s">
        <v>27</v>
      </c>
      <c r="P41" s="7" t="s">
        <v>75</v>
      </c>
      <c r="Q41" s="14" t="b">
        <f t="shared" si="1"/>
        <v>1</v>
      </c>
      <c r="R41" s="15" t="b">
        <f t="shared" si="2"/>
        <v>0</v>
      </c>
      <c r="S41" s="15" t="str">
        <f t="shared" si="3"/>
        <v>APPROVED</v>
      </c>
    </row>
    <row r="42" ht="15.75" customHeight="1">
      <c r="A42" s="7" t="s">
        <v>157</v>
      </c>
      <c r="B42" s="13" t="s">
        <v>130</v>
      </c>
      <c r="C42" s="9">
        <v>45737.0</v>
      </c>
      <c r="D42" s="9">
        <v>45737.0</v>
      </c>
      <c r="E42" s="7" t="s">
        <v>21</v>
      </c>
      <c r="F42" s="7">
        <v>24.0</v>
      </c>
      <c r="G42" s="10">
        <v>121.84</v>
      </c>
      <c r="H42" s="7" t="s">
        <v>75</v>
      </c>
      <c r="I42" s="11" t="s">
        <v>23</v>
      </c>
      <c r="J42" s="11" t="s">
        <v>30</v>
      </c>
      <c r="K42" s="11" t="s">
        <v>25</v>
      </c>
      <c r="L42" s="7"/>
      <c r="M42" s="12" t="s">
        <v>89</v>
      </c>
      <c r="N42" s="13"/>
      <c r="O42" s="11" t="s">
        <v>27</v>
      </c>
      <c r="P42" s="7" t="s">
        <v>75</v>
      </c>
      <c r="Q42" s="14" t="b">
        <f t="shared" si="1"/>
        <v>1</v>
      </c>
      <c r="R42" s="15" t="b">
        <f t="shared" si="2"/>
        <v>0</v>
      </c>
      <c r="S42" s="15" t="str">
        <f t="shared" si="3"/>
        <v>APPROVED</v>
      </c>
    </row>
    <row r="43" ht="15.75" customHeight="1">
      <c r="A43" s="7" t="s">
        <v>158</v>
      </c>
      <c r="B43" s="13" t="s">
        <v>106</v>
      </c>
      <c r="C43" s="9">
        <v>45747.0</v>
      </c>
      <c r="D43" s="9">
        <v>45747.0</v>
      </c>
      <c r="E43" s="7" t="s">
        <v>21</v>
      </c>
      <c r="F43" s="7">
        <v>18.0</v>
      </c>
      <c r="G43" s="10">
        <v>128.25</v>
      </c>
      <c r="H43" s="7" t="s">
        <v>75</v>
      </c>
      <c r="I43" s="11" t="s">
        <v>23</v>
      </c>
      <c r="J43" s="11" t="s">
        <v>35</v>
      </c>
      <c r="K43" s="11" t="s">
        <v>25</v>
      </c>
      <c r="L43" s="7" t="s">
        <v>159</v>
      </c>
      <c r="M43" s="12" t="s">
        <v>160</v>
      </c>
      <c r="N43" s="13"/>
      <c r="O43" s="11" t="s">
        <v>27</v>
      </c>
      <c r="P43" s="7" t="s">
        <v>75</v>
      </c>
      <c r="Q43" s="14" t="b">
        <f t="shared" si="1"/>
        <v>1</v>
      </c>
      <c r="R43" s="15" t="b">
        <f t="shared" si="2"/>
        <v>0</v>
      </c>
      <c r="S43" s="15" t="str">
        <f t="shared" si="3"/>
        <v>APPROVED</v>
      </c>
    </row>
    <row r="44" ht="15.75" customHeight="1">
      <c r="A44" s="7" t="s">
        <v>161</v>
      </c>
      <c r="B44" s="8" t="s">
        <v>60</v>
      </c>
      <c r="C44" s="9">
        <v>45747.0</v>
      </c>
      <c r="D44" s="9">
        <v>45747.0</v>
      </c>
      <c r="E44" s="7" t="s">
        <v>21</v>
      </c>
      <c r="F44" s="7">
        <v>240.0</v>
      </c>
      <c r="G44" s="10">
        <v>110.0</v>
      </c>
      <c r="H44" s="7" t="s">
        <v>22</v>
      </c>
      <c r="I44" s="11" t="s">
        <v>23</v>
      </c>
      <c r="J44" s="11" t="s">
        <v>48</v>
      </c>
      <c r="K44" s="11" t="s">
        <v>25</v>
      </c>
      <c r="L44" s="7" t="s">
        <v>162</v>
      </c>
      <c r="M44" s="12" t="s">
        <v>163</v>
      </c>
      <c r="N44" s="13"/>
      <c r="O44" s="11" t="s">
        <v>27</v>
      </c>
      <c r="P44" s="7" t="s">
        <v>22</v>
      </c>
      <c r="Q44" s="14" t="b">
        <f t="shared" si="1"/>
        <v>1</v>
      </c>
      <c r="R44" s="15" t="b">
        <f t="shared" si="2"/>
        <v>0</v>
      </c>
      <c r="S44" s="15" t="str">
        <f t="shared" si="3"/>
        <v>APPROVED</v>
      </c>
    </row>
    <row r="45" ht="15.75" customHeight="1">
      <c r="A45" s="7" t="s">
        <v>164</v>
      </c>
      <c r="B45" s="48" t="s">
        <v>165</v>
      </c>
      <c r="C45" s="9">
        <v>45747.0</v>
      </c>
      <c r="D45" s="9">
        <v>45747.0</v>
      </c>
      <c r="E45" s="7" t="s">
        <v>21</v>
      </c>
      <c r="F45" s="7">
        <v>24.0</v>
      </c>
      <c r="G45" s="10">
        <v>125.0</v>
      </c>
      <c r="H45" s="7" t="s">
        <v>22</v>
      </c>
      <c r="I45" s="11" t="s">
        <v>23</v>
      </c>
      <c r="J45" s="11" t="s">
        <v>48</v>
      </c>
      <c r="K45" s="11" t="s">
        <v>25</v>
      </c>
      <c r="L45" s="7" t="s">
        <v>166</v>
      </c>
      <c r="M45" s="12" t="s">
        <v>167</v>
      </c>
      <c r="N45" s="13"/>
      <c r="O45" s="11" t="s">
        <v>27</v>
      </c>
      <c r="P45" s="7" t="s">
        <v>22</v>
      </c>
      <c r="Q45" s="14" t="b">
        <f t="shared" si="1"/>
        <v>1</v>
      </c>
      <c r="R45" s="15" t="b">
        <f t="shared" si="2"/>
        <v>0</v>
      </c>
      <c r="S45" s="15" t="str">
        <f t="shared" si="3"/>
        <v>APPROVED</v>
      </c>
    </row>
    <row r="46" ht="15.75" customHeight="1">
      <c r="A46" s="7" t="s">
        <v>168</v>
      </c>
      <c r="B46" s="8" t="s">
        <v>29</v>
      </c>
      <c r="C46" s="9">
        <v>45747.0</v>
      </c>
      <c r="D46" s="9">
        <v>45747.0</v>
      </c>
      <c r="E46" s="7" t="s">
        <v>21</v>
      </c>
      <c r="F46" s="7">
        <v>240.0</v>
      </c>
      <c r="G46" s="10">
        <v>115.0</v>
      </c>
      <c r="H46" s="7" t="s">
        <v>22</v>
      </c>
      <c r="I46" s="11" t="s">
        <v>23</v>
      </c>
      <c r="J46" s="11" t="s">
        <v>70</v>
      </c>
      <c r="K46" s="11" t="s">
        <v>25</v>
      </c>
      <c r="L46" s="7"/>
      <c r="M46" s="12"/>
      <c r="N46" s="13"/>
      <c r="O46" s="11" t="s">
        <v>27</v>
      </c>
      <c r="P46" s="7" t="s">
        <v>22</v>
      </c>
      <c r="Q46" s="14" t="b">
        <f t="shared" si="1"/>
        <v>1</v>
      </c>
      <c r="R46" s="15" t="b">
        <f t="shared" si="2"/>
        <v>0</v>
      </c>
      <c r="S46" s="15" t="str">
        <f t="shared" si="3"/>
        <v>APPROVED</v>
      </c>
    </row>
    <row r="47" ht="15.75" customHeight="1">
      <c r="A47" s="7" t="s">
        <v>169</v>
      </c>
      <c r="B47" s="13" t="s">
        <v>170</v>
      </c>
      <c r="C47" s="9">
        <v>45749.0</v>
      </c>
      <c r="D47" s="9">
        <v>45692.0</v>
      </c>
      <c r="E47" s="7" t="s">
        <v>21</v>
      </c>
      <c r="F47" s="7">
        <v>48.0</v>
      </c>
      <c r="G47" s="10">
        <v>121.84</v>
      </c>
      <c r="H47" s="7" t="s">
        <v>171</v>
      </c>
      <c r="I47" s="11" t="s">
        <v>23</v>
      </c>
      <c r="J47" s="11" t="s">
        <v>172</v>
      </c>
      <c r="K47" s="11" t="s">
        <v>25</v>
      </c>
      <c r="L47" s="7" t="s">
        <v>173</v>
      </c>
      <c r="M47" s="12" t="s">
        <v>174</v>
      </c>
      <c r="N47" s="13"/>
      <c r="O47" s="11" t="s">
        <v>27</v>
      </c>
      <c r="P47" s="7" t="s">
        <v>171</v>
      </c>
      <c r="Q47" s="14" t="b">
        <f t="shared" si="1"/>
        <v>1</v>
      </c>
      <c r="R47" s="15" t="b">
        <f t="shared" si="2"/>
        <v>0</v>
      </c>
      <c r="S47" s="15" t="str">
        <f t="shared" si="3"/>
        <v>APPROVED</v>
      </c>
    </row>
    <row r="48" ht="15.0" customHeight="1">
      <c r="A48" s="7" t="s">
        <v>175</v>
      </c>
      <c r="B48" s="13" t="s">
        <v>176</v>
      </c>
      <c r="C48" s="9">
        <v>45751.0</v>
      </c>
      <c r="D48" s="9">
        <v>45751.0</v>
      </c>
      <c r="E48" s="7" t="s">
        <v>21</v>
      </c>
      <c r="F48" s="7">
        <v>24.0</v>
      </c>
      <c r="G48" s="10">
        <v>122.6</v>
      </c>
      <c r="H48" s="7" t="s">
        <v>177</v>
      </c>
      <c r="I48" s="11" t="s">
        <v>23</v>
      </c>
      <c r="J48" s="11" t="s">
        <v>48</v>
      </c>
      <c r="K48" s="11" t="s">
        <v>25</v>
      </c>
      <c r="L48" s="7" t="s">
        <v>178</v>
      </c>
      <c r="M48" s="12" t="s">
        <v>179</v>
      </c>
      <c r="N48" s="13"/>
      <c r="O48" s="11" t="s">
        <v>27</v>
      </c>
      <c r="P48" s="7" t="s">
        <v>177</v>
      </c>
      <c r="Q48" s="14" t="b">
        <f t="shared" si="1"/>
        <v>1</v>
      </c>
      <c r="R48" s="15" t="b">
        <f t="shared" si="2"/>
        <v>0</v>
      </c>
      <c r="S48" s="15" t="str">
        <f t="shared" si="3"/>
        <v>APPROVED</v>
      </c>
    </row>
    <row r="49" ht="17.25" customHeight="1">
      <c r="A49" s="7" t="s">
        <v>180</v>
      </c>
      <c r="B49" s="13" t="s">
        <v>181</v>
      </c>
      <c r="C49" s="9">
        <v>45771.0</v>
      </c>
      <c r="D49" s="9">
        <v>45771.0</v>
      </c>
      <c r="E49" s="7" t="s">
        <v>21</v>
      </c>
      <c r="F49" s="7">
        <v>24.0</v>
      </c>
      <c r="G49" s="10">
        <v>121.84</v>
      </c>
      <c r="H49" s="7" t="s">
        <v>171</v>
      </c>
      <c r="I49" s="11" t="s">
        <v>23</v>
      </c>
      <c r="J49" s="11" t="s">
        <v>172</v>
      </c>
      <c r="K49" s="11" t="s">
        <v>25</v>
      </c>
      <c r="L49" s="7" t="s">
        <v>182</v>
      </c>
      <c r="M49" s="12" t="s">
        <v>183</v>
      </c>
      <c r="N49" s="13"/>
      <c r="O49" s="11" t="s">
        <v>27</v>
      </c>
      <c r="P49" s="7" t="s">
        <v>171</v>
      </c>
      <c r="Q49" s="14" t="b">
        <f t="shared" si="1"/>
        <v>1</v>
      </c>
      <c r="R49" s="15" t="b">
        <f t="shared" si="2"/>
        <v>0</v>
      </c>
      <c r="S49" s="15" t="str">
        <f t="shared" si="3"/>
        <v>APPROVED</v>
      </c>
    </row>
    <row r="50" ht="17.25" customHeight="1">
      <c r="A50" s="24" t="s">
        <v>184</v>
      </c>
      <c r="B50" s="25" t="s">
        <v>185</v>
      </c>
      <c r="C50" s="26">
        <v>45771.0</v>
      </c>
      <c r="D50" s="26">
        <v>45771.0</v>
      </c>
      <c r="E50" s="24" t="s">
        <v>21</v>
      </c>
      <c r="F50" s="24">
        <v>24.0</v>
      </c>
      <c r="G50" s="27">
        <v>121.84</v>
      </c>
      <c r="H50" s="24" t="s">
        <v>171</v>
      </c>
      <c r="I50" s="28" t="s">
        <v>23</v>
      </c>
      <c r="J50" s="28" t="s">
        <v>172</v>
      </c>
      <c r="K50" s="28" t="s">
        <v>84</v>
      </c>
      <c r="L50" s="24" t="s">
        <v>186</v>
      </c>
      <c r="M50" s="29" t="s">
        <v>187</v>
      </c>
      <c r="N50" s="25"/>
      <c r="O50" s="28" t="s">
        <v>27</v>
      </c>
      <c r="P50" s="24" t="s">
        <v>171</v>
      </c>
      <c r="Q50" s="14" t="b">
        <f t="shared" si="1"/>
        <v>0</v>
      </c>
      <c r="R50" s="15" t="b">
        <f t="shared" si="2"/>
        <v>0</v>
      </c>
      <c r="S50" s="15" t="str">
        <f t="shared" si="3"/>
        <v>PENDING</v>
      </c>
    </row>
    <row r="51" ht="17.25" customHeight="1">
      <c r="A51" s="7" t="s">
        <v>188</v>
      </c>
      <c r="B51" s="13" t="s">
        <v>189</v>
      </c>
      <c r="C51" s="9">
        <v>45751.0</v>
      </c>
      <c r="D51" s="9">
        <v>45751.0</v>
      </c>
      <c r="E51" s="7" t="s">
        <v>21</v>
      </c>
      <c r="F51" s="7">
        <v>24.0</v>
      </c>
      <c r="G51" s="10">
        <v>119.0</v>
      </c>
      <c r="H51" s="7" t="s">
        <v>177</v>
      </c>
      <c r="I51" s="11" t="s">
        <v>23</v>
      </c>
      <c r="J51" s="11" t="s">
        <v>35</v>
      </c>
      <c r="K51" s="11" t="s">
        <v>25</v>
      </c>
      <c r="L51" s="7" t="s">
        <v>190</v>
      </c>
      <c r="M51" s="49" t="s">
        <v>191</v>
      </c>
      <c r="N51" s="13"/>
      <c r="O51" s="11" t="s">
        <v>27</v>
      </c>
      <c r="P51" s="7" t="s">
        <v>177</v>
      </c>
      <c r="Q51" s="14" t="b">
        <f t="shared" si="1"/>
        <v>1</v>
      </c>
      <c r="R51" s="15" t="b">
        <f t="shared" si="2"/>
        <v>0</v>
      </c>
      <c r="S51" s="15" t="str">
        <f t="shared" si="3"/>
        <v>APPROVED</v>
      </c>
    </row>
    <row r="52" ht="17.25" customHeight="1">
      <c r="A52" s="7" t="s">
        <v>192</v>
      </c>
      <c r="B52" s="8" t="s">
        <v>29</v>
      </c>
      <c r="C52" s="9">
        <v>45751.0</v>
      </c>
      <c r="D52" s="9">
        <v>45751.0</v>
      </c>
      <c r="E52" s="7" t="s">
        <v>21</v>
      </c>
      <c r="F52" s="7">
        <v>240.0</v>
      </c>
      <c r="G52" s="10">
        <v>115.0</v>
      </c>
      <c r="H52" s="7" t="s">
        <v>22</v>
      </c>
      <c r="I52" s="11" t="s">
        <v>23</v>
      </c>
      <c r="J52" s="11" t="s">
        <v>70</v>
      </c>
      <c r="K52" s="11" t="s">
        <v>25</v>
      </c>
      <c r="L52" s="7"/>
      <c r="M52" s="12"/>
      <c r="N52" s="13"/>
      <c r="O52" s="11" t="s">
        <v>27</v>
      </c>
      <c r="P52" s="7" t="s">
        <v>22</v>
      </c>
      <c r="Q52" s="14" t="b">
        <f t="shared" si="1"/>
        <v>1</v>
      </c>
      <c r="R52" s="15" t="b">
        <f t="shared" si="2"/>
        <v>0</v>
      </c>
      <c r="S52" s="15" t="str">
        <f t="shared" si="3"/>
        <v>APPROVED</v>
      </c>
    </row>
    <row r="53" ht="17.25" customHeight="1">
      <c r="A53" s="7" t="s">
        <v>193</v>
      </c>
      <c r="B53" s="13" t="s">
        <v>194</v>
      </c>
      <c r="C53" s="9">
        <v>45751.0</v>
      </c>
      <c r="D53" s="9">
        <v>45751.0</v>
      </c>
      <c r="E53" s="7" t="s">
        <v>21</v>
      </c>
      <c r="F53" s="7">
        <v>24.0</v>
      </c>
      <c r="G53" s="10">
        <v>119.0</v>
      </c>
      <c r="H53" s="7" t="s">
        <v>177</v>
      </c>
      <c r="I53" s="11" t="s">
        <v>23</v>
      </c>
      <c r="J53" s="11" t="s">
        <v>172</v>
      </c>
      <c r="K53" s="11" t="s">
        <v>25</v>
      </c>
      <c r="L53" s="7" t="s">
        <v>195</v>
      </c>
      <c r="M53" s="12" t="s">
        <v>196</v>
      </c>
      <c r="N53" s="13"/>
      <c r="O53" s="11" t="s">
        <v>27</v>
      </c>
      <c r="P53" s="7" t="s">
        <v>177</v>
      </c>
      <c r="Q53" s="14" t="b">
        <f t="shared" si="1"/>
        <v>1</v>
      </c>
      <c r="R53" s="15" t="b">
        <f t="shared" si="2"/>
        <v>0</v>
      </c>
      <c r="S53" s="15" t="str">
        <f t="shared" si="3"/>
        <v>APPROVED</v>
      </c>
    </row>
    <row r="54" ht="15.75" customHeight="1">
      <c r="A54" s="7" t="s">
        <v>197</v>
      </c>
      <c r="B54" s="13" t="s">
        <v>198</v>
      </c>
      <c r="C54" s="9">
        <v>45751.0</v>
      </c>
      <c r="D54" s="9">
        <v>45751.0</v>
      </c>
      <c r="E54" s="7" t="s">
        <v>21</v>
      </c>
      <c r="F54" s="7">
        <v>24.0</v>
      </c>
      <c r="G54" s="10">
        <v>119.0</v>
      </c>
      <c r="H54" s="7" t="s">
        <v>177</v>
      </c>
      <c r="I54" s="11" t="s">
        <v>23</v>
      </c>
      <c r="J54" s="11" t="s">
        <v>172</v>
      </c>
      <c r="K54" s="11" t="s">
        <v>25</v>
      </c>
      <c r="L54" s="7" t="s">
        <v>199</v>
      </c>
      <c r="M54" s="12" t="s">
        <v>200</v>
      </c>
      <c r="N54" s="13"/>
      <c r="O54" s="11" t="s">
        <v>27</v>
      </c>
      <c r="P54" s="7" t="s">
        <v>177</v>
      </c>
      <c r="Q54" s="14" t="b">
        <f t="shared" si="1"/>
        <v>1</v>
      </c>
      <c r="R54" s="15" t="b">
        <f t="shared" si="2"/>
        <v>0</v>
      </c>
      <c r="S54" s="15" t="str">
        <f t="shared" si="3"/>
        <v>APPROVED</v>
      </c>
    </row>
    <row r="55" ht="15.75" customHeight="1">
      <c r="A55" s="24" t="s">
        <v>201</v>
      </c>
      <c r="B55" s="25" t="s">
        <v>202</v>
      </c>
      <c r="C55" s="26">
        <v>45758.0</v>
      </c>
      <c r="D55" s="50">
        <v>45965.0</v>
      </c>
      <c r="E55" s="24" t="s">
        <v>21</v>
      </c>
      <c r="F55" s="24">
        <v>144.0</v>
      </c>
      <c r="G55" s="27">
        <v>121.0</v>
      </c>
      <c r="H55" s="24" t="s">
        <v>171</v>
      </c>
      <c r="I55" s="28" t="s">
        <v>23</v>
      </c>
      <c r="J55" s="28" t="s">
        <v>24</v>
      </c>
      <c r="K55" s="28" t="s">
        <v>84</v>
      </c>
      <c r="L55" s="24" t="s">
        <v>203</v>
      </c>
      <c r="M55" s="29" t="s">
        <v>204</v>
      </c>
      <c r="N55" s="25"/>
      <c r="O55" s="28" t="s">
        <v>27</v>
      </c>
      <c r="P55" s="24" t="s">
        <v>171</v>
      </c>
      <c r="Q55" s="14" t="b">
        <f t="shared" si="1"/>
        <v>0</v>
      </c>
      <c r="R55" s="15" t="b">
        <f t="shared" si="2"/>
        <v>0</v>
      </c>
      <c r="S55" s="15" t="str">
        <f t="shared" si="3"/>
        <v>PENDING</v>
      </c>
    </row>
    <row r="56" ht="17.25" customHeight="1">
      <c r="A56" s="24" t="s">
        <v>205</v>
      </c>
      <c r="B56" s="25" t="s">
        <v>206</v>
      </c>
      <c r="C56" s="26">
        <v>45755.0</v>
      </c>
      <c r="D56" s="26">
        <v>45873.0</v>
      </c>
      <c r="E56" s="24" t="s">
        <v>21</v>
      </c>
      <c r="F56" s="24">
        <v>240.0</v>
      </c>
      <c r="G56" s="27">
        <v>121.0</v>
      </c>
      <c r="H56" s="24" t="s">
        <v>171</v>
      </c>
      <c r="I56" s="28" t="s">
        <v>23</v>
      </c>
      <c r="J56" s="28" t="s">
        <v>172</v>
      </c>
      <c r="K56" s="28" t="s">
        <v>49</v>
      </c>
      <c r="L56" s="24" t="s">
        <v>207</v>
      </c>
      <c r="M56" s="29" t="s">
        <v>208</v>
      </c>
      <c r="N56" s="25"/>
      <c r="O56" s="28" t="s">
        <v>27</v>
      </c>
      <c r="P56" s="24" t="s">
        <v>171</v>
      </c>
      <c r="Q56" s="14" t="b">
        <f t="shared" si="1"/>
        <v>0</v>
      </c>
      <c r="R56" s="15" t="b">
        <f t="shared" si="2"/>
        <v>0</v>
      </c>
      <c r="S56" s="15" t="str">
        <f t="shared" si="3"/>
        <v>PENDING</v>
      </c>
    </row>
    <row r="57" ht="17.25" customHeight="1">
      <c r="A57" s="7" t="s">
        <v>209</v>
      </c>
      <c r="B57" s="13" t="s">
        <v>210</v>
      </c>
      <c r="C57" s="9">
        <v>45787.0</v>
      </c>
      <c r="D57" s="9">
        <v>45935.0</v>
      </c>
      <c r="E57" s="7" t="s">
        <v>21</v>
      </c>
      <c r="F57" s="7">
        <v>24.0</v>
      </c>
      <c r="G57" s="10">
        <v>121.5</v>
      </c>
      <c r="H57" s="7" t="s">
        <v>171</v>
      </c>
      <c r="I57" s="11" t="s">
        <v>23</v>
      </c>
      <c r="J57" s="11" t="s">
        <v>172</v>
      </c>
      <c r="K57" s="11" t="s">
        <v>25</v>
      </c>
      <c r="L57" s="7" t="s">
        <v>211</v>
      </c>
      <c r="M57" s="12" t="s">
        <v>212</v>
      </c>
      <c r="N57" s="13"/>
      <c r="O57" s="11" t="s">
        <v>27</v>
      </c>
      <c r="P57" s="7" t="s">
        <v>171</v>
      </c>
      <c r="Q57" s="14" t="b">
        <f t="shared" si="1"/>
        <v>1</v>
      </c>
      <c r="R57" s="15" t="b">
        <f t="shared" si="2"/>
        <v>0</v>
      </c>
      <c r="S57" s="15" t="str">
        <f t="shared" si="3"/>
        <v>APPROVED</v>
      </c>
    </row>
    <row r="58" ht="15.75" customHeight="1">
      <c r="A58" s="7" t="s">
        <v>213</v>
      </c>
      <c r="B58" s="13" t="s">
        <v>214</v>
      </c>
      <c r="C58" s="9">
        <v>45754.0</v>
      </c>
      <c r="D58" s="9">
        <v>45842.0</v>
      </c>
      <c r="E58" s="7" t="s">
        <v>21</v>
      </c>
      <c r="F58" s="7">
        <v>6.0</v>
      </c>
      <c r="G58" s="10">
        <v>119.0</v>
      </c>
      <c r="H58" s="7" t="s">
        <v>137</v>
      </c>
      <c r="I58" s="11" t="s">
        <v>23</v>
      </c>
      <c r="J58" s="11" t="s">
        <v>30</v>
      </c>
      <c r="K58" s="11" t="s">
        <v>25</v>
      </c>
      <c r="L58" s="7"/>
      <c r="M58" s="12" t="s">
        <v>215</v>
      </c>
      <c r="N58" s="13"/>
      <c r="O58" s="11" t="s">
        <v>27</v>
      </c>
      <c r="P58" s="7" t="s">
        <v>137</v>
      </c>
      <c r="Q58" s="14" t="b">
        <f t="shared" si="1"/>
        <v>1</v>
      </c>
      <c r="R58" s="15" t="b">
        <f t="shared" si="2"/>
        <v>0</v>
      </c>
      <c r="S58" s="15" t="str">
        <f t="shared" si="3"/>
        <v>APPROVED</v>
      </c>
    </row>
    <row r="59" ht="15.75" customHeight="1">
      <c r="A59" s="7" t="s">
        <v>216</v>
      </c>
      <c r="B59" s="51" t="s">
        <v>217</v>
      </c>
      <c r="C59" s="9">
        <v>45754.0</v>
      </c>
      <c r="D59" s="9">
        <v>45842.0</v>
      </c>
      <c r="E59" s="7" t="s">
        <v>21</v>
      </c>
      <c r="F59" s="7">
        <v>6.0</v>
      </c>
      <c r="G59" s="10">
        <v>121.0</v>
      </c>
      <c r="H59" s="7" t="s">
        <v>137</v>
      </c>
      <c r="I59" s="11" t="s">
        <v>23</v>
      </c>
      <c r="J59" s="11" t="s">
        <v>30</v>
      </c>
      <c r="K59" s="11" t="s">
        <v>25</v>
      </c>
      <c r="L59" s="7"/>
      <c r="M59" s="12" t="s">
        <v>215</v>
      </c>
      <c r="N59" s="13"/>
      <c r="O59" s="11" t="s">
        <v>27</v>
      </c>
      <c r="P59" s="7" t="s">
        <v>137</v>
      </c>
      <c r="Q59" s="14" t="b">
        <f t="shared" si="1"/>
        <v>1</v>
      </c>
      <c r="R59" s="15" t="b">
        <f t="shared" si="2"/>
        <v>0</v>
      </c>
      <c r="S59" s="15" t="str">
        <f t="shared" si="3"/>
        <v>APPROVED</v>
      </c>
    </row>
    <row r="60" ht="15.75" customHeight="1">
      <c r="A60" s="7" t="s">
        <v>218</v>
      </c>
      <c r="B60" s="51" t="s">
        <v>219</v>
      </c>
      <c r="C60" s="9" t="s">
        <v>220</v>
      </c>
      <c r="D60" s="9">
        <v>45842.0</v>
      </c>
      <c r="E60" s="7" t="s">
        <v>21</v>
      </c>
      <c r="F60" s="7">
        <v>24.0</v>
      </c>
      <c r="G60" s="10">
        <v>121.0</v>
      </c>
      <c r="H60" s="7" t="s">
        <v>137</v>
      </c>
      <c r="I60" s="11" t="s">
        <v>23</v>
      </c>
      <c r="J60" s="11" t="s">
        <v>30</v>
      </c>
      <c r="K60" s="11" t="s">
        <v>25</v>
      </c>
      <c r="L60" s="7"/>
      <c r="M60" s="12" t="s">
        <v>215</v>
      </c>
      <c r="N60" s="13"/>
      <c r="O60" s="11" t="s">
        <v>27</v>
      </c>
      <c r="P60" s="7" t="s">
        <v>137</v>
      </c>
      <c r="Q60" s="14" t="b">
        <f t="shared" si="1"/>
        <v>1</v>
      </c>
      <c r="R60" s="15" t="b">
        <f t="shared" si="2"/>
        <v>0</v>
      </c>
      <c r="S60" s="15" t="str">
        <f t="shared" si="3"/>
        <v>APPROVED</v>
      </c>
    </row>
    <row r="61" ht="15.75" customHeight="1">
      <c r="A61" s="7" t="s">
        <v>221</v>
      </c>
      <c r="B61" s="8" t="s">
        <v>222</v>
      </c>
      <c r="C61" s="9">
        <v>45752.0</v>
      </c>
      <c r="D61" s="9">
        <v>45842.0</v>
      </c>
      <c r="E61" s="7" t="s">
        <v>21</v>
      </c>
      <c r="F61" s="7">
        <v>6.0</v>
      </c>
      <c r="G61" s="10">
        <v>119.0</v>
      </c>
      <c r="H61" s="7" t="s">
        <v>177</v>
      </c>
      <c r="I61" s="11" t="s">
        <v>23</v>
      </c>
      <c r="J61" s="11" t="s">
        <v>30</v>
      </c>
      <c r="K61" s="7" t="s">
        <v>31</v>
      </c>
      <c r="L61" s="7"/>
      <c r="M61" s="12" t="s">
        <v>32</v>
      </c>
      <c r="N61" s="13"/>
      <c r="O61" s="11" t="s">
        <v>27</v>
      </c>
      <c r="P61" s="7" t="s">
        <v>177</v>
      </c>
      <c r="Q61" s="14" t="b">
        <f t="shared" si="1"/>
        <v>0</v>
      </c>
      <c r="R61" s="15" t="b">
        <f t="shared" si="2"/>
        <v>0</v>
      </c>
      <c r="S61" s="15" t="str">
        <f t="shared" si="3"/>
        <v>PENDING</v>
      </c>
    </row>
    <row r="62" ht="15.75" customHeight="1">
      <c r="A62" s="7" t="s">
        <v>223</v>
      </c>
      <c r="B62" s="8" t="s">
        <v>224</v>
      </c>
      <c r="C62" s="9">
        <v>45758.0</v>
      </c>
      <c r="D62" s="9">
        <v>45965.0</v>
      </c>
      <c r="E62" s="7" t="s">
        <v>21</v>
      </c>
      <c r="F62" s="7">
        <v>24.0</v>
      </c>
      <c r="G62" s="10">
        <v>121.0</v>
      </c>
      <c r="H62" s="7" t="s">
        <v>177</v>
      </c>
      <c r="I62" s="11" t="s">
        <v>23</v>
      </c>
      <c r="J62" s="11" t="s">
        <v>172</v>
      </c>
      <c r="K62" s="11" t="s">
        <v>25</v>
      </c>
      <c r="L62" s="7" t="s">
        <v>225</v>
      </c>
      <c r="M62" s="49" t="s">
        <v>226</v>
      </c>
      <c r="N62" s="13"/>
      <c r="O62" s="11" t="s">
        <v>27</v>
      </c>
      <c r="P62" s="7" t="s">
        <v>177</v>
      </c>
      <c r="Q62" s="14" t="b">
        <f t="shared" si="1"/>
        <v>1</v>
      </c>
      <c r="R62" s="15" t="b">
        <f t="shared" si="2"/>
        <v>0</v>
      </c>
      <c r="S62" s="15" t="str">
        <f t="shared" si="3"/>
        <v>APPROVED</v>
      </c>
    </row>
    <row r="63" ht="15.75" customHeight="1">
      <c r="A63" s="7" t="s">
        <v>227</v>
      </c>
      <c r="B63" s="13" t="s">
        <v>228</v>
      </c>
      <c r="C63" s="9">
        <v>45755.0</v>
      </c>
      <c r="D63" s="9">
        <v>45873.0</v>
      </c>
      <c r="E63" s="7" t="s">
        <v>21</v>
      </c>
      <c r="F63" s="7">
        <v>24.0</v>
      </c>
      <c r="G63" s="10">
        <v>135.0</v>
      </c>
      <c r="H63" s="7" t="s">
        <v>229</v>
      </c>
      <c r="I63" s="11" t="s">
        <v>23</v>
      </c>
      <c r="J63" s="11" t="s">
        <v>48</v>
      </c>
      <c r="K63" s="11" t="s">
        <v>25</v>
      </c>
      <c r="L63" s="7"/>
      <c r="M63" s="12" t="s">
        <v>230</v>
      </c>
      <c r="N63" s="13"/>
      <c r="O63" s="11" t="s">
        <v>27</v>
      </c>
      <c r="P63" s="7" t="s">
        <v>229</v>
      </c>
      <c r="Q63" s="14" t="b">
        <f t="shared" si="1"/>
        <v>1</v>
      </c>
      <c r="R63" s="15" t="b">
        <f t="shared" si="2"/>
        <v>0</v>
      </c>
      <c r="S63" s="15" t="str">
        <f t="shared" si="3"/>
        <v>APPROVED</v>
      </c>
    </row>
    <row r="64" ht="15.75" customHeight="1">
      <c r="A64" s="7" t="s">
        <v>231</v>
      </c>
      <c r="B64" s="8" t="s">
        <v>20</v>
      </c>
      <c r="C64" s="9">
        <v>45755.0</v>
      </c>
      <c r="D64" s="9">
        <v>45873.0</v>
      </c>
      <c r="E64" s="7" t="s">
        <v>21</v>
      </c>
      <c r="F64" s="7">
        <v>120.0</v>
      </c>
      <c r="G64" s="10">
        <v>121.5</v>
      </c>
      <c r="H64" s="7" t="s">
        <v>22</v>
      </c>
      <c r="I64" s="11" t="s">
        <v>23</v>
      </c>
      <c r="J64" s="11" t="s">
        <v>24</v>
      </c>
      <c r="K64" s="11" t="s">
        <v>25</v>
      </c>
      <c r="L64" s="7" t="s">
        <v>232</v>
      </c>
      <c r="M64" s="12" t="s">
        <v>26</v>
      </c>
      <c r="N64" s="13"/>
      <c r="O64" s="11" t="s">
        <v>27</v>
      </c>
      <c r="P64" s="7" t="s">
        <v>22</v>
      </c>
      <c r="Q64" s="14" t="b">
        <f t="shared" si="1"/>
        <v>1</v>
      </c>
      <c r="R64" s="15" t="b">
        <f t="shared" si="2"/>
        <v>0</v>
      </c>
      <c r="S64" s="15" t="str">
        <f t="shared" si="3"/>
        <v>APPROVED</v>
      </c>
    </row>
    <row r="65" ht="15.75" customHeight="1">
      <c r="A65" s="7" t="s">
        <v>233</v>
      </c>
      <c r="B65" s="51" t="s">
        <v>234</v>
      </c>
      <c r="C65" s="9">
        <v>45754.0</v>
      </c>
      <c r="D65" s="9">
        <v>45842.0</v>
      </c>
      <c r="E65" s="7" t="s">
        <v>21</v>
      </c>
      <c r="F65" s="7">
        <v>6.0</v>
      </c>
      <c r="G65" s="10">
        <v>121.0</v>
      </c>
      <c r="H65" s="7" t="s">
        <v>137</v>
      </c>
      <c r="I65" s="11" t="s">
        <v>23</v>
      </c>
      <c r="J65" s="11" t="s">
        <v>30</v>
      </c>
      <c r="K65" s="11" t="s">
        <v>25</v>
      </c>
      <c r="L65" s="7"/>
      <c r="M65" s="12" t="s">
        <v>215</v>
      </c>
      <c r="N65" s="13"/>
      <c r="O65" s="11" t="s">
        <v>27</v>
      </c>
      <c r="P65" s="7" t="s">
        <v>137</v>
      </c>
      <c r="Q65" s="14" t="b">
        <f t="shared" si="1"/>
        <v>1</v>
      </c>
      <c r="R65" s="15" t="b">
        <f t="shared" si="2"/>
        <v>0</v>
      </c>
      <c r="S65" s="15" t="str">
        <f t="shared" si="3"/>
        <v>APPROVED</v>
      </c>
    </row>
    <row r="66" ht="15.75" customHeight="1">
      <c r="A66" s="7" t="s">
        <v>235</v>
      </c>
      <c r="B66" s="13" t="s">
        <v>236</v>
      </c>
      <c r="C66" s="9">
        <v>45755.0</v>
      </c>
      <c r="D66" s="9">
        <v>45873.0</v>
      </c>
      <c r="E66" s="7" t="s">
        <v>21</v>
      </c>
      <c r="F66" s="7">
        <v>12.0</v>
      </c>
      <c r="G66" s="10">
        <v>135.0</v>
      </c>
      <c r="H66" s="7" t="s">
        <v>75</v>
      </c>
      <c r="I66" s="11" t="s">
        <v>23</v>
      </c>
      <c r="J66" s="11" t="s">
        <v>24</v>
      </c>
      <c r="K66" s="11" t="s">
        <v>25</v>
      </c>
      <c r="L66" s="7" t="s">
        <v>237</v>
      </c>
      <c r="M66" s="12" t="s">
        <v>238</v>
      </c>
      <c r="N66" s="13"/>
      <c r="O66" s="11" t="s">
        <v>27</v>
      </c>
      <c r="P66" s="7" t="s">
        <v>75</v>
      </c>
      <c r="Q66" s="14" t="b">
        <f t="shared" si="1"/>
        <v>1</v>
      </c>
      <c r="R66" s="15" t="b">
        <f t="shared" si="2"/>
        <v>0</v>
      </c>
      <c r="S66" s="15" t="str">
        <f t="shared" si="3"/>
        <v>APPROVED</v>
      </c>
    </row>
    <row r="67" ht="15.75" customHeight="1">
      <c r="A67" s="7" t="s">
        <v>239</v>
      </c>
      <c r="B67" s="13" t="s">
        <v>130</v>
      </c>
      <c r="C67" s="9">
        <v>45755.0</v>
      </c>
      <c r="D67" s="9">
        <v>45873.0</v>
      </c>
      <c r="E67" s="7" t="s">
        <v>21</v>
      </c>
      <c r="F67" s="7">
        <v>48.0</v>
      </c>
      <c r="G67" s="10">
        <v>119.0</v>
      </c>
      <c r="H67" s="7" t="s">
        <v>75</v>
      </c>
      <c r="I67" s="11" t="s">
        <v>23</v>
      </c>
      <c r="J67" s="11" t="s">
        <v>30</v>
      </c>
      <c r="K67" s="11" t="s">
        <v>25</v>
      </c>
      <c r="L67" s="7"/>
      <c r="M67" s="12" t="s">
        <v>240</v>
      </c>
      <c r="N67" s="13"/>
      <c r="O67" s="11" t="s">
        <v>27</v>
      </c>
      <c r="P67" s="7" t="s">
        <v>75</v>
      </c>
      <c r="Q67" s="14" t="b">
        <f t="shared" si="1"/>
        <v>1</v>
      </c>
      <c r="R67" s="15" t="b">
        <f t="shared" si="2"/>
        <v>0</v>
      </c>
      <c r="S67" s="15" t="str">
        <f t="shared" si="3"/>
        <v>APPROVED</v>
      </c>
    </row>
    <row r="68" ht="15.75" customHeight="1">
      <c r="A68" s="7" t="s">
        <v>241</v>
      </c>
      <c r="B68" s="13" t="s">
        <v>132</v>
      </c>
      <c r="C68" s="9">
        <v>45755.0</v>
      </c>
      <c r="D68" s="9">
        <v>45873.0</v>
      </c>
      <c r="E68" s="7" t="s">
        <v>21</v>
      </c>
      <c r="F68" s="7">
        <v>24.0</v>
      </c>
      <c r="G68" s="10">
        <v>135.0</v>
      </c>
      <c r="H68" s="7" t="s">
        <v>75</v>
      </c>
      <c r="I68" s="11" t="s">
        <v>23</v>
      </c>
      <c r="J68" s="11" t="s">
        <v>35</v>
      </c>
      <c r="K68" s="11" t="s">
        <v>25</v>
      </c>
      <c r="L68" s="7" t="s">
        <v>242</v>
      </c>
      <c r="M68" s="12" t="s">
        <v>243</v>
      </c>
      <c r="N68" s="13"/>
      <c r="O68" s="11" t="s">
        <v>27</v>
      </c>
      <c r="P68" s="7" t="s">
        <v>75</v>
      </c>
      <c r="Q68" s="14" t="b">
        <f t="shared" si="1"/>
        <v>1</v>
      </c>
      <c r="R68" s="15" t="b">
        <f t="shared" si="2"/>
        <v>0</v>
      </c>
      <c r="S68" s="15" t="str">
        <f t="shared" si="3"/>
        <v>APPROVED</v>
      </c>
    </row>
    <row r="69" ht="15.75" customHeight="1">
      <c r="A69" s="7" t="s">
        <v>244</v>
      </c>
      <c r="B69" s="13" t="s">
        <v>245</v>
      </c>
      <c r="C69" s="9">
        <v>45771.0</v>
      </c>
      <c r="D69" s="9">
        <v>45771.0</v>
      </c>
      <c r="E69" s="7" t="s">
        <v>21</v>
      </c>
      <c r="F69" s="7">
        <v>48.0</v>
      </c>
      <c r="G69" s="10">
        <v>121.5</v>
      </c>
      <c r="H69" s="7" t="s">
        <v>171</v>
      </c>
      <c r="I69" s="11" t="s">
        <v>23</v>
      </c>
      <c r="J69" s="11" t="s">
        <v>172</v>
      </c>
      <c r="K69" s="11" t="s">
        <v>25</v>
      </c>
      <c r="L69" s="7" t="s">
        <v>246</v>
      </c>
      <c r="M69" s="12" t="s">
        <v>247</v>
      </c>
      <c r="N69" s="13"/>
      <c r="O69" s="11" t="s">
        <v>27</v>
      </c>
      <c r="P69" s="7" t="s">
        <v>171</v>
      </c>
      <c r="Q69" s="14" t="b">
        <f t="shared" si="1"/>
        <v>1</v>
      </c>
      <c r="R69" s="15" t="b">
        <f t="shared" si="2"/>
        <v>0</v>
      </c>
      <c r="S69" s="15" t="str">
        <f t="shared" si="3"/>
        <v>APPROVED</v>
      </c>
    </row>
    <row r="70" ht="15.75" customHeight="1">
      <c r="A70" s="7" t="s">
        <v>248</v>
      </c>
      <c r="B70" s="13" t="s">
        <v>249</v>
      </c>
      <c r="C70" s="9">
        <v>45771.0</v>
      </c>
      <c r="D70" s="9">
        <v>45771.0</v>
      </c>
      <c r="E70" s="7" t="s">
        <v>21</v>
      </c>
      <c r="F70" s="7">
        <v>24.0</v>
      </c>
      <c r="G70" s="10">
        <v>121.5</v>
      </c>
      <c r="H70" s="7" t="s">
        <v>171</v>
      </c>
      <c r="I70" s="11" t="s">
        <v>23</v>
      </c>
      <c r="J70" s="11" t="s">
        <v>172</v>
      </c>
      <c r="K70" s="11" t="s">
        <v>25</v>
      </c>
      <c r="L70" s="7" t="s">
        <v>250</v>
      </c>
      <c r="M70" s="12" t="s">
        <v>251</v>
      </c>
      <c r="N70" s="13"/>
      <c r="O70" s="11" t="s">
        <v>27</v>
      </c>
      <c r="P70" s="7" t="s">
        <v>171</v>
      </c>
      <c r="Q70" s="14" t="b">
        <f t="shared" si="1"/>
        <v>1</v>
      </c>
      <c r="R70" s="15" t="b">
        <f t="shared" si="2"/>
        <v>0</v>
      </c>
      <c r="S70" s="15" t="str">
        <f t="shared" si="3"/>
        <v>APPROVED</v>
      </c>
    </row>
    <row r="71" ht="15.75" customHeight="1">
      <c r="A71" s="7" t="s">
        <v>252</v>
      </c>
      <c r="B71" s="13" t="s">
        <v>253</v>
      </c>
      <c r="C71" s="9">
        <v>45776.0</v>
      </c>
      <c r="D71" s="9">
        <v>45776.0</v>
      </c>
      <c r="E71" s="7" t="s">
        <v>21</v>
      </c>
      <c r="F71" s="7">
        <v>24.0</v>
      </c>
      <c r="G71" s="10">
        <v>128.0</v>
      </c>
      <c r="H71" s="7" t="s">
        <v>254</v>
      </c>
      <c r="I71" s="11" t="s">
        <v>23</v>
      </c>
      <c r="J71" s="11" t="s">
        <v>48</v>
      </c>
      <c r="K71" s="11" t="s">
        <v>25</v>
      </c>
      <c r="L71" s="7" t="s">
        <v>255</v>
      </c>
      <c r="M71" s="12" t="s">
        <v>256</v>
      </c>
      <c r="N71" s="13"/>
      <c r="O71" s="11" t="s">
        <v>27</v>
      </c>
      <c r="P71" s="7" t="s">
        <v>254</v>
      </c>
      <c r="Q71" s="14" t="b">
        <f t="shared" si="1"/>
        <v>1</v>
      </c>
      <c r="R71" s="15" t="b">
        <f t="shared" si="2"/>
        <v>0</v>
      </c>
      <c r="S71" s="15" t="str">
        <f t="shared" si="3"/>
        <v>APPROVED</v>
      </c>
    </row>
    <row r="72" ht="15.75" customHeight="1">
      <c r="A72" s="52" t="s">
        <v>257</v>
      </c>
      <c r="B72" s="53" t="s">
        <v>258</v>
      </c>
      <c r="C72" s="54">
        <v>45776.0</v>
      </c>
      <c r="D72" s="54">
        <v>45776.0</v>
      </c>
      <c r="E72" s="24" t="s">
        <v>21</v>
      </c>
      <c r="F72" s="52">
        <v>12.0</v>
      </c>
      <c r="G72" s="55">
        <v>135.0</v>
      </c>
      <c r="H72" s="52" t="s">
        <v>254</v>
      </c>
      <c r="I72" s="56" t="s">
        <v>23</v>
      </c>
      <c r="J72" s="56" t="s">
        <v>48</v>
      </c>
      <c r="K72" s="56" t="s">
        <v>84</v>
      </c>
      <c r="L72" s="52" t="s">
        <v>259</v>
      </c>
      <c r="M72" s="57" t="s">
        <v>260</v>
      </c>
      <c r="N72" s="53"/>
      <c r="O72" s="56" t="s">
        <v>27</v>
      </c>
      <c r="P72" s="52" t="s">
        <v>254</v>
      </c>
      <c r="Q72" s="14" t="b">
        <f t="shared" si="1"/>
        <v>0</v>
      </c>
      <c r="R72" s="15" t="b">
        <f t="shared" si="2"/>
        <v>0</v>
      </c>
      <c r="S72" s="15" t="str">
        <f t="shared" si="3"/>
        <v>PENDING</v>
      </c>
    </row>
    <row r="73" ht="15.75" customHeight="1">
      <c r="A73" s="7" t="s">
        <v>261</v>
      </c>
      <c r="B73" s="13" t="s">
        <v>262</v>
      </c>
      <c r="C73" s="9">
        <v>45776.0</v>
      </c>
      <c r="D73" s="9">
        <v>45776.0</v>
      </c>
      <c r="E73" s="7" t="s">
        <v>21</v>
      </c>
      <c r="F73" s="7">
        <v>6.0</v>
      </c>
      <c r="G73" s="10">
        <v>135.0</v>
      </c>
      <c r="H73" s="7" t="s">
        <v>254</v>
      </c>
      <c r="I73" s="11" t="s">
        <v>23</v>
      </c>
      <c r="J73" s="11" t="s">
        <v>30</v>
      </c>
      <c r="K73" s="11" t="s">
        <v>25</v>
      </c>
      <c r="L73" s="7" t="s">
        <v>263</v>
      </c>
      <c r="M73" s="12"/>
      <c r="N73" s="13"/>
      <c r="O73" s="11" t="s">
        <v>27</v>
      </c>
      <c r="P73" s="7" t="s">
        <v>254</v>
      </c>
      <c r="Q73" s="14" t="b">
        <f t="shared" si="1"/>
        <v>1</v>
      </c>
      <c r="R73" s="15" t="b">
        <f t="shared" si="2"/>
        <v>0</v>
      </c>
      <c r="S73" s="15" t="str">
        <f t="shared" si="3"/>
        <v>APPROVED</v>
      </c>
    </row>
    <row r="74" ht="15.75" customHeight="1">
      <c r="A74" s="7" t="s">
        <v>264</v>
      </c>
      <c r="B74" s="8" t="s">
        <v>265</v>
      </c>
      <c r="C74" s="9">
        <v>45758.0</v>
      </c>
      <c r="D74" s="9">
        <v>45965.0</v>
      </c>
      <c r="E74" s="7" t="s">
        <v>21</v>
      </c>
      <c r="F74" s="7">
        <v>10.0</v>
      </c>
      <c r="G74" s="10">
        <v>135.0</v>
      </c>
      <c r="H74" s="7" t="s">
        <v>229</v>
      </c>
      <c r="I74" s="11" t="s">
        <v>23</v>
      </c>
      <c r="J74" s="11" t="s">
        <v>30</v>
      </c>
      <c r="K74" s="11" t="s">
        <v>25</v>
      </c>
      <c r="L74" s="7"/>
      <c r="M74" s="12" t="s">
        <v>266</v>
      </c>
      <c r="N74" s="13"/>
      <c r="O74" s="11" t="s">
        <v>27</v>
      </c>
      <c r="P74" s="7" t="s">
        <v>229</v>
      </c>
      <c r="Q74" s="14" t="b">
        <f t="shared" si="1"/>
        <v>1</v>
      </c>
      <c r="R74" s="15" t="b">
        <f t="shared" si="2"/>
        <v>0</v>
      </c>
      <c r="S74" s="15" t="str">
        <f t="shared" si="3"/>
        <v>APPROVED</v>
      </c>
    </row>
    <row r="75" ht="18.75" customHeight="1">
      <c r="A75" s="24" t="s">
        <v>267</v>
      </c>
      <c r="B75" s="25" t="s">
        <v>268</v>
      </c>
      <c r="C75" s="26">
        <v>45787.0</v>
      </c>
      <c r="D75" s="26">
        <v>45935.0</v>
      </c>
      <c r="E75" s="24" t="s">
        <v>21</v>
      </c>
      <c r="F75" s="24">
        <v>24.0</v>
      </c>
      <c r="G75" s="27">
        <v>121.5</v>
      </c>
      <c r="H75" s="24" t="s">
        <v>171</v>
      </c>
      <c r="I75" s="28" t="s">
        <v>23</v>
      </c>
      <c r="J75" s="28" t="s">
        <v>172</v>
      </c>
      <c r="K75" s="28" t="s">
        <v>84</v>
      </c>
      <c r="L75" s="24" t="s">
        <v>269</v>
      </c>
      <c r="M75" s="29" t="s">
        <v>270</v>
      </c>
      <c r="N75" s="25"/>
      <c r="O75" s="28" t="s">
        <v>27</v>
      </c>
      <c r="P75" s="24" t="s">
        <v>171</v>
      </c>
      <c r="Q75" s="14" t="b">
        <f t="shared" si="1"/>
        <v>0</v>
      </c>
      <c r="R75" s="15" t="b">
        <f t="shared" si="2"/>
        <v>0</v>
      </c>
      <c r="S75" s="15" t="str">
        <f t="shared" si="3"/>
        <v>PENDING</v>
      </c>
    </row>
    <row r="76" ht="15.75" customHeight="1">
      <c r="A76" s="7" t="s">
        <v>271</v>
      </c>
      <c r="B76" s="13" t="s">
        <v>272</v>
      </c>
      <c r="C76" s="9">
        <v>45771.0</v>
      </c>
      <c r="D76" s="9">
        <v>45771.0</v>
      </c>
      <c r="E76" s="7" t="s">
        <v>21</v>
      </c>
      <c r="F76" s="7">
        <v>24.0</v>
      </c>
      <c r="G76" s="10">
        <v>121.5</v>
      </c>
      <c r="H76" s="7" t="s">
        <v>171</v>
      </c>
      <c r="I76" s="11" t="s">
        <v>23</v>
      </c>
      <c r="J76" s="11" t="s">
        <v>172</v>
      </c>
      <c r="K76" s="11" t="s">
        <v>25</v>
      </c>
      <c r="L76" s="7" t="s">
        <v>273</v>
      </c>
      <c r="M76" s="12" t="s">
        <v>274</v>
      </c>
      <c r="N76" s="13"/>
      <c r="O76" s="11" t="s">
        <v>27</v>
      </c>
      <c r="P76" s="7" t="s">
        <v>171</v>
      </c>
      <c r="Q76" s="14" t="b">
        <f t="shared" si="1"/>
        <v>1</v>
      </c>
      <c r="R76" s="15" t="b">
        <f t="shared" si="2"/>
        <v>0</v>
      </c>
      <c r="S76" s="15" t="str">
        <f t="shared" si="3"/>
        <v>APPROVED</v>
      </c>
    </row>
    <row r="77" ht="15.75" customHeight="1">
      <c r="A77" s="7" t="s">
        <v>275</v>
      </c>
      <c r="B77" s="8" t="s">
        <v>276</v>
      </c>
      <c r="C77" s="9">
        <v>45758.0</v>
      </c>
      <c r="D77" s="9">
        <v>45965.0</v>
      </c>
      <c r="E77" s="7" t="s">
        <v>21</v>
      </c>
      <c r="F77" s="7">
        <v>48.0</v>
      </c>
      <c r="G77" s="10">
        <v>119.0</v>
      </c>
      <c r="H77" s="7" t="s">
        <v>177</v>
      </c>
      <c r="I77" s="11" t="s">
        <v>23</v>
      </c>
      <c r="J77" s="11" t="s">
        <v>172</v>
      </c>
      <c r="K77" s="11" t="s">
        <v>25</v>
      </c>
      <c r="L77" s="7" t="s">
        <v>277</v>
      </c>
      <c r="M77" s="12" t="s">
        <v>278</v>
      </c>
      <c r="N77" s="13"/>
      <c r="O77" s="11" t="s">
        <v>27</v>
      </c>
      <c r="P77" s="7" t="s">
        <v>177</v>
      </c>
      <c r="Q77" s="14" t="b">
        <f t="shared" si="1"/>
        <v>1</v>
      </c>
      <c r="R77" s="15" t="b">
        <f t="shared" si="2"/>
        <v>0</v>
      </c>
      <c r="S77" s="15" t="str">
        <f t="shared" si="3"/>
        <v>APPROVED</v>
      </c>
    </row>
    <row r="78" ht="15.75" customHeight="1">
      <c r="A78" s="7" t="s">
        <v>279</v>
      </c>
      <c r="B78" s="8" t="s">
        <v>280</v>
      </c>
      <c r="C78" s="9">
        <v>45758.0</v>
      </c>
      <c r="D78" s="9">
        <v>45965.0</v>
      </c>
      <c r="E78" s="7"/>
      <c r="F78" s="7">
        <v>48.0</v>
      </c>
      <c r="G78" s="10">
        <v>119.0</v>
      </c>
      <c r="H78" s="7" t="s">
        <v>177</v>
      </c>
      <c r="I78" s="11" t="s">
        <v>23</v>
      </c>
      <c r="J78" s="11" t="s">
        <v>172</v>
      </c>
      <c r="K78" s="11" t="s">
        <v>25</v>
      </c>
      <c r="L78" s="7" t="s">
        <v>281</v>
      </c>
      <c r="M78" s="12" t="s">
        <v>282</v>
      </c>
      <c r="N78" s="13"/>
      <c r="O78" s="11" t="s">
        <v>27</v>
      </c>
      <c r="P78" s="7" t="s">
        <v>177</v>
      </c>
      <c r="Q78" s="14" t="b">
        <f t="shared" si="1"/>
        <v>1</v>
      </c>
      <c r="R78" s="15" t="b">
        <f t="shared" si="2"/>
        <v>0</v>
      </c>
      <c r="S78" s="15" t="str">
        <f t="shared" si="3"/>
        <v>APPROVED</v>
      </c>
    </row>
    <row r="79" ht="15.75" customHeight="1">
      <c r="A79" s="24" t="s">
        <v>283</v>
      </c>
      <c r="B79" s="25" t="s">
        <v>284</v>
      </c>
      <c r="C79" s="26">
        <v>45758.0</v>
      </c>
      <c r="D79" s="26">
        <v>45965.0</v>
      </c>
      <c r="E79" s="24" t="s">
        <v>21</v>
      </c>
      <c r="F79" s="24">
        <v>48.0</v>
      </c>
      <c r="G79" s="27">
        <v>119.0</v>
      </c>
      <c r="H79" s="24" t="s">
        <v>177</v>
      </c>
      <c r="I79" s="28" t="s">
        <v>23</v>
      </c>
      <c r="J79" s="28" t="s">
        <v>172</v>
      </c>
      <c r="K79" s="28" t="s">
        <v>25</v>
      </c>
      <c r="L79" s="24" t="s">
        <v>285</v>
      </c>
      <c r="M79" s="29" t="s">
        <v>286</v>
      </c>
      <c r="N79" s="25"/>
      <c r="O79" s="28" t="s">
        <v>27</v>
      </c>
      <c r="P79" s="24" t="s">
        <v>177</v>
      </c>
      <c r="Q79" s="14" t="b">
        <f t="shared" si="1"/>
        <v>1</v>
      </c>
      <c r="R79" s="15" t="b">
        <f t="shared" si="2"/>
        <v>0</v>
      </c>
      <c r="S79" s="15" t="str">
        <f t="shared" si="3"/>
        <v>APPROVED</v>
      </c>
    </row>
    <row r="80" ht="15.75" customHeight="1">
      <c r="A80" s="7" t="s">
        <v>287</v>
      </c>
      <c r="B80" s="13" t="s">
        <v>288</v>
      </c>
      <c r="C80" s="9">
        <v>45758.0</v>
      </c>
      <c r="D80" s="9">
        <v>45965.0</v>
      </c>
      <c r="E80" s="7" t="s">
        <v>21</v>
      </c>
      <c r="F80" s="7">
        <v>24.0</v>
      </c>
      <c r="G80" s="10">
        <v>128.0</v>
      </c>
      <c r="H80" s="7" t="s">
        <v>137</v>
      </c>
      <c r="I80" s="11" t="s">
        <v>23</v>
      </c>
      <c r="J80" s="11" t="s">
        <v>35</v>
      </c>
      <c r="K80" s="11" t="s">
        <v>25</v>
      </c>
      <c r="L80" s="7" t="s">
        <v>289</v>
      </c>
      <c r="M80" s="12" t="s">
        <v>290</v>
      </c>
      <c r="N80" s="13"/>
      <c r="O80" s="11" t="s">
        <v>27</v>
      </c>
      <c r="P80" s="7" t="s">
        <v>137</v>
      </c>
      <c r="Q80" s="14" t="b">
        <f t="shared" si="1"/>
        <v>1</v>
      </c>
      <c r="R80" s="15" t="b">
        <f t="shared" si="2"/>
        <v>0</v>
      </c>
      <c r="S80" s="15" t="str">
        <f t="shared" si="3"/>
        <v>APPROVED</v>
      </c>
    </row>
    <row r="81" ht="15.75" customHeight="1">
      <c r="A81" s="7" t="s">
        <v>291</v>
      </c>
      <c r="B81" s="8" t="s">
        <v>292</v>
      </c>
      <c r="C81" s="9">
        <v>45758.0</v>
      </c>
      <c r="D81" s="9">
        <v>45965.0</v>
      </c>
      <c r="E81" s="7" t="s">
        <v>21</v>
      </c>
      <c r="F81" s="7">
        <v>24.0</v>
      </c>
      <c r="G81" s="10">
        <v>121.0</v>
      </c>
      <c r="H81" s="7" t="s">
        <v>137</v>
      </c>
      <c r="I81" s="11" t="s">
        <v>23</v>
      </c>
      <c r="J81" s="11" t="s">
        <v>30</v>
      </c>
      <c r="K81" s="11" t="s">
        <v>25</v>
      </c>
      <c r="L81" s="7"/>
      <c r="M81" s="12"/>
      <c r="N81" s="13"/>
      <c r="O81" s="11" t="s">
        <v>27</v>
      </c>
      <c r="P81" s="7" t="s">
        <v>137</v>
      </c>
      <c r="Q81" s="14" t="b">
        <f t="shared" si="1"/>
        <v>1</v>
      </c>
      <c r="R81" s="15" t="b">
        <f t="shared" si="2"/>
        <v>0</v>
      </c>
      <c r="S81" s="15" t="str">
        <f t="shared" si="3"/>
        <v>APPROVED</v>
      </c>
    </row>
    <row r="82" ht="15.75" customHeight="1">
      <c r="A82" s="7" t="s">
        <v>293</v>
      </c>
      <c r="B82" s="13" t="s">
        <v>294</v>
      </c>
      <c r="C82" s="9">
        <v>45775.0</v>
      </c>
      <c r="D82" s="9">
        <v>45775.0</v>
      </c>
      <c r="E82" s="7" t="s">
        <v>21</v>
      </c>
      <c r="F82" s="7">
        <v>24.0</v>
      </c>
      <c r="G82" s="10">
        <v>128.5</v>
      </c>
      <c r="H82" s="7" t="s">
        <v>229</v>
      </c>
      <c r="I82" s="11" t="s">
        <v>23</v>
      </c>
      <c r="J82" s="11" t="s">
        <v>48</v>
      </c>
      <c r="K82" s="11" t="s">
        <v>25</v>
      </c>
      <c r="L82" s="7" t="s">
        <v>295</v>
      </c>
      <c r="M82" s="12" t="s">
        <v>296</v>
      </c>
      <c r="N82" s="13"/>
      <c r="O82" s="11" t="s">
        <v>27</v>
      </c>
      <c r="P82" s="7" t="s">
        <v>229</v>
      </c>
      <c r="Q82" s="14" t="b">
        <f t="shared" si="1"/>
        <v>1</v>
      </c>
      <c r="R82" s="15" t="b">
        <f t="shared" si="2"/>
        <v>0</v>
      </c>
      <c r="S82" s="15" t="str">
        <f t="shared" si="3"/>
        <v>APPROVED</v>
      </c>
    </row>
    <row r="83" ht="15.75" customHeight="1">
      <c r="A83" s="18" t="s">
        <v>297</v>
      </c>
      <c r="B83" s="25" t="s">
        <v>298</v>
      </c>
      <c r="C83" s="26">
        <v>45775.0</v>
      </c>
      <c r="D83" s="26">
        <v>45775.0</v>
      </c>
      <c r="E83" s="24" t="s">
        <v>21</v>
      </c>
      <c r="F83" s="24">
        <v>24.0</v>
      </c>
      <c r="G83" s="27">
        <v>128.5</v>
      </c>
      <c r="H83" s="24" t="s">
        <v>229</v>
      </c>
      <c r="I83" s="28" t="s">
        <v>23</v>
      </c>
      <c r="J83" s="28" t="s">
        <v>48</v>
      </c>
      <c r="K83" s="28" t="s">
        <v>25</v>
      </c>
      <c r="L83" s="24" t="s">
        <v>299</v>
      </c>
      <c r="M83" s="29" t="s">
        <v>300</v>
      </c>
      <c r="N83" s="25"/>
      <c r="O83" s="28" t="s">
        <v>27</v>
      </c>
      <c r="P83" s="24" t="s">
        <v>229</v>
      </c>
      <c r="Q83" s="14" t="b">
        <f t="shared" si="1"/>
        <v>1</v>
      </c>
      <c r="R83" s="15" t="b">
        <f t="shared" si="2"/>
        <v>0</v>
      </c>
      <c r="S83" s="15" t="str">
        <f t="shared" si="3"/>
        <v>APPROVED</v>
      </c>
    </row>
    <row r="84" ht="15.75" customHeight="1">
      <c r="A84" s="7" t="s">
        <v>301</v>
      </c>
      <c r="B84" s="13" t="s">
        <v>302</v>
      </c>
      <c r="C84" s="9">
        <v>45775.0</v>
      </c>
      <c r="D84" s="9">
        <v>45775.0</v>
      </c>
      <c r="E84" s="7" t="s">
        <v>21</v>
      </c>
      <c r="F84" s="7">
        <v>48.0</v>
      </c>
      <c r="G84" s="10">
        <v>119.0</v>
      </c>
      <c r="H84" s="7" t="s">
        <v>177</v>
      </c>
      <c r="I84" s="11" t="s">
        <v>23</v>
      </c>
      <c r="J84" s="11" t="s">
        <v>172</v>
      </c>
      <c r="K84" s="11" t="s">
        <v>25</v>
      </c>
      <c r="L84" s="7" t="s">
        <v>303</v>
      </c>
      <c r="M84" s="12" t="s">
        <v>304</v>
      </c>
      <c r="N84" s="13"/>
      <c r="O84" s="11" t="s">
        <v>27</v>
      </c>
      <c r="P84" s="7" t="s">
        <v>177</v>
      </c>
      <c r="Q84" s="14" t="b">
        <f t="shared" si="1"/>
        <v>1</v>
      </c>
      <c r="R84" s="15" t="b">
        <f t="shared" si="2"/>
        <v>0</v>
      </c>
      <c r="S84" s="15" t="str">
        <f t="shared" si="3"/>
        <v>APPROVED</v>
      </c>
    </row>
    <row r="85" ht="15.75" customHeight="1">
      <c r="A85" s="7" t="s">
        <v>305</v>
      </c>
      <c r="B85" s="13" t="s">
        <v>306</v>
      </c>
      <c r="C85" s="9">
        <v>45758.0</v>
      </c>
      <c r="D85" s="9">
        <v>45965.0</v>
      </c>
      <c r="E85" s="7" t="s">
        <v>21</v>
      </c>
      <c r="F85" s="7">
        <v>24.0</v>
      </c>
      <c r="G85" s="10">
        <v>135.0</v>
      </c>
      <c r="H85" s="7" t="s">
        <v>137</v>
      </c>
      <c r="I85" s="11" t="s">
        <v>23</v>
      </c>
      <c r="J85" s="11" t="s">
        <v>35</v>
      </c>
      <c r="K85" s="11" t="s">
        <v>25</v>
      </c>
      <c r="L85" s="7" t="s">
        <v>307</v>
      </c>
      <c r="M85" s="12" t="s">
        <v>308</v>
      </c>
      <c r="N85" s="13"/>
      <c r="O85" s="11" t="s">
        <v>27</v>
      </c>
      <c r="P85" s="7" t="s">
        <v>137</v>
      </c>
      <c r="Q85" s="14" t="b">
        <f t="shared" si="1"/>
        <v>1</v>
      </c>
      <c r="R85" s="15" t="b">
        <f t="shared" si="2"/>
        <v>0</v>
      </c>
      <c r="S85" s="15" t="str">
        <f t="shared" si="3"/>
        <v>APPROVED</v>
      </c>
    </row>
    <row r="86" ht="15.75" customHeight="1">
      <c r="A86" s="7" t="s">
        <v>309</v>
      </c>
      <c r="B86" s="13" t="s">
        <v>310</v>
      </c>
      <c r="C86" s="9">
        <v>45771.0</v>
      </c>
      <c r="D86" s="9">
        <v>45771.0</v>
      </c>
      <c r="E86" s="7" t="s">
        <v>21</v>
      </c>
      <c r="F86" s="7">
        <v>24.0</v>
      </c>
      <c r="G86" s="10">
        <v>121.5</v>
      </c>
      <c r="H86" s="7" t="s">
        <v>171</v>
      </c>
      <c r="I86" s="11" t="s">
        <v>23</v>
      </c>
      <c r="J86" s="11" t="s">
        <v>172</v>
      </c>
      <c r="K86" s="11" t="s">
        <v>25</v>
      </c>
      <c r="L86" s="7" t="s">
        <v>311</v>
      </c>
      <c r="M86" s="12" t="s">
        <v>312</v>
      </c>
      <c r="N86" s="13"/>
      <c r="O86" s="11" t="s">
        <v>27</v>
      </c>
      <c r="P86" s="7" t="s">
        <v>171</v>
      </c>
      <c r="Q86" s="14" t="b">
        <f t="shared" si="1"/>
        <v>1</v>
      </c>
      <c r="R86" s="15" t="b">
        <f t="shared" si="2"/>
        <v>0</v>
      </c>
      <c r="S86" s="15" t="str">
        <f t="shared" si="3"/>
        <v>APPROVED</v>
      </c>
    </row>
    <row r="87" ht="15.75" customHeight="1">
      <c r="A87" s="30" t="s">
        <v>313</v>
      </c>
      <c r="B87" s="31" t="s">
        <v>314</v>
      </c>
      <c r="C87" s="32">
        <v>45787.0</v>
      </c>
      <c r="D87" s="32">
        <v>45935.0</v>
      </c>
      <c r="E87" s="30" t="s">
        <v>21</v>
      </c>
      <c r="F87" s="30"/>
      <c r="G87" s="33"/>
      <c r="H87" s="30" t="s">
        <v>171</v>
      </c>
      <c r="I87" s="34" t="s">
        <v>23</v>
      </c>
      <c r="J87" s="34" t="s">
        <v>172</v>
      </c>
      <c r="K87" s="34" t="s">
        <v>49</v>
      </c>
      <c r="L87" s="30" t="s">
        <v>315</v>
      </c>
      <c r="M87" s="35" t="s">
        <v>316</v>
      </c>
      <c r="N87" s="31" t="s">
        <v>317</v>
      </c>
      <c r="O87" s="30" t="s">
        <v>98</v>
      </c>
      <c r="P87" s="30" t="s">
        <v>171</v>
      </c>
      <c r="Q87" s="14" t="b">
        <f t="shared" si="1"/>
        <v>0</v>
      </c>
      <c r="R87" s="15" t="b">
        <f t="shared" si="2"/>
        <v>1</v>
      </c>
      <c r="S87" s="15" t="str">
        <f t="shared" si="3"/>
        <v>PENDING</v>
      </c>
    </row>
    <row r="88" ht="15.75" customHeight="1">
      <c r="A88" s="7" t="s">
        <v>318</v>
      </c>
      <c r="B88" s="13" t="s">
        <v>319</v>
      </c>
      <c r="C88" s="9">
        <v>45787.0</v>
      </c>
      <c r="D88" s="9">
        <v>45935.0</v>
      </c>
      <c r="E88" s="7" t="s">
        <v>21</v>
      </c>
      <c r="F88" s="7">
        <v>24.0</v>
      </c>
      <c r="G88" s="10">
        <v>121.5</v>
      </c>
      <c r="H88" s="7" t="s">
        <v>171</v>
      </c>
      <c r="I88" s="11" t="s">
        <v>23</v>
      </c>
      <c r="J88" s="11" t="s">
        <v>172</v>
      </c>
      <c r="K88" s="11" t="s">
        <v>25</v>
      </c>
      <c r="L88" s="7" t="s">
        <v>320</v>
      </c>
      <c r="M88" s="12" t="s">
        <v>321</v>
      </c>
      <c r="N88" s="13"/>
      <c r="O88" s="11" t="s">
        <v>27</v>
      </c>
      <c r="P88" s="7" t="s">
        <v>171</v>
      </c>
      <c r="Q88" s="14" t="b">
        <f t="shared" si="1"/>
        <v>1</v>
      </c>
      <c r="R88" s="15" t="b">
        <f t="shared" si="2"/>
        <v>0</v>
      </c>
      <c r="S88" s="15" t="str">
        <f t="shared" si="3"/>
        <v>APPROVED</v>
      </c>
    </row>
    <row r="89" ht="15.75" customHeight="1">
      <c r="A89" s="7" t="s">
        <v>322</v>
      </c>
      <c r="B89" s="13" t="s">
        <v>323</v>
      </c>
      <c r="C89" s="9">
        <v>45775.0</v>
      </c>
      <c r="D89" s="9">
        <v>45775.0</v>
      </c>
      <c r="E89" s="7" t="s">
        <v>21</v>
      </c>
      <c r="F89" s="7">
        <v>24.0</v>
      </c>
      <c r="G89" s="10">
        <v>128.25</v>
      </c>
      <c r="H89" s="7" t="s">
        <v>229</v>
      </c>
      <c r="I89" s="11" t="s">
        <v>23</v>
      </c>
      <c r="J89" s="11" t="s">
        <v>35</v>
      </c>
      <c r="K89" s="11" t="s">
        <v>25</v>
      </c>
      <c r="L89" s="7" t="s">
        <v>324</v>
      </c>
      <c r="M89" s="12" t="s">
        <v>325</v>
      </c>
      <c r="N89" s="13"/>
      <c r="O89" s="11" t="s">
        <v>27</v>
      </c>
      <c r="P89" s="7" t="s">
        <v>229</v>
      </c>
      <c r="Q89" s="14" t="b">
        <f t="shared" si="1"/>
        <v>1</v>
      </c>
      <c r="R89" s="15" t="b">
        <f t="shared" si="2"/>
        <v>0</v>
      </c>
      <c r="S89" s="15" t="str">
        <f t="shared" si="3"/>
        <v>APPROVED</v>
      </c>
    </row>
    <row r="90" ht="15.75" customHeight="1">
      <c r="A90" s="30" t="s">
        <v>326</v>
      </c>
      <c r="B90" s="58" t="s">
        <v>327</v>
      </c>
      <c r="C90" s="32">
        <v>45786.0</v>
      </c>
      <c r="D90" s="32"/>
      <c r="E90" s="30" t="s">
        <v>21</v>
      </c>
      <c r="F90" s="30"/>
      <c r="G90" s="33"/>
      <c r="H90" s="30" t="s">
        <v>229</v>
      </c>
      <c r="I90" s="34" t="s">
        <v>23</v>
      </c>
      <c r="J90" s="34" t="s">
        <v>30</v>
      </c>
      <c r="K90" s="30" t="s">
        <v>31</v>
      </c>
      <c r="L90" s="30" t="s">
        <v>328</v>
      </c>
      <c r="M90" s="35"/>
      <c r="N90" s="31"/>
      <c r="O90" s="30" t="s">
        <v>98</v>
      </c>
      <c r="P90" s="30" t="s">
        <v>229</v>
      </c>
      <c r="Q90" s="14" t="b">
        <f t="shared" si="1"/>
        <v>0</v>
      </c>
      <c r="R90" s="15" t="b">
        <f t="shared" si="2"/>
        <v>1</v>
      </c>
      <c r="S90" s="15" t="str">
        <f t="shared" si="3"/>
        <v>PENDING</v>
      </c>
    </row>
    <row r="91" ht="15.75" customHeight="1">
      <c r="A91" s="59" t="s">
        <v>329</v>
      </c>
      <c r="B91" s="60" t="s">
        <v>330</v>
      </c>
      <c r="C91" s="61">
        <v>45769.0</v>
      </c>
      <c r="D91" s="61">
        <v>45769.0</v>
      </c>
      <c r="E91" s="59" t="s">
        <v>21</v>
      </c>
      <c r="F91" s="59">
        <v>120.0</v>
      </c>
      <c r="G91" s="62">
        <v>119.0</v>
      </c>
      <c r="H91" s="59" t="s">
        <v>177</v>
      </c>
      <c r="I91" s="63" t="s">
        <v>23</v>
      </c>
      <c r="J91" s="63" t="s">
        <v>172</v>
      </c>
      <c r="K91" s="63" t="s">
        <v>49</v>
      </c>
      <c r="L91" s="59" t="s">
        <v>331</v>
      </c>
      <c r="M91" s="29" t="s">
        <v>332</v>
      </c>
      <c r="N91" s="25"/>
      <c r="O91" s="63" t="s">
        <v>27</v>
      </c>
      <c r="P91" s="59" t="s">
        <v>177</v>
      </c>
      <c r="Q91" s="14" t="b">
        <f t="shared" si="1"/>
        <v>0</v>
      </c>
      <c r="R91" s="15" t="b">
        <f t="shared" si="2"/>
        <v>0</v>
      </c>
      <c r="S91" s="15" t="str">
        <f t="shared" si="3"/>
        <v>PENDING</v>
      </c>
    </row>
    <row r="92" ht="15.75" customHeight="1">
      <c r="A92" s="39" t="s">
        <v>333</v>
      </c>
      <c r="B92" s="64" t="s">
        <v>334</v>
      </c>
      <c r="C92" s="38">
        <v>45762.0</v>
      </c>
      <c r="D92" s="38">
        <v>45762.0</v>
      </c>
      <c r="E92" s="39" t="s">
        <v>21</v>
      </c>
      <c r="F92" s="39">
        <v>6.0</v>
      </c>
      <c r="G92" s="40">
        <v>128.25</v>
      </c>
      <c r="H92" s="39" t="s">
        <v>229</v>
      </c>
      <c r="I92" s="41" t="s">
        <v>23</v>
      </c>
      <c r="J92" s="41" t="s">
        <v>30</v>
      </c>
      <c r="K92" s="41" t="s">
        <v>25</v>
      </c>
      <c r="L92" s="7"/>
      <c r="M92" s="12"/>
      <c r="N92" s="37"/>
      <c r="O92" s="41" t="s">
        <v>27</v>
      </c>
      <c r="P92" s="39" t="s">
        <v>229</v>
      </c>
      <c r="Q92" s="14" t="b">
        <f t="shared" si="1"/>
        <v>1</v>
      </c>
      <c r="R92" s="15" t="b">
        <f t="shared" si="2"/>
        <v>0</v>
      </c>
      <c r="S92" s="15" t="str">
        <f t="shared" si="3"/>
        <v>APPROVED</v>
      </c>
    </row>
    <row r="93" ht="15.75" customHeight="1">
      <c r="A93" s="7" t="s">
        <v>335</v>
      </c>
      <c r="B93" s="13" t="s">
        <v>336</v>
      </c>
      <c r="C93" s="9">
        <v>45762.0</v>
      </c>
      <c r="D93" s="9">
        <v>45762.0</v>
      </c>
      <c r="E93" s="7" t="s">
        <v>21</v>
      </c>
      <c r="F93" s="7">
        <v>24.0</v>
      </c>
      <c r="G93" s="10">
        <v>128.25</v>
      </c>
      <c r="H93" s="7" t="s">
        <v>229</v>
      </c>
      <c r="I93" s="11" t="s">
        <v>23</v>
      </c>
      <c r="J93" s="11" t="s">
        <v>30</v>
      </c>
      <c r="K93" s="11" t="s">
        <v>25</v>
      </c>
      <c r="L93" s="7"/>
      <c r="M93" s="12"/>
      <c r="N93" s="13"/>
      <c r="O93" s="11" t="s">
        <v>27</v>
      </c>
      <c r="P93" s="7" t="s">
        <v>229</v>
      </c>
      <c r="Q93" s="14" t="b">
        <f t="shared" si="1"/>
        <v>1</v>
      </c>
      <c r="R93" s="15" t="b">
        <f t="shared" si="2"/>
        <v>0</v>
      </c>
      <c r="S93" s="15" t="str">
        <f t="shared" si="3"/>
        <v>APPROVED</v>
      </c>
    </row>
    <row r="94" ht="15.75" customHeight="1">
      <c r="A94" s="7" t="s">
        <v>337</v>
      </c>
      <c r="B94" s="13" t="s">
        <v>338</v>
      </c>
      <c r="C94" s="9">
        <v>45776.0</v>
      </c>
      <c r="D94" s="9">
        <v>45776.0</v>
      </c>
      <c r="E94" s="7" t="s">
        <v>21</v>
      </c>
      <c r="F94" s="7">
        <v>24.0</v>
      </c>
      <c r="G94" s="10">
        <v>135.0</v>
      </c>
      <c r="H94" s="7" t="s">
        <v>254</v>
      </c>
      <c r="I94" s="11" t="s">
        <v>23</v>
      </c>
      <c r="J94" s="11" t="s">
        <v>48</v>
      </c>
      <c r="K94" s="11" t="s">
        <v>25</v>
      </c>
      <c r="L94" s="7" t="s">
        <v>339</v>
      </c>
      <c r="M94" s="12" t="s">
        <v>340</v>
      </c>
      <c r="N94" s="13"/>
      <c r="O94" s="11" t="s">
        <v>27</v>
      </c>
      <c r="P94" s="7" t="s">
        <v>254</v>
      </c>
      <c r="Q94" s="14" t="b">
        <f t="shared" si="1"/>
        <v>1</v>
      </c>
      <c r="R94" s="15" t="b">
        <f t="shared" si="2"/>
        <v>0</v>
      </c>
      <c r="S94" s="15" t="str">
        <f t="shared" si="3"/>
        <v>APPROVED</v>
      </c>
    </row>
    <row r="95" ht="15.75" customHeight="1">
      <c r="A95" s="24" t="s">
        <v>341</v>
      </c>
      <c r="B95" s="25" t="s">
        <v>342</v>
      </c>
      <c r="C95" s="26">
        <v>45771.0</v>
      </c>
      <c r="D95" s="26">
        <v>45771.0</v>
      </c>
      <c r="E95" s="24" t="s">
        <v>21</v>
      </c>
      <c r="F95" s="24">
        <v>24.0</v>
      </c>
      <c r="G95" s="27">
        <v>121.5</v>
      </c>
      <c r="H95" s="24" t="s">
        <v>171</v>
      </c>
      <c r="I95" s="28" t="s">
        <v>23</v>
      </c>
      <c r="J95" s="28" t="s">
        <v>172</v>
      </c>
      <c r="K95" s="28" t="s">
        <v>49</v>
      </c>
      <c r="L95" s="24" t="s">
        <v>343</v>
      </c>
      <c r="M95" s="29" t="s">
        <v>251</v>
      </c>
      <c r="N95" s="25"/>
      <c r="O95" s="28" t="s">
        <v>27</v>
      </c>
      <c r="P95" s="24" t="s">
        <v>171</v>
      </c>
      <c r="Q95" s="14" t="b">
        <f t="shared" si="1"/>
        <v>0</v>
      </c>
      <c r="R95" s="15" t="b">
        <f t="shared" si="2"/>
        <v>0</v>
      </c>
      <c r="S95" s="15" t="str">
        <f t="shared" si="3"/>
        <v>PENDING</v>
      </c>
    </row>
    <row r="96" ht="15.75" customHeight="1">
      <c r="A96" s="7" t="s">
        <v>344</v>
      </c>
      <c r="B96" s="13" t="s">
        <v>345</v>
      </c>
      <c r="C96" s="9">
        <v>45787.0</v>
      </c>
      <c r="D96" s="9">
        <v>45935.0</v>
      </c>
      <c r="E96" s="7" t="s">
        <v>21</v>
      </c>
      <c r="F96" s="7">
        <v>24.0</v>
      </c>
      <c r="G96" s="10">
        <v>121.5</v>
      </c>
      <c r="H96" s="7" t="s">
        <v>171</v>
      </c>
      <c r="I96" s="11" t="s">
        <v>23</v>
      </c>
      <c r="J96" s="11" t="s">
        <v>172</v>
      </c>
      <c r="K96" s="11" t="s">
        <v>25</v>
      </c>
      <c r="L96" s="7" t="s">
        <v>346</v>
      </c>
      <c r="M96" s="12" t="s">
        <v>347</v>
      </c>
      <c r="N96" s="13"/>
      <c r="O96" s="11" t="s">
        <v>27</v>
      </c>
      <c r="P96" s="7" t="s">
        <v>171</v>
      </c>
      <c r="Q96" s="14" t="b">
        <f t="shared" si="1"/>
        <v>1</v>
      </c>
      <c r="R96" s="15" t="b">
        <f t="shared" si="2"/>
        <v>0</v>
      </c>
      <c r="S96" s="15" t="str">
        <f t="shared" si="3"/>
        <v>APPROVED</v>
      </c>
    </row>
    <row r="97" ht="15.75" customHeight="1">
      <c r="A97" s="7" t="s">
        <v>348</v>
      </c>
      <c r="B97" s="13" t="s">
        <v>349</v>
      </c>
      <c r="C97" s="9">
        <v>45776.0</v>
      </c>
      <c r="D97" s="9">
        <v>45776.0</v>
      </c>
      <c r="E97" s="7" t="s">
        <v>21</v>
      </c>
      <c r="F97" s="7">
        <v>24.0</v>
      </c>
      <c r="G97" s="10">
        <v>128.5</v>
      </c>
      <c r="H97" s="7" t="s">
        <v>254</v>
      </c>
      <c r="I97" s="11" t="s">
        <v>23</v>
      </c>
      <c r="J97" s="11" t="s">
        <v>48</v>
      </c>
      <c r="K97" s="11" t="s">
        <v>25</v>
      </c>
      <c r="L97" s="7" t="s">
        <v>350</v>
      </c>
      <c r="M97" s="12" t="s">
        <v>351</v>
      </c>
      <c r="N97" s="13"/>
      <c r="O97" s="11" t="s">
        <v>27</v>
      </c>
      <c r="P97" s="7" t="s">
        <v>254</v>
      </c>
      <c r="Q97" s="14" t="b">
        <f t="shared" si="1"/>
        <v>1</v>
      </c>
      <c r="R97" s="15" t="b">
        <f t="shared" si="2"/>
        <v>0</v>
      </c>
      <c r="S97" s="15" t="str">
        <f t="shared" si="3"/>
        <v>APPROVED</v>
      </c>
    </row>
    <row r="98" ht="15.75" customHeight="1">
      <c r="A98" s="7" t="s">
        <v>352</v>
      </c>
      <c r="B98" s="13" t="s">
        <v>353</v>
      </c>
      <c r="C98" s="9">
        <v>45776.0</v>
      </c>
      <c r="D98" s="9">
        <v>45776.0</v>
      </c>
      <c r="E98" s="7" t="s">
        <v>21</v>
      </c>
      <c r="F98" s="7">
        <v>48.0</v>
      </c>
      <c r="G98" s="10">
        <v>135.0</v>
      </c>
      <c r="H98" s="7" t="s">
        <v>254</v>
      </c>
      <c r="I98" s="11" t="s">
        <v>23</v>
      </c>
      <c r="J98" s="11" t="s">
        <v>48</v>
      </c>
      <c r="K98" s="11" t="s">
        <v>25</v>
      </c>
      <c r="L98" s="7" t="s">
        <v>354</v>
      </c>
      <c r="M98" s="12" t="s">
        <v>355</v>
      </c>
      <c r="N98" s="13"/>
      <c r="O98" s="11" t="s">
        <v>27</v>
      </c>
      <c r="P98" s="7" t="s">
        <v>254</v>
      </c>
      <c r="Q98" s="14" t="b">
        <f t="shared" si="1"/>
        <v>1</v>
      </c>
      <c r="R98" s="15" t="b">
        <f t="shared" si="2"/>
        <v>0</v>
      </c>
      <c r="S98" s="15" t="str">
        <f t="shared" si="3"/>
        <v>APPROVED</v>
      </c>
    </row>
    <row r="99" ht="15.75" customHeight="1">
      <c r="A99" s="7" t="s">
        <v>356</v>
      </c>
      <c r="B99" s="13" t="s">
        <v>357</v>
      </c>
      <c r="C99" s="9">
        <v>45769.0</v>
      </c>
      <c r="D99" s="9">
        <v>45769.0</v>
      </c>
      <c r="E99" s="7" t="s">
        <v>21</v>
      </c>
      <c r="F99" s="7">
        <v>24.0</v>
      </c>
      <c r="G99" s="10">
        <v>135.0</v>
      </c>
      <c r="H99" s="7" t="s">
        <v>137</v>
      </c>
      <c r="I99" s="11" t="s">
        <v>23</v>
      </c>
      <c r="J99" s="11" t="s">
        <v>35</v>
      </c>
      <c r="K99" s="11" t="s">
        <v>25</v>
      </c>
      <c r="L99" s="7" t="s">
        <v>358</v>
      </c>
      <c r="M99" s="12" t="s">
        <v>359</v>
      </c>
      <c r="N99" s="13"/>
      <c r="O99" s="11" t="s">
        <v>27</v>
      </c>
      <c r="P99" s="7" t="s">
        <v>137</v>
      </c>
      <c r="Q99" s="14" t="b">
        <f t="shared" si="1"/>
        <v>1</v>
      </c>
      <c r="R99" s="15" t="b">
        <f t="shared" si="2"/>
        <v>0</v>
      </c>
      <c r="S99" s="15" t="str">
        <f t="shared" si="3"/>
        <v>APPROVED</v>
      </c>
    </row>
    <row r="100" ht="15.75" customHeight="1">
      <c r="A100" s="7" t="s">
        <v>360</v>
      </c>
      <c r="B100" s="8" t="s">
        <v>361</v>
      </c>
      <c r="C100" s="9">
        <v>45775.0</v>
      </c>
      <c r="D100" s="9">
        <v>45775.0</v>
      </c>
      <c r="E100" s="7" t="s">
        <v>21</v>
      </c>
      <c r="F100" s="7">
        <v>24.0</v>
      </c>
      <c r="G100" s="10">
        <v>119.0</v>
      </c>
      <c r="H100" s="7" t="s">
        <v>177</v>
      </c>
      <c r="I100" s="11" t="s">
        <v>23</v>
      </c>
      <c r="J100" s="11" t="s">
        <v>172</v>
      </c>
      <c r="K100" s="11" t="s">
        <v>25</v>
      </c>
      <c r="L100" s="7" t="s">
        <v>362</v>
      </c>
      <c r="M100" s="12" t="s">
        <v>363</v>
      </c>
      <c r="N100" s="13"/>
      <c r="O100" s="11" t="s">
        <v>27</v>
      </c>
      <c r="P100" s="7" t="s">
        <v>177</v>
      </c>
      <c r="Q100" s="14" t="b">
        <f t="shared" si="1"/>
        <v>1</v>
      </c>
      <c r="R100" s="15" t="b">
        <f t="shared" si="2"/>
        <v>0</v>
      </c>
      <c r="S100" s="15" t="str">
        <f t="shared" si="3"/>
        <v>APPROVED</v>
      </c>
    </row>
    <row r="101" ht="15.75" customHeight="1">
      <c r="A101" s="24" t="s">
        <v>364</v>
      </c>
      <c r="B101" s="25" t="s">
        <v>365</v>
      </c>
      <c r="C101" s="26">
        <v>45775.0</v>
      </c>
      <c r="D101" s="26">
        <v>45775.0</v>
      </c>
      <c r="E101" s="24" t="s">
        <v>21</v>
      </c>
      <c r="F101" s="24">
        <v>120.0</v>
      </c>
      <c r="G101" s="27">
        <v>121.5</v>
      </c>
      <c r="H101" s="24" t="s">
        <v>171</v>
      </c>
      <c r="I101" s="28" t="s">
        <v>23</v>
      </c>
      <c r="J101" s="28" t="s">
        <v>172</v>
      </c>
      <c r="K101" s="28" t="s">
        <v>49</v>
      </c>
      <c r="L101" s="24" t="s">
        <v>366</v>
      </c>
      <c r="M101" s="29" t="s">
        <v>367</v>
      </c>
      <c r="N101" s="25"/>
      <c r="O101" s="28" t="s">
        <v>27</v>
      </c>
      <c r="P101" s="24" t="s">
        <v>171</v>
      </c>
      <c r="Q101" s="14" t="b">
        <f t="shared" si="1"/>
        <v>0</v>
      </c>
      <c r="R101" s="15" t="b">
        <f t="shared" si="2"/>
        <v>0</v>
      </c>
      <c r="S101" s="15" t="str">
        <f t="shared" si="3"/>
        <v>PENDING</v>
      </c>
    </row>
    <row r="102" ht="16.5" customHeight="1">
      <c r="A102" s="7" t="s">
        <v>368</v>
      </c>
      <c r="B102" s="13" t="s">
        <v>369</v>
      </c>
      <c r="C102" s="9">
        <v>45775.0</v>
      </c>
      <c r="D102" s="9">
        <v>45775.0</v>
      </c>
      <c r="E102" s="7" t="s">
        <v>21</v>
      </c>
      <c r="F102" s="7">
        <v>48.0</v>
      </c>
      <c r="G102" s="10">
        <v>119.0</v>
      </c>
      <c r="H102" s="7" t="s">
        <v>177</v>
      </c>
      <c r="I102" s="11" t="s">
        <v>23</v>
      </c>
      <c r="J102" s="11" t="s">
        <v>172</v>
      </c>
      <c r="K102" s="11" t="s">
        <v>25</v>
      </c>
      <c r="L102" s="7" t="s">
        <v>370</v>
      </c>
      <c r="M102" s="12" t="s">
        <v>371</v>
      </c>
      <c r="N102" s="13"/>
      <c r="O102" s="11" t="s">
        <v>27</v>
      </c>
      <c r="P102" s="7" t="s">
        <v>177</v>
      </c>
      <c r="Q102" s="14" t="b">
        <f t="shared" si="1"/>
        <v>1</v>
      </c>
      <c r="R102" s="15" t="b">
        <f t="shared" si="2"/>
        <v>0</v>
      </c>
      <c r="S102" s="15" t="str">
        <f t="shared" si="3"/>
        <v>APPROVED</v>
      </c>
    </row>
    <row r="103" ht="15.75" customHeight="1">
      <c r="A103" s="7" t="s">
        <v>372</v>
      </c>
      <c r="B103" s="13" t="s">
        <v>373</v>
      </c>
      <c r="C103" s="9">
        <v>45775.0</v>
      </c>
      <c r="D103" s="9">
        <v>45775.0</v>
      </c>
      <c r="E103" s="7" t="s">
        <v>21</v>
      </c>
      <c r="F103" s="7">
        <v>24.0</v>
      </c>
      <c r="G103" s="10">
        <v>128.25</v>
      </c>
      <c r="H103" s="7" t="s">
        <v>229</v>
      </c>
      <c r="I103" s="11" t="s">
        <v>23</v>
      </c>
      <c r="J103" s="11" t="s">
        <v>172</v>
      </c>
      <c r="K103" s="11" t="s">
        <v>25</v>
      </c>
      <c r="L103" s="7" t="s">
        <v>374</v>
      </c>
      <c r="M103" s="12" t="s">
        <v>375</v>
      </c>
      <c r="N103" s="13" t="s">
        <v>376</v>
      </c>
      <c r="O103" s="11" t="s">
        <v>27</v>
      </c>
      <c r="P103" s="7" t="s">
        <v>229</v>
      </c>
      <c r="Q103" s="14" t="b">
        <f t="shared" si="1"/>
        <v>1</v>
      </c>
      <c r="R103" s="15" t="b">
        <f t="shared" si="2"/>
        <v>0</v>
      </c>
      <c r="S103" s="15" t="str">
        <f t="shared" si="3"/>
        <v>APPROVED</v>
      </c>
    </row>
    <row r="104" ht="15.75" customHeight="1">
      <c r="A104" s="7" t="s">
        <v>377</v>
      </c>
      <c r="B104" s="8" t="s">
        <v>378</v>
      </c>
      <c r="C104" s="9">
        <v>45775.0</v>
      </c>
      <c r="D104" s="9">
        <v>45775.0</v>
      </c>
      <c r="E104" s="7" t="s">
        <v>21</v>
      </c>
      <c r="F104" s="7">
        <v>48.0</v>
      </c>
      <c r="G104" s="10">
        <v>119.0</v>
      </c>
      <c r="H104" s="7" t="s">
        <v>177</v>
      </c>
      <c r="I104" s="11" t="s">
        <v>23</v>
      </c>
      <c r="J104" s="11" t="s">
        <v>172</v>
      </c>
      <c r="K104" s="11" t="s">
        <v>25</v>
      </c>
      <c r="L104" s="7" t="s">
        <v>379</v>
      </c>
      <c r="M104" s="12" t="s">
        <v>367</v>
      </c>
      <c r="N104" s="13"/>
      <c r="O104" s="11" t="s">
        <v>27</v>
      </c>
      <c r="P104" s="7" t="s">
        <v>177</v>
      </c>
      <c r="Q104" s="14" t="b">
        <f t="shared" si="1"/>
        <v>1</v>
      </c>
      <c r="R104" s="15" t="b">
        <f t="shared" si="2"/>
        <v>0</v>
      </c>
      <c r="S104" s="15" t="str">
        <f t="shared" si="3"/>
        <v>APPROVED</v>
      </c>
    </row>
    <row r="105" ht="15.75" customHeight="1">
      <c r="A105" s="7" t="s">
        <v>380</v>
      </c>
      <c r="B105" s="13" t="s">
        <v>381</v>
      </c>
      <c r="C105" s="9">
        <v>45775.0</v>
      </c>
      <c r="D105" s="9">
        <v>45775.0</v>
      </c>
      <c r="E105" s="7" t="s">
        <v>21</v>
      </c>
      <c r="F105" s="7">
        <v>24.0</v>
      </c>
      <c r="G105" s="10">
        <v>119.0</v>
      </c>
      <c r="H105" s="7" t="s">
        <v>177</v>
      </c>
      <c r="I105" s="11" t="s">
        <v>23</v>
      </c>
      <c r="J105" s="11" t="s">
        <v>172</v>
      </c>
      <c r="K105" s="11" t="s">
        <v>25</v>
      </c>
      <c r="L105" s="7" t="s">
        <v>382</v>
      </c>
      <c r="M105" s="12" t="s">
        <v>367</v>
      </c>
      <c r="N105" s="13"/>
      <c r="O105" s="11" t="s">
        <v>27</v>
      </c>
      <c r="P105" s="7" t="s">
        <v>177</v>
      </c>
      <c r="Q105" s="14" t="b">
        <f t="shared" si="1"/>
        <v>1</v>
      </c>
      <c r="R105" s="15" t="b">
        <f t="shared" si="2"/>
        <v>0</v>
      </c>
      <c r="S105" s="15" t="str">
        <f t="shared" si="3"/>
        <v>APPROVED</v>
      </c>
    </row>
    <row r="106" ht="15.75" customHeight="1">
      <c r="A106" s="7" t="s">
        <v>383</v>
      </c>
      <c r="B106" s="13" t="s">
        <v>384</v>
      </c>
      <c r="C106" s="9">
        <v>45776.0</v>
      </c>
      <c r="D106" s="9">
        <v>45776.0</v>
      </c>
      <c r="E106" s="7" t="s">
        <v>21</v>
      </c>
      <c r="F106" s="7">
        <v>24.0</v>
      </c>
      <c r="G106" s="10">
        <v>135.0</v>
      </c>
      <c r="H106" s="7" t="s">
        <v>254</v>
      </c>
      <c r="I106" s="11" t="s">
        <v>23</v>
      </c>
      <c r="J106" s="11" t="s">
        <v>35</v>
      </c>
      <c r="K106" s="11" t="s">
        <v>25</v>
      </c>
      <c r="L106" s="7" t="s">
        <v>385</v>
      </c>
      <c r="M106" s="12"/>
      <c r="N106" s="13"/>
      <c r="O106" s="11" t="s">
        <v>27</v>
      </c>
      <c r="P106" s="7" t="s">
        <v>254</v>
      </c>
      <c r="Q106" s="14" t="b">
        <f t="shared" si="1"/>
        <v>1</v>
      </c>
      <c r="R106" s="15" t="b">
        <f t="shared" si="2"/>
        <v>0</v>
      </c>
      <c r="S106" s="15" t="str">
        <f t="shared" si="3"/>
        <v>APPROVED</v>
      </c>
    </row>
    <row r="107" ht="12.0" customHeight="1">
      <c r="A107" s="7" t="s">
        <v>386</v>
      </c>
      <c r="B107" s="13" t="s">
        <v>387</v>
      </c>
      <c r="C107" s="9">
        <v>45775.0</v>
      </c>
      <c r="D107" s="9">
        <v>45775.0</v>
      </c>
      <c r="E107" s="7" t="s">
        <v>21</v>
      </c>
      <c r="F107" s="7">
        <v>24.0</v>
      </c>
      <c r="G107" s="10">
        <v>128.25</v>
      </c>
      <c r="H107" s="7" t="s">
        <v>229</v>
      </c>
      <c r="I107" s="11" t="s">
        <v>23</v>
      </c>
      <c r="J107" s="11" t="s">
        <v>172</v>
      </c>
      <c r="K107" s="11" t="s">
        <v>25</v>
      </c>
      <c r="L107" s="7" t="s">
        <v>388</v>
      </c>
      <c r="M107" s="12" t="s">
        <v>389</v>
      </c>
      <c r="N107" s="13"/>
      <c r="O107" s="11" t="s">
        <v>27</v>
      </c>
      <c r="P107" s="7" t="s">
        <v>229</v>
      </c>
      <c r="Q107" s="14" t="b">
        <f t="shared" si="1"/>
        <v>1</v>
      </c>
      <c r="R107" s="15" t="b">
        <f t="shared" si="2"/>
        <v>0</v>
      </c>
      <c r="S107" s="15" t="str">
        <f t="shared" si="3"/>
        <v>APPROVED</v>
      </c>
    </row>
    <row r="108" ht="15.75" customHeight="1">
      <c r="A108" s="30" t="s">
        <v>390</v>
      </c>
      <c r="B108" s="31" t="s">
        <v>391</v>
      </c>
      <c r="C108" s="32">
        <v>45776.0</v>
      </c>
      <c r="D108" s="32"/>
      <c r="E108" s="30" t="s">
        <v>21</v>
      </c>
      <c r="F108" s="30"/>
      <c r="G108" s="33"/>
      <c r="H108" s="30" t="s">
        <v>137</v>
      </c>
      <c r="I108" s="34" t="s">
        <v>23</v>
      </c>
      <c r="J108" s="34" t="s">
        <v>30</v>
      </c>
      <c r="K108" s="30" t="s">
        <v>31</v>
      </c>
      <c r="L108" s="30" t="s">
        <v>392</v>
      </c>
      <c r="M108" s="35"/>
      <c r="N108" s="31"/>
      <c r="O108" s="30" t="s">
        <v>98</v>
      </c>
      <c r="P108" s="30" t="s">
        <v>137</v>
      </c>
      <c r="Q108" s="14" t="b">
        <f t="shared" si="1"/>
        <v>0</v>
      </c>
      <c r="R108" s="15" t="b">
        <f t="shared" si="2"/>
        <v>1</v>
      </c>
      <c r="S108" s="15" t="str">
        <f t="shared" si="3"/>
        <v>PENDING</v>
      </c>
    </row>
    <row r="109" ht="15.75" customHeight="1">
      <c r="A109" s="7" t="s">
        <v>393</v>
      </c>
      <c r="B109" s="8" t="s">
        <v>394</v>
      </c>
      <c r="C109" s="9">
        <v>45776.0</v>
      </c>
      <c r="D109" s="9">
        <v>45813.0</v>
      </c>
      <c r="E109" s="7" t="s">
        <v>21</v>
      </c>
      <c r="F109" s="7">
        <v>24.0</v>
      </c>
      <c r="G109" s="10">
        <v>125.0</v>
      </c>
      <c r="H109" s="7" t="s">
        <v>22</v>
      </c>
      <c r="I109" s="11" t="s">
        <v>23</v>
      </c>
      <c r="J109" s="11" t="s">
        <v>35</v>
      </c>
      <c r="K109" s="11" t="s">
        <v>25</v>
      </c>
      <c r="L109" s="7" t="s">
        <v>395</v>
      </c>
      <c r="M109" s="12" t="s">
        <v>396</v>
      </c>
      <c r="N109" s="13"/>
      <c r="O109" s="11" t="s">
        <v>27</v>
      </c>
      <c r="P109" s="7" t="s">
        <v>22</v>
      </c>
      <c r="Q109" s="14" t="b">
        <f t="shared" si="1"/>
        <v>1</v>
      </c>
      <c r="R109" s="15" t="b">
        <f t="shared" si="2"/>
        <v>0</v>
      </c>
      <c r="S109" s="15" t="str">
        <f t="shared" si="3"/>
        <v>APPROVED</v>
      </c>
    </row>
    <row r="110" ht="15.75" customHeight="1">
      <c r="A110" s="7" t="s">
        <v>397</v>
      </c>
      <c r="B110" s="13" t="s">
        <v>398</v>
      </c>
      <c r="C110" s="9">
        <v>45776.0</v>
      </c>
      <c r="D110" s="9">
        <v>45905.0</v>
      </c>
      <c r="E110" s="7" t="s">
        <v>21</v>
      </c>
      <c r="F110" s="7">
        <v>24.0</v>
      </c>
      <c r="G110" s="10">
        <v>121.5</v>
      </c>
      <c r="H110" s="7" t="s">
        <v>229</v>
      </c>
      <c r="I110" s="11" t="s">
        <v>23</v>
      </c>
      <c r="J110" s="11" t="s">
        <v>35</v>
      </c>
      <c r="K110" s="11" t="s">
        <v>25</v>
      </c>
      <c r="L110" s="16" t="s">
        <v>399</v>
      </c>
      <c r="M110" s="12" t="s">
        <v>400</v>
      </c>
      <c r="N110" s="13" t="s">
        <v>401</v>
      </c>
      <c r="O110" s="11" t="s">
        <v>27</v>
      </c>
      <c r="P110" s="7" t="s">
        <v>229</v>
      </c>
      <c r="Q110" s="14" t="b">
        <f t="shared" si="1"/>
        <v>1</v>
      </c>
      <c r="R110" s="15" t="b">
        <f t="shared" si="2"/>
        <v>0</v>
      </c>
      <c r="S110" s="15" t="str">
        <f t="shared" si="3"/>
        <v>APPROVED</v>
      </c>
    </row>
    <row r="111" ht="15.75" customHeight="1">
      <c r="A111" s="7" t="s">
        <v>402</v>
      </c>
      <c r="B111" s="13" t="s">
        <v>403</v>
      </c>
      <c r="C111" s="9">
        <v>45776.0</v>
      </c>
      <c r="D111" s="9">
        <v>45905.0</v>
      </c>
      <c r="E111" s="7" t="s">
        <v>21</v>
      </c>
      <c r="F111" s="7">
        <v>24.0</v>
      </c>
      <c r="G111" s="10">
        <v>128.25</v>
      </c>
      <c r="H111" s="7" t="s">
        <v>229</v>
      </c>
      <c r="I111" s="11" t="s">
        <v>23</v>
      </c>
      <c r="J111" s="11" t="s">
        <v>172</v>
      </c>
      <c r="K111" s="11" t="s">
        <v>25</v>
      </c>
      <c r="L111" s="7" t="s">
        <v>404</v>
      </c>
      <c r="M111" s="12" t="s">
        <v>405</v>
      </c>
      <c r="N111" s="13"/>
      <c r="O111" s="11" t="s">
        <v>27</v>
      </c>
      <c r="P111" s="7" t="s">
        <v>229</v>
      </c>
      <c r="Q111" s="14" t="b">
        <f t="shared" si="1"/>
        <v>1</v>
      </c>
      <c r="R111" s="15" t="b">
        <f t="shared" si="2"/>
        <v>0</v>
      </c>
      <c r="S111" s="15" t="str">
        <f t="shared" si="3"/>
        <v>APPROVED</v>
      </c>
    </row>
    <row r="112" ht="15.75" customHeight="1">
      <c r="A112" s="7" t="s">
        <v>406</v>
      </c>
      <c r="B112" s="13" t="s">
        <v>170</v>
      </c>
      <c r="C112" s="9">
        <v>45782.0</v>
      </c>
      <c r="D112" s="9">
        <v>45905.0</v>
      </c>
      <c r="E112" s="7" t="s">
        <v>21</v>
      </c>
      <c r="F112" s="7">
        <v>120.0</v>
      </c>
      <c r="G112" s="10">
        <v>121.5</v>
      </c>
      <c r="H112" s="7" t="s">
        <v>171</v>
      </c>
      <c r="I112" s="11" t="s">
        <v>23</v>
      </c>
      <c r="J112" s="11" t="s">
        <v>172</v>
      </c>
      <c r="K112" s="11" t="s">
        <v>25</v>
      </c>
      <c r="L112" s="16" t="s">
        <v>407</v>
      </c>
      <c r="M112" s="12" t="s">
        <v>174</v>
      </c>
      <c r="N112" s="13"/>
      <c r="O112" s="11" t="s">
        <v>27</v>
      </c>
      <c r="P112" s="7" t="s">
        <v>171</v>
      </c>
      <c r="Q112" s="14" t="b">
        <f t="shared" si="1"/>
        <v>1</v>
      </c>
      <c r="R112" s="15" t="b">
        <f t="shared" si="2"/>
        <v>0</v>
      </c>
      <c r="S112" s="15" t="str">
        <f t="shared" si="3"/>
        <v>APPROVED</v>
      </c>
    </row>
    <row r="113" ht="15.75" customHeight="1">
      <c r="A113" s="30" t="s">
        <v>408</v>
      </c>
      <c r="B113" s="31" t="s">
        <v>40</v>
      </c>
      <c r="C113" s="32">
        <v>45782.0</v>
      </c>
      <c r="D113" s="32"/>
      <c r="E113" s="30" t="s">
        <v>21</v>
      </c>
      <c r="F113" s="30"/>
      <c r="G113" s="65"/>
      <c r="H113" s="30" t="s">
        <v>22</v>
      </c>
      <c r="I113" s="34" t="s">
        <v>23</v>
      </c>
      <c r="J113" s="34" t="s">
        <v>30</v>
      </c>
      <c r="K113" s="30" t="s">
        <v>31</v>
      </c>
      <c r="L113" s="66" t="s">
        <v>409</v>
      </c>
      <c r="M113" s="35" t="s">
        <v>410</v>
      </c>
      <c r="N113" s="31"/>
      <c r="O113" s="30" t="s">
        <v>98</v>
      </c>
      <c r="P113" s="30" t="s">
        <v>22</v>
      </c>
      <c r="Q113" s="14" t="b">
        <f t="shared" si="1"/>
        <v>0</v>
      </c>
      <c r="R113" s="15" t="b">
        <f t="shared" si="2"/>
        <v>1</v>
      </c>
      <c r="S113" s="15" t="str">
        <f t="shared" si="3"/>
        <v>PENDING</v>
      </c>
    </row>
    <row r="114" ht="15.75" customHeight="1">
      <c r="A114" s="7" t="s">
        <v>411</v>
      </c>
      <c r="B114" s="13" t="s">
        <v>119</v>
      </c>
      <c r="C114" s="9">
        <v>45783.0</v>
      </c>
      <c r="D114" s="9">
        <v>45813.0</v>
      </c>
      <c r="E114" s="7" t="s">
        <v>21</v>
      </c>
      <c r="F114" s="7">
        <v>48.0</v>
      </c>
      <c r="G114" s="10">
        <v>121.84</v>
      </c>
      <c r="H114" s="7" t="s">
        <v>22</v>
      </c>
      <c r="I114" s="11" t="s">
        <v>23</v>
      </c>
      <c r="J114" s="11" t="s">
        <v>48</v>
      </c>
      <c r="K114" s="11" t="s">
        <v>25</v>
      </c>
      <c r="L114" s="16" t="s">
        <v>412</v>
      </c>
      <c r="M114" s="67" t="s">
        <v>413</v>
      </c>
      <c r="N114" s="16"/>
      <c r="O114" s="11" t="s">
        <v>27</v>
      </c>
      <c r="P114" s="7" t="s">
        <v>22</v>
      </c>
      <c r="Q114" s="14" t="b">
        <f t="shared" si="1"/>
        <v>1</v>
      </c>
      <c r="R114" s="15" t="b">
        <f t="shared" si="2"/>
        <v>0</v>
      </c>
      <c r="S114" s="15" t="str">
        <f t="shared" si="3"/>
        <v>APPROVED</v>
      </c>
    </row>
    <row r="115" ht="15.0" customHeight="1">
      <c r="A115" s="7" t="s">
        <v>414</v>
      </c>
      <c r="B115" s="13" t="s">
        <v>40</v>
      </c>
      <c r="C115" s="9">
        <v>45783.0</v>
      </c>
      <c r="D115" s="9"/>
      <c r="E115" s="7" t="s">
        <v>21</v>
      </c>
      <c r="F115" s="7">
        <v>0.0</v>
      </c>
      <c r="G115" s="10">
        <v>0.0</v>
      </c>
      <c r="H115" s="7" t="s">
        <v>22</v>
      </c>
      <c r="I115" s="11" t="s">
        <v>23</v>
      </c>
      <c r="J115" s="11" t="s">
        <v>30</v>
      </c>
      <c r="K115" s="7" t="s">
        <v>31</v>
      </c>
      <c r="L115" s="16" t="s">
        <v>415</v>
      </c>
      <c r="M115" s="12" t="s">
        <v>416</v>
      </c>
      <c r="N115" s="13"/>
      <c r="O115" s="68" t="s">
        <v>417</v>
      </c>
      <c r="P115" s="7" t="s">
        <v>22</v>
      </c>
      <c r="Q115" s="14" t="b">
        <f t="shared" si="1"/>
        <v>0</v>
      </c>
      <c r="R115" s="15" t="b">
        <f t="shared" si="2"/>
        <v>0</v>
      </c>
      <c r="S115" s="15" t="str">
        <f t="shared" si="3"/>
        <v>PENDING</v>
      </c>
    </row>
    <row r="116" ht="16.5" customHeight="1">
      <c r="A116" s="7" t="s">
        <v>418</v>
      </c>
      <c r="B116" s="13" t="s">
        <v>419</v>
      </c>
      <c r="C116" s="9">
        <v>45785.0</v>
      </c>
      <c r="D116" s="9">
        <v>45935.0</v>
      </c>
      <c r="E116" s="7" t="s">
        <v>21</v>
      </c>
      <c r="F116" s="7">
        <v>240.0</v>
      </c>
      <c r="G116" s="10">
        <v>95.0</v>
      </c>
      <c r="H116" s="7" t="s">
        <v>22</v>
      </c>
      <c r="I116" s="11" t="s">
        <v>23</v>
      </c>
      <c r="J116" s="11" t="s">
        <v>30</v>
      </c>
      <c r="K116" s="11" t="s">
        <v>25</v>
      </c>
      <c r="L116" s="16" t="s">
        <v>420</v>
      </c>
      <c r="M116" s="12"/>
      <c r="N116" s="13"/>
      <c r="O116" s="11" t="s">
        <v>27</v>
      </c>
      <c r="P116" s="7" t="s">
        <v>22</v>
      </c>
      <c r="Q116" s="14" t="b">
        <f t="shared" si="1"/>
        <v>1</v>
      </c>
      <c r="R116" s="15" t="b">
        <f t="shared" si="2"/>
        <v>0</v>
      </c>
      <c r="S116" s="15" t="str">
        <f t="shared" si="3"/>
        <v>APPROVED</v>
      </c>
    </row>
    <row r="117" ht="15.0" customHeight="1">
      <c r="A117" s="7" t="s">
        <v>421</v>
      </c>
      <c r="B117" s="13" t="s">
        <v>422</v>
      </c>
      <c r="C117" s="9">
        <v>45786.0</v>
      </c>
      <c r="D117" s="9">
        <v>45935.0</v>
      </c>
      <c r="E117" s="7" t="s">
        <v>21</v>
      </c>
      <c r="F117" s="7">
        <v>24.0</v>
      </c>
      <c r="G117" s="10">
        <v>121.5</v>
      </c>
      <c r="H117" s="7" t="s">
        <v>171</v>
      </c>
      <c r="I117" s="11" t="s">
        <v>23</v>
      </c>
      <c r="J117" s="11" t="s">
        <v>172</v>
      </c>
      <c r="K117" s="11" t="s">
        <v>25</v>
      </c>
      <c r="L117" s="16" t="s">
        <v>423</v>
      </c>
      <c r="M117" s="12" t="s">
        <v>424</v>
      </c>
      <c r="N117" s="13"/>
      <c r="O117" s="11" t="s">
        <v>27</v>
      </c>
      <c r="P117" s="7" t="s">
        <v>171</v>
      </c>
      <c r="Q117" s="14" t="b">
        <f t="shared" si="1"/>
        <v>1</v>
      </c>
      <c r="R117" s="15" t="b">
        <f t="shared" si="2"/>
        <v>0</v>
      </c>
      <c r="S117" s="15" t="str">
        <f t="shared" si="3"/>
        <v>APPROVED</v>
      </c>
    </row>
    <row r="118" ht="15.75" customHeight="1">
      <c r="A118" s="7" t="s">
        <v>425</v>
      </c>
      <c r="B118" s="13" t="s">
        <v>426</v>
      </c>
      <c r="C118" s="9">
        <v>45786.0</v>
      </c>
      <c r="D118" s="9">
        <v>45935.0</v>
      </c>
      <c r="E118" s="7" t="s">
        <v>21</v>
      </c>
      <c r="F118" s="7">
        <v>24.0</v>
      </c>
      <c r="G118" s="10">
        <v>121.5</v>
      </c>
      <c r="H118" s="7" t="s">
        <v>171</v>
      </c>
      <c r="I118" s="11" t="s">
        <v>23</v>
      </c>
      <c r="J118" s="11" t="s">
        <v>172</v>
      </c>
      <c r="K118" s="11" t="s">
        <v>25</v>
      </c>
      <c r="L118" s="16" t="s">
        <v>427</v>
      </c>
      <c r="M118" s="12" t="s">
        <v>428</v>
      </c>
      <c r="N118" s="13"/>
      <c r="O118" s="11" t="s">
        <v>27</v>
      </c>
      <c r="P118" s="7" t="s">
        <v>171</v>
      </c>
      <c r="Q118" s="14" t="b">
        <f t="shared" si="1"/>
        <v>1</v>
      </c>
      <c r="R118" s="15" t="b">
        <f t="shared" si="2"/>
        <v>0</v>
      </c>
      <c r="S118" s="15" t="str">
        <f t="shared" si="3"/>
        <v>APPROVED</v>
      </c>
    </row>
    <row r="119" ht="15.75" customHeight="1">
      <c r="A119" s="30" t="s">
        <v>429</v>
      </c>
      <c r="B119" s="31" t="s">
        <v>430</v>
      </c>
      <c r="C119" s="32">
        <v>45786.0</v>
      </c>
      <c r="D119" s="32">
        <v>45935.0</v>
      </c>
      <c r="E119" s="30" t="s">
        <v>21</v>
      </c>
      <c r="F119" s="30"/>
      <c r="G119" s="33"/>
      <c r="H119" s="30" t="s">
        <v>171</v>
      </c>
      <c r="I119" s="34" t="s">
        <v>23</v>
      </c>
      <c r="J119" s="34" t="s">
        <v>172</v>
      </c>
      <c r="K119" s="34" t="s">
        <v>49</v>
      </c>
      <c r="L119" s="66" t="s">
        <v>431</v>
      </c>
      <c r="M119" s="69" t="s">
        <v>432</v>
      </c>
      <c r="N119" s="70"/>
      <c r="O119" s="30" t="s">
        <v>98</v>
      </c>
      <c r="P119" s="30" t="s">
        <v>171</v>
      </c>
      <c r="Q119" s="14" t="b">
        <f t="shared" si="1"/>
        <v>0</v>
      </c>
      <c r="R119" s="15" t="b">
        <f t="shared" si="2"/>
        <v>1</v>
      </c>
      <c r="S119" s="15" t="str">
        <f t="shared" si="3"/>
        <v>PENDING</v>
      </c>
    </row>
    <row r="120" ht="15.75" customHeight="1">
      <c r="A120" s="66" t="s">
        <v>433</v>
      </c>
      <c r="B120" s="71" t="s">
        <v>434</v>
      </c>
      <c r="C120" s="32">
        <v>45786.0</v>
      </c>
      <c r="D120" s="32">
        <v>45935.0</v>
      </c>
      <c r="E120" s="30" t="s">
        <v>21</v>
      </c>
      <c r="F120" s="30"/>
      <c r="G120" s="33"/>
      <c r="H120" s="30" t="s">
        <v>171</v>
      </c>
      <c r="I120" s="34" t="s">
        <v>23</v>
      </c>
      <c r="J120" s="34" t="s">
        <v>172</v>
      </c>
      <c r="K120" s="34" t="s">
        <v>49</v>
      </c>
      <c r="L120" s="66" t="s">
        <v>435</v>
      </c>
      <c r="M120" s="69" t="s">
        <v>432</v>
      </c>
      <c r="N120" s="70"/>
      <c r="O120" s="30" t="s">
        <v>98</v>
      </c>
      <c r="P120" s="30" t="s">
        <v>171</v>
      </c>
      <c r="Q120" s="14" t="b">
        <f t="shared" si="1"/>
        <v>0</v>
      </c>
      <c r="R120" s="15" t="b">
        <f t="shared" si="2"/>
        <v>1</v>
      </c>
      <c r="S120" s="15" t="str">
        <f t="shared" si="3"/>
        <v>PENDING</v>
      </c>
    </row>
    <row r="121" ht="15.75" customHeight="1">
      <c r="A121" s="7" t="s">
        <v>436</v>
      </c>
      <c r="B121" s="13" t="s">
        <v>134</v>
      </c>
      <c r="C121" s="72">
        <v>45790.0</v>
      </c>
      <c r="D121" s="72">
        <v>45790.0</v>
      </c>
      <c r="E121" s="7" t="s">
        <v>21</v>
      </c>
      <c r="F121" s="7">
        <v>24.0</v>
      </c>
      <c r="G121" s="10">
        <v>121.0</v>
      </c>
      <c r="H121" s="7" t="s">
        <v>177</v>
      </c>
      <c r="I121" s="11" t="s">
        <v>23</v>
      </c>
      <c r="J121" s="11" t="s">
        <v>30</v>
      </c>
      <c r="K121" s="11" t="s">
        <v>25</v>
      </c>
      <c r="L121" s="16" t="s">
        <v>437</v>
      </c>
      <c r="M121" s="49" t="s">
        <v>432</v>
      </c>
      <c r="N121" s="73"/>
      <c r="O121" s="11" t="s">
        <v>27</v>
      </c>
      <c r="P121" s="7" t="s">
        <v>177</v>
      </c>
      <c r="Q121" s="14" t="b">
        <f t="shared" si="1"/>
        <v>1</v>
      </c>
      <c r="R121" s="15" t="b">
        <f t="shared" si="2"/>
        <v>0</v>
      </c>
      <c r="S121" s="15" t="str">
        <f t="shared" si="3"/>
        <v>APPROVED</v>
      </c>
    </row>
    <row r="122" ht="15.75" customHeight="1">
      <c r="A122" s="39" t="s">
        <v>438</v>
      </c>
      <c r="B122" s="74" t="s">
        <v>79</v>
      </c>
      <c r="C122" s="75">
        <v>45790.0</v>
      </c>
      <c r="D122" s="38">
        <v>45790.0</v>
      </c>
      <c r="E122" s="39" t="s">
        <v>21</v>
      </c>
      <c r="F122" s="39">
        <v>24.0</v>
      </c>
      <c r="G122" s="40">
        <v>121.0</v>
      </c>
      <c r="H122" s="39" t="s">
        <v>177</v>
      </c>
      <c r="I122" s="41" t="s">
        <v>23</v>
      </c>
      <c r="J122" s="41" t="s">
        <v>35</v>
      </c>
      <c r="K122" s="41" t="s">
        <v>25</v>
      </c>
      <c r="L122" s="76" t="s">
        <v>439</v>
      </c>
      <c r="M122" s="49" t="s">
        <v>440</v>
      </c>
      <c r="N122" s="77"/>
      <c r="O122" s="41" t="s">
        <v>27</v>
      </c>
      <c r="P122" s="39" t="s">
        <v>177</v>
      </c>
      <c r="Q122" s="14" t="b">
        <f t="shared" si="1"/>
        <v>1</v>
      </c>
      <c r="R122" s="15" t="b">
        <f t="shared" si="2"/>
        <v>0</v>
      </c>
      <c r="S122" s="15" t="str">
        <f t="shared" si="3"/>
        <v>APPROVED</v>
      </c>
    </row>
    <row r="123" ht="15.75" customHeight="1">
      <c r="A123" s="39" t="s">
        <v>441</v>
      </c>
      <c r="B123" s="37" t="s">
        <v>83</v>
      </c>
      <c r="C123" s="38">
        <v>45790.0</v>
      </c>
      <c r="D123" s="38">
        <v>45790.0</v>
      </c>
      <c r="E123" s="39" t="s">
        <v>21</v>
      </c>
      <c r="F123" s="39">
        <v>24.0</v>
      </c>
      <c r="G123" s="40">
        <v>121.0</v>
      </c>
      <c r="H123" s="39" t="s">
        <v>177</v>
      </c>
      <c r="I123" s="41" t="s">
        <v>23</v>
      </c>
      <c r="J123" s="41" t="s">
        <v>35</v>
      </c>
      <c r="K123" s="41" t="s">
        <v>25</v>
      </c>
      <c r="L123" s="76" t="s">
        <v>442</v>
      </c>
      <c r="M123" s="49" t="s">
        <v>443</v>
      </c>
      <c r="N123" s="77"/>
      <c r="O123" s="41" t="s">
        <v>27</v>
      </c>
      <c r="P123" s="39" t="s">
        <v>177</v>
      </c>
      <c r="Q123" s="14" t="b">
        <f t="shared" si="1"/>
        <v>1</v>
      </c>
      <c r="R123" s="15" t="b">
        <f t="shared" si="2"/>
        <v>0</v>
      </c>
      <c r="S123" s="15" t="str">
        <f t="shared" si="3"/>
        <v>APPROVED</v>
      </c>
    </row>
    <row r="124" ht="15.75" customHeight="1">
      <c r="A124" s="7" t="s">
        <v>444</v>
      </c>
      <c r="B124" s="13" t="s">
        <v>113</v>
      </c>
      <c r="C124" s="9">
        <v>45790.0</v>
      </c>
      <c r="D124" s="9">
        <v>45790.0</v>
      </c>
      <c r="E124" s="7" t="s">
        <v>21</v>
      </c>
      <c r="F124" s="7">
        <v>24.0</v>
      </c>
      <c r="G124" s="10">
        <v>121.0</v>
      </c>
      <c r="H124" s="7" t="s">
        <v>177</v>
      </c>
      <c r="I124" s="11" t="s">
        <v>23</v>
      </c>
      <c r="J124" s="11" t="s">
        <v>35</v>
      </c>
      <c r="K124" s="11" t="s">
        <v>25</v>
      </c>
      <c r="L124" s="16" t="s">
        <v>445</v>
      </c>
      <c r="M124" s="49" t="s">
        <v>446</v>
      </c>
      <c r="N124" s="73"/>
      <c r="O124" s="11" t="s">
        <v>27</v>
      </c>
      <c r="P124" s="7" t="s">
        <v>177</v>
      </c>
      <c r="Q124" s="14" t="b">
        <f t="shared" si="1"/>
        <v>1</v>
      </c>
      <c r="R124" s="15" t="b">
        <f t="shared" si="2"/>
        <v>0</v>
      </c>
      <c r="S124" s="15" t="str">
        <f t="shared" si="3"/>
        <v>APPROVED</v>
      </c>
    </row>
    <row r="125" ht="15.75" customHeight="1">
      <c r="A125" s="7" t="s">
        <v>447</v>
      </c>
      <c r="B125" s="8" t="s">
        <v>73</v>
      </c>
      <c r="C125" s="9">
        <v>45790.0</v>
      </c>
      <c r="D125" s="9">
        <v>45790.0</v>
      </c>
      <c r="E125" s="7" t="s">
        <v>21</v>
      </c>
      <c r="F125" s="7">
        <v>48.0</v>
      </c>
      <c r="G125" s="10">
        <v>119.0</v>
      </c>
      <c r="H125" s="7" t="s">
        <v>177</v>
      </c>
      <c r="I125" s="11" t="s">
        <v>23</v>
      </c>
      <c r="J125" s="11" t="s">
        <v>172</v>
      </c>
      <c r="K125" s="11" t="s">
        <v>25</v>
      </c>
      <c r="L125" s="16" t="s">
        <v>448</v>
      </c>
      <c r="M125" s="49" t="s">
        <v>449</v>
      </c>
      <c r="N125" s="73"/>
      <c r="O125" s="11" t="s">
        <v>27</v>
      </c>
      <c r="P125" s="7" t="s">
        <v>177</v>
      </c>
      <c r="Q125" s="14" t="b">
        <f t="shared" si="1"/>
        <v>1</v>
      </c>
      <c r="R125" s="15" t="b">
        <f t="shared" si="2"/>
        <v>0</v>
      </c>
      <c r="S125" s="15" t="str">
        <f t="shared" si="3"/>
        <v>APPROVED</v>
      </c>
    </row>
    <row r="126" ht="15.75" customHeight="1">
      <c r="A126" s="7" t="s">
        <v>450</v>
      </c>
      <c r="B126" s="13" t="s">
        <v>109</v>
      </c>
      <c r="C126" s="9">
        <v>45790.0</v>
      </c>
      <c r="D126" s="9">
        <v>45790.0</v>
      </c>
      <c r="E126" s="7" t="s">
        <v>21</v>
      </c>
      <c r="F126" s="7">
        <v>48.0</v>
      </c>
      <c r="G126" s="10">
        <v>119.0</v>
      </c>
      <c r="H126" s="7" t="s">
        <v>177</v>
      </c>
      <c r="I126" s="11" t="s">
        <v>23</v>
      </c>
      <c r="J126" s="11" t="s">
        <v>172</v>
      </c>
      <c r="K126" s="11" t="s">
        <v>25</v>
      </c>
      <c r="L126" s="16" t="s">
        <v>451</v>
      </c>
      <c r="M126" s="12" t="s">
        <v>452</v>
      </c>
      <c r="N126" s="13"/>
      <c r="O126" s="11" t="s">
        <v>27</v>
      </c>
      <c r="P126" s="7" t="s">
        <v>177</v>
      </c>
      <c r="Q126" s="14" t="b">
        <f t="shared" si="1"/>
        <v>1</v>
      </c>
      <c r="R126" s="15" t="b">
        <f t="shared" si="2"/>
        <v>0</v>
      </c>
      <c r="S126" s="15" t="str">
        <f t="shared" si="3"/>
        <v>APPROVED</v>
      </c>
    </row>
    <row r="127" ht="15.75" customHeight="1">
      <c r="A127" s="7" t="s">
        <v>453</v>
      </c>
      <c r="B127" s="8" t="s">
        <v>222</v>
      </c>
      <c r="C127" s="9">
        <v>45791.0</v>
      </c>
      <c r="D127" s="9"/>
      <c r="E127" s="7" t="s">
        <v>21</v>
      </c>
      <c r="F127" s="7">
        <v>12.0</v>
      </c>
      <c r="G127" s="10"/>
      <c r="H127" s="7" t="s">
        <v>177</v>
      </c>
      <c r="I127" s="11" t="s">
        <v>23</v>
      </c>
      <c r="J127" s="11" t="s">
        <v>30</v>
      </c>
      <c r="K127" s="7" t="s">
        <v>31</v>
      </c>
      <c r="L127" s="16"/>
      <c r="M127" s="12" t="s">
        <v>32</v>
      </c>
      <c r="N127" s="13"/>
      <c r="O127" s="11" t="s">
        <v>27</v>
      </c>
      <c r="P127" s="7" t="s">
        <v>177</v>
      </c>
      <c r="Q127" s="14" t="b">
        <f t="shared" si="1"/>
        <v>0</v>
      </c>
      <c r="R127" s="15" t="b">
        <f t="shared" si="2"/>
        <v>0</v>
      </c>
      <c r="S127" s="15" t="str">
        <f t="shared" si="3"/>
        <v>PENDING</v>
      </c>
    </row>
    <row r="128" ht="15.75" customHeight="1">
      <c r="A128" s="7" t="s">
        <v>454</v>
      </c>
      <c r="B128" s="8" t="s">
        <v>455</v>
      </c>
      <c r="C128" s="9">
        <v>45787.0</v>
      </c>
      <c r="D128" s="9"/>
      <c r="E128" s="7" t="s">
        <v>21</v>
      </c>
      <c r="F128" s="7">
        <v>21.0</v>
      </c>
      <c r="G128" s="10"/>
      <c r="H128" s="7" t="s">
        <v>177</v>
      </c>
      <c r="I128" s="11" t="s">
        <v>23</v>
      </c>
      <c r="J128" s="11" t="s">
        <v>30</v>
      </c>
      <c r="K128" s="7" t="s">
        <v>31</v>
      </c>
      <c r="L128" s="16"/>
      <c r="M128" s="12" t="s">
        <v>32</v>
      </c>
      <c r="N128" s="8" t="s">
        <v>32</v>
      </c>
      <c r="O128" s="11" t="s">
        <v>27</v>
      </c>
      <c r="P128" s="7" t="s">
        <v>177</v>
      </c>
      <c r="Q128" s="14" t="b">
        <f t="shared" si="1"/>
        <v>0</v>
      </c>
      <c r="R128" s="15" t="b">
        <f t="shared" si="2"/>
        <v>0</v>
      </c>
      <c r="S128" s="15" t="str">
        <f t="shared" si="3"/>
        <v>PENDING</v>
      </c>
    </row>
    <row r="129" ht="15.75" customHeight="1">
      <c r="A129" s="7" t="s">
        <v>456</v>
      </c>
      <c r="B129" s="13" t="s">
        <v>457</v>
      </c>
      <c r="C129" s="78">
        <v>45792.0</v>
      </c>
      <c r="D129" s="79">
        <v>45791.0</v>
      </c>
      <c r="E129" s="7" t="s">
        <v>21</v>
      </c>
      <c r="F129" s="7">
        <v>24.0</v>
      </c>
      <c r="G129" s="10">
        <v>119.0</v>
      </c>
      <c r="H129" s="7" t="s">
        <v>177</v>
      </c>
      <c r="I129" s="11" t="s">
        <v>23</v>
      </c>
      <c r="J129" s="11" t="s">
        <v>172</v>
      </c>
      <c r="K129" s="11" t="s">
        <v>25</v>
      </c>
      <c r="L129" s="16" t="s">
        <v>458</v>
      </c>
      <c r="M129" s="12" t="s">
        <v>459</v>
      </c>
      <c r="N129" s="13"/>
      <c r="O129" s="11" t="s">
        <v>27</v>
      </c>
      <c r="P129" s="7" t="s">
        <v>177</v>
      </c>
      <c r="Q129" s="14" t="b">
        <f t="shared" si="1"/>
        <v>1</v>
      </c>
      <c r="R129" s="15" t="b">
        <f t="shared" si="2"/>
        <v>0</v>
      </c>
      <c r="S129" s="15" t="str">
        <f t="shared" si="3"/>
        <v>APPROVED</v>
      </c>
    </row>
    <row r="130" ht="15.75" customHeight="1">
      <c r="A130" s="7" t="s">
        <v>460</v>
      </c>
      <c r="B130" s="8" t="s">
        <v>461</v>
      </c>
      <c r="C130" s="9">
        <v>45791.0</v>
      </c>
      <c r="D130" s="79">
        <v>45791.0</v>
      </c>
      <c r="E130" s="7" t="s">
        <v>21</v>
      </c>
      <c r="F130" s="7">
        <v>24.0</v>
      </c>
      <c r="G130" s="10">
        <v>119.0</v>
      </c>
      <c r="H130" s="7" t="s">
        <v>177</v>
      </c>
      <c r="I130" s="11" t="s">
        <v>23</v>
      </c>
      <c r="J130" s="11" t="s">
        <v>172</v>
      </c>
      <c r="K130" s="11" t="s">
        <v>25</v>
      </c>
      <c r="L130" s="16" t="s">
        <v>462</v>
      </c>
      <c r="M130" s="12" t="s">
        <v>463</v>
      </c>
      <c r="N130" s="13"/>
      <c r="O130" s="11" t="s">
        <v>27</v>
      </c>
      <c r="P130" s="7" t="s">
        <v>177</v>
      </c>
      <c r="Q130" s="14" t="b">
        <f t="shared" si="1"/>
        <v>1</v>
      </c>
      <c r="R130" s="15" t="b">
        <f t="shared" si="2"/>
        <v>0</v>
      </c>
      <c r="S130" s="15" t="str">
        <f t="shared" si="3"/>
        <v>APPROVED</v>
      </c>
    </row>
    <row r="131" ht="15.75" customHeight="1">
      <c r="A131" s="7" t="s">
        <v>464</v>
      </c>
      <c r="B131" s="13" t="s">
        <v>465</v>
      </c>
      <c r="C131" s="9">
        <v>45791.0</v>
      </c>
      <c r="D131" s="9">
        <v>45791.0</v>
      </c>
      <c r="E131" s="7" t="s">
        <v>21</v>
      </c>
      <c r="F131" s="7">
        <v>24.0</v>
      </c>
      <c r="G131" s="10">
        <v>121.0</v>
      </c>
      <c r="H131" s="7" t="s">
        <v>177</v>
      </c>
      <c r="I131" s="11" t="s">
        <v>23</v>
      </c>
      <c r="J131" s="11" t="s">
        <v>35</v>
      </c>
      <c r="K131" s="11" t="s">
        <v>25</v>
      </c>
      <c r="L131" s="16" t="s">
        <v>466</v>
      </c>
      <c r="M131" s="49" t="s">
        <v>467</v>
      </c>
      <c r="N131" s="13"/>
      <c r="O131" s="11" t="s">
        <v>27</v>
      </c>
      <c r="P131" s="7" t="s">
        <v>177</v>
      </c>
      <c r="Q131" s="14" t="b">
        <f t="shared" si="1"/>
        <v>1</v>
      </c>
      <c r="R131" s="15" t="b">
        <f t="shared" si="2"/>
        <v>0</v>
      </c>
      <c r="S131" s="15" t="str">
        <f t="shared" si="3"/>
        <v>APPROVED</v>
      </c>
    </row>
    <row r="132" ht="18.0" customHeight="1">
      <c r="A132" s="7" t="s">
        <v>468</v>
      </c>
      <c r="B132" s="13" t="s">
        <v>469</v>
      </c>
      <c r="C132" s="9">
        <v>45791.0</v>
      </c>
      <c r="D132" s="9">
        <v>45791.0</v>
      </c>
      <c r="E132" s="7" t="s">
        <v>21</v>
      </c>
      <c r="F132" s="7">
        <v>24.0</v>
      </c>
      <c r="G132" s="10">
        <v>121.0</v>
      </c>
      <c r="H132" s="7" t="s">
        <v>177</v>
      </c>
      <c r="I132" s="11" t="s">
        <v>23</v>
      </c>
      <c r="J132" s="11" t="s">
        <v>35</v>
      </c>
      <c r="K132" s="11" t="s">
        <v>25</v>
      </c>
      <c r="L132" s="16" t="s">
        <v>470</v>
      </c>
      <c r="M132" s="12" t="s">
        <v>471</v>
      </c>
      <c r="N132" s="13"/>
      <c r="O132" s="11" t="s">
        <v>27</v>
      </c>
      <c r="P132" s="7" t="s">
        <v>177</v>
      </c>
      <c r="Q132" s="14" t="b">
        <f t="shared" si="1"/>
        <v>1</v>
      </c>
      <c r="R132" s="15" t="b">
        <f t="shared" si="2"/>
        <v>0</v>
      </c>
      <c r="S132" s="15" t="str">
        <f t="shared" si="3"/>
        <v>APPROVED</v>
      </c>
    </row>
    <row r="133" ht="15.75" customHeight="1">
      <c r="A133" s="7" t="s">
        <v>472</v>
      </c>
      <c r="B133" s="13" t="s">
        <v>473</v>
      </c>
      <c r="C133" s="9">
        <v>45791.0</v>
      </c>
      <c r="D133" s="9">
        <v>45791.0</v>
      </c>
      <c r="E133" s="7" t="s">
        <v>21</v>
      </c>
      <c r="F133" s="7">
        <v>24.0</v>
      </c>
      <c r="G133" s="80">
        <v>119.0</v>
      </c>
      <c r="H133" s="7" t="s">
        <v>177</v>
      </c>
      <c r="I133" s="81" t="s">
        <v>23</v>
      </c>
      <c r="J133" s="11" t="s">
        <v>172</v>
      </c>
      <c r="K133" s="11" t="s">
        <v>25</v>
      </c>
      <c r="L133" s="82" t="s">
        <v>474</v>
      </c>
      <c r="M133" s="49" t="s">
        <v>475</v>
      </c>
      <c r="N133" s="73"/>
      <c r="O133" s="81" t="s">
        <v>27</v>
      </c>
      <c r="P133" s="7" t="s">
        <v>177</v>
      </c>
      <c r="Q133" s="14" t="b">
        <f t="shared" si="1"/>
        <v>1</v>
      </c>
      <c r="R133" s="15" t="b">
        <f t="shared" si="2"/>
        <v>0</v>
      </c>
      <c r="S133" s="15" t="str">
        <f t="shared" si="3"/>
        <v>APPROVED</v>
      </c>
    </row>
    <row r="134" ht="18.0" customHeight="1">
      <c r="A134" s="7" t="s">
        <v>476</v>
      </c>
      <c r="B134" s="73" t="s">
        <v>477</v>
      </c>
      <c r="C134" s="78">
        <v>45793.0</v>
      </c>
      <c r="D134" s="78">
        <v>45793.0</v>
      </c>
      <c r="E134" s="7" t="s">
        <v>21</v>
      </c>
      <c r="F134" s="83">
        <v>48.0</v>
      </c>
      <c r="G134" s="80">
        <v>119.0</v>
      </c>
      <c r="H134" s="84" t="s">
        <v>177</v>
      </c>
      <c r="I134" s="81" t="s">
        <v>23</v>
      </c>
      <c r="J134" s="81" t="s">
        <v>172</v>
      </c>
      <c r="K134" s="81" t="s">
        <v>25</v>
      </c>
      <c r="L134" s="82" t="s">
        <v>478</v>
      </c>
      <c r="M134" s="49" t="s">
        <v>479</v>
      </c>
      <c r="N134" s="73"/>
      <c r="O134" s="81" t="s">
        <v>27</v>
      </c>
      <c r="P134" s="84" t="s">
        <v>177</v>
      </c>
      <c r="Q134" s="14" t="b">
        <f t="shared" si="1"/>
        <v>1</v>
      </c>
      <c r="R134" s="15" t="b">
        <f t="shared" si="2"/>
        <v>0</v>
      </c>
      <c r="S134" s="15" t="str">
        <f t="shared" si="3"/>
        <v>APPROVED</v>
      </c>
    </row>
    <row r="135" ht="15.75" customHeight="1">
      <c r="A135" s="30" t="s">
        <v>480</v>
      </c>
      <c r="B135" s="85" t="s">
        <v>481</v>
      </c>
      <c r="C135" s="86">
        <v>45793.0</v>
      </c>
      <c r="D135" s="86">
        <v>45793.0</v>
      </c>
      <c r="E135" s="30" t="s">
        <v>21</v>
      </c>
      <c r="F135" s="87"/>
      <c r="G135" s="88"/>
      <c r="H135" s="89" t="s">
        <v>177</v>
      </c>
      <c r="I135" s="90" t="s">
        <v>23</v>
      </c>
      <c r="J135" s="90" t="s">
        <v>172</v>
      </c>
      <c r="K135" s="90" t="s">
        <v>482</v>
      </c>
      <c r="L135" s="91" t="s">
        <v>483</v>
      </c>
      <c r="M135" s="69"/>
      <c r="N135" s="70" t="s">
        <v>484</v>
      </c>
      <c r="O135" s="87" t="s">
        <v>98</v>
      </c>
      <c r="P135" s="89" t="s">
        <v>177</v>
      </c>
      <c r="Q135" s="14" t="b">
        <f t="shared" si="1"/>
        <v>0</v>
      </c>
      <c r="R135" s="15" t="b">
        <f t="shared" si="2"/>
        <v>1</v>
      </c>
      <c r="S135" s="15" t="str">
        <f t="shared" si="3"/>
        <v>PENDING</v>
      </c>
    </row>
    <row r="136" ht="15.75" customHeight="1">
      <c r="A136" s="7" t="s">
        <v>485</v>
      </c>
      <c r="B136" s="73" t="s">
        <v>486</v>
      </c>
      <c r="C136" s="78">
        <v>45793.0</v>
      </c>
      <c r="D136" s="78">
        <v>45793.0</v>
      </c>
      <c r="E136" s="7" t="s">
        <v>21</v>
      </c>
      <c r="F136" s="83">
        <v>24.0</v>
      </c>
      <c r="G136" s="80">
        <v>119.0</v>
      </c>
      <c r="H136" s="84" t="s">
        <v>177</v>
      </c>
      <c r="I136" s="81" t="s">
        <v>23</v>
      </c>
      <c r="J136" s="81" t="s">
        <v>172</v>
      </c>
      <c r="K136" s="81" t="s">
        <v>25</v>
      </c>
      <c r="L136" s="82" t="s">
        <v>487</v>
      </c>
      <c r="M136" s="49" t="s">
        <v>488</v>
      </c>
      <c r="N136" s="73"/>
      <c r="O136" s="81" t="s">
        <v>27</v>
      </c>
      <c r="P136" s="84" t="s">
        <v>177</v>
      </c>
      <c r="Q136" s="14" t="b">
        <f t="shared" si="1"/>
        <v>1</v>
      </c>
      <c r="R136" s="15" t="b">
        <f t="shared" si="2"/>
        <v>0</v>
      </c>
      <c r="S136" s="15" t="str">
        <f t="shared" si="3"/>
        <v>APPROVED</v>
      </c>
    </row>
    <row r="137" ht="15.75" customHeight="1">
      <c r="A137" s="18" t="s">
        <v>489</v>
      </c>
      <c r="B137" s="19" t="s">
        <v>455</v>
      </c>
      <c r="C137" s="20">
        <v>45796.0</v>
      </c>
      <c r="D137" s="20">
        <v>45796.0</v>
      </c>
      <c r="E137" s="18" t="s">
        <v>21</v>
      </c>
      <c r="F137" s="18">
        <v>144.0</v>
      </c>
      <c r="G137" s="21"/>
      <c r="H137" s="18" t="s">
        <v>171</v>
      </c>
      <c r="I137" s="22" t="s">
        <v>23</v>
      </c>
      <c r="J137" s="18"/>
      <c r="K137" s="18" t="s">
        <v>31</v>
      </c>
      <c r="L137" s="92"/>
      <c r="M137" s="93"/>
      <c r="N137" s="94"/>
      <c r="O137" s="68" t="s">
        <v>417</v>
      </c>
      <c r="P137" s="18" t="s">
        <v>171</v>
      </c>
      <c r="Q137" s="14" t="b">
        <f t="shared" si="1"/>
        <v>0</v>
      </c>
      <c r="R137" s="15" t="b">
        <f t="shared" si="2"/>
        <v>0</v>
      </c>
      <c r="S137" s="15" t="str">
        <f t="shared" si="3"/>
        <v>PENDING</v>
      </c>
    </row>
    <row r="138" ht="15.75" customHeight="1">
      <c r="A138" s="24" t="s">
        <v>490</v>
      </c>
      <c r="B138" s="25" t="s">
        <v>491</v>
      </c>
      <c r="C138" s="26">
        <v>45797.0</v>
      </c>
      <c r="D138" s="26">
        <v>45799.0</v>
      </c>
      <c r="E138" s="24" t="s">
        <v>21</v>
      </c>
      <c r="F138" s="24">
        <v>120.0</v>
      </c>
      <c r="G138" s="27">
        <v>135.0</v>
      </c>
      <c r="H138" s="95" t="s">
        <v>177</v>
      </c>
      <c r="I138" s="28" t="s">
        <v>23</v>
      </c>
      <c r="J138" s="28" t="s">
        <v>172</v>
      </c>
      <c r="K138" s="28" t="s">
        <v>25</v>
      </c>
      <c r="L138" s="96" t="s">
        <v>492</v>
      </c>
      <c r="M138" s="97" t="s">
        <v>493</v>
      </c>
      <c r="N138" s="98"/>
      <c r="O138" s="28" t="s">
        <v>27</v>
      </c>
      <c r="P138" s="95" t="s">
        <v>177</v>
      </c>
      <c r="Q138" s="14" t="b">
        <f t="shared" si="1"/>
        <v>1</v>
      </c>
      <c r="R138" s="15" t="b">
        <f t="shared" si="2"/>
        <v>0</v>
      </c>
      <c r="S138" s="15" t="str">
        <f t="shared" si="3"/>
        <v>APPROVED</v>
      </c>
    </row>
    <row r="139" ht="15.75" customHeight="1">
      <c r="A139" s="7" t="s">
        <v>494</v>
      </c>
      <c r="B139" s="13" t="s">
        <v>495</v>
      </c>
      <c r="C139" s="9">
        <v>45797.0</v>
      </c>
      <c r="D139" s="9">
        <v>45799.0</v>
      </c>
      <c r="E139" s="7" t="s">
        <v>21</v>
      </c>
      <c r="F139" s="7">
        <v>24.0</v>
      </c>
      <c r="G139" s="10">
        <v>119.0</v>
      </c>
      <c r="H139" s="84" t="s">
        <v>177</v>
      </c>
      <c r="I139" s="11" t="s">
        <v>23</v>
      </c>
      <c r="J139" s="11" t="s">
        <v>172</v>
      </c>
      <c r="K139" s="11" t="s">
        <v>25</v>
      </c>
      <c r="L139" s="16" t="s">
        <v>496</v>
      </c>
      <c r="M139" s="49" t="s">
        <v>497</v>
      </c>
      <c r="N139" s="73"/>
      <c r="O139" s="11" t="s">
        <v>27</v>
      </c>
      <c r="P139" s="84" t="s">
        <v>177</v>
      </c>
      <c r="Q139" s="14" t="b">
        <f t="shared" si="1"/>
        <v>1</v>
      </c>
      <c r="R139" s="15" t="b">
        <f t="shared" si="2"/>
        <v>0</v>
      </c>
      <c r="S139" s="15" t="str">
        <f t="shared" si="3"/>
        <v>APPROVED</v>
      </c>
    </row>
    <row r="140" ht="15.75" customHeight="1">
      <c r="A140" s="30" t="s">
        <v>498</v>
      </c>
      <c r="B140" s="58" t="s">
        <v>499</v>
      </c>
      <c r="C140" s="32">
        <v>45797.0</v>
      </c>
      <c r="D140" s="32">
        <v>45800.0</v>
      </c>
      <c r="E140" s="30" t="s">
        <v>21</v>
      </c>
      <c r="F140" s="30"/>
      <c r="G140" s="33"/>
      <c r="H140" s="30" t="s">
        <v>171</v>
      </c>
      <c r="I140" s="34" t="s">
        <v>23</v>
      </c>
      <c r="J140" s="34" t="s">
        <v>172</v>
      </c>
      <c r="K140" s="34" t="s">
        <v>49</v>
      </c>
      <c r="L140" s="66" t="s">
        <v>500</v>
      </c>
      <c r="M140" s="69" t="s">
        <v>501</v>
      </c>
      <c r="N140" s="70" t="s">
        <v>502</v>
      </c>
      <c r="O140" s="30" t="s">
        <v>98</v>
      </c>
      <c r="P140" s="30" t="s">
        <v>171</v>
      </c>
      <c r="Q140" s="14" t="b">
        <f t="shared" si="1"/>
        <v>0</v>
      </c>
      <c r="R140" s="15" t="b">
        <f t="shared" si="2"/>
        <v>1</v>
      </c>
      <c r="S140" s="15" t="str">
        <f t="shared" si="3"/>
        <v>PENDING</v>
      </c>
    </row>
    <row r="141" ht="15.75" customHeight="1">
      <c r="A141" s="39" t="s">
        <v>503</v>
      </c>
      <c r="B141" s="74" t="s">
        <v>504</v>
      </c>
      <c r="C141" s="38">
        <v>45797.0</v>
      </c>
      <c r="D141" s="38">
        <v>45800.0</v>
      </c>
      <c r="E141" s="39" t="s">
        <v>21</v>
      </c>
      <c r="F141" s="39">
        <v>72.0</v>
      </c>
      <c r="G141" s="40">
        <v>121.5</v>
      </c>
      <c r="H141" s="39" t="s">
        <v>171</v>
      </c>
      <c r="I141" s="41" t="s">
        <v>23</v>
      </c>
      <c r="J141" s="41" t="s">
        <v>172</v>
      </c>
      <c r="K141" s="41" t="s">
        <v>25</v>
      </c>
      <c r="L141" s="76" t="s">
        <v>505</v>
      </c>
      <c r="M141" s="49" t="s">
        <v>506</v>
      </c>
      <c r="N141" s="77"/>
      <c r="O141" s="41" t="s">
        <v>27</v>
      </c>
      <c r="P141" s="39" t="s">
        <v>171</v>
      </c>
      <c r="Q141" s="14" t="b">
        <f t="shared" si="1"/>
        <v>1</v>
      </c>
      <c r="R141" s="15" t="b">
        <f t="shared" si="2"/>
        <v>0</v>
      </c>
      <c r="S141" s="15" t="str">
        <f t="shared" si="3"/>
        <v>APPROVED</v>
      </c>
    </row>
    <row r="142" ht="15.75" customHeight="1">
      <c r="A142" s="30" t="s">
        <v>507</v>
      </c>
      <c r="B142" s="58" t="s">
        <v>508</v>
      </c>
      <c r="C142" s="32">
        <v>45798.0</v>
      </c>
      <c r="D142" s="32">
        <v>45800.0</v>
      </c>
      <c r="E142" s="30" t="s">
        <v>21</v>
      </c>
      <c r="F142" s="30"/>
      <c r="G142" s="33"/>
      <c r="H142" s="30" t="s">
        <v>171</v>
      </c>
      <c r="I142" s="34" t="s">
        <v>23</v>
      </c>
      <c r="J142" s="34" t="s">
        <v>172</v>
      </c>
      <c r="K142" s="34" t="s">
        <v>49</v>
      </c>
      <c r="L142" s="66"/>
      <c r="M142" s="69"/>
      <c r="N142" s="70" t="s">
        <v>509</v>
      </c>
      <c r="O142" s="30" t="s">
        <v>98</v>
      </c>
      <c r="P142" s="30" t="s">
        <v>171</v>
      </c>
      <c r="Q142" s="14" t="b">
        <f t="shared" si="1"/>
        <v>0</v>
      </c>
      <c r="R142" s="15" t="b">
        <f t="shared" si="2"/>
        <v>1</v>
      </c>
      <c r="S142" s="15" t="str">
        <f t="shared" si="3"/>
        <v>PENDING</v>
      </c>
    </row>
    <row r="143" ht="15.75" customHeight="1">
      <c r="A143" s="7" t="s">
        <v>510</v>
      </c>
      <c r="B143" s="13" t="s">
        <v>511</v>
      </c>
      <c r="C143" s="9">
        <v>45798.0</v>
      </c>
      <c r="D143" s="9">
        <v>45798.0</v>
      </c>
      <c r="E143" s="7" t="s">
        <v>21</v>
      </c>
      <c r="F143" s="7">
        <v>24.0</v>
      </c>
      <c r="G143" s="10">
        <v>119.0</v>
      </c>
      <c r="H143" s="84" t="s">
        <v>177</v>
      </c>
      <c r="I143" s="17" t="s">
        <v>23</v>
      </c>
      <c r="J143" s="11" t="s">
        <v>172</v>
      </c>
      <c r="K143" s="11" t="s">
        <v>25</v>
      </c>
      <c r="L143" s="16" t="s">
        <v>512</v>
      </c>
      <c r="M143" s="49" t="s">
        <v>513</v>
      </c>
      <c r="N143" s="73"/>
      <c r="O143" s="11" t="s">
        <v>27</v>
      </c>
      <c r="P143" s="84" t="s">
        <v>177</v>
      </c>
      <c r="Q143" s="14" t="b">
        <f t="shared" si="1"/>
        <v>1</v>
      </c>
      <c r="R143" s="15" t="b">
        <f t="shared" si="2"/>
        <v>0</v>
      </c>
      <c r="S143" s="15" t="str">
        <f t="shared" si="3"/>
        <v>APPROVED</v>
      </c>
    </row>
    <row r="144" ht="15.75" customHeight="1">
      <c r="A144" s="7" t="s">
        <v>514</v>
      </c>
      <c r="B144" s="13" t="s">
        <v>515</v>
      </c>
      <c r="C144" s="9">
        <v>45798.0</v>
      </c>
      <c r="D144" s="9">
        <v>45798.0</v>
      </c>
      <c r="E144" s="7" t="s">
        <v>21</v>
      </c>
      <c r="F144" s="7">
        <v>24.0</v>
      </c>
      <c r="G144" s="10">
        <v>119.0</v>
      </c>
      <c r="H144" s="84" t="s">
        <v>177</v>
      </c>
      <c r="I144" s="11" t="s">
        <v>23</v>
      </c>
      <c r="J144" s="11" t="s">
        <v>172</v>
      </c>
      <c r="K144" s="11" t="s">
        <v>25</v>
      </c>
      <c r="L144" s="16" t="s">
        <v>516</v>
      </c>
      <c r="M144" s="49" t="s">
        <v>517</v>
      </c>
      <c r="N144" s="73"/>
      <c r="O144" s="11" t="s">
        <v>27</v>
      </c>
      <c r="P144" s="84" t="s">
        <v>177</v>
      </c>
      <c r="Q144" s="14" t="b">
        <f t="shared" si="1"/>
        <v>1</v>
      </c>
      <c r="R144" s="15" t="b">
        <f t="shared" si="2"/>
        <v>0</v>
      </c>
      <c r="S144" s="15" t="str">
        <f t="shared" si="3"/>
        <v>APPROVED</v>
      </c>
    </row>
    <row r="145" ht="15.75" customHeight="1">
      <c r="A145" s="24" t="s">
        <v>518</v>
      </c>
      <c r="B145" s="25" t="s">
        <v>519</v>
      </c>
      <c r="C145" s="26">
        <v>45798.0</v>
      </c>
      <c r="D145" s="26">
        <v>45798.0</v>
      </c>
      <c r="E145" s="24" t="s">
        <v>21</v>
      </c>
      <c r="F145" s="24">
        <v>24.0</v>
      </c>
      <c r="G145" s="27">
        <v>118.18</v>
      </c>
      <c r="H145" s="95" t="s">
        <v>177</v>
      </c>
      <c r="I145" s="28" t="s">
        <v>23</v>
      </c>
      <c r="J145" s="28" t="s">
        <v>172</v>
      </c>
      <c r="K145" s="28" t="s">
        <v>84</v>
      </c>
      <c r="L145" s="96" t="s">
        <v>520</v>
      </c>
      <c r="M145" s="97" t="s">
        <v>521</v>
      </c>
      <c r="N145" s="98"/>
      <c r="O145" s="28" t="s">
        <v>27</v>
      </c>
      <c r="P145" s="95" t="s">
        <v>177</v>
      </c>
      <c r="Q145" s="14" t="b">
        <f t="shared" si="1"/>
        <v>0</v>
      </c>
      <c r="R145" s="15" t="b">
        <f t="shared" si="2"/>
        <v>0</v>
      </c>
      <c r="S145" s="15" t="str">
        <f t="shared" si="3"/>
        <v>PENDING</v>
      </c>
    </row>
    <row r="146" ht="15.75" customHeight="1">
      <c r="A146" s="99" t="s">
        <v>522</v>
      </c>
      <c r="B146" s="100" t="s">
        <v>394</v>
      </c>
      <c r="C146" s="101">
        <v>45798.0</v>
      </c>
      <c r="D146" s="101">
        <v>45800.0</v>
      </c>
      <c r="E146" s="99" t="s">
        <v>21</v>
      </c>
      <c r="F146" s="99">
        <v>24.0</v>
      </c>
      <c r="G146" s="102">
        <v>125.0</v>
      </c>
      <c r="H146" s="99" t="s">
        <v>22</v>
      </c>
      <c r="I146" s="103" t="s">
        <v>23</v>
      </c>
      <c r="J146" s="103" t="s">
        <v>172</v>
      </c>
      <c r="K146" s="103" t="s">
        <v>25</v>
      </c>
      <c r="L146" s="104" t="s">
        <v>399</v>
      </c>
      <c r="M146" s="12" t="s">
        <v>167</v>
      </c>
      <c r="N146" s="105"/>
      <c r="O146" s="103" t="s">
        <v>27</v>
      </c>
      <c r="P146" s="99" t="s">
        <v>22</v>
      </c>
      <c r="Q146" s="14" t="b">
        <f t="shared" si="1"/>
        <v>1</v>
      </c>
      <c r="R146" s="15" t="b">
        <f t="shared" si="2"/>
        <v>0</v>
      </c>
      <c r="S146" s="15" t="str">
        <f t="shared" si="3"/>
        <v>APPROVED</v>
      </c>
    </row>
    <row r="147" ht="15.75" customHeight="1">
      <c r="A147" s="7" t="s">
        <v>523</v>
      </c>
      <c r="B147" s="13" t="s">
        <v>524</v>
      </c>
      <c r="C147" s="9">
        <v>45799.0</v>
      </c>
      <c r="D147" s="9">
        <v>45801.0</v>
      </c>
      <c r="E147" s="7" t="s">
        <v>21</v>
      </c>
      <c r="F147" s="7">
        <v>24.0</v>
      </c>
      <c r="G147" s="10">
        <v>128.5</v>
      </c>
      <c r="H147" s="7" t="s">
        <v>525</v>
      </c>
      <c r="I147" s="11" t="s">
        <v>23</v>
      </c>
      <c r="J147" s="11" t="s">
        <v>30</v>
      </c>
      <c r="K147" s="11" t="s">
        <v>25</v>
      </c>
      <c r="L147" s="16"/>
      <c r="M147" s="49" t="s">
        <v>432</v>
      </c>
      <c r="N147" s="73"/>
      <c r="O147" s="11" t="s">
        <v>27</v>
      </c>
      <c r="P147" s="7" t="s">
        <v>525</v>
      </c>
      <c r="Q147" s="14" t="b">
        <f t="shared" si="1"/>
        <v>1</v>
      </c>
      <c r="R147" s="15" t="b">
        <f t="shared" si="2"/>
        <v>0</v>
      </c>
      <c r="S147" s="15" t="str">
        <f t="shared" si="3"/>
        <v>APPROVED</v>
      </c>
    </row>
    <row r="148" ht="15.75" customHeight="1">
      <c r="A148" s="7" t="s">
        <v>526</v>
      </c>
      <c r="B148" s="13" t="s">
        <v>527</v>
      </c>
      <c r="C148" s="9">
        <v>45799.0</v>
      </c>
      <c r="D148" s="9">
        <v>45801.0</v>
      </c>
      <c r="E148" s="7" t="s">
        <v>21</v>
      </c>
      <c r="F148" s="7">
        <v>24.0</v>
      </c>
      <c r="G148" s="10">
        <v>128.5</v>
      </c>
      <c r="H148" s="7" t="s">
        <v>525</v>
      </c>
      <c r="I148" s="11" t="s">
        <v>23</v>
      </c>
      <c r="J148" s="11" t="s">
        <v>30</v>
      </c>
      <c r="K148" s="11" t="s">
        <v>25</v>
      </c>
      <c r="L148" s="16"/>
      <c r="M148" s="49" t="s">
        <v>432</v>
      </c>
      <c r="N148" s="73"/>
      <c r="O148" s="11" t="s">
        <v>27</v>
      </c>
      <c r="P148" s="7" t="s">
        <v>525</v>
      </c>
      <c r="Q148" s="14" t="b">
        <f t="shared" si="1"/>
        <v>1</v>
      </c>
      <c r="R148" s="15" t="b">
        <f t="shared" si="2"/>
        <v>0</v>
      </c>
      <c r="S148" s="15" t="str">
        <f t="shared" si="3"/>
        <v>APPROVED</v>
      </c>
    </row>
    <row r="149" ht="15.75" customHeight="1">
      <c r="A149" s="7" t="s">
        <v>528</v>
      </c>
      <c r="B149" s="13" t="s">
        <v>529</v>
      </c>
      <c r="C149" s="9">
        <v>45799.0</v>
      </c>
      <c r="D149" s="9">
        <v>45801.0</v>
      </c>
      <c r="E149" s="7" t="s">
        <v>21</v>
      </c>
      <c r="F149" s="7">
        <v>24.0</v>
      </c>
      <c r="G149" s="10">
        <v>128.5</v>
      </c>
      <c r="H149" s="7" t="s">
        <v>525</v>
      </c>
      <c r="I149" s="11" t="s">
        <v>23</v>
      </c>
      <c r="J149" s="11" t="s">
        <v>30</v>
      </c>
      <c r="K149" s="11" t="s">
        <v>25</v>
      </c>
      <c r="L149" s="16"/>
      <c r="M149" s="49" t="s">
        <v>432</v>
      </c>
      <c r="N149" s="73"/>
      <c r="O149" s="11" t="s">
        <v>27</v>
      </c>
      <c r="P149" s="7" t="s">
        <v>525</v>
      </c>
      <c r="Q149" s="14" t="b">
        <f t="shared" si="1"/>
        <v>1</v>
      </c>
      <c r="R149" s="15" t="b">
        <f t="shared" si="2"/>
        <v>0</v>
      </c>
      <c r="S149" s="15" t="str">
        <f t="shared" si="3"/>
        <v>APPROVED</v>
      </c>
    </row>
    <row r="150" ht="15.75" customHeight="1">
      <c r="A150" s="7" t="s">
        <v>530</v>
      </c>
      <c r="B150" s="13" t="s">
        <v>531</v>
      </c>
      <c r="C150" s="9">
        <v>45799.0</v>
      </c>
      <c r="D150" s="9">
        <v>45801.0</v>
      </c>
      <c r="E150" s="7" t="s">
        <v>21</v>
      </c>
      <c r="F150" s="7">
        <v>24.0</v>
      </c>
      <c r="G150" s="10">
        <v>128.5</v>
      </c>
      <c r="H150" s="7" t="s">
        <v>525</v>
      </c>
      <c r="I150" s="11" t="s">
        <v>23</v>
      </c>
      <c r="J150" s="11" t="s">
        <v>30</v>
      </c>
      <c r="K150" s="11" t="s">
        <v>25</v>
      </c>
      <c r="L150" s="16"/>
      <c r="M150" s="49" t="s">
        <v>432</v>
      </c>
      <c r="N150" s="73"/>
      <c r="O150" s="11" t="s">
        <v>27</v>
      </c>
      <c r="P150" s="7" t="s">
        <v>525</v>
      </c>
      <c r="Q150" s="14" t="b">
        <f t="shared" si="1"/>
        <v>1</v>
      </c>
      <c r="R150" s="15" t="b">
        <f t="shared" si="2"/>
        <v>0</v>
      </c>
      <c r="S150" s="15" t="str">
        <f t="shared" si="3"/>
        <v>APPROVED</v>
      </c>
    </row>
    <row r="151" ht="15.75" customHeight="1">
      <c r="A151" s="7" t="s">
        <v>532</v>
      </c>
      <c r="B151" s="8" t="s">
        <v>533</v>
      </c>
      <c r="C151" s="9">
        <v>45799.0</v>
      </c>
      <c r="D151" s="9">
        <v>45801.0</v>
      </c>
      <c r="E151" s="7" t="s">
        <v>21</v>
      </c>
      <c r="F151" s="7">
        <v>24.0</v>
      </c>
      <c r="G151" s="10">
        <v>128.5</v>
      </c>
      <c r="H151" s="7" t="s">
        <v>525</v>
      </c>
      <c r="I151" s="11" t="s">
        <v>23</v>
      </c>
      <c r="J151" s="11" t="s">
        <v>30</v>
      </c>
      <c r="K151" s="11" t="s">
        <v>25</v>
      </c>
      <c r="L151" s="16"/>
      <c r="M151" s="49" t="s">
        <v>432</v>
      </c>
      <c r="N151" s="73"/>
      <c r="O151" s="11" t="s">
        <v>27</v>
      </c>
      <c r="P151" s="7" t="s">
        <v>525</v>
      </c>
      <c r="Q151" s="14" t="b">
        <f t="shared" si="1"/>
        <v>1</v>
      </c>
      <c r="R151" s="15" t="b">
        <f t="shared" si="2"/>
        <v>0</v>
      </c>
      <c r="S151" s="15" t="str">
        <f t="shared" si="3"/>
        <v>APPROVED</v>
      </c>
    </row>
    <row r="152" ht="15.75" customHeight="1">
      <c r="A152" s="24" t="s">
        <v>534</v>
      </c>
      <c r="B152" s="25" t="s">
        <v>535</v>
      </c>
      <c r="C152" s="26">
        <v>45799.0</v>
      </c>
      <c r="D152" s="26">
        <v>45801.0</v>
      </c>
      <c r="E152" s="24" t="s">
        <v>21</v>
      </c>
      <c r="F152" s="24">
        <v>24.0</v>
      </c>
      <c r="G152" s="27">
        <v>128.5</v>
      </c>
      <c r="H152" s="24" t="s">
        <v>525</v>
      </c>
      <c r="I152" s="28" t="s">
        <v>23</v>
      </c>
      <c r="J152" s="28" t="s">
        <v>48</v>
      </c>
      <c r="K152" s="28" t="s">
        <v>84</v>
      </c>
      <c r="L152" s="96" t="s">
        <v>536</v>
      </c>
      <c r="M152" s="97" t="s">
        <v>537</v>
      </c>
      <c r="N152" s="98"/>
      <c r="O152" s="28" t="s">
        <v>27</v>
      </c>
      <c r="P152" s="24" t="s">
        <v>525</v>
      </c>
      <c r="Q152" s="14" t="b">
        <f t="shared" si="1"/>
        <v>0</v>
      </c>
      <c r="R152" s="15" t="b">
        <f t="shared" si="2"/>
        <v>0</v>
      </c>
      <c r="S152" s="15" t="str">
        <f t="shared" si="3"/>
        <v>PENDING</v>
      </c>
    </row>
    <row r="153" ht="15.75" customHeight="1">
      <c r="A153" s="24" t="s">
        <v>538</v>
      </c>
      <c r="B153" s="25" t="s">
        <v>539</v>
      </c>
      <c r="C153" s="26">
        <v>45800.0</v>
      </c>
      <c r="D153" s="26">
        <v>45800.0</v>
      </c>
      <c r="E153" s="24" t="s">
        <v>21</v>
      </c>
      <c r="F153" s="24">
        <v>24.0</v>
      </c>
      <c r="G153" s="27">
        <v>118.0</v>
      </c>
      <c r="H153" s="95" t="s">
        <v>177</v>
      </c>
      <c r="I153" s="28" t="s">
        <v>23</v>
      </c>
      <c r="J153" s="28" t="s">
        <v>172</v>
      </c>
      <c r="K153" s="28" t="s">
        <v>84</v>
      </c>
      <c r="L153" s="96" t="s">
        <v>540</v>
      </c>
      <c r="M153" s="97" t="s">
        <v>541</v>
      </c>
      <c r="N153" s="98"/>
      <c r="O153" s="28" t="s">
        <v>27</v>
      </c>
      <c r="P153" s="95" t="s">
        <v>177</v>
      </c>
      <c r="Q153" s="14" t="b">
        <f t="shared" si="1"/>
        <v>0</v>
      </c>
      <c r="R153" s="15" t="b">
        <f t="shared" si="2"/>
        <v>0</v>
      </c>
      <c r="S153" s="15" t="str">
        <f t="shared" si="3"/>
        <v>PENDING</v>
      </c>
    </row>
    <row r="154" ht="15.75" customHeight="1">
      <c r="A154" s="7" t="s">
        <v>542</v>
      </c>
      <c r="B154" s="8" t="s">
        <v>543</v>
      </c>
      <c r="C154" s="9">
        <v>45801.0</v>
      </c>
      <c r="D154" s="9">
        <v>45722.0</v>
      </c>
      <c r="E154" s="7" t="s">
        <v>21</v>
      </c>
      <c r="F154" s="7">
        <v>24.0</v>
      </c>
      <c r="G154" s="10">
        <v>135.0</v>
      </c>
      <c r="H154" s="7" t="s">
        <v>525</v>
      </c>
      <c r="I154" s="11" t="s">
        <v>23</v>
      </c>
      <c r="J154" s="11" t="s">
        <v>35</v>
      </c>
      <c r="K154" s="11" t="s">
        <v>25</v>
      </c>
      <c r="L154" s="16" t="s">
        <v>544</v>
      </c>
      <c r="M154" s="49" t="s">
        <v>545</v>
      </c>
      <c r="N154" s="73"/>
      <c r="O154" s="11" t="s">
        <v>27</v>
      </c>
      <c r="P154" s="7" t="s">
        <v>525</v>
      </c>
      <c r="Q154" s="14" t="b">
        <f t="shared" si="1"/>
        <v>1</v>
      </c>
      <c r="R154" s="15" t="b">
        <f t="shared" si="2"/>
        <v>0</v>
      </c>
      <c r="S154" s="15" t="str">
        <f t="shared" si="3"/>
        <v>APPROVED</v>
      </c>
    </row>
    <row r="155" ht="15.75" customHeight="1">
      <c r="A155" s="39" t="s">
        <v>546</v>
      </c>
      <c r="B155" s="64" t="s">
        <v>547</v>
      </c>
      <c r="C155" s="38">
        <v>45804.0</v>
      </c>
      <c r="D155" s="38">
        <v>45805.0</v>
      </c>
      <c r="E155" s="39" t="s">
        <v>21</v>
      </c>
      <c r="F155" s="39">
        <v>24.0</v>
      </c>
      <c r="G155" s="40">
        <v>119.0</v>
      </c>
      <c r="H155" s="39" t="s">
        <v>177</v>
      </c>
      <c r="I155" s="41" t="s">
        <v>23</v>
      </c>
      <c r="J155" s="41" t="s">
        <v>172</v>
      </c>
      <c r="K155" s="41" t="s">
        <v>25</v>
      </c>
      <c r="L155" s="76" t="s">
        <v>548</v>
      </c>
      <c r="M155" s="49" t="s">
        <v>549</v>
      </c>
      <c r="N155" s="77"/>
      <c r="O155" s="41" t="s">
        <v>27</v>
      </c>
      <c r="P155" s="39" t="s">
        <v>177</v>
      </c>
      <c r="Q155" s="14" t="b">
        <f t="shared" si="1"/>
        <v>1</v>
      </c>
      <c r="R155" s="15" t="b">
        <f t="shared" si="2"/>
        <v>0</v>
      </c>
      <c r="S155" s="15" t="str">
        <f t="shared" si="3"/>
        <v>APPROVED</v>
      </c>
    </row>
    <row r="156" ht="15.75" customHeight="1">
      <c r="A156" s="106" t="s">
        <v>550</v>
      </c>
      <c r="B156" s="107" t="s">
        <v>29</v>
      </c>
      <c r="C156" s="50">
        <v>45805.0</v>
      </c>
      <c r="D156" s="50">
        <v>45807.0</v>
      </c>
      <c r="E156" s="106" t="s">
        <v>21</v>
      </c>
      <c r="F156" s="106">
        <v>240.0</v>
      </c>
      <c r="G156" s="108">
        <v>115.0</v>
      </c>
      <c r="H156" s="106" t="s">
        <v>22</v>
      </c>
      <c r="I156" s="109" t="s">
        <v>23</v>
      </c>
      <c r="J156" s="109" t="s">
        <v>70</v>
      </c>
      <c r="K156" s="109" t="s">
        <v>84</v>
      </c>
      <c r="L156" s="110" t="s">
        <v>551</v>
      </c>
      <c r="M156" s="111" t="s">
        <v>552</v>
      </c>
      <c r="N156" s="112"/>
      <c r="O156" s="109" t="s">
        <v>27</v>
      </c>
      <c r="P156" s="106" t="s">
        <v>22</v>
      </c>
      <c r="Q156" s="14" t="b">
        <f t="shared" si="1"/>
        <v>0</v>
      </c>
      <c r="R156" s="15" t="b">
        <f t="shared" si="2"/>
        <v>0</v>
      </c>
      <c r="S156" s="15" t="str">
        <f t="shared" si="3"/>
        <v>PENDING</v>
      </c>
    </row>
    <row r="157" ht="15.75" customHeight="1">
      <c r="A157" s="7" t="s">
        <v>553</v>
      </c>
      <c r="B157" s="13" t="s">
        <v>554</v>
      </c>
      <c r="C157" s="9">
        <v>45805.0</v>
      </c>
      <c r="D157" s="9">
        <v>45805.0</v>
      </c>
      <c r="E157" s="7" t="s">
        <v>21</v>
      </c>
      <c r="F157" s="7">
        <v>48.0</v>
      </c>
      <c r="G157" s="10">
        <v>119.0</v>
      </c>
      <c r="H157" s="84" t="s">
        <v>177</v>
      </c>
      <c r="I157" s="11" t="s">
        <v>23</v>
      </c>
      <c r="J157" s="11" t="s">
        <v>172</v>
      </c>
      <c r="K157" s="11" t="s">
        <v>25</v>
      </c>
      <c r="L157" s="16" t="s">
        <v>555</v>
      </c>
      <c r="M157" s="49" t="s">
        <v>556</v>
      </c>
      <c r="N157" s="73"/>
      <c r="O157" s="11" t="s">
        <v>27</v>
      </c>
      <c r="P157" s="84" t="s">
        <v>177</v>
      </c>
      <c r="Q157" s="14" t="b">
        <f t="shared" si="1"/>
        <v>1</v>
      </c>
      <c r="R157" s="15" t="b">
        <f t="shared" si="2"/>
        <v>0</v>
      </c>
      <c r="S157" s="15" t="str">
        <f t="shared" si="3"/>
        <v>APPROVED</v>
      </c>
    </row>
    <row r="158" ht="15.75" customHeight="1">
      <c r="A158" s="7" t="s">
        <v>557</v>
      </c>
      <c r="B158" s="13" t="s">
        <v>558</v>
      </c>
      <c r="C158" s="9">
        <v>45805.0</v>
      </c>
      <c r="D158" s="9">
        <v>45805.0</v>
      </c>
      <c r="E158" s="7" t="s">
        <v>21</v>
      </c>
      <c r="F158" s="7">
        <v>24.0</v>
      </c>
      <c r="G158" s="10">
        <v>135.0</v>
      </c>
      <c r="H158" s="84" t="s">
        <v>177</v>
      </c>
      <c r="I158" s="11" t="s">
        <v>23</v>
      </c>
      <c r="J158" s="11" t="s">
        <v>172</v>
      </c>
      <c r="K158" s="11" t="s">
        <v>25</v>
      </c>
      <c r="L158" s="16" t="s">
        <v>559</v>
      </c>
      <c r="M158" s="49" t="s">
        <v>560</v>
      </c>
      <c r="N158" s="73"/>
      <c r="O158" s="11" t="s">
        <v>27</v>
      </c>
      <c r="P158" s="84" t="s">
        <v>177</v>
      </c>
      <c r="Q158" s="14" t="b">
        <f t="shared" si="1"/>
        <v>1</v>
      </c>
      <c r="R158" s="15" t="b">
        <f t="shared" si="2"/>
        <v>0</v>
      </c>
      <c r="S158" s="15" t="str">
        <f t="shared" si="3"/>
        <v>APPROVED</v>
      </c>
    </row>
    <row r="159" ht="15.75" customHeight="1">
      <c r="A159" s="7" t="s">
        <v>561</v>
      </c>
      <c r="B159" s="13" t="s">
        <v>562</v>
      </c>
      <c r="C159" s="9">
        <v>45805.0</v>
      </c>
      <c r="D159" s="9">
        <v>45805.0</v>
      </c>
      <c r="E159" s="7" t="s">
        <v>21</v>
      </c>
      <c r="F159" s="7">
        <v>24.0</v>
      </c>
      <c r="G159" s="10">
        <v>119.0</v>
      </c>
      <c r="H159" s="84" t="s">
        <v>177</v>
      </c>
      <c r="I159" s="11" t="s">
        <v>23</v>
      </c>
      <c r="J159" s="11" t="s">
        <v>172</v>
      </c>
      <c r="K159" s="11" t="s">
        <v>25</v>
      </c>
      <c r="L159" s="16" t="s">
        <v>563</v>
      </c>
      <c r="M159" s="49" t="s">
        <v>564</v>
      </c>
      <c r="N159" s="73"/>
      <c r="O159" s="11" t="s">
        <v>27</v>
      </c>
      <c r="P159" s="84" t="s">
        <v>177</v>
      </c>
      <c r="Q159" s="14" t="b">
        <f t="shared" si="1"/>
        <v>1</v>
      </c>
      <c r="R159" s="15" t="b">
        <f t="shared" si="2"/>
        <v>0</v>
      </c>
      <c r="S159" s="15" t="str">
        <f t="shared" si="3"/>
        <v>APPROVED</v>
      </c>
    </row>
    <row r="160" ht="17.25" customHeight="1">
      <c r="A160" s="7" t="s">
        <v>565</v>
      </c>
      <c r="B160" s="8" t="s">
        <v>189</v>
      </c>
      <c r="C160" s="9">
        <v>45806.0</v>
      </c>
      <c r="D160" s="9">
        <v>45807.0</v>
      </c>
      <c r="E160" s="7" t="s">
        <v>21</v>
      </c>
      <c r="F160" s="7">
        <v>48.0</v>
      </c>
      <c r="G160" s="10">
        <v>119.0</v>
      </c>
      <c r="H160" s="84" t="s">
        <v>177</v>
      </c>
      <c r="I160" s="11" t="s">
        <v>23</v>
      </c>
      <c r="J160" s="11" t="s">
        <v>172</v>
      </c>
      <c r="K160" s="11" t="s">
        <v>25</v>
      </c>
      <c r="L160" s="16" t="s">
        <v>566</v>
      </c>
      <c r="M160" s="49" t="s">
        <v>191</v>
      </c>
      <c r="N160" s="73"/>
      <c r="O160" s="11" t="s">
        <v>27</v>
      </c>
      <c r="P160" s="84" t="s">
        <v>177</v>
      </c>
      <c r="Q160" s="14" t="b">
        <f t="shared" si="1"/>
        <v>1</v>
      </c>
      <c r="R160" s="15" t="b">
        <f t="shared" si="2"/>
        <v>0</v>
      </c>
      <c r="S160" s="15" t="str">
        <f t="shared" si="3"/>
        <v>APPROVED</v>
      </c>
    </row>
    <row r="161" ht="15.75" customHeight="1">
      <c r="A161" s="7" t="s">
        <v>567</v>
      </c>
      <c r="B161" s="13" t="s">
        <v>176</v>
      </c>
      <c r="C161" s="9">
        <v>45806.0</v>
      </c>
      <c r="D161" s="9">
        <v>45753.0</v>
      </c>
      <c r="E161" s="7" t="s">
        <v>21</v>
      </c>
      <c r="F161" s="7">
        <v>48.0</v>
      </c>
      <c r="G161" s="10">
        <v>119.0</v>
      </c>
      <c r="H161" s="84" t="s">
        <v>177</v>
      </c>
      <c r="I161" s="11" t="s">
        <v>23</v>
      </c>
      <c r="J161" s="11" t="s">
        <v>172</v>
      </c>
      <c r="K161" s="11" t="s">
        <v>25</v>
      </c>
      <c r="L161" s="16" t="s">
        <v>568</v>
      </c>
      <c r="M161" s="49" t="s">
        <v>569</v>
      </c>
      <c r="N161" s="73"/>
      <c r="O161" s="11" t="s">
        <v>27</v>
      </c>
      <c r="P161" s="84" t="s">
        <v>177</v>
      </c>
      <c r="Q161" s="14" t="b">
        <f t="shared" si="1"/>
        <v>1</v>
      </c>
      <c r="R161" s="15" t="b">
        <f t="shared" si="2"/>
        <v>0</v>
      </c>
      <c r="S161" s="15" t="str">
        <f t="shared" si="3"/>
        <v>APPROVED</v>
      </c>
    </row>
    <row r="162" ht="15.75" customHeight="1">
      <c r="A162" s="7" t="s">
        <v>570</v>
      </c>
      <c r="B162" s="8" t="s">
        <v>276</v>
      </c>
      <c r="C162" s="9">
        <v>45807.0</v>
      </c>
      <c r="D162" s="9">
        <v>45807.0</v>
      </c>
      <c r="E162" s="7" t="s">
        <v>21</v>
      </c>
      <c r="F162" s="7">
        <v>72.0</v>
      </c>
      <c r="G162" s="10">
        <v>119.0</v>
      </c>
      <c r="H162" s="84" t="s">
        <v>177</v>
      </c>
      <c r="I162" s="11" t="s">
        <v>23</v>
      </c>
      <c r="J162" s="11" t="s">
        <v>172</v>
      </c>
      <c r="K162" s="11" t="s">
        <v>25</v>
      </c>
      <c r="L162" s="16" t="s">
        <v>571</v>
      </c>
      <c r="M162" s="49" t="s">
        <v>572</v>
      </c>
      <c r="N162" s="73"/>
      <c r="O162" s="11" t="s">
        <v>27</v>
      </c>
      <c r="P162" s="84" t="s">
        <v>177</v>
      </c>
      <c r="Q162" s="14" t="b">
        <f t="shared" si="1"/>
        <v>1</v>
      </c>
      <c r="R162" s="15" t="b">
        <f t="shared" si="2"/>
        <v>0</v>
      </c>
      <c r="S162" s="15" t="str">
        <f t="shared" si="3"/>
        <v>APPROVED</v>
      </c>
    </row>
    <row r="163" ht="15.75" customHeight="1">
      <c r="A163" s="7" t="s">
        <v>573</v>
      </c>
      <c r="B163" s="8" t="s">
        <v>574</v>
      </c>
      <c r="C163" s="9">
        <v>45807.0</v>
      </c>
      <c r="D163" s="9"/>
      <c r="E163" s="7" t="s">
        <v>21</v>
      </c>
      <c r="F163" s="7">
        <v>0.0</v>
      </c>
      <c r="G163" s="10"/>
      <c r="H163" s="7" t="s">
        <v>22</v>
      </c>
      <c r="I163" s="11" t="s">
        <v>23</v>
      </c>
      <c r="J163" s="7"/>
      <c r="K163" s="7" t="s">
        <v>31</v>
      </c>
      <c r="L163" s="16" t="s">
        <v>575</v>
      </c>
      <c r="M163" s="49" t="s">
        <v>432</v>
      </c>
      <c r="N163" s="73"/>
      <c r="O163" s="11" t="s">
        <v>27</v>
      </c>
      <c r="P163" s="7" t="s">
        <v>22</v>
      </c>
      <c r="Q163" s="14" t="b">
        <f t="shared" si="1"/>
        <v>0</v>
      </c>
      <c r="R163" s="15" t="b">
        <f t="shared" si="2"/>
        <v>0</v>
      </c>
      <c r="S163" s="15" t="str">
        <f t="shared" si="3"/>
        <v>PENDING</v>
      </c>
    </row>
    <row r="164" ht="15.75" customHeight="1">
      <c r="A164" s="7" t="s">
        <v>576</v>
      </c>
      <c r="B164" s="13" t="s">
        <v>577</v>
      </c>
      <c r="C164" s="9">
        <v>45807.0</v>
      </c>
      <c r="D164" s="9">
        <v>45807.0</v>
      </c>
      <c r="E164" s="7" t="s">
        <v>21</v>
      </c>
      <c r="F164" s="7">
        <v>48.0</v>
      </c>
      <c r="G164" s="10">
        <v>119.0</v>
      </c>
      <c r="H164" s="7" t="s">
        <v>177</v>
      </c>
      <c r="I164" s="11" t="s">
        <v>23</v>
      </c>
      <c r="J164" s="11" t="s">
        <v>172</v>
      </c>
      <c r="K164" s="11" t="s">
        <v>25</v>
      </c>
      <c r="L164" s="16" t="s">
        <v>578</v>
      </c>
      <c r="M164" s="49" t="s">
        <v>579</v>
      </c>
      <c r="N164" s="73"/>
      <c r="O164" s="11" t="s">
        <v>27</v>
      </c>
      <c r="P164" s="7" t="s">
        <v>177</v>
      </c>
      <c r="Q164" s="14" t="b">
        <f t="shared" si="1"/>
        <v>1</v>
      </c>
      <c r="R164" s="15" t="b">
        <f t="shared" si="2"/>
        <v>0</v>
      </c>
      <c r="S164" s="15" t="str">
        <f t="shared" si="3"/>
        <v>APPROVED</v>
      </c>
    </row>
    <row r="165" ht="15.75" customHeight="1">
      <c r="A165" s="24" t="s">
        <v>580</v>
      </c>
      <c r="B165" s="25" t="s">
        <v>581</v>
      </c>
      <c r="C165" s="26">
        <v>45807.0</v>
      </c>
      <c r="D165" s="26">
        <v>45807.0</v>
      </c>
      <c r="E165" s="24" t="s">
        <v>21</v>
      </c>
      <c r="F165" s="24">
        <v>24.0</v>
      </c>
      <c r="G165" s="27">
        <v>135.0</v>
      </c>
      <c r="H165" s="24" t="s">
        <v>177</v>
      </c>
      <c r="I165" s="28" t="s">
        <v>23</v>
      </c>
      <c r="J165" s="28" t="s">
        <v>172</v>
      </c>
      <c r="K165" s="28" t="s">
        <v>49</v>
      </c>
      <c r="L165" s="96" t="s">
        <v>582</v>
      </c>
      <c r="M165" s="97" t="s">
        <v>583</v>
      </c>
      <c r="N165" s="98"/>
      <c r="O165" s="28" t="s">
        <v>27</v>
      </c>
      <c r="P165" s="24" t="s">
        <v>177</v>
      </c>
      <c r="Q165" s="14" t="b">
        <f t="shared" si="1"/>
        <v>0</v>
      </c>
      <c r="R165" s="15" t="b">
        <f t="shared" si="2"/>
        <v>0</v>
      </c>
      <c r="S165" s="15" t="str">
        <f t="shared" si="3"/>
        <v>PENDING</v>
      </c>
    </row>
    <row r="166" ht="15.75" customHeight="1">
      <c r="A166" s="7" t="s">
        <v>584</v>
      </c>
      <c r="B166" s="13" t="s">
        <v>585</v>
      </c>
      <c r="C166" s="9">
        <v>45807.0</v>
      </c>
      <c r="D166" s="9">
        <v>45807.0</v>
      </c>
      <c r="E166" s="7" t="s">
        <v>21</v>
      </c>
      <c r="F166" s="7">
        <v>24.0</v>
      </c>
      <c r="G166" s="10">
        <v>135.0</v>
      </c>
      <c r="H166" s="7" t="s">
        <v>177</v>
      </c>
      <c r="I166" s="11" t="s">
        <v>23</v>
      </c>
      <c r="J166" s="11" t="s">
        <v>172</v>
      </c>
      <c r="K166" s="11" t="s">
        <v>25</v>
      </c>
      <c r="L166" s="16" t="s">
        <v>586</v>
      </c>
      <c r="M166" s="49" t="s">
        <v>587</v>
      </c>
      <c r="N166" s="73"/>
      <c r="O166" s="11" t="s">
        <v>27</v>
      </c>
      <c r="P166" s="7" t="s">
        <v>177</v>
      </c>
      <c r="Q166" s="14" t="b">
        <f t="shared" si="1"/>
        <v>1</v>
      </c>
      <c r="R166" s="15" t="b">
        <f t="shared" si="2"/>
        <v>0</v>
      </c>
      <c r="S166" s="15" t="str">
        <f t="shared" si="3"/>
        <v>APPROVED</v>
      </c>
    </row>
    <row r="167" ht="15.75" customHeight="1">
      <c r="A167" s="39" t="s">
        <v>588</v>
      </c>
      <c r="B167" s="37" t="s">
        <v>589</v>
      </c>
      <c r="C167" s="38">
        <v>45807.0</v>
      </c>
      <c r="D167" s="38">
        <v>45807.0</v>
      </c>
      <c r="E167" s="39" t="s">
        <v>21</v>
      </c>
      <c r="F167" s="39">
        <v>24.0</v>
      </c>
      <c r="G167" s="40">
        <v>135.0</v>
      </c>
      <c r="H167" s="39" t="s">
        <v>177</v>
      </c>
      <c r="I167" s="41" t="s">
        <v>23</v>
      </c>
      <c r="J167" s="41" t="s">
        <v>172</v>
      </c>
      <c r="K167" s="41" t="s">
        <v>25</v>
      </c>
      <c r="L167" s="76" t="s">
        <v>590</v>
      </c>
      <c r="M167" s="49" t="s">
        <v>591</v>
      </c>
      <c r="N167" s="77"/>
      <c r="O167" s="41" t="s">
        <v>27</v>
      </c>
      <c r="P167" s="39" t="s">
        <v>177</v>
      </c>
      <c r="Q167" s="14" t="b">
        <f t="shared" si="1"/>
        <v>1</v>
      </c>
      <c r="R167" s="15" t="b">
        <f t="shared" si="2"/>
        <v>0</v>
      </c>
      <c r="S167" s="15" t="str">
        <f t="shared" si="3"/>
        <v>APPROVED</v>
      </c>
    </row>
    <row r="168" ht="15.75" customHeight="1">
      <c r="A168" s="7" t="s">
        <v>592</v>
      </c>
      <c r="B168" s="13" t="s">
        <v>455</v>
      </c>
      <c r="C168" s="9">
        <v>45808.0</v>
      </c>
      <c r="D168" s="9">
        <v>45808.0</v>
      </c>
      <c r="E168" s="7" t="s">
        <v>21</v>
      </c>
      <c r="F168" s="7">
        <v>0.0</v>
      </c>
      <c r="G168" s="10"/>
      <c r="H168" s="7"/>
      <c r="I168" s="11" t="s">
        <v>23</v>
      </c>
      <c r="J168" s="7"/>
      <c r="K168" s="7" t="s">
        <v>31</v>
      </c>
      <c r="L168" s="16" t="s">
        <v>593</v>
      </c>
      <c r="M168" s="49" t="s">
        <v>432</v>
      </c>
      <c r="N168" s="73"/>
      <c r="O168" s="11" t="s">
        <v>27</v>
      </c>
      <c r="P168" s="7"/>
      <c r="Q168" s="14" t="b">
        <f t="shared" si="1"/>
        <v>0</v>
      </c>
      <c r="R168" s="15" t="b">
        <f t="shared" si="2"/>
        <v>0</v>
      </c>
      <c r="S168" s="15" t="str">
        <f t="shared" si="3"/>
        <v>PENDING</v>
      </c>
    </row>
    <row r="169" ht="15.75" customHeight="1">
      <c r="A169" s="7" t="s">
        <v>594</v>
      </c>
      <c r="B169" s="13" t="s">
        <v>595</v>
      </c>
      <c r="C169" s="9">
        <v>45787.0</v>
      </c>
      <c r="D169" s="9">
        <v>45935.0</v>
      </c>
      <c r="E169" s="7" t="s">
        <v>21</v>
      </c>
      <c r="F169" s="7">
        <v>24.0</v>
      </c>
      <c r="G169" s="10">
        <v>121.8375</v>
      </c>
      <c r="H169" s="7" t="s">
        <v>171</v>
      </c>
      <c r="I169" s="11" t="s">
        <v>23</v>
      </c>
      <c r="J169" s="11" t="s">
        <v>172</v>
      </c>
      <c r="K169" s="11" t="s">
        <v>25</v>
      </c>
      <c r="L169" s="16" t="s">
        <v>596</v>
      </c>
      <c r="M169" s="49" t="s">
        <v>597</v>
      </c>
      <c r="N169" s="73"/>
      <c r="O169" s="11" t="s">
        <v>27</v>
      </c>
      <c r="P169" s="7" t="s">
        <v>171</v>
      </c>
      <c r="Q169" s="14" t="b">
        <f t="shared" si="1"/>
        <v>1</v>
      </c>
      <c r="R169" s="15" t="b">
        <f t="shared" si="2"/>
        <v>0</v>
      </c>
      <c r="S169" s="15" t="str">
        <f t="shared" si="3"/>
        <v>APPROVED</v>
      </c>
    </row>
    <row r="170" ht="17.25" customHeight="1">
      <c r="A170" s="7" t="s">
        <v>598</v>
      </c>
      <c r="B170" s="13" t="s">
        <v>599</v>
      </c>
      <c r="C170" s="9">
        <v>45799.0</v>
      </c>
      <c r="D170" s="9">
        <v>45799.0</v>
      </c>
      <c r="E170" s="7" t="s">
        <v>21</v>
      </c>
      <c r="F170" s="7">
        <v>24.0</v>
      </c>
      <c r="G170" s="10">
        <v>121.8375</v>
      </c>
      <c r="H170" s="7" t="s">
        <v>171</v>
      </c>
      <c r="I170" s="11" t="s">
        <v>23</v>
      </c>
      <c r="J170" s="11" t="s">
        <v>172</v>
      </c>
      <c r="K170" s="11" t="s">
        <v>25</v>
      </c>
      <c r="L170" s="16"/>
      <c r="M170" s="49" t="s">
        <v>600</v>
      </c>
      <c r="N170" s="73"/>
      <c r="O170" s="11" t="s">
        <v>27</v>
      </c>
      <c r="P170" s="7" t="s">
        <v>171</v>
      </c>
      <c r="Q170" s="14" t="b">
        <f t="shared" si="1"/>
        <v>1</v>
      </c>
      <c r="R170" s="15" t="b">
        <f t="shared" si="2"/>
        <v>0</v>
      </c>
      <c r="S170" s="15" t="str">
        <f t="shared" si="3"/>
        <v>APPROVED</v>
      </c>
    </row>
    <row r="171" ht="15.75" customHeight="1">
      <c r="A171" s="7" t="s">
        <v>601</v>
      </c>
      <c r="B171" s="13" t="s">
        <v>602</v>
      </c>
      <c r="C171" s="9">
        <v>45798.0</v>
      </c>
      <c r="D171" s="9">
        <v>45798.0</v>
      </c>
      <c r="E171" s="7" t="s">
        <v>21</v>
      </c>
      <c r="F171" s="7">
        <v>24.0</v>
      </c>
      <c r="G171" s="10">
        <v>121.8375</v>
      </c>
      <c r="H171" s="7" t="s">
        <v>171</v>
      </c>
      <c r="I171" s="11" t="s">
        <v>23</v>
      </c>
      <c r="J171" s="11" t="s">
        <v>172</v>
      </c>
      <c r="K171" s="11" t="s">
        <v>25</v>
      </c>
      <c r="L171" s="16" t="s">
        <v>603</v>
      </c>
      <c r="M171" s="49" t="s">
        <v>604</v>
      </c>
      <c r="N171" s="73"/>
      <c r="O171" s="11" t="s">
        <v>27</v>
      </c>
      <c r="P171" s="7" t="s">
        <v>171</v>
      </c>
      <c r="Q171" s="14" t="b">
        <f t="shared" si="1"/>
        <v>1</v>
      </c>
      <c r="R171" s="15" t="b">
        <f t="shared" si="2"/>
        <v>0</v>
      </c>
      <c r="S171" s="15" t="str">
        <f t="shared" si="3"/>
        <v>APPROVED</v>
      </c>
    </row>
    <row r="172" ht="15.75" customHeight="1">
      <c r="A172" s="7" t="s">
        <v>605</v>
      </c>
      <c r="B172" s="13" t="s">
        <v>606</v>
      </c>
      <c r="C172" s="9">
        <v>45799.0</v>
      </c>
      <c r="D172" s="9">
        <v>45799.0</v>
      </c>
      <c r="E172" s="7" t="s">
        <v>21</v>
      </c>
      <c r="F172" s="7">
        <v>72.0</v>
      </c>
      <c r="G172" s="10">
        <v>121.8375</v>
      </c>
      <c r="H172" s="7" t="s">
        <v>171</v>
      </c>
      <c r="I172" s="11" t="s">
        <v>23</v>
      </c>
      <c r="J172" s="11" t="s">
        <v>172</v>
      </c>
      <c r="K172" s="11" t="s">
        <v>25</v>
      </c>
      <c r="L172" s="16" t="s">
        <v>607</v>
      </c>
      <c r="M172" s="49" t="s">
        <v>608</v>
      </c>
      <c r="N172" s="73"/>
      <c r="O172" s="11" t="s">
        <v>27</v>
      </c>
      <c r="P172" s="7" t="s">
        <v>171</v>
      </c>
      <c r="Q172" s="14" t="b">
        <f t="shared" si="1"/>
        <v>1</v>
      </c>
      <c r="R172" s="15" t="b">
        <f t="shared" si="2"/>
        <v>0</v>
      </c>
      <c r="S172" s="15" t="str">
        <f t="shared" si="3"/>
        <v>APPROVED</v>
      </c>
    </row>
    <row r="173" ht="15.75" customHeight="1">
      <c r="A173" s="7" t="s">
        <v>609</v>
      </c>
      <c r="B173" s="13" t="s">
        <v>610</v>
      </c>
      <c r="C173" s="9">
        <v>45807.0</v>
      </c>
      <c r="D173" s="9">
        <v>45807.0</v>
      </c>
      <c r="E173" s="7" t="s">
        <v>21</v>
      </c>
      <c r="F173" s="7">
        <v>24.0</v>
      </c>
      <c r="G173" s="10">
        <v>121.8375</v>
      </c>
      <c r="H173" s="7" t="s">
        <v>22</v>
      </c>
      <c r="I173" s="11" t="s">
        <v>23</v>
      </c>
      <c r="J173" s="11" t="s">
        <v>172</v>
      </c>
      <c r="K173" s="11" t="s">
        <v>25</v>
      </c>
      <c r="L173" s="16" t="s">
        <v>611</v>
      </c>
      <c r="M173" s="49" t="s">
        <v>612</v>
      </c>
      <c r="N173" s="73"/>
      <c r="O173" s="11" t="s">
        <v>27</v>
      </c>
      <c r="P173" s="7" t="s">
        <v>22</v>
      </c>
      <c r="Q173" s="14" t="b">
        <f t="shared" si="1"/>
        <v>1</v>
      </c>
      <c r="R173" s="15" t="b">
        <f t="shared" si="2"/>
        <v>0</v>
      </c>
      <c r="S173" s="15" t="str">
        <f t="shared" si="3"/>
        <v>APPROVED</v>
      </c>
    </row>
    <row r="174" ht="15.75" customHeight="1">
      <c r="A174" s="7" t="s">
        <v>613</v>
      </c>
      <c r="B174" s="13" t="s">
        <v>614</v>
      </c>
      <c r="C174" s="9">
        <v>45809.0</v>
      </c>
      <c r="D174" s="9">
        <v>45722.0</v>
      </c>
      <c r="E174" s="7" t="s">
        <v>21</v>
      </c>
      <c r="F174" s="7">
        <v>240.0</v>
      </c>
      <c r="G174" s="10">
        <v>119.0</v>
      </c>
      <c r="H174" s="7" t="s">
        <v>177</v>
      </c>
      <c r="I174" s="11" t="s">
        <v>23</v>
      </c>
      <c r="J174" s="11" t="s">
        <v>172</v>
      </c>
      <c r="K174" s="11" t="s">
        <v>25</v>
      </c>
      <c r="L174" s="16" t="s">
        <v>615</v>
      </c>
      <c r="M174" s="49" t="s">
        <v>616</v>
      </c>
      <c r="N174" s="73"/>
      <c r="O174" s="11" t="s">
        <v>27</v>
      </c>
      <c r="P174" s="7" t="s">
        <v>177</v>
      </c>
      <c r="Q174" s="14" t="b">
        <f t="shared" si="1"/>
        <v>1</v>
      </c>
      <c r="R174" s="15" t="b">
        <f t="shared" si="2"/>
        <v>0</v>
      </c>
      <c r="S174" s="15" t="str">
        <f t="shared" si="3"/>
        <v>APPROVED</v>
      </c>
    </row>
    <row r="175" ht="15.75" customHeight="1">
      <c r="A175" s="7" t="s">
        <v>617</v>
      </c>
      <c r="B175" s="13" t="s">
        <v>618</v>
      </c>
      <c r="C175" s="9">
        <v>45812.0</v>
      </c>
      <c r="D175" s="9">
        <v>45753.0</v>
      </c>
      <c r="E175" s="7" t="s">
        <v>21</v>
      </c>
      <c r="F175" s="7">
        <v>24.0</v>
      </c>
      <c r="G175" s="10">
        <v>119.0</v>
      </c>
      <c r="H175" s="7" t="s">
        <v>177</v>
      </c>
      <c r="I175" s="11" t="s">
        <v>23</v>
      </c>
      <c r="J175" s="11" t="s">
        <v>172</v>
      </c>
      <c r="K175" s="11" t="s">
        <v>25</v>
      </c>
      <c r="L175" s="16" t="s">
        <v>619</v>
      </c>
      <c r="M175" s="49" t="s">
        <v>620</v>
      </c>
      <c r="N175" s="73"/>
      <c r="O175" s="11" t="s">
        <v>27</v>
      </c>
      <c r="P175" s="7" t="s">
        <v>177</v>
      </c>
      <c r="Q175" s="14" t="b">
        <f t="shared" si="1"/>
        <v>1</v>
      </c>
      <c r="R175" s="15" t="b">
        <f t="shared" si="2"/>
        <v>0</v>
      </c>
      <c r="S175" s="15" t="str">
        <f t="shared" si="3"/>
        <v>APPROVED</v>
      </c>
    </row>
    <row r="176" ht="15.75" customHeight="1">
      <c r="A176" s="7" t="s">
        <v>621</v>
      </c>
      <c r="B176" s="13" t="s">
        <v>622</v>
      </c>
      <c r="C176" s="9">
        <v>45812.0</v>
      </c>
      <c r="D176" s="9">
        <v>45753.0</v>
      </c>
      <c r="E176" s="7" t="s">
        <v>21</v>
      </c>
      <c r="F176" s="7">
        <v>48.0</v>
      </c>
      <c r="G176" s="10">
        <v>118.18</v>
      </c>
      <c r="H176" s="7" t="s">
        <v>177</v>
      </c>
      <c r="I176" s="11" t="s">
        <v>23</v>
      </c>
      <c r="J176" s="11" t="s">
        <v>172</v>
      </c>
      <c r="K176" s="11" t="s">
        <v>25</v>
      </c>
      <c r="L176" s="16" t="s">
        <v>623</v>
      </c>
      <c r="M176" s="49" t="s">
        <v>624</v>
      </c>
      <c r="N176" s="49" t="s">
        <v>625</v>
      </c>
      <c r="O176" s="11" t="s">
        <v>27</v>
      </c>
      <c r="P176" s="7" t="s">
        <v>177</v>
      </c>
      <c r="Q176" s="14" t="b">
        <f t="shared" si="1"/>
        <v>1</v>
      </c>
      <c r="R176" s="15" t="b">
        <f t="shared" si="2"/>
        <v>0</v>
      </c>
      <c r="S176" s="15" t="str">
        <f t="shared" si="3"/>
        <v>APPROVED</v>
      </c>
    </row>
    <row r="177" ht="16.5" customHeight="1">
      <c r="A177" s="7" t="s">
        <v>626</v>
      </c>
      <c r="B177" s="13" t="s">
        <v>627</v>
      </c>
      <c r="C177" s="9">
        <v>45814.0</v>
      </c>
      <c r="D177" s="9">
        <v>45814.0</v>
      </c>
      <c r="E177" s="7" t="s">
        <v>21</v>
      </c>
      <c r="F177" s="7">
        <v>96.0</v>
      </c>
      <c r="G177" s="10">
        <v>119.0</v>
      </c>
      <c r="H177" s="7" t="s">
        <v>177</v>
      </c>
      <c r="I177" s="11" t="s">
        <v>23</v>
      </c>
      <c r="J177" s="11" t="s">
        <v>172</v>
      </c>
      <c r="K177" s="11" t="s">
        <v>25</v>
      </c>
      <c r="L177" s="16" t="s">
        <v>628</v>
      </c>
      <c r="M177" s="49" t="s">
        <v>629</v>
      </c>
      <c r="N177" s="73"/>
      <c r="O177" s="11" t="s">
        <v>27</v>
      </c>
      <c r="P177" s="7" t="s">
        <v>177</v>
      </c>
      <c r="Q177" s="14" t="b">
        <f t="shared" si="1"/>
        <v>1</v>
      </c>
      <c r="R177" s="15" t="b">
        <f t="shared" si="2"/>
        <v>0</v>
      </c>
      <c r="S177" s="15" t="str">
        <f t="shared" si="3"/>
        <v>APPROVED</v>
      </c>
    </row>
    <row r="178" ht="15.75" customHeight="1">
      <c r="A178" s="39" t="s">
        <v>630</v>
      </c>
      <c r="B178" s="64" t="s">
        <v>631</v>
      </c>
      <c r="C178" s="38">
        <v>45814.0</v>
      </c>
      <c r="D178" s="38">
        <v>45814.0</v>
      </c>
      <c r="E178" s="39" t="s">
        <v>21</v>
      </c>
      <c r="F178" s="39">
        <v>24.0</v>
      </c>
      <c r="G178" s="40">
        <v>119.0</v>
      </c>
      <c r="H178" s="39" t="s">
        <v>177</v>
      </c>
      <c r="I178" s="41" t="s">
        <v>23</v>
      </c>
      <c r="J178" s="41" t="s">
        <v>172</v>
      </c>
      <c r="K178" s="41" t="s">
        <v>25</v>
      </c>
      <c r="L178" s="76" t="s">
        <v>632</v>
      </c>
      <c r="M178" s="49" t="s">
        <v>633</v>
      </c>
      <c r="N178" s="77"/>
      <c r="O178" s="41" t="s">
        <v>27</v>
      </c>
      <c r="P178" s="39" t="s">
        <v>177</v>
      </c>
      <c r="Q178" s="14" t="b">
        <f t="shared" si="1"/>
        <v>1</v>
      </c>
      <c r="R178" s="15" t="b">
        <f t="shared" si="2"/>
        <v>0</v>
      </c>
      <c r="S178" s="15" t="str">
        <f t="shared" si="3"/>
        <v>APPROVED</v>
      </c>
    </row>
    <row r="179" ht="15.75" customHeight="1">
      <c r="A179" s="24" t="s">
        <v>634</v>
      </c>
      <c r="B179" s="25" t="s">
        <v>635</v>
      </c>
      <c r="C179" s="26">
        <v>45814.0</v>
      </c>
      <c r="D179" s="26">
        <v>45814.0</v>
      </c>
      <c r="E179" s="24" t="s">
        <v>21</v>
      </c>
      <c r="F179" s="24">
        <v>2.0</v>
      </c>
      <c r="G179" s="27">
        <v>119.0</v>
      </c>
      <c r="H179" s="24" t="s">
        <v>177</v>
      </c>
      <c r="I179" s="28" t="s">
        <v>23</v>
      </c>
      <c r="J179" s="28" t="s">
        <v>172</v>
      </c>
      <c r="K179" s="28" t="s">
        <v>84</v>
      </c>
      <c r="L179" s="96" t="s">
        <v>636</v>
      </c>
      <c r="M179" s="97" t="s">
        <v>637</v>
      </c>
      <c r="N179" s="97" t="s">
        <v>638</v>
      </c>
      <c r="O179" s="28" t="s">
        <v>27</v>
      </c>
      <c r="P179" s="24" t="s">
        <v>177</v>
      </c>
      <c r="Q179" s="14" t="b">
        <f t="shared" si="1"/>
        <v>0</v>
      </c>
      <c r="R179" s="15" t="b">
        <f t="shared" si="2"/>
        <v>0</v>
      </c>
      <c r="S179" s="15" t="str">
        <f t="shared" si="3"/>
        <v>PENDING</v>
      </c>
    </row>
    <row r="180" ht="15.75" customHeight="1">
      <c r="A180" s="7" t="s">
        <v>639</v>
      </c>
      <c r="B180" s="113" t="s">
        <v>640</v>
      </c>
      <c r="C180" s="9">
        <v>45814.0</v>
      </c>
      <c r="D180" s="9">
        <v>45814.0</v>
      </c>
      <c r="E180" s="7" t="s">
        <v>21</v>
      </c>
      <c r="F180" s="7">
        <v>24.0</v>
      </c>
      <c r="G180" s="10">
        <v>119.0</v>
      </c>
      <c r="H180" s="7" t="s">
        <v>177</v>
      </c>
      <c r="I180" s="11" t="s">
        <v>23</v>
      </c>
      <c r="J180" s="11" t="s">
        <v>172</v>
      </c>
      <c r="K180" s="11" t="s">
        <v>25</v>
      </c>
      <c r="L180" s="16" t="s">
        <v>641</v>
      </c>
      <c r="M180" s="49">
        <v>0.0</v>
      </c>
      <c r="N180" s="73"/>
      <c r="O180" s="11" t="s">
        <v>27</v>
      </c>
      <c r="P180" s="7" t="s">
        <v>177</v>
      </c>
      <c r="Q180" s="14" t="b">
        <f t="shared" si="1"/>
        <v>1</v>
      </c>
      <c r="R180" s="15" t="b">
        <f t="shared" si="2"/>
        <v>0</v>
      </c>
      <c r="S180" s="15" t="str">
        <f t="shared" si="3"/>
        <v>APPROVED</v>
      </c>
    </row>
    <row r="181" ht="15.75" customHeight="1">
      <c r="A181" s="7" t="s">
        <v>642</v>
      </c>
      <c r="B181" s="13" t="s">
        <v>643</v>
      </c>
      <c r="C181" s="9">
        <v>45814.0</v>
      </c>
      <c r="D181" s="9">
        <v>45814.0</v>
      </c>
      <c r="E181" s="7" t="s">
        <v>21</v>
      </c>
      <c r="F181" s="7">
        <v>24.0</v>
      </c>
      <c r="G181" s="10">
        <v>119.0</v>
      </c>
      <c r="H181" s="7" t="s">
        <v>177</v>
      </c>
      <c r="I181" s="11" t="s">
        <v>23</v>
      </c>
      <c r="J181" s="11" t="s">
        <v>172</v>
      </c>
      <c r="K181" s="11" t="s">
        <v>25</v>
      </c>
      <c r="L181" s="16" t="s">
        <v>644</v>
      </c>
      <c r="M181" s="49" t="s">
        <v>645</v>
      </c>
      <c r="N181" s="73"/>
      <c r="O181" s="11" t="s">
        <v>27</v>
      </c>
      <c r="P181" s="7" t="s">
        <v>177</v>
      </c>
      <c r="Q181" s="14" t="b">
        <f t="shared" si="1"/>
        <v>1</v>
      </c>
      <c r="R181" s="15" t="b">
        <f t="shared" si="2"/>
        <v>0</v>
      </c>
      <c r="S181" s="15" t="str">
        <f t="shared" si="3"/>
        <v>APPROVED</v>
      </c>
    </row>
    <row r="182" ht="15.75" customHeight="1">
      <c r="A182" s="7" t="s">
        <v>646</v>
      </c>
      <c r="B182" s="13" t="s">
        <v>647</v>
      </c>
      <c r="C182" s="9">
        <v>45815.0</v>
      </c>
      <c r="D182" s="9">
        <v>45906.0</v>
      </c>
      <c r="E182" s="7" t="s">
        <v>21</v>
      </c>
      <c r="F182" s="7">
        <v>480.0</v>
      </c>
      <c r="G182" s="10">
        <v>100.0</v>
      </c>
      <c r="H182" s="7" t="s">
        <v>177</v>
      </c>
      <c r="I182" s="11" t="s">
        <v>23</v>
      </c>
      <c r="J182" s="11" t="s">
        <v>172</v>
      </c>
      <c r="K182" s="11" t="s">
        <v>25</v>
      </c>
      <c r="L182" s="16" t="s">
        <v>648</v>
      </c>
      <c r="M182" s="49" t="s">
        <v>649</v>
      </c>
      <c r="N182" s="49" t="s">
        <v>650</v>
      </c>
      <c r="O182" s="11" t="s">
        <v>27</v>
      </c>
      <c r="P182" s="7" t="s">
        <v>177</v>
      </c>
      <c r="Q182" s="14" t="b">
        <f t="shared" si="1"/>
        <v>1</v>
      </c>
      <c r="R182" s="15" t="b">
        <f t="shared" si="2"/>
        <v>0</v>
      </c>
      <c r="S182" s="15" t="str">
        <f t="shared" si="3"/>
        <v>APPROVED</v>
      </c>
    </row>
    <row r="183" ht="15.75" customHeight="1">
      <c r="A183" s="30" t="s">
        <v>651</v>
      </c>
      <c r="B183" s="31" t="s">
        <v>217</v>
      </c>
      <c r="C183" s="32">
        <v>45816.0</v>
      </c>
      <c r="D183" s="114"/>
      <c r="E183" s="30" t="s">
        <v>21</v>
      </c>
      <c r="F183" s="30"/>
      <c r="G183" s="33"/>
      <c r="H183" s="30" t="s">
        <v>22</v>
      </c>
      <c r="I183" s="34" t="s">
        <v>23</v>
      </c>
      <c r="J183" s="34" t="s">
        <v>30</v>
      </c>
      <c r="K183" s="34" t="s">
        <v>49</v>
      </c>
      <c r="L183" s="66" t="s">
        <v>652</v>
      </c>
      <c r="M183" s="69"/>
      <c r="N183" s="70" t="s">
        <v>653</v>
      </c>
      <c r="O183" s="30" t="s">
        <v>98</v>
      </c>
      <c r="P183" s="30" t="s">
        <v>22</v>
      </c>
      <c r="Q183" s="14" t="b">
        <f t="shared" si="1"/>
        <v>0</v>
      </c>
      <c r="R183" s="15" t="b">
        <f t="shared" si="2"/>
        <v>1</v>
      </c>
      <c r="S183" s="15" t="str">
        <f t="shared" si="3"/>
        <v>PENDING</v>
      </c>
    </row>
    <row r="184" ht="15.75" customHeight="1">
      <c r="A184" s="30" t="s">
        <v>654</v>
      </c>
      <c r="B184" s="31" t="s">
        <v>531</v>
      </c>
      <c r="C184" s="32">
        <v>45816.0</v>
      </c>
      <c r="D184" s="32"/>
      <c r="E184" s="30" t="s">
        <v>21</v>
      </c>
      <c r="F184" s="30"/>
      <c r="G184" s="33"/>
      <c r="H184" s="30" t="s">
        <v>525</v>
      </c>
      <c r="I184" s="34" t="s">
        <v>23</v>
      </c>
      <c r="J184" s="34" t="s">
        <v>30</v>
      </c>
      <c r="K184" s="34" t="s">
        <v>49</v>
      </c>
      <c r="L184" s="66" t="s">
        <v>655</v>
      </c>
      <c r="M184" s="69" t="s">
        <v>432</v>
      </c>
      <c r="N184" s="70" t="s">
        <v>653</v>
      </c>
      <c r="O184" s="30" t="s">
        <v>98</v>
      </c>
      <c r="P184" s="30" t="s">
        <v>525</v>
      </c>
      <c r="Q184" s="14" t="b">
        <f t="shared" si="1"/>
        <v>0</v>
      </c>
      <c r="R184" s="15" t="b">
        <f t="shared" si="2"/>
        <v>1</v>
      </c>
      <c r="S184" s="15" t="str">
        <f t="shared" si="3"/>
        <v>PENDING</v>
      </c>
    </row>
    <row r="185" ht="15.75" customHeight="1">
      <c r="A185" s="24" t="s">
        <v>656</v>
      </c>
      <c r="B185" s="115" t="s">
        <v>60</v>
      </c>
      <c r="C185" s="26">
        <v>45817.0</v>
      </c>
      <c r="D185" s="26">
        <v>45936.0</v>
      </c>
      <c r="E185" s="24" t="s">
        <v>21</v>
      </c>
      <c r="F185" s="24">
        <v>120.0</v>
      </c>
      <c r="G185" s="27">
        <v>110.0</v>
      </c>
      <c r="H185" s="24" t="s">
        <v>22</v>
      </c>
      <c r="I185" s="28" t="s">
        <v>23</v>
      </c>
      <c r="J185" s="28" t="s">
        <v>48</v>
      </c>
      <c r="K185" s="28" t="s">
        <v>84</v>
      </c>
      <c r="L185" s="96" t="s">
        <v>657</v>
      </c>
      <c r="M185" s="97" t="s">
        <v>658</v>
      </c>
      <c r="N185" s="116" t="s">
        <v>659</v>
      </c>
      <c r="O185" s="28" t="s">
        <v>27</v>
      </c>
      <c r="P185" s="24" t="s">
        <v>22</v>
      </c>
      <c r="Q185" s="14" t="b">
        <f t="shared" si="1"/>
        <v>0</v>
      </c>
      <c r="R185" s="15" t="b">
        <f t="shared" si="2"/>
        <v>0</v>
      </c>
      <c r="S185" s="15" t="str">
        <f t="shared" si="3"/>
        <v>PENDING</v>
      </c>
    </row>
    <row r="186" ht="15.75" customHeight="1">
      <c r="A186" s="39" t="s">
        <v>660</v>
      </c>
      <c r="B186" s="37" t="s">
        <v>661</v>
      </c>
      <c r="C186" s="38">
        <v>45817.0</v>
      </c>
      <c r="D186" s="38">
        <v>45906.0</v>
      </c>
      <c r="E186" s="39" t="s">
        <v>21</v>
      </c>
      <c r="F186" s="39">
        <v>24.0</v>
      </c>
      <c r="G186" s="40">
        <v>119.0</v>
      </c>
      <c r="H186" s="39" t="s">
        <v>177</v>
      </c>
      <c r="I186" s="41" t="s">
        <v>23</v>
      </c>
      <c r="J186" s="41" t="s">
        <v>172</v>
      </c>
      <c r="K186" s="41" t="s">
        <v>25</v>
      </c>
      <c r="L186" s="76" t="s">
        <v>662</v>
      </c>
      <c r="M186" s="49" t="s">
        <v>663</v>
      </c>
      <c r="N186" s="77"/>
      <c r="O186" s="41" t="s">
        <v>27</v>
      </c>
      <c r="P186" s="39" t="s">
        <v>177</v>
      </c>
      <c r="Q186" s="14" t="b">
        <f t="shared" si="1"/>
        <v>1</v>
      </c>
      <c r="R186" s="15" t="b">
        <f t="shared" si="2"/>
        <v>0</v>
      </c>
      <c r="S186" s="15" t="str">
        <f t="shared" si="3"/>
        <v>APPROVED</v>
      </c>
    </row>
    <row r="187" ht="15.75" customHeight="1">
      <c r="A187" s="7" t="s">
        <v>664</v>
      </c>
      <c r="B187" s="13" t="s">
        <v>665</v>
      </c>
      <c r="C187" s="9">
        <v>45817.0</v>
      </c>
      <c r="D187" s="9">
        <v>45906.0</v>
      </c>
      <c r="E187" s="7" t="s">
        <v>21</v>
      </c>
      <c r="F187" s="7">
        <v>24.0</v>
      </c>
      <c r="G187" s="10">
        <v>119.0</v>
      </c>
      <c r="H187" s="7" t="s">
        <v>177</v>
      </c>
      <c r="I187" s="11" t="s">
        <v>23</v>
      </c>
      <c r="J187" s="11" t="s">
        <v>172</v>
      </c>
      <c r="K187" s="11" t="s">
        <v>25</v>
      </c>
      <c r="L187" s="16" t="s">
        <v>666</v>
      </c>
      <c r="M187" s="49" t="s">
        <v>667</v>
      </c>
      <c r="N187" s="73"/>
      <c r="O187" s="11" t="s">
        <v>27</v>
      </c>
      <c r="P187" s="7" t="s">
        <v>177</v>
      </c>
      <c r="Q187" s="14" t="b">
        <f t="shared" si="1"/>
        <v>1</v>
      </c>
      <c r="R187" s="15" t="b">
        <f t="shared" si="2"/>
        <v>0</v>
      </c>
      <c r="S187" s="15" t="str">
        <f t="shared" si="3"/>
        <v>APPROVED</v>
      </c>
    </row>
    <row r="188" ht="15.75" customHeight="1">
      <c r="A188" s="39" t="s">
        <v>668</v>
      </c>
      <c r="B188" s="64" t="s">
        <v>669</v>
      </c>
      <c r="C188" s="38">
        <v>45817.0</v>
      </c>
      <c r="D188" s="38">
        <v>45906.0</v>
      </c>
      <c r="E188" s="39" t="s">
        <v>21</v>
      </c>
      <c r="F188" s="39">
        <v>24.0</v>
      </c>
      <c r="G188" s="40">
        <v>119.0</v>
      </c>
      <c r="H188" s="39" t="s">
        <v>177</v>
      </c>
      <c r="I188" s="41" t="s">
        <v>23</v>
      </c>
      <c r="J188" s="41" t="s">
        <v>172</v>
      </c>
      <c r="K188" s="41" t="s">
        <v>25</v>
      </c>
      <c r="L188" s="76" t="s">
        <v>670</v>
      </c>
      <c r="M188" s="67"/>
      <c r="N188" s="77"/>
      <c r="O188" s="41" t="s">
        <v>27</v>
      </c>
      <c r="P188" s="39" t="s">
        <v>177</v>
      </c>
      <c r="Q188" s="14" t="b">
        <f t="shared" si="1"/>
        <v>1</v>
      </c>
      <c r="R188" s="15" t="b">
        <f t="shared" si="2"/>
        <v>0</v>
      </c>
      <c r="S188" s="15" t="str">
        <f t="shared" si="3"/>
        <v>APPROVED</v>
      </c>
    </row>
    <row r="189" ht="15.75" customHeight="1">
      <c r="A189" s="7" t="s">
        <v>671</v>
      </c>
      <c r="B189" s="13" t="s">
        <v>672</v>
      </c>
      <c r="C189" s="9">
        <v>45811.0</v>
      </c>
      <c r="D189" s="9">
        <v>45722.0</v>
      </c>
      <c r="E189" s="7" t="s">
        <v>21</v>
      </c>
      <c r="F189" s="7">
        <v>24.0</v>
      </c>
      <c r="G189" s="10">
        <v>118.18</v>
      </c>
      <c r="H189" s="7" t="s">
        <v>22</v>
      </c>
      <c r="I189" s="11" t="s">
        <v>23</v>
      </c>
      <c r="J189" s="11" t="s">
        <v>172</v>
      </c>
      <c r="K189" s="11" t="s">
        <v>25</v>
      </c>
      <c r="L189" s="16" t="s">
        <v>673</v>
      </c>
      <c r="M189" s="49" t="s">
        <v>674</v>
      </c>
      <c r="N189" s="73" t="s">
        <v>675</v>
      </c>
      <c r="O189" s="11" t="s">
        <v>27</v>
      </c>
      <c r="P189" s="7" t="s">
        <v>22</v>
      </c>
      <c r="Q189" s="14" t="b">
        <f t="shared" si="1"/>
        <v>1</v>
      </c>
      <c r="R189" s="15" t="b">
        <f t="shared" si="2"/>
        <v>0</v>
      </c>
      <c r="S189" s="15" t="str">
        <f t="shared" si="3"/>
        <v>APPROVED</v>
      </c>
    </row>
    <row r="190" ht="15.75" customHeight="1">
      <c r="A190" s="7" t="s">
        <v>676</v>
      </c>
      <c r="B190" s="13" t="s">
        <v>181</v>
      </c>
      <c r="C190" s="9">
        <v>45806.0</v>
      </c>
      <c r="D190" s="9">
        <v>45806.0</v>
      </c>
      <c r="E190" s="7" t="s">
        <v>21</v>
      </c>
      <c r="F190" s="7">
        <v>120.0</v>
      </c>
      <c r="G190" s="10">
        <v>121.84</v>
      </c>
      <c r="H190" s="7" t="s">
        <v>171</v>
      </c>
      <c r="I190" s="11" t="s">
        <v>23</v>
      </c>
      <c r="J190" s="11" t="s">
        <v>172</v>
      </c>
      <c r="K190" s="11" t="s">
        <v>25</v>
      </c>
      <c r="L190" s="16" t="s">
        <v>677</v>
      </c>
      <c r="M190" s="49" t="s">
        <v>678</v>
      </c>
      <c r="N190" s="73"/>
      <c r="O190" s="68" t="s">
        <v>417</v>
      </c>
      <c r="P190" s="7" t="s">
        <v>171</v>
      </c>
      <c r="Q190" s="14" t="b">
        <f t="shared" si="1"/>
        <v>1</v>
      </c>
      <c r="R190" s="15" t="b">
        <f t="shared" si="2"/>
        <v>0</v>
      </c>
      <c r="S190" s="15" t="str">
        <f t="shared" si="3"/>
        <v>APPROVED</v>
      </c>
    </row>
    <row r="191" ht="15.75" customHeight="1">
      <c r="A191" s="117" t="s">
        <v>679</v>
      </c>
      <c r="B191" s="118" t="s">
        <v>680</v>
      </c>
      <c r="C191" s="119">
        <v>45811.0</v>
      </c>
      <c r="D191" s="119">
        <v>45722.0</v>
      </c>
      <c r="E191" s="117" t="s">
        <v>21</v>
      </c>
      <c r="F191" s="117">
        <v>48.0</v>
      </c>
      <c r="G191" s="120">
        <v>121.84</v>
      </c>
      <c r="H191" s="117" t="s">
        <v>171</v>
      </c>
      <c r="I191" s="121" t="s">
        <v>23</v>
      </c>
      <c r="J191" s="121" t="s">
        <v>172</v>
      </c>
      <c r="K191" s="121" t="s">
        <v>49</v>
      </c>
      <c r="L191" s="122" t="s">
        <v>681</v>
      </c>
      <c r="M191" s="123" t="s">
        <v>682</v>
      </c>
      <c r="N191" s="124" t="s">
        <v>683</v>
      </c>
      <c r="O191" s="121" t="s">
        <v>27</v>
      </c>
      <c r="P191" s="117" t="s">
        <v>171</v>
      </c>
      <c r="Q191" s="14" t="b">
        <f t="shared" si="1"/>
        <v>0</v>
      </c>
      <c r="R191" s="15" t="b">
        <f t="shared" si="2"/>
        <v>0</v>
      </c>
      <c r="S191" s="15" t="str">
        <f t="shared" si="3"/>
        <v>PENDING</v>
      </c>
    </row>
    <row r="192" ht="15.75" customHeight="1">
      <c r="A192" s="7" t="s">
        <v>684</v>
      </c>
      <c r="B192" s="8" t="s">
        <v>685</v>
      </c>
      <c r="C192" s="9">
        <v>45819.0</v>
      </c>
      <c r="D192" s="9">
        <v>45967.0</v>
      </c>
      <c r="E192" s="7" t="s">
        <v>21</v>
      </c>
      <c r="F192" s="7">
        <v>24.0</v>
      </c>
      <c r="G192" s="10">
        <v>100.0</v>
      </c>
      <c r="H192" s="7" t="s">
        <v>22</v>
      </c>
      <c r="I192" s="11" t="s">
        <v>23</v>
      </c>
      <c r="J192" s="11" t="s">
        <v>30</v>
      </c>
      <c r="K192" s="11" t="s">
        <v>25</v>
      </c>
      <c r="L192" s="16" t="s">
        <v>686</v>
      </c>
      <c r="M192" s="49"/>
      <c r="N192" s="73"/>
      <c r="O192" s="11" t="s">
        <v>27</v>
      </c>
      <c r="P192" s="7" t="s">
        <v>22</v>
      </c>
      <c r="Q192" s="14" t="b">
        <f t="shared" si="1"/>
        <v>1</v>
      </c>
      <c r="R192" s="15" t="b">
        <f t="shared" si="2"/>
        <v>0</v>
      </c>
      <c r="S192" s="15" t="str">
        <f t="shared" si="3"/>
        <v>APPROVED</v>
      </c>
    </row>
    <row r="193" ht="15.75" customHeight="1">
      <c r="A193" s="7" t="s">
        <v>687</v>
      </c>
      <c r="B193" s="8" t="s">
        <v>685</v>
      </c>
      <c r="C193" s="9">
        <v>45819.0</v>
      </c>
      <c r="D193" s="72" t="s">
        <v>688</v>
      </c>
      <c r="E193" s="7" t="s">
        <v>21</v>
      </c>
      <c r="F193" s="7">
        <v>52.0</v>
      </c>
      <c r="G193" s="10">
        <v>112.0</v>
      </c>
      <c r="H193" s="7" t="s">
        <v>22</v>
      </c>
      <c r="I193" s="11" t="s">
        <v>23</v>
      </c>
      <c r="J193" s="11" t="s">
        <v>30</v>
      </c>
      <c r="K193" s="11" t="s">
        <v>25</v>
      </c>
      <c r="L193" s="16" t="s">
        <v>686</v>
      </c>
      <c r="M193" s="49"/>
      <c r="N193" s="73"/>
      <c r="O193" s="11" t="s">
        <v>27</v>
      </c>
      <c r="P193" s="7" t="s">
        <v>22</v>
      </c>
      <c r="Q193" s="14" t="b">
        <f t="shared" si="1"/>
        <v>1</v>
      </c>
      <c r="R193" s="15" t="b">
        <f t="shared" si="2"/>
        <v>0</v>
      </c>
      <c r="S193" s="15" t="str">
        <f t="shared" si="3"/>
        <v>APPROVED</v>
      </c>
    </row>
    <row r="194" ht="15.75" customHeight="1">
      <c r="A194" s="7" t="s">
        <v>689</v>
      </c>
      <c r="B194" s="13" t="s">
        <v>306</v>
      </c>
      <c r="C194" s="9">
        <v>45824.0</v>
      </c>
      <c r="D194" s="9">
        <v>45824.0</v>
      </c>
      <c r="E194" s="7" t="s">
        <v>21</v>
      </c>
      <c r="F194" s="7">
        <v>24.0</v>
      </c>
      <c r="G194" s="10">
        <v>119.0</v>
      </c>
      <c r="H194" s="7" t="s">
        <v>177</v>
      </c>
      <c r="I194" s="11" t="s">
        <v>23</v>
      </c>
      <c r="J194" s="11" t="s">
        <v>172</v>
      </c>
      <c r="K194" s="11" t="s">
        <v>25</v>
      </c>
      <c r="L194" s="16" t="s">
        <v>690</v>
      </c>
      <c r="M194" s="49" t="s">
        <v>691</v>
      </c>
      <c r="N194" s="73"/>
      <c r="O194" s="11" t="s">
        <v>27</v>
      </c>
      <c r="P194" s="7" t="s">
        <v>177</v>
      </c>
      <c r="Q194" s="14" t="b">
        <f t="shared" si="1"/>
        <v>1</v>
      </c>
      <c r="R194" s="15" t="b">
        <f t="shared" si="2"/>
        <v>0</v>
      </c>
      <c r="S194" s="15" t="str">
        <f t="shared" si="3"/>
        <v>APPROVED</v>
      </c>
    </row>
    <row r="195" ht="15.75" customHeight="1">
      <c r="A195" s="7" t="s">
        <v>692</v>
      </c>
      <c r="B195" s="13" t="s">
        <v>693</v>
      </c>
      <c r="C195" s="9">
        <v>45824.0</v>
      </c>
      <c r="D195" s="9" t="s">
        <v>694</v>
      </c>
      <c r="E195" s="7" t="s">
        <v>21</v>
      </c>
      <c r="F195" s="7">
        <v>24.0</v>
      </c>
      <c r="G195" s="10">
        <v>119.0</v>
      </c>
      <c r="H195" s="7" t="s">
        <v>177</v>
      </c>
      <c r="I195" s="11" t="s">
        <v>23</v>
      </c>
      <c r="J195" s="11" t="s">
        <v>172</v>
      </c>
      <c r="K195" s="11" t="s">
        <v>25</v>
      </c>
      <c r="L195" s="16" t="s">
        <v>695</v>
      </c>
      <c r="M195" s="49" t="s">
        <v>696</v>
      </c>
      <c r="N195" s="73"/>
      <c r="O195" s="11" t="s">
        <v>27</v>
      </c>
      <c r="P195" s="7" t="s">
        <v>177</v>
      </c>
      <c r="Q195" s="14" t="b">
        <f t="shared" si="1"/>
        <v>1</v>
      </c>
      <c r="R195" s="15" t="b">
        <f t="shared" si="2"/>
        <v>0</v>
      </c>
      <c r="S195" s="15" t="str">
        <f t="shared" si="3"/>
        <v>APPROVED</v>
      </c>
    </row>
    <row r="196" ht="15.75" customHeight="1">
      <c r="A196" s="7" t="s">
        <v>697</v>
      </c>
      <c r="B196" s="13" t="s">
        <v>698</v>
      </c>
      <c r="C196" s="9">
        <v>45824.0</v>
      </c>
      <c r="D196" s="9">
        <v>45824.0</v>
      </c>
      <c r="E196" s="7" t="s">
        <v>21</v>
      </c>
      <c r="F196" s="7">
        <v>24.0</v>
      </c>
      <c r="G196" s="10">
        <v>118.18</v>
      </c>
      <c r="H196" s="7" t="s">
        <v>177</v>
      </c>
      <c r="I196" s="11" t="s">
        <v>23</v>
      </c>
      <c r="J196" s="11" t="s">
        <v>172</v>
      </c>
      <c r="K196" s="11" t="s">
        <v>25</v>
      </c>
      <c r="L196" s="16" t="s">
        <v>699</v>
      </c>
      <c r="M196" s="67" t="s">
        <v>274</v>
      </c>
      <c r="N196" s="73"/>
      <c r="O196" s="11" t="s">
        <v>27</v>
      </c>
      <c r="P196" s="7" t="s">
        <v>177</v>
      </c>
      <c r="Q196" s="14" t="b">
        <f t="shared" si="1"/>
        <v>1</v>
      </c>
      <c r="R196" s="15" t="b">
        <f t="shared" si="2"/>
        <v>0</v>
      </c>
      <c r="S196" s="15" t="str">
        <f t="shared" si="3"/>
        <v>APPROVED</v>
      </c>
    </row>
    <row r="197" ht="15.75" customHeight="1">
      <c r="A197" s="7" t="s">
        <v>700</v>
      </c>
      <c r="B197" s="48" t="s">
        <v>701</v>
      </c>
      <c r="C197" s="9">
        <v>45824.0</v>
      </c>
      <c r="D197" s="9">
        <v>45824.0</v>
      </c>
      <c r="E197" s="7" t="s">
        <v>21</v>
      </c>
      <c r="F197" s="7">
        <v>24.0</v>
      </c>
      <c r="G197" s="10">
        <v>119.0</v>
      </c>
      <c r="H197" s="7" t="s">
        <v>177</v>
      </c>
      <c r="I197" s="11" t="s">
        <v>23</v>
      </c>
      <c r="J197" s="11" t="s">
        <v>172</v>
      </c>
      <c r="K197" s="11" t="s">
        <v>25</v>
      </c>
      <c r="L197" s="16" t="s">
        <v>702</v>
      </c>
      <c r="M197" s="49" t="s">
        <v>703</v>
      </c>
      <c r="N197" s="49" t="s">
        <v>704</v>
      </c>
      <c r="O197" s="11" t="s">
        <v>27</v>
      </c>
      <c r="P197" s="7" t="s">
        <v>177</v>
      </c>
      <c r="Q197" s="14" t="b">
        <f t="shared" si="1"/>
        <v>1</v>
      </c>
      <c r="R197" s="15" t="b">
        <f t="shared" si="2"/>
        <v>0</v>
      </c>
      <c r="S197" s="15" t="str">
        <f t="shared" si="3"/>
        <v>APPROVED</v>
      </c>
    </row>
    <row r="198" ht="15.75" customHeight="1">
      <c r="A198" s="7" t="s">
        <v>705</v>
      </c>
      <c r="B198" s="8" t="s">
        <v>217</v>
      </c>
      <c r="C198" s="9">
        <v>45825.0</v>
      </c>
      <c r="D198" s="9">
        <v>45825.0</v>
      </c>
      <c r="E198" s="7" t="s">
        <v>21</v>
      </c>
      <c r="F198" s="7">
        <v>48.0</v>
      </c>
      <c r="G198" s="10">
        <v>119.0</v>
      </c>
      <c r="H198" s="7" t="s">
        <v>177</v>
      </c>
      <c r="I198" s="11" t="s">
        <v>23</v>
      </c>
      <c r="J198" s="11" t="s">
        <v>172</v>
      </c>
      <c r="K198" s="11" t="s">
        <v>25</v>
      </c>
      <c r="L198" s="16" t="s">
        <v>652</v>
      </c>
      <c r="M198" s="49" t="s">
        <v>706</v>
      </c>
      <c r="N198" s="73"/>
      <c r="O198" s="11" t="s">
        <v>27</v>
      </c>
      <c r="P198" s="7" t="s">
        <v>177</v>
      </c>
      <c r="Q198" s="14" t="b">
        <f t="shared" si="1"/>
        <v>1</v>
      </c>
      <c r="R198" s="15" t="b">
        <f t="shared" si="2"/>
        <v>0</v>
      </c>
      <c r="S198" s="15" t="str">
        <f t="shared" si="3"/>
        <v>APPROVED</v>
      </c>
    </row>
    <row r="199" ht="15.75" customHeight="1">
      <c r="A199" s="7" t="s">
        <v>707</v>
      </c>
      <c r="B199" s="13" t="s">
        <v>708</v>
      </c>
      <c r="C199" s="9">
        <v>45825.0</v>
      </c>
      <c r="D199" s="9">
        <v>45825.0</v>
      </c>
      <c r="E199" s="7" t="s">
        <v>21</v>
      </c>
      <c r="F199" s="7">
        <v>24.0</v>
      </c>
      <c r="G199" s="10">
        <v>118.18</v>
      </c>
      <c r="H199" s="7" t="s">
        <v>177</v>
      </c>
      <c r="I199" s="11" t="s">
        <v>23</v>
      </c>
      <c r="J199" s="11" t="s">
        <v>172</v>
      </c>
      <c r="K199" s="11" t="s">
        <v>25</v>
      </c>
      <c r="L199" s="16" t="s">
        <v>709</v>
      </c>
      <c r="M199" s="49" t="s">
        <v>710</v>
      </c>
      <c r="N199" s="73"/>
      <c r="O199" s="11" t="s">
        <v>27</v>
      </c>
      <c r="P199" s="7" t="s">
        <v>177</v>
      </c>
      <c r="Q199" s="14" t="b">
        <f t="shared" si="1"/>
        <v>1</v>
      </c>
      <c r="R199" s="15" t="b">
        <f t="shared" si="2"/>
        <v>0</v>
      </c>
      <c r="S199" s="15" t="str">
        <f t="shared" si="3"/>
        <v>APPROVED</v>
      </c>
    </row>
    <row r="200" ht="15.75" customHeight="1">
      <c r="A200" s="7" t="s">
        <v>711</v>
      </c>
      <c r="B200" s="8" t="s">
        <v>394</v>
      </c>
      <c r="C200" s="9">
        <v>45825.0</v>
      </c>
      <c r="D200" s="9">
        <v>45825.0</v>
      </c>
      <c r="E200" s="7" t="s">
        <v>21</v>
      </c>
      <c r="F200" s="7">
        <v>48.0</v>
      </c>
      <c r="G200" s="10">
        <v>125.0</v>
      </c>
      <c r="H200" s="7" t="s">
        <v>22</v>
      </c>
      <c r="I200" s="11" t="s">
        <v>23</v>
      </c>
      <c r="J200" s="11" t="s">
        <v>35</v>
      </c>
      <c r="K200" s="11" t="s">
        <v>25</v>
      </c>
      <c r="L200" s="16" t="s">
        <v>399</v>
      </c>
      <c r="M200" s="12" t="s">
        <v>712</v>
      </c>
      <c r="N200" s="73"/>
      <c r="O200" s="11" t="s">
        <v>27</v>
      </c>
      <c r="P200" s="7" t="s">
        <v>22</v>
      </c>
      <c r="Q200" s="14" t="b">
        <f t="shared" si="1"/>
        <v>1</v>
      </c>
      <c r="R200" s="15" t="b">
        <f t="shared" si="2"/>
        <v>0</v>
      </c>
      <c r="S200" s="15" t="str">
        <f t="shared" si="3"/>
        <v>APPROVED</v>
      </c>
    </row>
    <row r="201" ht="15.75" customHeight="1">
      <c r="A201" s="7" t="s">
        <v>713</v>
      </c>
      <c r="B201" s="8" t="s">
        <v>714</v>
      </c>
      <c r="C201" s="72">
        <v>45826.0</v>
      </c>
      <c r="D201" s="9"/>
      <c r="E201" s="7" t="s">
        <v>21</v>
      </c>
      <c r="F201" s="7">
        <v>24.0</v>
      </c>
      <c r="G201" s="10"/>
      <c r="H201" s="7" t="s">
        <v>715</v>
      </c>
      <c r="I201" s="11" t="s">
        <v>23</v>
      </c>
      <c r="J201" s="7"/>
      <c r="K201" s="7" t="s">
        <v>31</v>
      </c>
      <c r="L201" s="16"/>
      <c r="M201" s="49" t="s">
        <v>432</v>
      </c>
      <c r="N201" s="125" t="s">
        <v>716</v>
      </c>
      <c r="O201" s="68" t="s">
        <v>417</v>
      </c>
      <c r="P201" s="7" t="s">
        <v>715</v>
      </c>
      <c r="Q201" s="14" t="b">
        <f t="shared" si="1"/>
        <v>0</v>
      </c>
      <c r="R201" s="15" t="b">
        <f t="shared" si="2"/>
        <v>0</v>
      </c>
      <c r="S201" s="15" t="str">
        <f t="shared" si="3"/>
        <v>PENDING</v>
      </c>
    </row>
    <row r="202" ht="15.75" customHeight="1">
      <c r="A202" s="7" t="s">
        <v>717</v>
      </c>
      <c r="B202" s="13" t="s">
        <v>718</v>
      </c>
      <c r="C202" s="9">
        <v>45826.0</v>
      </c>
      <c r="D202" s="9">
        <v>45826.0</v>
      </c>
      <c r="E202" s="7" t="s">
        <v>21</v>
      </c>
      <c r="F202" s="7">
        <v>24.0</v>
      </c>
      <c r="G202" s="10">
        <v>119.0</v>
      </c>
      <c r="H202" s="7" t="s">
        <v>177</v>
      </c>
      <c r="I202" s="11" t="s">
        <v>23</v>
      </c>
      <c r="J202" s="11" t="s">
        <v>172</v>
      </c>
      <c r="K202" s="11" t="s">
        <v>25</v>
      </c>
      <c r="L202" s="16" t="s">
        <v>719</v>
      </c>
      <c r="M202" s="49" t="s">
        <v>720</v>
      </c>
      <c r="N202" s="73"/>
      <c r="O202" s="11" t="s">
        <v>27</v>
      </c>
      <c r="P202" s="7" t="s">
        <v>177</v>
      </c>
      <c r="Q202" s="14" t="b">
        <f t="shared" si="1"/>
        <v>1</v>
      </c>
      <c r="R202" s="15" t="b">
        <f t="shared" si="2"/>
        <v>0</v>
      </c>
      <c r="S202" s="15" t="str">
        <f t="shared" si="3"/>
        <v>APPROVED</v>
      </c>
    </row>
    <row r="203" ht="15.75" customHeight="1">
      <c r="A203" s="7" t="s">
        <v>721</v>
      </c>
      <c r="B203" s="126" t="s">
        <v>722</v>
      </c>
      <c r="C203" s="72">
        <v>45826.0</v>
      </c>
      <c r="D203" s="9">
        <v>45826.0</v>
      </c>
      <c r="E203" s="7" t="s">
        <v>21</v>
      </c>
      <c r="F203" s="7">
        <v>24.0</v>
      </c>
      <c r="G203" s="10">
        <v>119.0</v>
      </c>
      <c r="H203" s="7" t="s">
        <v>177</v>
      </c>
      <c r="I203" s="11" t="s">
        <v>23</v>
      </c>
      <c r="J203" s="11" t="s">
        <v>172</v>
      </c>
      <c r="K203" s="11" t="s">
        <v>25</v>
      </c>
      <c r="L203" s="16" t="s">
        <v>723</v>
      </c>
      <c r="M203" s="49" t="s">
        <v>724</v>
      </c>
      <c r="N203" s="73"/>
      <c r="O203" s="11" t="s">
        <v>27</v>
      </c>
      <c r="P203" s="7" t="s">
        <v>177</v>
      </c>
      <c r="Q203" s="14" t="b">
        <f t="shared" si="1"/>
        <v>1</v>
      </c>
      <c r="R203" s="15" t="b">
        <f t="shared" si="2"/>
        <v>0</v>
      </c>
      <c r="S203" s="15" t="str">
        <f t="shared" si="3"/>
        <v>APPROVED</v>
      </c>
    </row>
    <row r="204" ht="15.75" customHeight="1">
      <c r="A204" s="7" t="s">
        <v>725</v>
      </c>
      <c r="B204" s="8" t="s">
        <v>726</v>
      </c>
      <c r="C204" s="72">
        <v>45826.0</v>
      </c>
      <c r="D204" s="72">
        <v>45826.0</v>
      </c>
      <c r="E204" s="7" t="s">
        <v>21</v>
      </c>
      <c r="F204" s="7">
        <v>24.0</v>
      </c>
      <c r="G204" s="10">
        <v>119.0</v>
      </c>
      <c r="H204" s="7" t="s">
        <v>177</v>
      </c>
      <c r="I204" s="11" t="s">
        <v>23</v>
      </c>
      <c r="J204" s="11" t="s">
        <v>172</v>
      </c>
      <c r="K204" s="11" t="s">
        <v>25</v>
      </c>
      <c r="L204" s="16" t="s">
        <v>727</v>
      </c>
      <c r="M204" s="49" t="s">
        <v>728</v>
      </c>
      <c r="N204" s="73"/>
      <c r="O204" s="11" t="s">
        <v>27</v>
      </c>
      <c r="P204" s="7" t="s">
        <v>177</v>
      </c>
      <c r="Q204" s="14" t="b">
        <f t="shared" si="1"/>
        <v>1</v>
      </c>
      <c r="R204" s="15" t="b">
        <f t="shared" si="2"/>
        <v>0</v>
      </c>
      <c r="S204" s="15" t="str">
        <f t="shared" si="3"/>
        <v>APPROVED</v>
      </c>
    </row>
    <row r="205" ht="15.75" customHeight="1">
      <c r="A205" s="7" t="s">
        <v>729</v>
      </c>
      <c r="B205" s="13" t="s">
        <v>730</v>
      </c>
      <c r="C205" s="9">
        <v>45826.0</v>
      </c>
      <c r="D205" s="9">
        <v>45826.0</v>
      </c>
      <c r="E205" s="7" t="s">
        <v>21</v>
      </c>
      <c r="F205" s="7">
        <v>48.0</v>
      </c>
      <c r="G205" s="10">
        <v>119.0</v>
      </c>
      <c r="H205" s="7" t="s">
        <v>177</v>
      </c>
      <c r="I205" s="11" t="s">
        <v>23</v>
      </c>
      <c r="J205" s="11" t="s">
        <v>172</v>
      </c>
      <c r="K205" s="11" t="s">
        <v>25</v>
      </c>
      <c r="L205" s="16" t="s">
        <v>731</v>
      </c>
      <c r="M205" s="49" t="s">
        <v>732</v>
      </c>
      <c r="N205" s="73"/>
      <c r="O205" s="11" t="s">
        <v>27</v>
      </c>
      <c r="P205" s="7" t="s">
        <v>177</v>
      </c>
      <c r="Q205" s="14" t="b">
        <f t="shared" si="1"/>
        <v>1</v>
      </c>
      <c r="R205" s="15" t="b">
        <f t="shared" si="2"/>
        <v>0</v>
      </c>
      <c r="S205" s="15" t="str">
        <f t="shared" si="3"/>
        <v>APPROVED</v>
      </c>
    </row>
    <row r="206" ht="15.75" customHeight="1">
      <c r="A206" s="7" t="s">
        <v>733</v>
      </c>
      <c r="B206" s="13" t="s">
        <v>106</v>
      </c>
      <c r="C206" s="9">
        <v>45827.0</v>
      </c>
      <c r="D206" s="9">
        <v>45828.0</v>
      </c>
      <c r="E206" s="7" t="s">
        <v>21</v>
      </c>
      <c r="F206" s="7">
        <v>48.0</v>
      </c>
      <c r="G206" s="10">
        <v>128.5</v>
      </c>
      <c r="H206" s="7" t="s">
        <v>177</v>
      </c>
      <c r="I206" s="11" t="s">
        <v>23</v>
      </c>
      <c r="J206" s="11" t="s">
        <v>35</v>
      </c>
      <c r="K206" s="11" t="s">
        <v>25</v>
      </c>
      <c r="L206" s="16" t="s">
        <v>734</v>
      </c>
      <c r="M206" s="49" t="s">
        <v>735</v>
      </c>
      <c r="N206" s="73"/>
      <c r="O206" s="11" t="s">
        <v>27</v>
      </c>
      <c r="P206" s="7" t="s">
        <v>177</v>
      </c>
      <c r="Q206" s="14" t="b">
        <f t="shared" si="1"/>
        <v>1</v>
      </c>
      <c r="R206" s="15" t="b">
        <f t="shared" si="2"/>
        <v>0</v>
      </c>
      <c r="S206" s="15" t="str">
        <f t="shared" si="3"/>
        <v>APPROVED</v>
      </c>
    </row>
    <row r="207" ht="15.75" customHeight="1">
      <c r="A207" s="7" t="s">
        <v>736</v>
      </c>
      <c r="B207" s="13" t="s">
        <v>737</v>
      </c>
      <c r="C207" s="9">
        <v>45827.0</v>
      </c>
      <c r="D207" s="9">
        <v>45828.0</v>
      </c>
      <c r="E207" s="7" t="s">
        <v>21</v>
      </c>
      <c r="F207" s="7">
        <v>24.0</v>
      </c>
      <c r="G207" s="10">
        <v>119.0</v>
      </c>
      <c r="H207" s="7" t="s">
        <v>177</v>
      </c>
      <c r="I207" s="11" t="s">
        <v>23</v>
      </c>
      <c r="J207" s="11" t="s">
        <v>172</v>
      </c>
      <c r="K207" s="11" t="s">
        <v>25</v>
      </c>
      <c r="L207" s="16" t="s">
        <v>738</v>
      </c>
      <c r="M207" s="49" t="s">
        <v>274</v>
      </c>
      <c r="N207" s="73"/>
      <c r="O207" s="11" t="s">
        <v>27</v>
      </c>
      <c r="P207" s="7" t="s">
        <v>177</v>
      </c>
      <c r="Q207" s="14" t="b">
        <f t="shared" si="1"/>
        <v>1</v>
      </c>
      <c r="R207" s="15" t="b">
        <f t="shared" si="2"/>
        <v>0</v>
      </c>
      <c r="S207" s="15" t="str">
        <f t="shared" si="3"/>
        <v>APPROVED</v>
      </c>
    </row>
    <row r="208" ht="15.75" customHeight="1">
      <c r="A208" s="7" t="s">
        <v>739</v>
      </c>
      <c r="B208" s="8" t="s">
        <v>202</v>
      </c>
      <c r="C208" s="9">
        <v>45827.0</v>
      </c>
      <c r="D208" s="9">
        <v>45867.0</v>
      </c>
      <c r="E208" s="7" t="s">
        <v>21</v>
      </c>
      <c r="F208" s="7">
        <v>240.0</v>
      </c>
      <c r="G208" s="10">
        <v>121.5</v>
      </c>
      <c r="H208" s="7" t="s">
        <v>171</v>
      </c>
      <c r="I208" s="11" t="s">
        <v>23</v>
      </c>
      <c r="J208" s="11" t="s">
        <v>24</v>
      </c>
      <c r="K208" s="11" t="s">
        <v>25</v>
      </c>
      <c r="L208" s="16" t="s">
        <v>740</v>
      </c>
      <c r="M208" s="49" t="s">
        <v>741</v>
      </c>
      <c r="N208" s="73"/>
      <c r="O208" s="11" t="s">
        <v>27</v>
      </c>
      <c r="P208" s="7" t="s">
        <v>171</v>
      </c>
      <c r="Q208" s="14" t="b">
        <f t="shared" si="1"/>
        <v>1</v>
      </c>
      <c r="R208" s="15" t="b">
        <f t="shared" si="2"/>
        <v>0</v>
      </c>
      <c r="S208" s="15" t="str">
        <f t="shared" si="3"/>
        <v>APPROVED</v>
      </c>
    </row>
    <row r="209" ht="15.75" customHeight="1">
      <c r="A209" s="7" t="s">
        <v>742</v>
      </c>
      <c r="B209" s="13" t="s">
        <v>743</v>
      </c>
      <c r="C209" s="9">
        <v>45827.0</v>
      </c>
      <c r="D209" s="9">
        <v>45828.0</v>
      </c>
      <c r="E209" s="7" t="s">
        <v>21</v>
      </c>
      <c r="F209" s="7">
        <v>48.0</v>
      </c>
      <c r="G209" s="10">
        <v>119.0</v>
      </c>
      <c r="H209" s="7" t="s">
        <v>744</v>
      </c>
      <c r="I209" s="11" t="s">
        <v>23</v>
      </c>
      <c r="J209" s="11" t="s">
        <v>172</v>
      </c>
      <c r="K209" s="11" t="s">
        <v>25</v>
      </c>
      <c r="L209" s="16" t="s">
        <v>745</v>
      </c>
      <c r="M209" s="49" t="s">
        <v>746</v>
      </c>
      <c r="N209" s="73"/>
      <c r="O209" s="11" t="s">
        <v>27</v>
      </c>
      <c r="P209" s="7" t="s">
        <v>744</v>
      </c>
      <c r="Q209" s="14" t="b">
        <f t="shared" si="1"/>
        <v>1</v>
      </c>
      <c r="R209" s="15" t="b">
        <f t="shared" si="2"/>
        <v>0</v>
      </c>
      <c r="S209" s="15" t="str">
        <f t="shared" si="3"/>
        <v>APPROVED</v>
      </c>
    </row>
    <row r="210" ht="22.5" customHeight="1">
      <c r="A210" s="30" t="s">
        <v>747</v>
      </c>
      <c r="B210" s="31" t="s">
        <v>748</v>
      </c>
      <c r="C210" s="32">
        <v>45827.0</v>
      </c>
      <c r="D210" s="32">
        <v>45828.0</v>
      </c>
      <c r="E210" s="30" t="s">
        <v>21</v>
      </c>
      <c r="F210" s="30"/>
      <c r="G210" s="33"/>
      <c r="H210" s="30" t="s">
        <v>177</v>
      </c>
      <c r="I210" s="34" t="s">
        <v>23</v>
      </c>
      <c r="J210" s="34" t="s">
        <v>172</v>
      </c>
      <c r="K210" s="34" t="s">
        <v>49</v>
      </c>
      <c r="L210" s="66" t="s">
        <v>749</v>
      </c>
      <c r="M210" s="69" t="s">
        <v>750</v>
      </c>
      <c r="N210" s="70"/>
      <c r="O210" s="30" t="s">
        <v>98</v>
      </c>
      <c r="P210" s="30" t="s">
        <v>177</v>
      </c>
      <c r="Q210" s="14" t="b">
        <f t="shared" si="1"/>
        <v>0</v>
      </c>
      <c r="R210" s="15" t="b">
        <f t="shared" si="2"/>
        <v>1</v>
      </c>
      <c r="S210" s="15" t="str">
        <f t="shared" si="3"/>
        <v>PENDING</v>
      </c>
    </row>
    <row r="211" ht="15.75" customHeight="1">
      <c r="A211" s="7" t="s">
        <v>751</v>
      </c>
      <c r="B211" s="13" t="s">
        <v>752</v>
      </c>
      <c r="C211" s="9">
        <v>45827.0</v>
      </c>
      <c r="D211" s="9">
        <v>45828.0</v>
      </c>
      <c r="E211" s="7" t="s">
        <v>21</v>
      </c>
      <c r="F211" s="7">
        <v>24.0</v>
      </c>
      <c r="G211" s="10">
        <v>119.0</v>
      </c>
      <c r="H211" s="7" t="s">
        <v>177</v>
      </c>
      <c r="I211" s="11" t="s">
        <v>23</v>
      </c>
      <c r="J211" s="11" t="s">
        <v>172</v>
      </c>
      <c r="K211" s="11" t="s">
        <v>25</v>
      </c>
      <c r="L211" s="16" t="s">
        <v>753</v>
      </c>
      <c r="M211" s="49" t="s">
        <v>754</v>
      </c>
      <c r="N211" s="127">
        <v>2307.0</v>
      </c>
      <c r="O211" s="11" t="s">
        <v>27</v>
      </c>
      <c r="P211" s="7" t="s">
        <v>177</v>
      </c>
      <c r="Q211" s="14" t="b">
        <f t="shared" si="1"/>
        <v>1</v>
      </c>
      <c r="R211" s="15" t="b">
        <f t="shared" si="2"/>
        <v>0</v>
      </c>
      <c r="S211" s="15" t="str">
        <f t="shared" si="3"/>
        <v>APPROVED</v>
      </c>
    </row>
    <row r="212" ht="15.75" customHeight="1">
      <c r="A212" s="30" t="s">
        <v>755</v>
      </c>
      <c r="B212" s="31" t="s">
        <v>756</v>
      </c>
      <c r="C212" s="32">
        <v>45828.0</v>
      </c>
      <c r="D212" s="32">
        <v>45828.0</v>
      </c>
      <c r="E212" s="30" t="s">
        <v>21</v>
      </c>
      <c r="F212" s="30"/>
      <c r="G212" s="33"/>
      <c r="H212" s="30" t="s">
        <v>177</v>
      </c>
      <c r="I212" s="34" t="s">
        <v>23</v>
      </c>
      <c r="J212" s="34" t="s">
        <v>172</v>
      </c>
      <c r="K212" s="34" t="s">
        <v>49</v>
      </c>
      <c r="L212" s="66" t="s">
        <v>757</v>
      </c>
      <c r="M212" s="69" t="s">
        <v>750</v>
      </c>
      <c r="N212" s="69" t="s">
        <v>758</v>
      </c>
      <c r="O212" s="30" t="s">
        <v>98</v>
      </c>
      <c r="P212" s="30" t="s">
        <v>177</v>
      </c>
      <c r="Q212" s="14" t="b">
        <f t="shared" si="1"/>
        <v>0</v>
      </c>
      <c r="R212" s="15" t="b">
        <f t="shared" si="2"/>
        <v>1</v>
      </c>
      <c r="S212" s="15" t="str">
        <f t="shared" si="3"/>
        <v>PENDING</v>
      </c>
    </row>
    <row r="213" ht="15.75" customHeight="1">
      <c r="A213" s="7" t="s">
        <v>759</v>
      </c>
      <c r="B213" s="48" t="s">
        <v>760</v>
      </c>
      <c r="C213" s="9">
        <v>45828.0</v>
      </c>
      <c r="D213" s="9">
        <v>45828.0</v>
      </c>
      <c r="E213" s="7" t="s">
        <v>21</v>
      </c>
      <c r="F213" s="7">
        <v>24.0</v>
      </c>
      <c r="G213" s="10">
        <v>119.0</v>
      </c>
      <c r="H213" s="7" t="s">
        <v>177</v>
      </c>
      <c r="I213" s="11" t="s">
        <v>23</v>
      </c>
      <c r="J213" s="11" t="s">
        <v>172</v>
      </c>
      <c r="K213" s="11" t="s">
        <v>25</v>
      </c>
      <c r="L213" s="16" t="s">
        <v>761</v>
      </c>
      <c r="M213" s="49" t="s">
        <v>762</v>
      </c>
      <c r="N213" s="73"/>
      <c r="O213" s="11" t="s">
        <v>27</v>
      </c>
      <c r="P213" s="7" t="s">
        <v>177</v>
      </c>
      <c r="Q213" s="14" t="b">
        <f t="shared" si="1"/>
        <v>1</v>
      </c>
      <c r="R213" s="15" t="b">
        <f t="shared" si="2"/>
        <v>0</v>
      </c>
      <c r="S213" s="15" t="str">
        <f t="shared" si="3"/>
        <v>APPROVED</v>
      </c>
    </row>
    <row r="214" ht="16.5" customHeight="1">
      <c r="A214" s="7" t="s">
        <v>763</v>
      </c>
      <c r="B214" s="13" t="s">
        <v>764</v>
      </c>
      <c r="C214" s="9">
        <v>45828.0</v>
      </c>
      <c r="D214" s="9">
        <v>45828.0</v>
      </c>
      <c r="E214" s="7" t="s">
        <v>21</v>
      </c>
      <c r="F214" s="7">
        <v>24.0</v>
      </c>
      <c r="G214" s="10">
        <v>119.0</v>
      </c>
      <c r="H214" s="7" t="s">
        <v>177</v>
      </c>
      <c r="I214" s="11" t="s">
        <v>23</v>
      </c>
      <c r="J214" s="11" t="s">
        <v>172</v>
      </c>
      <c r="K214" s="11" t="s">
        <v>25</v>
      </c>
      <c r="L214" s="16" t="s">
        <v>765</v>
      </c>
      <c r="M214" s="49" t="s">
        <v>766</v>
      </c>
      <c r="N214" s="73"/>
      <c r="O214" s="11" t="s">
        <v>27</v>
      </c>
      <c r="P214" s="7" t="s">
        <v>177</v>
      </c>
      <c r="Q214" s="14" t="b">
        <f t="shared" si="1"/>
        <v>1</v>
      </c>
      <c r="R214" s="15" t="b">
        <f t="shared" si="2"/>
        <v>0</v>
      </c>
      <c r="S214" s="15" t="str">
        <f t="shared" si="3"/>
        <v>APPROVED</v>
      </c>
    </row>
    <row r="215" ht="15.75" customHeight="1">
      <c r="A215" s="7" t="s">
        <v>767</v>
      </c>
      <c r="B215" s="13" t="s">
        <v>288</v>
      </c>
      <c r="C215" s="9">
        <v>45831.0</v>
      </c>
      <c r="D215" s="9">
        <v>45833.0</v>
      </c>
      <c r="E215" s="7" t="s">
        <v>21</v>
      </c>
      <c r="F215" s="7">
        <v>24.0</v>
      </c>
      <c r="G215" s="10">
        <v>122.0</v>
      </c>
      <c r="H215" s="7" t="s">
        <v>171</v>
      </c>
      <c r="I215" s="11" t="s">
        <v>23</v>
      </c>
      <c r="J215" s="11" t="s">
        <v>30</v>
      </c>
      <c r="K215" s="11" t="s">
        <v>25</v>
      </c>
      <c r="L215" s="16"/>
      <c r="M215" s="49"/>
      <c r="N215" s="73"/>
      <c r="O215" s="11" t="s">
        <v>27</v>
      </c>
      <c r="P215" s="7" t="s">
        <v>171</v>
      </c>
      <c r="Q215" s="14" t="b">
        <f t="shared" si="1"/>
        <v>1</v>
      </c>
      <c r="R215" s="15" t="b">
        <f t="shared" si="2"/>
        <v>0</v>
      </c>
      <c r="S215" s="15" t="str">
        <f t="shared" si="3"/>
        <v>APPROVED</v>
      </c>
    </row>
    <row r="216" ht="15.75" customHeight="1">
      <c r="A216" s="7" t="s">
        <v>768</v>
      </c>
      <c r="B216" s="13" t="s">
        <v>769</v>
      </c>
      <c r="C216" s="9">
        <v>45831.0</v>
      </c>
      <c r="D216" s="9">
        <v>45831.0</v>
      </c>
      <c r="E216" s="7" t="s">
        <v>21</v>
      </c>
      <c r="F216" s="7">
        <v>24.0</v>
      </c>
      <c r="G216" s="10">
        <v>125.0</v>
      </c>
      <c r="H216" s="7" t="s">
        <v>715</v>
      </c>
      <c r="I216" s="11" t="s">
        <v>23</v>
      </c>
      <c r="J216" s="11" t="s">
        <v>172</v>
      </c>
      <c r="K216" s="11" t="s">
        <v>25</v>
      </c>
      <c r="L216" s="16" t="s">
        <v>770</v>
      </c>
      <c r="M216" s="49" t="s">
        <v>771</v>
      </c>
      <c r="N216" s="73"/>
      <c r="O216" s="11" t="s">
        <v>27</v>
      </c>
      <c r="P216" s="7" t="s">
        <v>715</v>
      </c>
      <c r="Q216" s="14" t="b">
        <f t="shared" si="1"/>
        <v>1</v>
      </c>
      <c r="R216" s="15" t="b">
        <f t="shared" si="2"/>
        <v>0</v>
      </c>
      <c r="S216" s="15" t="str">
        <f t="shared" si="3"/>
        <v>APPROVED</v>
      </c>
    </row>
    <row r="217" ht="15.75" customHeight="1">
      <c r="A217" s="7" t="s">
        <v>772</v>
      </c>
      <c r="B217" s="13" t="s">
        <v>294</v>
      </c>
      <c r="C217" s="9">
        <v>45831.0</v>
      </c>
      <c r="D217" s="9">
        <v>45831.0</v>
      </c>
      <c r="E217" s="7" t="s">
        <v>21</v>
      </c>
      <c r="F217" s="7">
        <v>48.0</v>
      </c>
      <c r="G217" s="10">
        <v>119.0</v>
      </c>
      <c r="H217" s="7" t="s">
        <v>177</v>
      </c>
      <c r="I217" s="11" t="s">
        <v>23</v>
      </c>
      <c r="J217" s="11" t="s">
        <v>172</v>
      </c>
      <c r="K217" s="11" t="s">
        <v>25</v>
      </c>
      <c r="L217" s="16" t="s">
        <v>773</v>
      </c>
      <c r="M217" s="49" t="s">
        <v>774</v>
      </c>
      <c r="N217" s="73"/>
      <c r="O217" s="11" t="s">
        <v>27</v>
      </c>
      <c r="P217" s="7" t="s">
        <v>177</v>
      </c>
      <c r="Q217" s="14" t="b">
        <f t="shared" si="1"/>
        <v>1</v>
      </c>
      <c r="R217" s="15" t="b">
        <f t="shared" si="2"/>
        <v>0</v>
      </c>
      <c r="S217" s="15" t="str">
        <f t="shared" si="3"/>
        <v>APPROVED</v>
      </c>
    </row>
    <row r="218" ht="15.75" customHeight="1">
      <c r="A218" s="7" t="s">
        <v>775</v>
      </c>
      <c r="B218" s="8" t="s">
        <v>228</v>
      </c>
      <c r="C218" s="9">
        <v>45831.0</v>
      </c>
      <c r="D218" s="9">
        <v>45831.0</v>
      </c>
      <c r="E218" s="7" t="s">
        <v>21</v>
      </c>
      <c r="F218" s="7">
        <v>24.0</v>
      </c>
      <c r="G218" s="10">
        <v>119.0</v>
      </c>
      <c r="H218" s="7" t="s">
        <v>177</v>
      </c>
      <c r="I218" s="11" t="s">
        <v>23</v>
      </c>
      <c r="J218" s="11" t="s">
        <v>172</v>
      </c>
      <c r="K218" s="11" t="s">
        <v>25</v>
      </c>
      <c r="L218" s="16" t="s">
        <v>776</v>
      </c>
      <c r="M218" s="49" t="s">
        <v>777</v>
      </c>
      <c r="N218" s="73"/>
      <c r="O218" s="11" t="s">
        <v>27</v>
      </c>
      <c r="P218" s="7" t="s">
        <v>177</v>
      </c>
      <c r="Q218" s="14" t="b">
        <f t="shared" si="1"/>
        <v>1</v>
      </c>
      <c r="R218" s="15" t="b">
        <f t="shared" si="2"/>
        <v>0</v>
      </c>
      <c r="S218" s="15" t="str">
        <f t="shared" si="3"/>
        <v>APPROVED</v>
      </c>
    </row>
    <row r="219" ht="15.75" customHeight="1">
      <c r="A219" s="7" t="s">
        <v>778</v>
      </c>
      <c r="B219" s="13" t="s">
        <v>779</v>
      </c>
      <c r="C219" s="9">
        <v>45831.0</v>
      </c>
      <c r="D219" s="9">
        <v>45695.0</v>
      </c>
      <c r="E219" s="7" t="s">
        <v>21</v>
      </c>
      <c r="F219" s="7">
        <v>48.0</v>
      </c>
      <c r="G219" s="10">
        <v>119.0</v>
      </c>
      <c r="H219" s="7" t="s">
        <v>744</v>
      </c>
      <c r="I219" s="11" t="s">
        <v>23</v>
      </c>
      <c r="J219" s="11" t="s">
        <v>172</v>
      </c>
      <c r="K219" s="11" t="s">
        <v>25</v>
      </c>
      <c r="L219" s="16" t="s">
        <v>780</v>
      </c>
      <c r="M219" s="49" t="s">
        <v>781</v>
      </c>
      <c r="N219" s="73"/>
      <c r="O219" s="11" t="s">
        <v>27</v>
      </c>
      <c r="P219" s="7" t="s">
        <v>744</v>
      </c>
      <c r="Q219" s="14" t="b">
        <f t="shared" si="1"/>
        <v>1</v>
      </c>
      <c r="R219" s="15" t="b">
        <f t="shared" si="2"/>
        <v>0</v>
      </c>
      <c r="S219" s="15" t="str">
        <f t="shared" si="3"/>
        <v>APPROVED</v>
      </c>
    </row>
    <row r="220" ht="15.75" customHeight="1">
      <c r="A220" s="7" t="s">
        <v>782</v>
      </c>
      <c r="B220" s="8" t="s">
        <v>685</v>
      </c>
      <c r="C220" s="9">
        <v>45831.0</v>
      </c>
      <c r="D220" s="9">
        <v>45831.0</v>
      </c>
      <c r="E220" s="7" t="s">
        <v>21</v>
      </c>
      <c r="F220" s="7">
        <v>48.0</v>
      </c>
      <c r="G220" s="10">
        <v>112.0</v>
      </c>
      <c r="H220" s="7" t="s">
        <v>22</v>
      </c>
      <c r="I220" s="11" t="s">
        <v>23</v>
      </c>
      <c r="J220" s="11" t="s">
        <v>30</v>
      </c>
      <c r="K220" s="11" t="s">
        <v>25</v>
      </c>
      <c r="L220" s="16" t="s">
        <v>686</v>
      </c>
      <c r="M220" s="49" t="s">
        <v>783</v>
      </c>
      <c r="N220" s="73"/>
      <c r="O220" s="11" t="s">
        <v>27</v>
      </c>
      <c r="P220" s="7" t="s">
        <v>22</v>
      </c>
      <c r="Q220" s="14" t="b">
        <f t="shared" si="1"/>
        <v>1</v>
      </c>
      <c r="R220" s="15" t="b">
        <f t="shared" si="2"/>
        <v>0</v>
      </c>
      <c r="S220" s="15" t="str">
        <f t="shared" si="3"/>
        <v>APPROVED</v>
      </c>
    </row>
    <row r="221" ht="15.75" customHeight="1">
      <c r="A221" s="7" t="s">
        <v>784</v>
      </c>
      <c r="B221" s="8" t="s">
        <v>785</v>
      </c>
      <c r="C221" s="9">
        <v>45831.0</v>
      </c>
      <c r="D221" s="9">
        <v>45835.0</v>
      </c>
      <c r="E221" s="7" t="s">
        <v>21</v>
      </c>
      <c r="F221" s="7">
        <v>72.0</v>
      </c>
      <c r="G221" s="10">
        <v>124.4</v>
      </c>
      <c r="H221" s="7" t="s">
        <v>744</v>
      </c>
      <c r="I221" s="11" t="s">
        <v>23</v>
      </c>
      <c r="J221" s="11" t="s">
        <v>172</v>
      </c>
      <c r="K221" s="11" t="s">
        <v>25</v>
      </c>
      <c r="L221" s="16" t="s">
        <v>786</v>
      </c>
      <c r="M221" s="49" t="s">
        <v>787</v>
      </c>
      <c r="N221" s="73"/>
      <c r="O221" s="11" t="s">
        <v>27</v>
      </c>
      <c r="P221" s="7" t="s">
        <v>744</v>
      </c>
      <c r="Q221" s="14" t="b">
        <f t="shared" si="1"/>
        <v>1</v>
      </c>
      <c r="R221" s="15" t="b">
        <f t="shared" si="2"/>
        <v>0</v>
      </c>
      <c r="S221" s="15" t="str">
        <f t="shared" si="3"/>
        <v>APPROVED</v>
      </c>
    </row>
    <row r="222" ht="15.75" customHeight="1">
      <c r="A222" s="7" t="s">
        <v>788</v>
      </c>
      <c r="B222" s="8" t="s">
        <v>789</v>
      </c>
      <c r="C222" s="9">
        <v>45831.0</v>
      </c>
      <c r="D222" s="9">
        <v>45831.0</v>
      </c>
      <c r="E222" s="7" t="s">
        <v>21</v>
      </c>
      <c r="F222" s="7">
        <v>24.0</v>
      </c>
      <c r="G222" s="10"/>
      <c r="H222" s="7" t="s">
        <v>744</v>
      </c>
      <c r="I222" s="11" t="s">
        <v>23</v>
      </c>
      <c r="J222" s="11" t="s">
        <v>30</v>
      </c>
      <c r="K222" s="7" t="s">
        <v>31</v>
      </c>
      <c r="L222" s="16"/>
      <c r="M222" s="49"/>
      <c r="N222" s="125" t="s">
        <v>32</v>
      </c>
      <c r="O222" s="11" t="s">
        <v>27</v>
      </c>
      <c r="P222" s="7" t="s">
        <v>744</v>
      </c>
      <c r="Q222" s="14" t="b">
        <f t="shared" si="1"/>
        <v>0</v>
      </c>
      <c r="R222" s="15" t="b">
        <f t="shared" si="2"/>
        <v>0</v>
      </c>
      <c r="S222" s="15" t="str">
        <f t="shared" si="3"/>
        <v>PENDING</v>
      </c>
    </row>
    <row r="223" ht="15.75" customHeight="1">
      <c r="A223" s="7" t="s">
        <v>790</v>
      </c>
      <c r="B223" s="13" t="s">
        <v>791</v>
      </c>
      <c r="C223" s="9">
        <v>45832.0</v>
      </c>
      <c r="D223" s="9">
        <v>45832.0</v>
      </c>
      <c r="E223" s="7" t="s">
        <v>21</v>
      </c>
      <c r="F223" s="7">
        <v>24.0</v>
      </c>
      <c r="G223" s="10">
        <v>119.0</v>
      </c>
      <c r="H223" s="7" t="s">
        <v>177</v>
      </c>
      <c r="I223" s="11" t="s">
        <v>23</v>
      </c>
      <c r="J223" s="11" t="s">
        <v>172</v>
      </c>
      <c r="K223" s="11" t="s">
        <v>25</v>
      </c>
      <c r="L223" s="16" t="s">
        <v>792</v>
      </c>
      <c r="M223" s="49" t="s">
        <v>793</v>
      </c>
      <c r="N223" s="73"/>
      <c r="O223" s="11" t="s">
        <v>27</v>
      </c>
      <c r="P223" s="7" t="s">
        <v>177</v>
      </c>
      <c r="Q223" s="14" t="b">
        <f t="shared" si="1"/>
        <v>1</v>
      </c>
      <c r="R223" s="15" t="b">
        <f t="shared" si="2"/>
        <v>0</v>
      </c>
      <c r="S223" s="15" t="str">
        <f t="shared" si="3"/>
        <v>APPROVED</v>
      </c>
    </row>
    <row r="224" ht="15.75" customHeight="1">
      <c r="A224" s="7" t="s">
        <v>794</v>
      </c>
      <c r="B224" s="13" t="s">
        <v>795</v>
      </c>
      <c r="C224" s="9">
        <v>45832.0</v>
      </c>
      <c r="D224" s="9">
        <v>45832.0</v>
      </c>
      <c r="E224" s="7" t="s">
        <v>21</v>
      </c>
      <c r="F224" s="7">
        <v>24.0</v>
      </c>
      <c r="G224" s="10">
        <v>118.19</v>
      </c>
      <c r="H224" s="7" t="s">
        <v>177</v>
      </c>
      <c r="I224" s="11" t="s">
        <v>23</v>
      </c>
      <c r="J224" s="11" t="s">
        <v>172</v>
      </c>
      <c r="K224" s="11" t="s">
        <v>25</v>
      </c>
      <c r="L224" s="16" t="s">
        <v>796</v>
      </c>
      <c r="M224" s="49" t="s">
        <v>797</v>
      </c>
      <c r="N224" s="73"/>
      <c r="O224" s="11" t="s">
        <v>27</v>
      </c>
      <c r="P224" s="7" t="s">
        <v>177</v>
      </c>
      <c r="Q224" s="14" t="b">
        <f t="shared" si="1"/>
        <v>1</v>
      </c>
      <c r="R224" s="15" t="b">
        <f t="shared" si="2"/>
        <v>0</v>
      </c>
      <c r="S224" s="15" t="str">
        <f t="shared" si="3"/>
        <v>APPROVED</v>
      </c>
    </row>
    <row r="225" ht="15.75" customHeight="1">
      <c r="A225" s="7" t="s">
        <v>798</v>
      </c>
      <c r="B225" s="126" t="s">
        <v>799</v>
      </c>
      <c r="C225" s="9">
        <v>45832.0</v>
      </c>
      <c r="D225" s="9">
        <v>45832.0</v>
      </c>
      <c r="E225" s="7" t="s">
        <v>21</v>
      </c>
      <c r="F225" s="7">
        <v>24.0</v>
      </c>
      <c r="G225" s="10">
        <v>118.19</v>
      </c>
      <c r="H225" s="7" t="s">
        <v>177</v>
      </c>
      <c r="I225" s="11" t="s">
        <v>23</v>
      </c>
      <c r="J225" s="11" t="s">
        <v>172</v>
      </c>
      <c r="K225" s="11" t="s">
        <v>25</v>
      </c>
      <c r="L225" s="16" t="s">
        <v>800</v>
      </c>
      <c r="M225" s="49" t="s">
        <v>801</v>
      </c>
      <c r="N225" s="73"/>
      <c r="O225" s="11" t="s">
        <v>27</v>
      </c>
      <c r="P225" s="7" t="s">
        <v>177</v>
      </c>
      <c r="Q225" s="14" t="b">
        <f t="shared" si="1"/>
        <v>1</v>
      </c>
      <c r="R225" s="15" t="b">
        <f t="shared" si="2"/>
        <v>0</v>
      </c>
      <c r="S225" s="15" t="str">
        <f t="shared" si="3"/>
        <v>APPROVED</v>
      </c>
    </row>
    <row r="226" ht="15.75" customHeight="1">
      <c r="A226" s="7" t="s">
        <v>802</v>
      </c>
      <c r="B226" s="8" t="s">
        <v>803</v>
      </c>
      <c r="C226" s="9">
        <v>45832.0</v>
      </c>
      <c r="D226" s="9">
        <v>45832.0</v>
      </c>
      <c r="E226" s="7" t="s">
        <v>21</v>
      </c>
      <c r="F226" s="7">
        <v>24.0</v>
      </c>
      <c r="G226" s="10">
        <v>119.0</v>
      </c>
      <c r="H226" s="7" t="s">
        <v>177</v>
      </c>
      <c r="I226" s="11" t="s">
        <v>23</v>
      </c>
      <c r="J226" s="11" t="s">
        <v>172</v>
      </c>
      <c r="K226" s="11" t="s">
        <v>25</v>
      </c>
      <c r="L226" s="16" t="s">
        <v>804</v>
      </c>
      <c r="M226" s="49" t="s">
        <v>805</v>
      </c>
      <c r="N226" s="73"/>
      <c r="O226" s="11" t="s">
        <v>27</v>
      </c>
      <c r="P226" s="7" t="s">
        <v>177</v>
      </c>
      <c r="Q226" s="14" t="b">
        <f t="shared" si="1"/>
        <v>1</v>
      </c>
      <c r="R226" s="15" t="b">
        <f t="shared" si="2"/>
        <v>0</v>
      </c>
      <c r="S226" s="15" t="str">
        <f t="shared" si="3"/>
        <v>APPROVED</v>
      </c>
    </row>
    <row r="227" ht="15.75" customHeight="1">
      <c r="A227" s="7" t="s">
        <v>806</v>
      </c>
      <c r="B227" s="13" t="s">
        <v>807</v>
      </c>
      <c r="C227" s="9">
        <v>45833.0</v>
      </c>
      <c r="D227" s="9">
        <v>45695.0</v>
      </c>
      <c r="E227" s="7" t="s">
        <v>21</v>
      </c>
      <c r="F227" s="7">
        <v>72.0</v>
      </c>
      <c r="G227" s="10">
        <v>119.0</v>
      </c>
      <c r="H227" s="7" t="s">
        <v>744</v>
      </c>
      <c r="I227" s="11" t="s">
        <v>23</v>
      </c>
      <c r="J227" s="11" t="s">
        <v>172</v>
      </c>
      <c r="K227" s="11" t="s">
        <v>25</v>
      </c>
      <c r="L227" s="16" t="s">
        <v>808</v>
      </c>
      <c r="M227" s="49" t="s">
        <v>809</v>
      </c>
      <c r="N227" s="73"/>
      <c r="O227" s="11" t="s">
        <v>27</v>
      </c>
      <c r="P227" s="7" t="s">
        <v>744</v>
      </c>
      <c r="Q227" s="14" t="b">
        <f t="shared" si="1"/>
        <v>1</v>
      </c>
      <c r="R227" s="15" t="b">
        <f t="shared" si="2"/>
        <v>0</v>
      </c>
      <c r="S227" s="15" t="str">
        <f t="shared" si="3"/>
        <v>APPROVED</v>
      </c>
    </row>
    <row r="228" ht="15.75" customHeight="1">
      <c r="A228" s="24" t="s">
        <v>810</v>
      </c>
      <c r="B228" s="25" t="s">
        <v>811</v>
      </c>
      <c r="C228" s="26">
        <v>45833.0</v>
      </c>
      <c r="D228" s="26">
        <v>45754.0</v>
      </c>
      <c r="E228" s="24" t="s">
        <v>21</v>
      </c>
      <c r="F228" s="24">
        <v>48.0</v>
      </c>
      <c r="G228" s="27">
        <v>119.0</v>
      </c>
      <c r="H228" s="24" t="s">
        <v>744</v>
      </c>
      <c r="I228" s="28" t="s">
        <v>23</v>
      </c>
      <c r="J228" s="28" t="s">
        <v>172</v>
      </c>
      <c r="K228" s="28" t="s">
        <v>84</v>
      </c>
      <c r="L228" s="96" t="s">
        <v>812</v>
      </c>
      <c r="M228" s="97" t="s">
        <v>813</v>
      </c>
      <c r="N228" s="98"/>
      <c r="O228" s="28" t="s">
        <v>27</v>
      </c>
      <c r="P228" s="24" t="s">
        <v>744</v>
      </c>
      <c r="Q228" s="14" t="b">
        <f t="shared" si="1"/>
        <v>0</v>
      </c>
      <c r="R228" s="15" t="b">
        <f t="shared" si="2"/>
        <v>0</v>
      </c>
      <c r="S228" s="15" t="str">
        <f t="shared" si="3"/>
        <v>PENDING</v>
      </c>
    </row>
    <row r="229" ht="15.75" customHeight="1">
      <c r="A229" s="7" t="s">
        <v>814</v>
      </c>
      <c r="B229" s="13" t="s">
        <v>815</v>
      </c>
      <c r="C229" s="9">
        <v>45834.0</v>
      </c>
      <c r="D229" s="9">
        <v>45695.0</v>
      </c>
      <c r="E229" s="7" t="s">
        <v>21</v>
      </c>
      <c r="F229" s="7">
        <v>24.0</v>
      </c>
      <c r="G229" s="10">
        <v>119.0</v>
      </c>
      <c r="H229" s="7" t="s">
        <v>744</v>
      </c>
      <c r="I229" s="11" t="s">
        <v>23</v>
      </c>
      <c r="J229" s="11" t="s">
        <v>172</v>
      </c>
      <c r="K229" s="11" t="s">
        <v>25</v>
      </c>
      <c r="L229" s="16" t="s">
        <v>816</v>
      </c>
      <c r="M229" s="49" t="s">
        <v>274</v>
      </c>
      <c r="N229" s="73"/>
      <c r="O229" s="11" t="s">
        <v>27</v>
      </c>
      <c r="P229" s="7" t="s">
        <v>744</v>
      </c>
      <c r="Q229" s="14" t="b">
        <f t="shared" si="1"/>
        <v>1</v>
      </c>
      <c r="R229" s="15" t="b">
        <f t="shared" si="2"/>
        <v>0</v>
      </c>
      <c r="S229" s="15" t="str">
        <f t="shared" si="3"/>
        <v>APPROVED</v>
      </c>
    </row>
    <row r="230" ht="15.75" customHeight="1">
      <c r="A230" s="7" t="s">
        <v>817</v>
      </c>
      <c r="B230" s="13" t="s">
        <v>818</v>
      </c>
      <c r="C230" s="9">
        <v>45834.0</v>
      </c>
      <c r="D230" s="9">
        <v>45695.0</v>
      </c>
      <c r="E230" s="7" t="s">
        <v>21</v>
      </c>
      <c r="F230" s="7">
        <v>48.0</v>
      </c>
      <c r="G230" s="10">
        <v>124.4</v>
      </c>
      <c r="H230" s="7" t="s">
        <v>744</v>
      </c>
      <c r="I230" s="11" t="s">
        <v>23</v>
      </c>
      <c r="J230" s="11" t="s">
        <v>172</v>
      </c>
      <c r="K230" s="11" t="s">
        <v>25</v>
      </c>
      <c r="L230" s="16" t="s">
        <v>819</v>
      </c>
      <c r="M230" s="49" t="s">
        <v>820</v>
      </c>
      <c r="N230" s="73"/>
      <c r="O230" s="11" t="s">
        <v>27</v>
      </c>
      <c r="P230" s="7" t="s">
        <v>744</v>
      </c>
      <c r="Q230" s="14" t="b">
        <f t="shared" si="1"/>
        <v>1</v>
      </c>
      <c r="R230" s="15" t="b">
        <f t="shared" si="2"/>
        <v>0</v>
      </c>
      <c r="S230" s="15" t="str">
        <f t="shared" si="3"/>
        <v>APPROVED</v>
      </c>
    </row>
    <row r="231" ht="15.75" customHeight="1">
      <c r="A231" s="7" t="s">
        <v>821</v>
      </c>
      <c r="B231" s="13" t="s">
        <v>822</v>
      </c>
      <c r="C231" s="9">
        <v>45835.0</v>
      </c>
      <c r="D231" s="9">
        <v>45695.0</v>
      </c>
      <c r="E231" s="7" t="s">
        <v>21</v>
      </c>
      <c r="F231" s="7">
        <v>48.0</v>
      </c>
      <c r="G231" s="10">
        <v>119.0</v>
      </c>
      <c r="H231" s="7" t="s">
        <v>744</v>
      </c>
      <c r="I231" s="11" t="s">
        <v>23</v>
      </c>
      <c r="J231" s="11" t="s">
        <v>172</v>
      </c>
      <c r="K231" s="11" t="s">
        <v>25</v>
      </c>
      <c r="L231" s="16" t="s">
        <v>823</v>
      </c>
      <c r="M231" s="49" t="s">
        <v>824</v>
      </c>
      <c r="N231" s="73"/>
      <c r="O231" s="11" t="s">
        <v>27</v>
      </c>
      <c r="P231" s="7" t="s">
        <v>744</v>
      </c>
      <c r="Q231" s="14" t="b">
        <f t="shared" si="1"/>
        <v>1</v>
      </c>
      <c r="R231" s="15" t="b">
        <f t="shared" si="2"/>
        <v>0</v>
      </c>
      <c r="S231" s="15" t="str">
        <f t="shared" si="3"/>
        <v>APPROVED</v>
      </c>
    </row>
    <row r="232" ht="15.75" customHeight="1">
      <c r="A232" s="24" t="s">
        <v>825</v>
      </c>
      <c r="B232" s="115" t="s">
        <v>38</v>
      </c>
      <c r="C232" s="26">
        <v>45835.0</v>
      </c>
      <c r="D232" s="26">
        <v>45835.0</v>
      </c>
      <c r="E232" s="24" t="s">
        <v>21</v>
      </c>
      <c r="F232" s="24">
        <v>24.0</v>
      </c>
      <c r="G232" s="27">
        <v>100.0</v>
      </c>
      <c r="H232" s="24" t="s">
        <v>22</v>
      </c>
      <c r="I232" s="28" t="s">
        <v>23</v>
      </c>
      <c r="J232" s="28" t="s">
        <v>30</v>
      </c>
      <c r="K232" s="28" t="s">
        <v>49</v>
      </c>
      <c r="L232" s="96" t="s">
        <v>826</v>
      </c>
      <c r="M232" s="97" t="s">
        <v>827</v>
      </c>
      <c r="N232" s="98"/>
      <c r="O232" s="28" t="s">
        <v>27</v>
      </c>
      <c r="P232" s="24" t="s">
        <v>22</v>
      </c>
      <c r="Q232" s="14" t="b">
        <f t="shared" si="1"/>
        <v>0</v>
      </c>
      <c r="R232" s="15" t="b">
        <f t="shared" si="2"/>
        <v>0</v>
      </c>
      <c r="S232" s="15" t="str">
        <f t="shared" si="3"/>
        <v>PENDING</v>
      </c>
    </row>
    <row r="233" ht="15.75" customHeight="1">
      <c r="A233" s="7" t="s">
        <v>828</v>
      </c>
      <c r="B233" s="13" t="s">
        <v>829</v>
      </c>
      <c r="C233" s="9">
        <v>45835.0</v>
      </c>
      <c r="D233" s="9">
        <v>45838.0</v>
      </c>
      <c r="E233" s="7" t="s">
        <v>21</v>
      </c>
      <c r="F233" s="7">
        <v>24.0</v>
      </c>
      <c r="G233" s="10">
        <v>128.5</v>
      </c>
      <c r="H233" s="7" t="s">
        <v>22</v>
      </c>
      <c r="I233" s="11" t="s">
        <v>23</v>
      </c>
      <c r="J233" s="11" t="s">
        <v>172</v>
      </c>
      <c r="K233" s="11" t="s">
        <v>25</v>
      </c>
      <c r="L233" s="16" t="s">
        <v>830</v>
      </c>
      <c r="M233" s="49" t="s">
        <v>831</v>
      </c>
      <c r="N233" s="73"/>
      <c r="O233" s="11" t="s">
        <v>27</v>
      </c>
      <c r="P233" s="7" t="s">
        <v>22</v>
      </c>
      <c r="Q233" s="14" t="b">
        <f t="shared" si="1"/>
        <v>1</v>
      </c>
      <c r="R233" s="15" t="b">
        <f t="shared" si="2"/>
        <v>0</v>
      </c>
      <c r="S233" s="15" t="str">
        <f t="shared" si="3"/>
        <v>APPROVED</v>
      </c>
    </row>
    <row r="234" ht="15.75" customHeight="1">
      <c r="A234" s="7" t="s">
        <v>832</v>
      </c>
      <c r="B234" s="13" t="s">
        <v>833</v>
      </c>
      <c r="C234" s="9">
        <v>45835.0</v>
      </c>
      <c r="D234" s="9">
        <v>45835.0</v>
      </c>
      <c r="E234" s="7" t="s">
        <v>21</v>
      </c>
      <c r="F234" s="7">
        <v>24.0</v>
      </c>
      <c r="G234" s="10">
        <v>118.18</v>
      </c>
      <c r="H234" s="7" t="s">
        <v>177</v>
      </c>
      <c r="I234" s="11" t="s">
        <v>23</v>
      </c>
      <c r="J234" s="11" t="s">
        <v>172</v>
      </c>
      <c r="K234" s="11" t="s">
        <v>25</v>
      </c>
      <c r="L234" s="16" t="s">
        <v>834</v>
      </c>
      <c r="M234" s="49" t="s">
        <v>835</v>
      </c>
      <c r="N234" s="73"/>
      <c r="O234" s="11" t="s">
        <v>27</v>
      </c>
      <c r="P234" s="7" t="s">
        <v>177</v>
      </c>
      <c r="Q234" s="14" t="b">
        <f t="shared" si="1"/>
        <v>1</v>
      </c>
      <c r="R234" s="15" t="b">
        <f t="shared" si="2"/>
        <v>0</v>
      </c>
      <c r="S234" s="15" t="str">
        <f t="shared" si="3"/>
        <v>APPROVED</v>
      </c>
    </row>
    <row r="235" ht="15.75" customHeight="1">
      <c r="A235" s="24" t="s">
        <v>836</v>
      </c>
      <c r="B235" s="25" t="s">
        <v>837</v>
      </c>
      <c r="C235" s="26">
        <v>45835.0</v>
      </c>
      <c r="D235" s="26">
        <v>45835.0</v>
      </c>
      <c r="E235" s="24" t="s">
        <v>21</v>
      </c>
      <c r="F235" s="24">
        <v>24.0</v>
      </c>
      <c r="G235" s="27">
        <v>119.0</v>
      </c>
      <c r="H235" s="24" t="s">
        <v>715</v>
      </c>
      <c r="I235" s="28" t="s">
        <v>23</v>
      </c>
      <c r="J235" s="28" t="s">
        <v>172</v>
      </c>
      <c r="K235" s="28" t="s">
        <v>49</v>
      </c>
      <c r="L235" s="96" t="s">
        <v>838</v>
      </c>
      <c r="M235" s="97" t="s">
        <v>827</v>
      </c>
      <c r="N235" s="98"/>
      <c r="O235" s="28" t="s">
        <v>27</v>
      </c>
      <c r="P235" s="24" t="s">
        <v>715</v>
      </c>
      <c r="Q235" s="14" t="b">
        <f t="shared" si="1"/>
        <v>0</v>
      </c>
      <c r="R235" s="15" t="b">
        <f t="shared" si="2"/>
        <v>0</v>
      </c>
      <c r="S235" s="15" t="str">
        <f t="shared" si="3"/>
        <v>PENDING</v>
      </c>
    </row>
    <row r="236" ht="15.75" customHeight="1">
      <c r="A236" s="7" t="s">
        <v>839</v>
      </c>
      <c r="B236" s="13" t="s">
        <v>840</v>
      </c>
      <c r="C236" s="9">
        <v>45833.0</v>
      </c>
      <c r="D236" s="9">
        <v>45833.0</v>
      </c>
      <c r="E236" s="7" t="s">
        <v>21</v>
      </c>
      <c r="F236" s="7">
        <v>24.0</v>
      </c>
      <c r="G236" s="10">
        <v>119.0</v>
      </c>
      <c r="H236" s="7" t="s">
        <v>715</v>
      </c>
      <c r="I236" s="11" t="s">
        <v>23</v>
      </c>
      <c r="J236" s="11" t="s">
        <v>172</v>
      </c>
      <c r="K236" s="11" t="s">
        <v>25</v>
      </c>
      <c r="L236" s="16" t="s">
        <v>841</v>
      </c>
      <c r="M236" s="49" t="s">
        <v>842</v>
      </c>
      <c r="N236" s="73"/>
      <c r="O236" s="11" t="s">
        <v>27</v>
      </c>
      <c r="P236" s="7" t="s">
        <v>715</v>
      </c>
      <c r="Q236" s="14" t="b">
        <f t="shared" si="1"/>
        <v>1</v>
      </c>
      <c r="R236" s="15" t="b">
        <f t="shared" si="2"/>
        <v>0</v>
      </c>
      <c r="S236" s="15" t="str">
        <f t="shared" si="3"/>
        <v>APPROVED</v>
      </c>
    </row>
    <row r="237" ht="15.75" customHeight="1">
      <c r="A237" s="24" t="s">
        <v>843</v>
      </c>
      <c r="B237" s="25" t="s">
        <v>844</v>
      </c>
      <c r="C237" s="26">
        <v>45833.0</v>
      </c>
      <c r="D237" s="26">
        <v>45833.0</v>
      </c>
      <c r="E237" s="24" t="s">
        <v>21</v>
      </c>
      <c r="F237" s="24">
        <v>24.0</v>
      </c>
      <c r="G237" s="27">
        <v>119.0</v>
      </c>
      <c r="H237" s="24" t="s">
        <v>715</v>
      </c>
      <c r="I237" s="28" t="s">
        <v>23</v>
      </c>
      <c r="J237" s="28" t="s">
        <v>172</v>
      </c>
      <c r="K237" s="28" t="s">
        <v>49</v>
      </c>
      <c r="L237" s="96" t="s">
        <v>845</v>
      </c>
      <c r="M237" s="97" t="s">
        <v>846</v>
      </c>
      <c r="N237" s="98"/>
      <c r="O237" s="28" t="s">
        <v>27</v>
      </c>
      <c r="P237" s="24" t="s">
        <v>715</v>
      </c>
      <c r="Q237" s="14" t="b">
        <f t="shared" si="1"/>
        <v>0</v>
      </c>
      <c r="R237" s="15" t="b">
        <f t="shared" si="2"/>
        <v>0</v>
      </c>
      <c r="S237" s="15" t="str">
        <f t="shared" si="3"/>
        <v>PENDING</v>
      </c>
    </row>
    <row r="238" ht="15.75" customHeight="1">
      <c r="A238" s="24" t="s">
        <v>847</v>
      </c>
      <c r="B238" s="25" t="s">
        <v>848</v>
      </c>
      <c r="C238" s="26">
        <v>45833.0</v>
      </c>
      <c r="D238" s="26">
        <v>45833.0</v>
      </c>
      <c r="E238" s="24" t="s">
        <v>21</v>
      </c>
      <c r="F238" s="24"/>
      <c r="G238" s="27"/>
      <c r="H238" s="24" t="s">
        <v>715</v>
      </c>
      <c r="I238" s="28" t="s">
        <v>23</v>
      </c>
      <c r="J238" s="28" t="s">
        <v>172</v>
      </c>
      <c r="K238" s="28" t="s">
        <v>49</v>
      </c>
      <c r="L238" s="96" t="s">
        <v>849</v>
      </c>
      <c r="M238" s="97" t="s">
        <v>850</v>
      </c>
      <c r="N238" s="97" t="s">
        <v>851</v>
      </c>
      <c r="O238" s="24" t="s">
        <v>98</v>
      </c>
      <c r="P238" s="24" t="s">
        <v>715</v>
      </c>
      <c r="Q238" s="14" t="b">
        <f t="shared" si="1"/>
        <v>0</v>
      </c>
      <c r="R238" s="15" t="b">
        <f t="shared" si="2"/>
        <v>1</v>
      </c>
      <c r="S238" s="15" t="str">
        <f t="shared" si="3"/>
        <v>PENDING</v>
      </c>
    </row>
    <row r="239" ht="15.75" customHeight="1">
      <c r="A239" s="24" t="s">
        <v>852</v>
      </c>
      <c r="B239" s="25" t="s">
        <v>455</v>
      </c>
      <c r="C239" s="26">
        <v>45836.0</v>
      </c>
      <c r="D239" s="26"/>
      <c r="E239" s="24" t="s">
        <v>21</v>
      </c>
      <c r="F239" s="24">
        <v>120.0</v>
      </c>
      <c r="G239" s="27"/>
      <c r="H239" s="24" t="s">
        <v>171</v>
      </c>
      <c r="I239" s="28" t="s">
        <v>23</v>
      </c>
      <c r="J239" s="28" t="s">
        <v>172</v>
      </c>
      <c r="K239" s="28" t="s">
        <v>49</v>
      </c>
      <c r="M239" s="97" t="s">
        <v>432</v>
      </c>
      <c r="N239" s="98"/>
      <c r="O239" s="28" t="s">
        <v>27</v>
      </c>
      <c r="P239" s="24" t="s">
        <v>171</v>
      </c>
      <c r="Q239" s="14" t="b">
        <f t="shared" si="1"/>
        <v>0</v>
      </c>
      <c r="R239" s="15" t="b">
        <f t="shared" si="2"/>
        <v>0</v>
      </c>
      <c r="S239" s="15" t="str">
        <f t="shared" si="3"/>
        <v>PENDING</v>
      </c>
    </row>
    <row r="240" ht="15.75" customHeight="1">
      <c r="A240" s="7" t="s">
        <v>853</v>
      </c>
      <c r="B240" s="8" t="s">
        <v>714</v>
      </c>
      <c r="C240" s="9">
        <v>45836.0</v>
      </c>
      <c r="D240" s="9"/>
      <c r="E240" s="7" t="s">
        <v>21</v>
      </c>
      <c r="F240" s="7">
        <v>0.0</v>
      </c>
      <c r="G240" s="10"/>
      <c r="H240" s="7" t="s">
        <v>715</v>
      </c>
      <c r="I240" s="11" t="s">
        <v>23</v>
      </c>
      <c r="J240" s="11" t="s">
        <v>172</v>
      </c>
      <c r="K240" s="11" t="s">
        <v>49</v>
      </c>
      <c r="L240" s="16"/>
      <c r="M240" s="49" t="s">
        <v>432</v>
      </c>
      <c r="N240" s="73"/>
      <c r="O240" s="11" t="s">
        <v>27</v>
      </c>
      <c r="P240" s="7" t="s">
        <v>715</v>
      </c>
      <c r="Q240" s="14" t="b">
        <f t="shared" si="1"/>
        <v>0</v>
      </c>
      <c r="R240" s="15" t="b">
        <f t="shared" si="2"/>
        <v>0</v>
      </c>
      <c r="S240" s="15" t="str">
        <f t="shared" si="3"/>
        <v>PENDING</v>
      </c>
    </row>
    <row r="241" ht="15.75" customHeight="1">
      <c r="A241" s="30" t="s">
        <v>854</v>
      </c>
      <c r="B241" s="58" t="s">
        <v>855</v>
      </c>
      <c r="C241" s="32">
        <v>45658.0</v>
      </c>
      <c r="D241" s="32"/>
      <c r="E241" s="30" t="s">
        <v>21</v>
      </c>
      <c r="F241" s="30"/>
      <c r="G241" s="33"/>
      <c r="H241" s="30" t="s">
        <v>744</v>
      </c>
      <c r="I241" s="34" t="s">
        <v>23</v>
      </c>
      <c r="J241" s="34" t="s">
        <v>172</v>
      </c>
      <c r="K241" s="34" t="s">
        <v>49</v>
      </c>
      <c r="L241" s="66" t="s">
        <v>856</v>
      </c>
      <c r="M241" s="69" t="s">
        <v>432</v>
      </c>
      <c r="N241" s="70"/>
      <c r="O241" s="30" t="s">
        <v>98</v>
      </c>
      <c r="P241" s="30" t="s">
        <v>744</v>
      </c>
      <c r="Q241" s="14" t="b">
        <f t="shared" si="1"/>
        <v>0</v>
      </c>
      <c r="R241" s="15" t="b">
        <f t="shared" si="2"/>
        <v>1</v>
      </c>
      <c r="S241" s="15" t="str">
        <f t="shared" si="3"/>
        <v>PENDING</v>
      </c>
    </row>
    <row r="242" ht="15.75" customHeight="1">
      <c r="A242" s="7" t="s">
        <v>857</v>
      </c>
      <c r="B242" s="8" t="s">
        <v>858</v>
      </c>
      <c r="C242" s="9">
        <v>45839.0</v>
      </c>
      <c r="D242" s="9">
        <v>45664.0</v>
      </c>
      <c r="E242" s="7" t="s">
        <v>21</v>
      </c>
      <c r="F242" s="7">
        <v>24.0</v>
      </c>
      <c r="G242" s="10">
        <v>118.18</v>
      </c>
      <c r="H242" s="7" t="s">
        <v>177</v>
      </c>
      <c r="I242" s="11" t="s">
        <v>23</v>
      </c>
      <c r="J242" s="11" t="s">
        <v>172</v>
      </c>
      <c r="K242" s="11" t="s">
        <v>25</v>
      </c>
      <c r="L242" s="16" t="s">
        <v>859</v>
      </c>
      <c r="M242" s="49" t="s">
        <v>860</v>
      </c>
      <c r="N242" s="73"/>
      <c r="O242" s="11" t="s">
        <v>27</v>
      </c>
      <c r="P242" s="7" t="s">
        <v>177</v>
      </c>
      <c r="Q242" s="14" t="b">
        <f t="shared" si="1"/>
        <v>1</v>
      </c>
      <c r="R242" s="15" t="b">
        <f t="shared" si="2"/>
        <v>0</v>
      </c>
      <c r="S242" s="15" t="str">
        <f t="shared" si="3"/>
        <v>APPROVED</v>
      </c>
    </row>
    <row r="243" ht="15.75" customHeight="1">
      <c r="A243" s="7" t="s">
        <v>861</v>
      </c>
      <c r="B243" s="13" t="s">
        <v>862</v>
      </c>
      <c r="C243" s="9">
        <v>45839.0</v>
      </c>
      <c r="D243" s="9">
        <v>45664.0</v>
      </c>
      <c r="E243" s="7" t="s">
        <v>21</v>
      </c>
      <c r="F243" s="7">
        <v>24.0</v>
      </c>
      <c r="G243" s="10">
        <v>115.0</v>
      </c>
      <c r="H243" s="7" t="s">
        <v>177</v>
      </c>
      <c r="I243" s="11" t="s">
        <v>23</v>
      </c>
      <c r="J243" s="11" t="s">
        <v>30</v>
      </c>
      <c r="K243" s="11" t="s">
        <v>25</v>
      </c>
      <c r="L243" s="16" t="s">
        <v>863</v>
      </c>
      <c r="M243" s="49" t="s">
        <v>274</v>
      </c>
      <c r="N243" s="73"/>
      <c r="O243" s="11" t="s">
        <v>27</v>
      </c>
      <c r="P243" s="7" t="s">
        <v>177</v>
      </c>
      <c r="Q243" s="14" t="b">
        <f t="shared" si="1"/>
        <v>1</v>
      </c>
      <c r="R243" s="15" t="b">
        <f t="shared" si="2"/>
        <v>0</v>
      </c>
      <c r="S243" s="15" t="str">
        <f t="shared" si="3"/>
        <v>APPROVED</v>
      </c>
    </row>
    <row r="244" ht="15.75" customHeight="1">
      <c r="A244" s="7" t="s">
        <v>864</v>
      </c>
      <c r="B244" s="13" t="s">
        <v>865</v>
      </c>
      <c r="C244" s="9">
        <v>45839.0</v>
      </c>
      <c r="D244" s="9">
        <v>45664.0</v>
      </c>
      <c r="E244" s="7" t="s">
        <v>21</v>
      </c>
      <c r="F244" s="7">
        <v>24.0</v>
      </c>
      <c r="G244" s="10">
        <v>119.0</v>
      </c>
      <c r="H244" s="7" t="s">
        <v>177</v>
      </c>
      <c r="I244" s="11" t="s">
        <v>23</v>
      </c>
      <c r="J244" s="11" t="s">
        <v>172</v>
      </c>
      <c r="K244" s="11" t="s">
        <v>25</v>
      </c>
      <c r="L244" s="16" t="s">
        <v>866</v>
      </c>
      <c r="M244" s="49" t="s">
        <v>867</v>
      </c>
      <c r="N244" s="73"/>
      <c r="O244" s="11" t="s">
        <v>27</v>
      </c>
      <c r="P244" s="7" t="s">
        <v>177</v>
      </c>
      <c r="Q244" s="14" t="b">
        <f t="shared" si="1"/>
        <v>1</v>
      </c>
      <c r="R244" s="15" t="b">
        <f t="shared" si="2"/>
        <v>0</v>
      </c>
      <c r="S244" s="15" t="str">
        <f t="shared" si="3"/>
        <v>APPROVED</v>
      </c>
    </row>
    <row r="245" ht="15.75" customHeight="1">
      <c r="A245" s="7" t="s">
        <v>868</v>
      </c>
      <c r="B245" s="13" t="s">
        <v>869</v>
      </c>
      <c r="C245" s="9">
        <v>45839.0</v>
      </c>
      <c r="D245" s="9">
        <v>45664.0</v>
      </c>
      <c r="E245" s="7" t="s">
        <v>21</v>
      </c>
      <c r="F245" s="7">
        <v>24.0</v>
      </c>
      <c r="G245" s="10">
        <v>118.18</v>
      </c>
      <c r="H245" s="7" t="s">
        <v>177</v>
      </c>
      <c r="I245" s="11" t="s">
        <v>23</v>
      </c>
      <c r="J245" s="11" t="s">
        <v>172</v>
      </c>
      <c r="K245" s="11" t="s">
        <v>25</v>
      </c>
      <c r="L245" s="16" t="s">
        <v>870</v>
      </c>
      <c r="M245" s="49" t="s">
        <v>871</v>
      </c>
      <c r="N245" s="73"/>
      <c r="O245" s="11" t="s">
        <v>27</v>
      </c>
      <c r="P245" s="7" t="s">
        <v>177</v>
      </c>
      <c r="Q245" s="14" t="b">
        <f t="shared" si="1"/>
        <v>1</v>
      </c>
      <c r="R245" s="15" t="b">
        <f t="shared" si="2"/>
        <v>0</v>
      </c>
      <c r="S245" s="15" t="str">
        <f t="shared" si="3"/>
        <v>APPROVED</v>
      </c>
    </row>
    <row r="246" ht="15.75" customHeight="1">
      <c r="A246" s="7" t="s">
        <v>872</v>
      </c>
      <c r="B246" s="13" t="s">
        <v>873</v>
      </c>
      <c r="C246" s="9">
        <v>45839.0</v>
      </c>
      <c r="D246" s="9">
        <v>45664.0</v>
      </c>
      <c r="E246" s="7" t="s">
        <v>21</v>
      </c>
      <c r="F246" s="7">
        <v>24.0</v>
      </c>
      <c r="G246" s="10">
        <v>118.18</v>
      </c>
      <c r="H246" s="7" t="s">
        <v>177</v>
      </c>
      <c r="I246" s="11" t="s">
        <v>23</v>
      </c>
      <c r="J246" s="11" t="s">
        <v>172</v>
      </c>
      <c r="K246" s="11" t="s">
        <v>25</v>
      </c>
      <c r="L246" s="16" t="s">
        <v>874</v>
      </c>
      <c r="M246" s="49" t="s">
        <v>674</v>
      </c>
      <c r="N246" s="73"/>
      <c r="O246" s="11" t="s">
        <v>27</v>
      </c>
      <c r="P246" s="7" t="s">
        <v>177</v>
      </c>
      <c r="Q246" s="14" t="b">
        <f t="shared" si="1"/>
        <v>1</v>
      </c>
      <c r="R246" s="15" t="b">
        <f t="shared" si="2"/>
        <v>0</v>
      </c>
      <c r="S246" s="15" t="str">
        <f t="shared" si="3"/>
        <v>APPROVED</v>
      </c>
    </row>
    <row r="247" ht="15.75" customHeight="1">
      <c r="A247" s="7" t="s">
        <v>875</v>
      </c>
      <c r="B247" s="13" t="s">
        <v>876</v>
      </c>
      <c r="C247" s="9">
        <v>45839.0</v>
      </c>
      <c r="D247" s="9">
        <v>45664.0</v>
      </c>
      <c r="E247" s="7" t="s">
        <v>21</v>
      </c>
      <c r="F247" s="7">
        <v>24.0</v>
      </c>
      <c r="G247" s="10">
        <v>118.18</v>
      </c>
      <c r="H247" s="7" t="s">
        <v>177</v>
      </c>
      <c r="I247" s="11" t="s">
        <v>23</v>
      </c>
      <c r="J247" s="11" t="s">
        <v>172</v>
      </c>
      <c r="K247" s="11" t="s">
        <v>25</v>
      </c>
      <c r="L247" s="16" t="s">
        <v>877</v>
      </c>
      <c r="M247" s="49" t="s">
        <v>878</v>
      </c>
      <c r="N247" s="73"/>
      <c r="O247" s="11" t="s">
        <v>27</v>
      </c>
      <c r="P247" s="7" t="s">
        <v>177</v>
      </c>
      <c r="Q247" s="14" t="b">
        <f t="shared" si="1"/>
        <v>1</v>
      </c>
      <c r="R247" s="15" t="b">
        <f t="shared" si="2"/>
        <v>0</v>
      </c>
      <c r="S247" s="15" t="str">
        <f t="shared" si="3"/>
        <v>APPROVED</v>
      </c>
    </row>
    <row r="248" ht="15.75" customHeight="1">
      <c r="A248" s="7" t="s">
        <v>879</v>
      </c>
      <c r="B248" s="13" t="s">
        <v>880</v>
      </c>
      <c r="C248" s="9">
        <v>45839.0</v>
      </c>
      <c r="D248" s="9">
        <v>45664.0</v>
      </c>
      <c r="E248" s="7" t="s">
        <v>21</v>
      </c>
      <c r="F248" s="7">
        <v>24.0</v>
      </c>
      <c r="G248" s="10">
        <v>118.18</v>
      </c>
      <c r="H248" s="7" t="s">
        <v>177</v>
      </c>
      <c r="I248" s="11" t="s">
        <v>23</v>
      </c>
      <c r="J248" s="11" t="s">
        <v>172</v>
      </c>
      <c r="K248" s="11" t="s">
        <v>25</v>
      </c>
      <c r="L248" s="16" t="s">
        <v>881</v>
      </c>
      <c r="M248" s="49" t="s">
        <v>882</v>
      </c>
      <c r="N248" s="73"/>
      <c r="O248" s="11" t="s">
        <v>27</v>
      </c>
      <c r="P248" s="7" t="s">
        <v>177</v>
      </c>
      <c r="Q248" s="14" t="b">
        <f t="shared" si="1"/>
        <v>1</v>
      </c>
      <c r="R248" s="15" t="b">
        <f t="shared" si="2"/>
        <v>0</v>
      </c>
      <c r="S248" s="15" t="str">
        <f t="shared" si="3"/>
        <v>APPROVED</v>
      </c>
    </row>
    <row r="249" ht="15.75" customHeight="1">
      <c r="A249" s="7" t="s">
        <v>883</v>
      </c>
      <c r="B249" s="8" t="s">
        <v>60</v>
      </c>
      <c r="C249" s="9">
        <v>45839.0</v>
      </c>
      <c r="D249" s="9">
        <v>45695.0</v>
      </c>
      <c r="E249" s="7" t="s">
        <v>21</v>
      </c>
      <c r="F249" s="7">
        <v>240.0</v>
      </c>
      <c r="G249" s="10">
        <v>110.0</v>
      </c>
      <c r="H249" s="7" t="s">
        <v>22</v>
      </c>
      <c r="I249" s="11" t="s">
        <v>23</v>
      </c>
      <c r="J249" s="11" t="s">
        <v>48</v>
      </c>
      <c r="K249" s="11" t="s">
        <v>25</v>
      </c>
      <c r="L249" s="16" t="s">
        <v>884</v>
      </c>
      <c r="M249" s="49"/>
      <c r="N249" s="73"/>
      <c r="O249" s="11" t="s">
        <v>27</v>
      </c>
      <c r="P249" s="7" t="s">
        <v>22</v>
      </c>
      <c r="Q249" s="14" t="b">
        <f t="shared" si="1"/>
        <v>1</v>
      </c>
      <c r="R249" s="15" t="b">
        <f t="shared" si="2"/>
        <v>0</v>
      </c>
      <c r="S249" s="15" t="str">
        <f t="shared" si="3"/>
        <v>APPROVED</v>
      </c>
    </row>
    <row r="250" ht="15.75" customHeight="1">
      <c r="A250" s="24" t="s">
        <v>885</v>
      </c>
      <c r="B250" s="25" t="s">
        <v>886</v>
      </c>
      <c r="C250" s="26">
        <v>45839.0</v>
      </c>
      <c r="D250" s="26">
        <v>45664.0</v>
      </c>
      <c r="E250" s="24" t="s">
        <v>21</v>
      </c>
      <c r="F250" s="24">
        <v>48.0</v>
      </c>
      <c r="G250" s="27">
        <v>128.25</v>
      </c>
      <c r="H250" s="24" t="s">
        <v>715</v>
      </c>
      <c r="I250" s="28" t="s">
        <v>23</v>
      </c>
      <c r="J250" s="28" t="s">
        <v>172</v>
      </c>
      <c r="K250" s="28" t="s">
        <v>49</v>
      </c>
      <c r="L250" s="96" t="s">
        <v>887</v>
      </c>
      <c r="M250" s="97" t="s">
        <v>888</v>
      </c>
      <c r="N250" s="98" t="s">
        <v>889</v>
      </c>
      <c r="O250" s="28" t="s">
        <v>27</v>
      </c>
      <c r="P250" s="24" t="s">
        <v>715</v>
      </c>
      <c r="Q250" s="14" t="b">
        <f t="shared" si="1"/>
        <v>0</v>
      </c>
      <c r="R250" s="15" t="b">
        <f t="shared" si="2"/>
        <v>0</v>
      </c>
      <c r="S250" s="15" t="str">
        <f t="shared" si="3"/>
        <v>PENDING</v>
      </c>
    </row>
    <row r="251" ht="15.75" customHeight="1">
      <c r="A251" s="7" t="s">
        <v>890</v>
      </c>
      <c r="B251" s="13" t="s">
        <v>891</v>
      </c>
      <c r="C251" s="9">
        <v>45839.0</v>
      </c>
      <c r="D251" s="9">
        <v>45664.0</v>
      </c>
      <c r="E251" s="7" t="s">
        <v>21</v>
      </c>
      <c r="F251" s="7">
        <v>24.0</v>
      </c>
      <c r="G251" s="10">
        <v>125.0</v>
      </c>
      <c r="H251" s="7" t="s">
        <v>715</v>
      </c>
      <c r="I251" s="11" t="s">
        <v>23</v>
      </c>
      <c r="J251" s="11" t="s">
        <v>48</v>
      </c>
      <c r="K251" s="11" t="s">
        <v>25</v>
      </c>
      <c r="L251" s="16" t="s">
        <v>892</v>
      </c>
      <c r="M251" s="49" t="s">
        <v>893</v>
      </c>
      <c r="N251" s="73"/>
      <c r="O251" s="11" t="s">
        <v>27</v>
      </c>
      <c r="P251" s="7" t="s">
        <v>715</v>
      </c>
      <c r="Q251" s="14" t="b">
        <f t="shared" si="1"/>
        <v>1</v>
      </c>
      <c r="R251" s="15" t="b">
        <f t="shared" si="2"/>
        <v>0</v>
      </c>
      <c r="S251" s="15" t="str">
        <f t="shared" si="3"/>
        <v>APPROVED</v>
      </c>
    </row>
    <row r="252" ht="15.75" customHeight="1">
      <c r="A252" s="7" t="s">
        <v>894</v>
      </c>
      <c r="B252" s="13" t="s">
        <v>895</v>
      </c>
      <c r="C252" s="9">
        <v>45839.0</v>
      </c>
      <c r="D252" s="9">
        <v>45664.0</v>
      </c>
      <c r="E252" s="7" t="s">
        <v>21</v>
      </c>
      <c r="F252" s="7">
        <v>24.0</v>
      </c>
      <c r="G252" s="10">
        <v>119.0</v>
      </c>
      <c r="H252" s="7" t="s">
        <v>715</v>
      </c>
      <c r="I252" s="11" t="s">
        <v>23</v>
      </c>
      <c r="J252" s="11" t="s">
        <v>172</v>
      </c>
      <c r="K252" s="11" t="s">
        <v>25</v>
      </c>
      <c r="L252" s="16" t="s">
        <v>896</v>
      </c>
      <c r="M252" s="49" t="s">
        <v>897</v>
      </c>
      <c r="N252" s="73"/>
      <c r="O252" s="11" t="s">
        <v>27</v>
      </c>
      <c r="P252" s="7" t="s">
        <v>715</v>
      </c>
      <c r="Q252" s="14" t="b">
        <f t="shared" si="1"/>
        <v>1</v>
      </c>
      <c r="R252" s="15" t="b">
        <f t="shared" si="2"/>
        <v>0</v>
      </c>
      <c r="S252" s="15" t="str">
        <f t="shared" si="3"/>
        <v>APPROVED</v>
      </c>
    </row>
    <row r="253" ht="15.75" customHeight="1">
      <c r="A253" s="24" t="s">
        <v>898</v>
      </c>
      <c r="B253" s="25" t="s">
        <v>899</v>
      </c>
      <c r="C253" s="26">
        <v>45839.0</v>
      </c>
      <c r="D253" s="26">
        <v>45664.0</v>
      </c>
      <c r="E253" s="24" t="s">
        <v>21</v>
      </c>
      <c r="F253" s="24">
        <v>24.0</v>
      </c>
      <c r="G253" s="27">
        <v>125.0</v>
      </c>
      <c r="H253" s="24" t="s">
        <v>715</v>
      </c>
      <c r="I253" s="28" t="s">
        <v>23</v>
      </c>
      <c r="J253" s="28" t="s">
        <v>172</v>
      </c>
      <c r="K253" s="28" t="s">
        <v>49</v>
      </c>
      <c r="L253" s="96" t="s">
        <v>900</v>
      </c>
      <c r="M253" s="97" t="s">
        <v>888</v>
      </c>
      <c r="N253" s="98"/>
      <c r="O253" s="28" t="s">
        <v>27</v>
      </c>
      <c r="P253" s="24" t="s">
        <v>715</v>
      </c>
      <c r="Q253" s="14" t="b">
        <f t="shared" si="1"/>
        <v>0</v>
      </c>
      <c r="R253" s="15" t="b">
        <f t="shared" si="2"/>
        <v>0</v>
      </c>
      <c r="S253" s="15" t="str">
        <f t="shared" si="3"/>
        <v>PENDING</v>
      </c>
    </row>
    <row r="254" ht="15.75" customHeight="1">
      <c r="A254" s="7" t="s">
        <v>901</v>
      </c>
      <c r="B254" s="13" t="s">
        <v>902</v>
      </c>
      <c r="C254" s="9">
        <v>45840.0</v>
      </c>
      <c r="D254" s="9">
        <v>45695.0</v>
      </c>
      <c r="E254" s="7" t="s">
        <v>21</v>
      </c>
      <c r="F254" s="7">
        <v>4.0</v>
      </c>
      <c r="G254" s="10">
        <v>119.0</v>
      </c>
      <c r="H254" s="7" t="s">
        <v>715</v>
      </c>
      <c r="I254" s="11" t="s">
        <v>23</v>
      </c>
      <c r="J254" s="11" t="s">
        <v>172</v>
      </c>
      <c r="K254" s="11" t="s">
        <v>25</v>
      </c>
      <c r="L254" s="16" t="s">
        <v>903</v>
      </c>
      <c r="M254" s="49" t="s">
        <v>781</v>
      </c>
      <c r="N254" s="12" t="s">
        <v>904</v>
      </c>
      <c r="O254" s="11" t="s">
        <v>27</v>
      </c>
      <c r="P254" s="7" t="s">
        <v>715</v>
      </c>
      <c r="Q254" s="14" t="b">
        <f t="shared" si="1"/>
        <v>1</v>
      </c>
      <c r="R254" s="15" t="b">
        <f t="shared" si="2"/>
        <v>0</v>
      </c>
      <c r="S254" s="15" t="str">
        <f t="shared" si="3"/>
        <v>APPROVED</v>
      </c>
    </row>
    <row r="255" ht="15.75" customHeight="1">
      <c r="A255" s="7" t="s">
        <v>905</v>
      </c>
      <c r="B255" s="13" t="s">
        <v>906</v>
      </c>
      <c r="C255" s="9">
        <v>45840.0</v>
      </c>
      <c r="D255" s="9">
        <v>45695.0</v>
      </c>
      <c r="E255" s="7" t="s">
        <v>21</v>
      </c>
      <c r="F255" s="7">
        <v>72.0</v>
      </c>
      <c r="G255" s="10">
        <v>119.0</v>
      </c>
      <c r="H255" s="7" t="s">
        <v>715</v>
      </c>
      <c r="I255" s="11" t="s">
        <v>23</v>
      </c>
      <c r="J255" s="11" t="s">
        <v>172</v>
      </c>
      <c r="K255" s="11" t="s">
        <v>25</v>
      </c>
      <c r="L255" s="16" t="s">
        <v>907</v>
      </c>
      <c r="M255" s="49" t="s">
        <v>908</v>
      </c>
      <c r="N255" s="13"/>
      <c r="O255" s="11" t="s">
        <v>27</v>
      </c>
      <c r="P255" s="7" t="s">
        <v>715</v>
      </c>
      <c r="Q255" s="14" t="b">
        <f t="shared" si="1"/>
        <v>1</v>
      </c>
      <c r="R255" s="15" t="b">
        <f t="shared" si="2"/>
        <v>0</v>
      </c>
      <c r="S255" s="15" t="str">
        <f t="shared" si="3"/>
        <v>APPROVED</v>
      </c>
    </row>
    <row r="256" ht="15.75" customHeight="1">
      <c r="A256" s="7" t="s">
        <v>909</v>
      </c>
      <c r="B256" s="13" t="s">
        <v>906</v>
      </c>
      <c r="C256" s="9">
        <v>45840.0</v>
      </c>
      <c r="D256" s="9">
        <v>45695.0</v>
      </c>
      <c r="E256" s="7" t="s">
        <v>21</v>
      </c>
      <c r="F256" s="7">
        <v>24.0</v>
      </c>
      <c r="G256" s="10">
        <v>119.0</v>
      </c>
      <c r="H256" s="7" t="s">
        <v>715</v>
      </c>
      <c r="I256" s="11" t="s">
        <v>23</v>
      </c>
      <c r="J256" s="11" t="s">
        <v>24</v>
      </c>
      <c r="K256" s="11" t="s">
        <v>25</v>
      </c>
      <c r="L256" s="16" t="s">
        <v>907</v>
      </c>
      <c r="M256" s="49" t="s">
        <v>910</v>
      </c>
      <c r="N256" s="13"/>
      <c r="O256" s="11" t="s">
        <v>27</v>
      </c>
      <c r="P256" s="7" t="s">
        <v>715</v>
      </c>
      <c r="Q256" s="14" t="b">
        <f t="shared" si="1"/>
        <v>1</v>
      </c>
      <c r="R256" s="15" t="b">
        <f t="shared" si="2"/>
        <v>0</v>
      </c>
      <c r="S256" s="15" t="str">
        <f t="shared" si="3"/>
        <v>APPROVED</v>
      </c>
    </row>
    <row r="257" ht="15.75" customHeight="1">
      <c r="A257" s="7" t="s">
        <v>911</v>
      </c>
      <c r="B257" s="8" t="s">
        <v>73</v>
      </c>
      <c r="C257" s="9">
        <v>45840.0</v>
      </c>
      <c r="D257" s="9">
        <v>45695.0</v>
      </c>
      <c r="E257" s="7" t="s">
        <v>21</v>
      </c>
      <c r="F257" s="7">
        <v>48.0</v>
      </c>
      <c r="G257" s="10">
        <v>119.0</v>
      </c>
      <c r="H257" s="7" t="s">
        <v>177</v>
      </c>
      <c r="I257" s="11" t="s">
        <v>23</v>
      </c>
      <c r="J257" s="11" t="s">
        <v>172</v>
      </c>
      <c r="K257" s="11" t="s">
        <v>25</v>
      </c>
      <c r="L257" s="16" t="s">
        <v>448</v>
      </c>
      <c r="M257" s="12" t="s">
        <v>912</v>
      </c>
      <c r="N257" s="13"/>
      <c r="O257" s="11" t="s">
        <v>27</v>
      </c>
      <c r="P257" s="7" t="s">
        <v>177</v>
      </c>
      <c r="Q257" s="14" t="b">
        <f t="shared" si="1"/>
        <v>1</v>
      </c>
      <c r="R257" s="15" t="b">
        <f t="shared" si="2"/>
        <v>0</v>
      </c>
      <c r="S257" s="15" t="str">
        <f t="shared" si="3"/>
        <v>APPROVED</v>
      </c>
    </row>
    <row r="258" ht="15.75" customHeight="1">
      <c r="A258" s="24" t="s">
        <v>913</v>
      </c>
      <c r="B258" s="115" t="s">
        <v>222</v>
      </c>
      <c r="C258" s="26">
        <v>45840.0</v>
      </c>
      <c r="D258" s="26">
        <v>45695.0</v>
      </c>
      <c r="E258" s="24" t="s">
        <v>21</v>
      </c>
      <c r="F258" s="24">
        <v>24.0</v>
      </c>
      <c r="G258" s="27"/>
      <c r="H258" s="24"/>
      <c r="I258" s="28" t="s">
        <v>23</v>
      </c>
      <c r="J258" s="24"/>
      <c r="K258" s="7" t="s">
        <v>31</v>
      </c>
      <c r="M258" s="29"/>
      <c r="N258" s="115" t="s">
        <v>914</v>
      </c>
      <c r="O258" s="28" t="s">
        <v>27</v>
      </c>
      <c r="P258" s="24"/>
      <c r="Q258" s="14" t="b">
        <f t="shared" si="1"/>
        <v>0</v>
      </c>
      <c r="R258" s="15" t="b">
        <f t="shared" si="2"/>
        <v>0</v>
      </c>
      <c r="S258" s="15" t="str">
        <f t="shared" si="3"/>
        <v>PENDING</v>
      </c>
    </row>
    <row r="259" ht="15.75" customHeight="1">
      <c r="A259" s="24" t="s">
        <v>915</v>
      </c>
      <c r="B259" s="25" t="s">
        <v>916</v>
      </c>
      <c r="C259" s="26">
        <v>45840.0</v>
      </c>
      <c r="D259" s="26">
        <v>45754.0</v>
      </c>
      <c r="E259" s="24" t="s">
        <v>21</v>
      </c>
      <c r="F259" s="24">
        <v>48.0</v>
      </c>
      <c r="G259" s="27">
        <v>119.0</v>
      </c>
      <c r="H259" s="24" t="s">
        <v>744</v>
      </c>
      <c r="I259" s="28" t="s">
        <v>23</v>
      </c>
      <c r="J259" s="28" t="s">
        <v>172</v>
      </c>
      <c r="K259" s="28" t="s">
        <v>482</v>
      </c>
      <c r="L259" s="96" t="s">
        <v>917</v>
      </c>
      <c r="M259" s="97"/>
      <c r="N259" s="25"/>
      <c r="O259" s="28" t="s">
        <v>27</v>
      </c>
      <c r="P259" s="24" t="s">
        <v>744</v>
      </c>
      <c r="Q259" s="14" t="b">
        <f t="shared" si="1"/>
        <v>0</v>
      </c>
      <c r="R259" s="15" t="b">
        <f t="shared" si="2"/>
        <v>0</v>
      </c>
      <c r="S259" s="15" t="str">
        <f t="shared" si="3"/>
        <v>PENDING</v>
      </c>
    </row>
    <row r="260" ht="15.75" customHeight="1">
      <c r="A260" s="24" t="s">
        <v>918</v>
      </c>
      <c r="B260" s="25" t="s">
        <v>919</v>
      </c>
      <c r="C260" s="26">
        <v>45840.0</v>
      </c>
      <c r="D260" s="26">
        <v>45754.0</v>
      </c>
      <c r="E260" s="24" t="s">
        <v>21</v>
      </c>
      <c r="F260" s="24">
        <v>48.0</v>
      </c>
      <c r="G260" s="27">
        <v>124.4</v>
      </c>
      <c r="H260" s="24" t="s">
        <v>744</v>
      </c>
      <c r="I260" s="28" t="s">
        <v>23</v>
      </c>
      <c r="J260" s="28" t="s">
        <v>172</v>
      </c>
      <c r="K260" s="28" t="s">
        <v>482</v>
      </c>
      <c r="L260" s="96" t="s">
        <v>920</v>
      </c>
      <c r="M260" s="97"/>
      <c r="N260" s="25"/>
      <c r="O260" s="28" t="s">
        <v>27</v>
      </c>
      <c r="P260" s="24" t="s">
        <v>744</v>
      </c>
      <c r="Q260" s="14" t="b">
        <f t="shared" si="1"/>
        <v>0</v>
      </c>
      <c r="R260" s="15" t="b">
        <f t="shared" si="2"/>
        <v>0</v>
      </c>
      <c r="S260" s="15" t="str">
        <f t="shared" si="3"/>
        <v>PENDING</v>
      </c>
    </row>
    <row r="261" ht="15.75" customHeight="1">
      <c r="A261" s="7" t="s">
        <v>921</v>
      </c>
      <c r="B261" s="13" t="s">
        <v>434</v>
      </c>
      <c r="C261" s="9">
        <v>45841.0</v>
      </c>
      <c r="D261" s="9">
        <v>45723.0</v>
      </c>
      <c r="E261" s="7" t="s">
        <v>21</v>
      </c>
      <c r="F261" s="7">
        <v>4.0</v>
      </c>
      <c r="G261" s="10">
        <v>119.0</v>
      </c>
      <c r="H261" s="7" t="s">
        <v>715</v>
      </c>
      <c r="I261" s="11" t="s">
        <v>23</v>
      </c>
      <c r="J261" s="11" t="s">
        <v>172</v>
      </c>
      <c r="K261" s="11" t="s">
        <v>25</v>
      </c>
      <c r="L261" s="16" t="s">
        <v>922</v>
      </c>
      <c r="M261" s="49" t="s">
        <v>923</v>
      </c>
      <c r="N261" s="12" t="s">
        <v>924</v>
      </c>
      <c r="O261" s="11" t="s">
        <v>27</v>
      </c>
      <c r="P261" s="7" t="s">
        <v>715</v>
      </c>
      <c r="Q261" s="14" t="b">
        <f t="shared" si="1"/>
        <v>1</v>
      </c>
      <c r="R261" s="15" t="b">
        <f t="shared" si="2"/>
        <v>0</v>
      </c>
      <c r="S261" s="15" t="str">
        <f t="shared" si="3"/>
        <v>APPROVED</v>
      </c>
    </row>
    <row r="262" ht="15.75" customHeight="1">
      <c r="A262" s="24" t="s">
        <v>925</v>
      </c>
      <c r="B262" s="25" t="s">
        <v>926</v>
      </c>
      <c r="C262" s="26">
        <v>45842.0</v>
      </c>
      <c r="D262" s="26">
        <v>45754.0</v>
      </c>
      <c r="E262" s="24" t="s">
        <v>21</v>
      </c>
      <c r="F262" s="24">
        <v>24.0</v>
      </c>
      <c r="G262" s="27">
        <v>119.0</v>
      </c>
      <c r="H262" s="24" t="s">
        <v>715</v>
      </c>
      <c r="I262" s="28" t="s">
        <v>23</v>
      </c>
      <c r="J262" s="28" t="s">
        <v>172</v>
      </c>
      <c r="K262" s="28" t="s">
        <v>49</v>
      </c>
      <c r="L262" s="96" t="s">
        <v>927</v>
      </c>
      <c r="M262" s="97"/>
      <c r="N262" s="29" t="s">
        <v>928</v>
      </c>
      <c r="O262" s="28" t="s">
        <v>27</v>
      </c>
      <c r="P262" s="24" t="s">
        <v>715</v>
      </c>
      <c r="Q262" s="14" t="b">
        <f t="shared" si="1"/>
        <v>0</v>
      </c>
      <c r="R262" s="15" t="b">
        <f t="shared" si="2"/>
        <v>0</v>
      </c>
      <c r="S262" s="15" t="str">
        <f t="shared" si="3"/>
        <v>PENDING</v>
      </c>
    </row>
    <row r="263" ht="15.75" customHeight="1">
      <c r="A263" s="7" t="s">
        <v>929</v>
      </c>
      <c r="B263" s="13" t="s">
        <v>930</v>
      </c>
      <c r="C263" s="9">
        <v>45845.0</v>
      </c>
      <c r="D263" s="9">
        <v>45845.0</v>
      </c>
      <c r="E263" s="7" t="s">
        <v>21</v>
      </c>
      <c r="F263" s="7">
        <v>24.0</v>
      </c>
      <c r="G263" s="10">
        <v>119.0</v>
      </c>
      <c r="H263" s="7" t="s">
        <v>177</v>
      </c>
      <c r="I263" s="11" t="s">
        <v>23</v>
      </c>
      <c r="J263" s="11" t="s">
        <v>172</v>
      </c>
      <c r="K263" s="11" t="s">
        <v>25</v>
      </c>
      <c r="L263" s="16" t="s">
        <v>931</v>
      </c>
      <c r="M263" s="49" t="s">
        <v>932</v>
      </c>
      <c r="N263" s="13"/>
      <c r="O263" s="11" t="s">
        <v>27</v>
      </c>
      <c r="P263" s="7" t="s">
        <v>177</v>
      </c>
      <c r="Q263" s="14" t="b">
        <f t="shared" si="1"/>
        <v>1</v>
      </c>
      <c r="R263" s="15" t="b">
        <f t="shared" si="2"/>
        <v>0</v>
      </c>
      <c r="S263" s="15" t="str">
        <f t="shared" si="3"/>
        <v>APPROVED</v>
      </c>
    </row>
    <row r="264" ht="15.75" customHeight="1">
      <c r="A264" s="7" t="s">
        <v>933</v>
      </c>
      <c r="B264" s="13" t="s">
        <v>934</v>
      </c>
      <c r="C264" s="9">
        <v>45845.0</v>
      </c>
      <c r="D264" s="9">
        <v>45845.0</v>
      </c>
      <c r="E264" s="7" t="s">
        <v>21</v>
      </c>
      <c r="F264" s="7">
        <v>48.0</v>
      </c>
      <c r="G264" s="10">
        <v>119.0</v>
      </c>
      <c r="H264" s="7" t="s">
        <v>177</v>
      </c>
      <c r="I264" s="11" t="s">
        <v>23</v>
      </c>
      <c r="J264" s="11" t="s">
        <v>172</v>
      </c>
      <c r="K264" s="11" t="s">
        <v>25</v>
      </c>
      <c r="L264" s="16" t="s">
        <v>935</v>
      </c>
      <c r="M264" s="49" t="s">
        <v>274</v>
      </c>
      <c r="N264" s="13"/>
      <c r="O264" s="11" t="s">
        <v>27</v>
      </c>
      <c r="P264" s="7" t="s">
        <v>177</v>
      </c>
      <c r="Q264" s="14" t="b">
        <f t="shared" si="1"/>
        <v>1</v>
      </c>
      <c r="R264" s="15" t="b">
        <f t="shared" si="2"/>
        <v>0</v>
      </c>
      <c r="S264" s="15" t="str">
        <f t="shared" si="3"/>
        <v>APPROVED</v>
      </c>
    </row>
    <row r="265" ht="15.75" customHeight="1">
      <c r="A265" s="24" t="s">
        <v>936</v>
      </c>
      <c r="B265" s="25" t="s">
        <v>665</v>
      </c>
      <c r="C265" s="26">
        <v>45847.0</v>
      </c>
      <c r="D265" s="26">
        <v>45907.0</v>
      </c>
      <c r="E265" s="24" t="s">
        <v>21</v>
      </c>
      <c r="F265" s="24">
        <v>120.0</v>
      </c>
      <c r="G265" s="27">
        <v>119.0</v>
      </c>
      <c r="H265" s="24" t="s">
        <v>177</v>
      </c>
      <c r="I265" s="28" t="s">
        <v>23</v>
      </c>
      <c r="J265" s="28" t="s">
        <v>172</v>
      </c>
      <c r="K265" s="28" t="s">
        <v>84</v>
      </c>
      <c r="L265" s="96" t="s">
        <v>937</v>
      </c>
      <c r="M265" s="97" t="s">
        <v>938</v>
      </c>
      <c r="N265" s="25"/>
      <c r="O265" s="28" t="s">
        <v>27</v>
      </c>
      <c r="P265" s="24" t="s">
        <v>177</v>
      </c>
      <c r="Q265" s="14" t="b">
        <f t="shared" si="1"/>
        <v>0</v>
      </c>
      <c r="R265" s="15" t="b">
        <f t="shared" si="2"/>
        <v>0</v>
      </c>
      <c r="S265" s="15" t="str">
        <f t="shared" si="3"/>
        <v>PENDING</v>
      </c>
    </row>
    <row r="266" ht="15.75" customHeight="1">
      <c r="A266" s="7" t="s">
        <v>939</v>
      </c>
      <c r="B266" s="13" t="s">
        <v>132</v>
      </c>
      <c r="C266" s="9">
        <v>45847.0</v>
      </c>
      <c r="D266" s="9">
        <v>45968.0</v>
      </c>
      <c r="E266" s="7" t="s">
        <v>21</v>
      </c>
      <c r="F266" s="7">
        <v>72.0</v>
      </c>
      <c r="G266" s="10">
        <v>118.18</v>
      </c>
      <c r="H266" s="7" t="s">
        <v>177</v>
      </c>
      <c r="I266" s="11" t="s">
        <v>23</v>
      </c>
      <c r="J266" s="11" t="s">
        <v>172</v>
      </c>
      <c r="K266" s="11" t="s">
        <v>25</v>
      </c>
      <c r="L266" s="16" t="s">
        <v>940</v>
      </c>
      <c r="M266" s="49" t="s">
        <v>674</v>
      </c>
      <c r="N266" s="13"/>
      <c r="O266" s="11" t="s">
        <v>27</v>
      </c>
      <c r="P266" s="7" t="s">
        <v>177</v>
      </c>
      <c r="Q266" s="14" t="b">
        <f t="shared" si="1"/>
        <v>1</v>
      </c>
      <c r="R266" s="15" t="b">
        <f t="shared" si="2"/>
        <v>0</v>
      </c>
      <c r="S266" s="15" t="str">
        <f t="shared" si="3"/>
        <v>APPROVED</v>
      </c>
    </row>
    <row r="267" ht="15.75" customHeight="1">
      <c r="A267" s="7" t="s">
        <v>941</v>
      </c>
      <c r="B267" s="13" t="s">
        <v>942</v>
      </c>
      <c r="C267" s="9">
        <v>45847.0</v>
      </c>
      <c r="D267" s="9">
        <v>45853.0</v>
      </c>
      <c r="E267" s="7" t="s">
        <v>21</v>
      </c>
      <c r="F267" s="7">
        <v>48.0</v>
      </c>
      <c r="G267" s="10">
        <v>124.4</v>
      </c>
      <c r="H267" s="7" t="s">
        <v>744</v>
      </c>
      <c r="I267" s="11" t="s">
        <v>23</v>
      </c>
      <c r="J267" s="11" t="s">
        <v>172</v>
      </c>
      <c r="K267" s="11" t="s">
        <v>25</v>
      </c>
      <c r="L267" s="16" t="s">
        <v>943</v>
      </c>
      <c r="M267" s="49" t="s">
        <v>944</v>
      </c>
      <c r="N267" s="13"/>
      <c r="O267" s="11" t="s">
        <v>27</v>
      </c>
      <c r="P267" s="7" t="s">
        <v>744</v>
      </c>
      <c r="Q267" s="14" t="b">
        <f t="shared" si="1"/>
        <v>1</v>
      </c>
      <c r="R267" s="15" t="b">
        <f t="shared" si="2"/>
        <v>0</v>
      </c>
      <c r="S267" s="15" t="str">
        <f t="shared" si="3"/>
        <v>APPROVED</v>
      </c>
    </row>
    <row r="268" ht="15.75" customHeight="1">
      <c r="A268" s="30" t="s">
        <v>945</v>
      </c>
      <c r="B268" s="58" t="s">
        <v>811</v>
      </c>
      <c r="C268" s="32">
        <v>45847.0</v>
      </c>
      <c r="D268" s="32"/>
      <c r="E268" s="30" t="s">
        <v>21</v>
      </c>
      <c r="F268" s="30"/>
      <c r="G268" s="33"/>
      <c r="H268" s="30" t="s">
        <v>744</v>
      </c>
      <c r="I268" s="34" t="s">
        <v>23</v>
      </c>
      <c r="J268" s="34" t="s">
        <v>172</v>
      </c>
      <c r="K268" s="34" t="s">
        <v>49</v>
      </c>
      <c r="L268" s="66" t="s">
        <v>812</v>
      </c>
      <c r="M268" s="69" t="s">
        <v>432</v>
      </c>
      <c r="N268" s="31"/>
      <c r="O268" s="30" t="s">
        <v>98</v>
      </c>
      <c r="P268" s="30" t="s">
        <v>744</v>
      </c>
      <c r="Q268" s="14" t="b">
        <f t="shared" si="1"/>
        <v>0</v>
      </c>
      <c r="R268" s="15" t="b">
        <f t="shared" si="2"/>
        <v>1</v>
      </c>
      <c r="S268" s="15" t="str">
        <f t="shared" si="3"/>
        <v>PENDING</v>
      </c>
    </row>
    <row r="269" ht="15.75" customHeight="1">
      <c r="A269" s="7" t="s">
        <v>946</v>
      </c>
      <c r="B269" s="13" t="s">
        <v>947</v>
      </c>
      <c r="C269" s="9">
        <v>45847.0</v>
      </c>
      <c r="D269" s="9">
        <v>45853.0</v>
      </c>
      <c r="E269" s="7" t="s">
        <v>21</v>
      </c>
      <c r="F269" s="7">
        <v>24.0</v>
      </c>
      <c r="G269" s="10">
        <v>124.4</v>
      </c>
      <c r="H269" s="7" t="s">
        <v>744</v>
      </c>
      <c r="I269" s="11" t="s">
        <v>23</v>
      </c>
      <c r="J269" s="11" t="s">
        <v>172</v>
      </c>
      <c r="K269" s="11" t="s">
        <v>25</v>
      </c>
      <c r="L269" s="16" t="s">
        <v>948</v>
      </c>
      <c r="M269" s="49" t="s">
        <v>949</v>
      </c>
      <c r="N269" s="13"/>
      <c r="O269" s="11" t="s">
        <v>27</v>
      </c>
      <c r="P269" s="7" t="s">
        <v>744</v>
      </c>
      <c r="Q269" s="14" t="b">
        <f t="shared" si="1"/>
        <v>1</v>
      </c>
      <c r="R269" s="15" t="b">
        <f t="shared" si="2"/>
        <v>0</v>
      </c>
      <c r="S269" s="15" t="str">
        <f t="shared" si="3"/>
        <v>APPROVED</v>
      </c>
    </row>
    <row r="270" ht="15.75" customHeight="1">
      <c r="A270" s="30" t="s">
        <v>950</v>
      </c>
      <c r="B270" s="31" t="s">
        <v>822</v>
      </c>
      <c r="C270" s="32">
        <v>45847.0</v>
      </c>
      <c r="D270" s="32"/>
      <c r="E270" s="30" t="s">
        <v>21</v>
      </c>
      <c r="F270" s="30"/>
      <c r="G270" s="33"/>
      <c r="H270" s="30" t="s">
        <v>744</v>
      </c>
      <c r="I270" s="34" t="s">
        <v>23</v>
      </c>
      <c r="J270" s="34" t="s">
        <v>172</v>
      </c>
      <c r="K270" s="34" t="s">
        <v>49</v>
      </c>
      <c r="L270" s="66" t="s">
        <v>823</v>
      </c>
      <c r="M270" s="69" t="s">
        <v>432</v>
      </c>
      <c r="N270" s="31"/>
      <c r="O270" s="30" t="s">
        <v>98</v>
      </c>
      <c r="P270" s="30" t="s">
        <v>744</v>
      </c>
      <c r="Q270" s="14" t="b">
        <f t="shared" si="1"/>
        <v>0</v>
      </c>
      <c r="R270" s="15" t="b">
        <f t="shared" si="2"/>
        <v>1</v>
      </c>
      <c r="S270" s="15" t="str">
        <f t="shared" si="3"/>
        <v>PENDING</v>
      </c>
    </row>
    <row r="271" ht="15.75" customHeight="1">
      <c r="A271" s="30" t="s">
        <v>951</v>
      </c>
      <c r="B271" s="31" t="s">
        <v>952</v>
      </c>
      <c r="C271" s="32">
        <v>45847.0</v>
      </c>
      <c r="D271" s="32"/>
      <c r="E271" s="30" t="s">
        <v>21</v>
      </c>
      <c r="F271" s="30"/>
      <c r="G271" s="33"/>
      <c r="H271" s="30" t="s">
        <v>744</v>
      </c>
      <c r="I271" s="34" t="s">
        <v>23</v>
      </c>
      <c r="J271" s="34" t="s">
        <v>172</v>
      </c>
      <c r="K271" s="34" t="s">
        <v>49</v>
      </c>
      <c r="L271" s="66" t="s">
        <v>826</v>
      </c>
      <c r="M271" s="69" t="s">
        <v>432</v>
      </c>
      <c r="N271" s="31"/>
      <c r="O271" s="30" t="s">
        <v>98</v>
      </c>
      <c r="P271" s="30" t="s">
        <v>744</v>
      </c>
      <c r="Q271" s="14" t="b">
        <f t="shared" si="1"/>
        <v>0</v>
      </c>
      <c r="R271" s="15" t="b">
        <f t="shared" si="2"/>
        <v>1</v>
      </c>
      <c r="S271" s="15" t="str">
        <f t="shared" si="3"/>
        <v>PENDING</v>
      </c>
    </row>
    <row r="272" ht="15.75" customHeight="1">
      <c r="A272" s="24" t="s">
        <v>953</v>
      </c>
      <c r="B272" s="115" t="s">
        <v>361</v>
      </c>
      <c r="C272" s="26">
        <v>45849.0</v>
      </c>
      <c r="D272" s="26">
        <v>45968.0</v>
      </c>
      <c r="E272" s="24" t="s">
        <v>21</v>
      </c>
      <c r="F272" s="24">
        <v>24.0</v>
      </c>
      <c r="G272" s="27">
        <v>119.0</v>
      </c>
      <c r="H272" s="24" t="s">
        <v>177</v>
      </c>
      <c r="I272" s="28" t="s">
        <v>23</v>
      </c>
      <c r="J272" s="28" t="s">
        <v>172</v>
      </c>
      <c r="K272" s="28" t="s">
        <v>482</v>
      </c>
      <c r="L272" s="96" t="s">
        <v>954</v>
      </c>
      <c r="M272" s="97" t="s">
        <v>955</v>
      </c>
      <c r="N272" s="25"/>
      <c r="O272" s="28" t="s">
        <v>27</v>
      </c>
      <c r="P272" s="24" t="s">
        <v>177</v>
      </c>
      <c r="Q272" s="14" t="b">
        <f t="shared" si="1"/>
        <v>0</v>
      </c>
      <c r="R272" s="15" t="b">
        <f t="shared" si="2"/>
        <v>0</v>
      </c>
      <c r="S272" s="15" t="str">
        <f t="shared" si="3"/>
        <v>PENDING</v>
      </c>
    </row>
    <row r="273" ht="15.75" customHeight="1">
      <c r="A273" s="7" t="s">
        <v>956</v>
      </c>
      <c r="B273" s="13" t="s">
        <v>134</v>
      </c>
      <c r="C273" s="9">
        <v>45849.0</v>
      </c>
      <c r="D273" s="9">
        <v>45968.0</v>
      </c>
      <c r="E273" s="7" t="s">
        <v>21</v>
      </c>
      <c r="F273" s="7">
        <v>24.0</v>
      </c>
      <c r="G273" s="10">
        <v>119.0</v>
      </c>
      <c r="H273" s="7" t="s">
        <v>177</v>
      </c>
      <c r="I273" s="11" t="s">
        <v>23</v>
      </c>
      <c r="J273" s="11" t="s">
        <v>172</v>
      </c>
      <c r="K273" s="11" t="s">
        <v>25</v>
      </c>
      <c r="L273" s="16" t="s">
        <v>437</v>
      </c>
      <c r="M273" s="12"/>
      <c r="N273" s="13"/>
      <c r="O273" s="11" t="s">
        <v>27</v>
      </c>
      <c r="P273" s="7" t="s">
        <v>177</v>
      </c>
      <c r="Q273" s="14" t="b">
        <f t="shared" si="1"/>
        <v>1</v>
      </c>
      <c r="R273" s="15" t="b">
        <f t="shared" si="2"/>
        <v>0</v>
      </c>
      <c r="S273" s="15" t="str">
        <f t="shared" si="3"/>
        <v>APPROVED</v>
      </c>
    </row>
    <row r="274" ht="15.75" customHeight="1">
      <c r="A274" s="7" t="s">
        <v>957</v>
      </c>
      <c r="B274" s="8" t="s">
        <v>276</v>
      </c>
      <c r="C274" s="9">
        <v>45849.0</v>
      </c>
      <c r="D274" s="9">
        <v>45968.0</v>
      </c>
      <c r="E274" s="7" t="s">
        <v>21</v>
      </c>
      <c r="F274" s="7">
        <v>48.0</v>
      </c>
      <c r="G274" s="10">
        <v>119.0</v>
      </c>
      <c r="H274" s="7" t="s">
        <v>177</v>
      </c>
      <c r="I274" s="11" t="s">
        <v>23</v>
      </c>
      <c r="J274" s="11" t="s">
        <v>172</v>
      </c>
      <c r="K274" s="11" t="s">
        <v>25</v>
      </c>
      <c r="L274" s="16" t="s">
        <v>571</v>
      </c>
      <c r="M274" s="49" t="s">
        <v>958</v>
      </c>
      <c r="N274" s="13"/>
      <c r="O274" s="11" t="s">
        <v>27</v>
      </c>
      <c r="P274" s="7" t="s">
        <v>177</v>
      </c>
      <c r="Q274" s="14" t="b">
        <f t="shared" si="1"/>
        <v>1</v>
      </c>
      <c r="R274" s="15" t="b">
        <f t="shared" si="2"/>
        <v>0</v>
      </c>
      <c r="S274" s="15" t="str">
        <f t="shared" si="3"/>
        <v>APPROVED</v>
      </c>
    </row>
    <row r="275" ht="18.0" customHeight="1">
      <c r="A275" s="7" t="s">
        <v>959</v>
      </c>
      <c r="B275" s="13" t="s">
        <v>302</v>
      </c>
      <c r="C275" s="9">
        <v>45850.0</v>
      </c>
      <c r="D275" s="9">
        <v>45852.0</v>
      </c>
      <c r="E275" s="7" t="s">
        <v>21</v>
      </c>
      <c r="F275" s="7">
        <v>120.0</v>
      </c>
      <c r="G275" s="10">
        <v>116.0</v>
      </c>
      <c r="H275" s="7" t="s">
        <v>177</v>
      </c>
      <c r="I275" s="11" t="s">
        <v>23</v>
      </c>
      <c r="J275" s="11" t="s">
        <v>172</v>
      </c>
      <c r="K275" s="11" t="s">
        <v>25</v>
      </c>
      <c r="L275" s="16" t="s">
        <v>960</v>
      </c>
      <c r="M275" s="49" t="s">
        <v>961</v>
      </c>
      <c r="N275" s="13"/>
      <c r="O275" s="11" t="s">
        <v>27</v>
      </c>
      <c r="P275" s="7" t="s">
        <v>177</v>
      </c>
      <c r="Q275" s="14" t="b">
        <f t="shared" si="1"/>
        <v>1</v>
      </c>
      <c r="R275" s="15" t="b">
        <f t="shared" si="2"/>
        <v>0</v>
      </c>
      <c r="S275" s="15" t="str">
        <f t="shared" si="3"/>
        <v>APPROVED</v>
      </c>
    </row>
    <row r="276" ht="15.75" customHeight="1">
      <c r="A276" s="30" t="s">
        <v>962</v>
      </c>
      <c r="B276" s="31" t="s">
        <v>963</v>
      </c>
      <c r="C276" s="32">
        <v>45850.0</v>
      </c>
      <c r="D276" s="32"/>
      <c r="E276" s="30" t="s">
        <v>21</v>
      </c>
      <c r="F276" s="30"/>
      <c r="G276" s="33"/>
      <c r="H276" s="30" t="s">
        <v>177</v>
      </c>
      <c r="I276" s="34" t="s">
        <v>23</v>
      </c>
      <c r="J276" s="34" t="s">
        <v>172</v>
      </c>
      <c r="K276" s="34" t="s">
        <v>49</v>
      </c>
      <c r="L276" s="66" t="s">
        <v>964</v>
      </c>
      <c r="M276" s="35"/>
      <c r="N276" s="31"/>
      <c r="O276" s="30" t="s">
        <v>98</v>
      </c>
      <c r="P276" s="30" t="s">
        <v>177</v>
      </c>
      <c r="Q276" s="14" t="b">
        <f t="shared" si="1"/>
        <v>0</v>
      </c>
      <c r="R276" s="15" t="b">
        <f t="shared" si="2"/>
        <v>1</v>
      </c>
      <c r="S276" s="15" t="str">
        <f t="shared" si="3"/>
        <v>PENDING</v>
      </c>
    </row>
    <row r="277" ht="15.75" customHeight="1">
      <c r="A277" s="30" t="s">
        <v>965</v>
      </c>
      <c r="B277" s="31" t="s">
        <v>966</v>
      </c>
      <c r="C277" s="32">
        <v>45850.0</v>
      </c>
      <c r="D277" s="32"/>
      <c r="E277" s="30" t="s">
        <v>21</v>
      </c>
      <c r="F277" s="30"/>
      <c r="G277" s="33"/>
      <c r="H277" s="30" t="s">
        <v>177</v>
      </c>
      <c r="I277" s="34" t="s">
        <v>23</v>
      </c>
      <c r="J277" s="34" t="s">
        <v>172</v>
      </c>
      <c r="K277" s="34" t="s">
        <v>49</v>
      </c>
      <c r="L277" s="66" t="s">
        <v>967</v>
      </c>
      <c r="M277" s="35"/>
      <c r="N277" s="31"/>
      <c r="O277" s="30" t="s">
        <v>98</v>
      </c>
      <c r="P277" s="30" t="s">
        <v>177</v>
      </c>
      <c r="Q277" s="14" t="b">
        <f t="shared" si="1"/>
        <v>0</v>
      </c>
      <c r="R277" s="15" t="b">
        <f t="shared" si="2"/>
        <v>1</v>
      </c>
      <c r="S277" s="15" t="str">
        <f t="shared" si="3"/>
        <v>PENDING</v>
      </c>
    </row>
    <row r="278" ht="15.75" customHeight="1">
      <c r="A278" s="7" t="s">
        <v>968</v>
      </c>
      <c r="B278" s="8" t="s">
        <v>714</v>
      </c>
      <c r="C278" s="9">
        <v>45852.0</v>
      </c>
      <c r="D278" s="9"/>
      <c r="E278" s="7" t="s">
        <v>21</v>
      </c>
      <c r="F278" s="7">
        <v>0.0</v>
      </c>
      <c r="G278" s="10"/>
      <c r="H278" s="7" t="s">
        <v>715</v>
      </c>
      <c r="I278" s="11" t="s">
        <v>23</v>
      </c>
      <c r="J278" s="7"/>
      <c r="K278" s="7" t="s">
        <v>31</v>
      </c>
      <c r="L278" s="16"/>
      <c r="M278" s="12"/>
      <c r="N278" s="13"/>
      <c r="O278" s="11" t="s">
        <v>27</v>
      </c>
      <c r="P278" s="7" t="s">
        <v>715</v>
      </c>
      <c r="Q278" s="14" t="b">
        <f t="shared" si="1"/>
        <v>0</v>
      </c>
      <c r="R278" s="15" t="b">
        <f t="shared" si="2"/>
        <v>0</v>
      </c>
      <c r="S278" s="15" t="str">
        <f t="shared" si="3"/>
        <v>PENDING</v>
      </c>
    </row>
    <row r="279" ht="15.75" customHeight="1">
      <c r="A279" s="7" t="s">
        <v>969</v>
      </c>
      <c r="B279" s="13" t="s">
        <v>970</v>
      </c>
      <c r="C279" s="9">
        <v>45846.0</v>
      </c>
      <c r="D279" s="9">
        <v>45876.0</v>
      </c>
      <c r="E279" s="7" t="s">
        <v>21</v>
      </c>
      <c r="F279" s="7">
        <v>48.0</v>
      </c>
      <c r="G279" s="10">
        <v>119.0</v>
      </c>
      <c r="H279" s="7" t="s">
        <v>715</v>
      </c>
      <c r="I279" s="11" t="s">
        <v>23</v>
      </c>
      <c r="J279" s="11" t="s">
        <v>172</v>
      </c>
      <c r="K279" s="11" t="s">
        <v>25</v>
      </c>
      <c r="L279" s="16" t="s">
        <v>971</v>
      </c>
      <c r="M279" s="49" t="s">
        <v>972</v>
      </c>
      <c r="N279" s="13"/>
      <c r="O279" s="11" t="s">
        <v>27</v>
      </c>
      <c r="P279" s="7" t="s">
        <v>715</v>
      </c>
      <c r="Q279" s="14" t="b">
        <f t="shared" si="1"/>
        <v>1</v>
      </c>
      <c r="R279" s="15" t="b">
        <f t="shared" si="2"/>
        <v>0</v>
      </c>
      <c r="S279" s="15" t="str">
        <f t="shared" si="3"/>
        <v>APPROVED</v>
      </c>
    </row>
    <row r="280" ht="15.75" customHeight="1">
      <c r="A280" s="7" t="s">
        <v>973</v>
      </c>
      <c r="B280" s="8" t="s">
        <v>974</v>
      </c>
      <c r="C280" s="9">
        <v>45846.0</v>
      </c>
      <c r="D280" s="9">
        <v>45876.0</v>
      </c>
      <c r="E280" s="7" t="s">
        <v>21</v>
      </c>
      <c r="F280" s="7">
        <v>24.0</v>
      </c>
      <c r="G280" s="10">
        <v>119.0</v>
      </c>
      <c r="H280" s="7" t="s">
        <v>715</v>
      </c>
      <c r="I280" s="11" t="s">
        <v>23</v>
      </c>
      <c r="J280" s="11" t="s">
        <v>172</v>
      </c>
      <c r="K280" s="11" t="s">
        <v>25</v>
      </c>
      <c r="L280" s="16" t="s">
        <v>975</v>
      </c>
      <c r="M280" s="49" t="s">
        <v>976</v>
      </c>
      <c r="N280" s="13"/>
      <c r="O280" s="11" t="s">
        <v>27</v>
      </c>
      <c r="P280" s="7" t="s">
        <v>715</v>
      </c>
      <c r="Q280" s="14" t="b">
        <f t="shared" si="1"/>
        <v>1</v>
      </c>
      <c r="R280" s="15" t="b">
        <f t="shared" si="2"/>
        <v>0</v>
      </c>
      <c r="S280" s="15" t="str">
        <f t="shared" si="3"/>
        <v>APPROVED</v>
      </c>
    </row>
    <row r="281" ht="15.75" customHeight="1">
      <c r="A281" s="7" t="s">
        <v>977</v>
      </c>
      <c r="B281" s="8" t="s">
        <v>978</v>
      </c>
      <c r="C281" s="9">
        <v>45850.0</v>
      </c>
      <c r="D281" s="9">
        <v>45998.0</v>
      </c>
      <c r="E281" s="7" t="s">
        <v>21</v>
      </c>
      <c r="F281" s="7">
        <v>24.0</v>
      </c>
      <c r="G281" s="10">
        <v>119.0</v>
      </c>
      <c r="H281" s="7" t="s">
        <v>715</v>
      </c>
      <c r="I281" s="11" t="s">
        <v>23</v>
      </c>
      <c r="J281" s="11" t="s">
        <v>172</v>
      </c>
      <c r="K281" s="11" t="s">
        <v>25</v>
      </c>
      <c r="L281" s="16" t="s">
        <v>979</v>
      </c>
      <c r="M281" s="49" t="s">
        <v>980</v>
      </c>
      <c r="N281" s="13"/>
      <c r="O281" s="11" t="s">
        <v>27</v>
      </c>
      <c r="P281" s="7" t="s">
        <v>715</v>
      </c>
      <c r="Q281" s="14" t="b">
        <f t="shared" si="1"/>
        <v>1</v>
      </c>
      <c r="R281" s="15" t="b">
        <f t="shared" si="2"/>
        <v>0</v>
      </c>
      <c r="S281" s="15" t="str">
        <f t="shared" si="3"/>
        <v>APPROVED</v>
      </c>
    </row>
    <row r="282" ht="15.75" customHeight="1">
      <c r="A282" s="7" t="s">
        <v>981</v>
      </c>
      <c r="B282" s="13" t="s">
        <v>457</v>
      </c>
      <c r="C282" s="9">
        <v>45852.0</v>
      </c>
      <c r="D282" s="72">
        <v>45852.0</v>
      </c>
      <c r="E282" s="7" t="s">
        <v>21</v>
      </c>
      <c r="F282" s="7">
        <v>24.0</v>
      </c>
      <c r="G282" s="10">
        <v>119.0</v>
      </c>
      <c r="H282" s="7" t="s">
        <v>177</v>
      </c>
      <c r="I282" s="11" t="s">
        <v>23</v>
      </c>
      <c r="J282" s="11" t="s">
        <v>172</v>
      </c>
      <c r="K282" s="11" t="s">
        <v>25</v>
      </c>
      <c r="L282" s="16" t="s">
        <v>458</v>
      </c>
      <c r="M282" s="49" t="s">
        <v>982</v>
      </c>
      <c r="N282" s="13"/>
      <c r="O282" s="11" t="s">
        <v>27</v>
      </c>
      <c r="P282" s="7" t="s">
        <v>177</v>
      </c>
      <c r="Q282" s="14" t="b">
        <f t="shared" si="1"/>
        <v>1</v>
      </c>
      <c r="R282" s="15" t="b">
        <f t="shared" si="2"/>
        <v>0</v>
      </c>
      <c r="S282" s="15" t="str">
        <f t="shared" si="3"/>
        <v>APPROVED</v>
      </c>
    </row>
    <row r="283" ht="15.75" customHeight="1">
      <c r="A283" s="7" t="s">
        <v>983</v>
      </c>
      <c r="B283" s="13" t="s">
        <v>984</v>
      </c>
      <c r="C283" s="9">
        <v>45852.0</v>
      </c>
      <c r="D283" s="9">
        <v>45852.0</v>
      </c>
      <c r="E283" s="7" t="s">
        <v>21</v>
      </c>
      <c r="F283" s="7">
        <v>24.0</v>
      </c>
      <c r="G283" s="10">
        <v>119.0</v>
      </c>
      <c r="H283" s="7" t="s">
        <v>177</v>
      </c>
      <c r="I283" s="11" t="s">
        <v>23</v>
      </c>
      <c r="J283" s="11" t="s">
        <v>172</v>
      </c>
      <c r="K283" s="11" t="s">
        <v>25</v>
      </c>
      <c r="L283" s="16" t="s">
        <v>985</v>
      </c>
      <c r="M283" s="49" t="s">
        <v>986</v>
      </c>
      <c r="N283" s="13"/>
      <c r="O283" s="11" t="s">
        <v>27</v>
      </c>
      <c r="P283" s="7" t="s">
        <v>177</v>
      </c>
      <c r="Q283" s="14" t="b">
        <f t="shared" si="1"/>
        <v>1</v>
      </c>
      <c r="R283" s="15" t="b">
        <f t="shared" si="2"/>
        <v>0</v>
      </c>
      <c r="S283" s="15" t="str">
        <f t="shared" si="3"/>
        <v>APPROVED</v>
      </c>
    </row>
    <row r="284" ht="15.75" customHeight="1">
      <c r="A284" s="24" t="s">
        <v>987</v>
      </c>
      <c r="B284" s="25" t="s">
        <v>988</v>
      </c>
      <c r="C284" s="26">
        <v>45852.0</v>
      </c>
      <c r="D284" s="26">
        <v>45853.0</v>
      </c>
      <c r="E284" s="24" t="s">
        <v>21</v>
      </c>
      <c r="F284" s="24">
        <v>48.0</v>
      </c>
      <c r="G284" s="27">
        <v>124.4</v>
      </c>
      <c r="H284" s="24" t="s">
        <v>744</v>
      </c>
      <c r="I284" s="28" t="s">
        <v>23</v>
      </c>
      <c r="J284" s="28" t="s">
        <v>172</v>
      </c>
      <c r="K284" s="28" t="s">
        <v>482</v>
      </c>
      <c r="L284" s="96" t="s">
        <v>989</v>
      </c>
      <c r="M284" s="97" t="s">
        <v>990</v>
      </c>
      <c r="N284" s="25"/>
      <c r="O284" s="28" t="s">
        <v>27</v>
      </c>
      <c r="P284" s="24" t="s">
        <v>744</v>
      </c>
      <c r="Q284" s="14" t="b">
        <f t="shared" si="1"/>
        <v>0</v>
      </c>
      <c r="R284" s="15" t="b">
        <f t="shared" si="2"/>
        <v>0</v>
      </c>
      <c r="S284" s="15" t="str">
        <f t="shared" si="3"/>
        <v>PENDING</v>
      </c>
    </row>
    <row r="285" ht="15.75" customHeight="1">
      <c r="A285" s="7" t="s">
        <v>991</v>
      </c>
      <c r="B285" s="13" t="s">
        <v>992</v>
      </c>
      <c r="C285" s="9">
        <v>45852.0</v>
      </c>
      <c r="D285" s="9">
        <v>45853.0</v>
      </c>
      <c r="E285" s="7" t="s">
        <v>21</v>
      </c>
      <c r="F285" s="7">
        <v>24.0</v>
      </c>
      <c r="G285" s="10">
        <v>124.4</v>
      </c>
      <c r="H285" s="7" t="s">
        <v>744</v>
      </c>
      <c r="I285" s="11" t="s">
        <v>23</v>
      </c>
      <c r="J285" s="11" t="s">
        <v>48</v>
      </c>
      <c r="K285" s="11" t="s">
        <v>25</v>
      </c>
      <c r="L285" s="16" t="s">
        <v>993</v>
      </c>
      <c r="M285" s="49" t="s">
        <v>30</v>
      </c>
      <c r="N285" s="13"/>
      <c r="O285" s="11" t="s">
        <v>27</v>
      </c>
      <c r="P285" s="7" t="s">
        <v>744</v>
      </c>
      <c r="Q285" s="14" t="b">
        <f t="shared" si="1"/>
        <v>1</v>
      </c>
      <c r="R285" s="15" t="b">
        <f t="shared" si="2"/>
        <v>0</v>
      </c>
      <c r="S285" s="15" t="str">
        <f t="shared" si="3"/>
        <v>APPROVED</v>
      </c>
    </row>
    <row r="286" ht="15.75" customHeight="1">
      <c r="A286" s="24" t="s">
        <v>994</v>
      </c>
      <c r="B286" s="25" t="s">
        <v>995</v>
      </c>
      <c r="C286" s="26">
        <v>45853.0</v>
      </c>
      <c r="D286" s="26">
        <v>45853.0</v>
      </c>
      <c r="E286" s="24" t="s">
        <v>21</v>
      </c>
      <c r="F286" s="24">
        <v>408.0</v>
      </c>
      <c r="G286" s="27">
        <v>105.0</v>
      </c>
      <c r="H286" s="24" t="s">
        <v>715</v>
      </c>
      <c r="I286" s="28" t="s">
        <v>23</v>
      </c>
      <c r="J286" s="28" t="s">
        <v>172</v>
      </c>
      <c r="K286" s="28" t="s">
        <v>49</v>
      </c>
      <c r="L286" s="96" t="s">
        <v>996</v>
      </c>
      <c r="M286" s="29" t="s">
        <v>997</v>
      </c>
      <c r="N286" s="25"/>
      <c r="O286" s="28" t="s">
        <v>27</v>
      </c>
      <c r="P286" s="24" t="s">
        <v>715</v>
      </c>
      <c r="Q286" s="14" t="b">
        <f t="shared" si="1"/>
        <v>0</v>
      </c>
      <c r="R286" s="15" t="b">
        <f t="shared" si="2"/>
        <v>0</v>
      </c>
      <c r="S286" s="15" t="str">
        <f t="shared" si="3"/>
        <v>PENDING</v>
      </c>
    </row>
    <row r="287" ht="15.75" customHeight="1">
      <c r="A287" s="30" t="s">
        <v>998</v>
      </c>
      <c r="B287" s="31" t="s">
        <v>999</v>
      </c>
      <c r="C287" s="32">
        <v>45854.0</v>
      </c>
      <c r="D287" s="32">
        <v>45854.0</v>
      </c>
      <c r="E287" s="30" t="s">
        <v>21</v>
      </c>
      <c r="F287" s="30"/>
      <c r="G287" s="33"/>
      <c r="H287" s="30" t="s">
        <v>715</v>
      </c>
      <c r="I287" s="34" t="s">
        <v>23</v>
      </c>
      <c r="J287" s="30"/>
      <c r="K287" s="7" t="s">
        <v>31</v>
      </c>
      <c r="L287" s="66" t="s">
        <v>1000</v>
      </c>
      <c r="M287" s="35"/>
      <c r="N287" s="31"/>
      <c r="O287" s="30" t="s">
        <v>98</v>
      </c>
      <c r="P287" s="30" t="s">
        <v>715</v>
      </c>
      <c r="Q287" s="14" t="b">
        <f t="shared" si="1"/>
        <v>0</v>
      </c>
      <c r="R287" s="15" t="b">
        <f t="shared" si="2"/>
        <v>1</v>
      </c>
      <c r="S287" s="15" t="str">
        <f t="shared" si="3"/>
        <v>PENDING</v>
      </c>
    </row>
    <row r="288" ht="15.75" customHeight="1">
      <c r="A288" s="24" t="s">
        <v>1001</v>
      </c>
      <c r="B288" s="115" t="s">
        <v>222</v>
      </c>
      <c r="C288" s="26">
        <v>45854.0</v>
      </c>
      <c r="D288" s="26"/>
      <c r="E288" s="24" t="s">
        <v>21</v>
      </c>
      <c r="F288" s="24">
        <v>24.0</v>
      </c>
      <c r="G288" s="27"/>
      <c r="H288" s="24" t="s">
        <v>177</v>
      </c>
      <c r="I288" s="28" t="s">
        <v>23</v>
      </c>
      <c r="J288" s="24"/>
      <c r="K288" s="24" t="s">
        <v>31</v>
      </c>
      <c r="M288" s="29"/>
      <c r="N288" s="115" t="s">
        <v>32</v>
      </c>
      <c r="O288" s="28" t="s">
        <v>27</v>
      </c>
      <c r="P288" s="24" t="s">
        <v>177</v>
      </c>
      <c r="Q288" s="14" t="b">
        <f t="shared" si="1"/>
        <v>0</v>
      </c>
      <c r="R288" s="15" t="b">
        <f t="shared" si="2"/>
        <v>0</v>
      </c>
      <c r="S288" s="15" t="str">
        <f t="shared" si="3"/>
        <v>PENDING</v>
      </c>
    </row>
    <row r="289" ht="18.0" customHeight="1">
      <c r="A289" s="7" t="s">
        <v>1002</v>
      </c>
      <c r="B289" s="13" t="s">
        <v>822</v>
      </c>
      <c r="C289" s="9">
        <v>45854.0</v>
      </c>
      <c r="D289" s="9">
        <v>45856.0</v>
      </c>
      <c r="E289" s="7" t="s">
        <v>21</v>
      </c>
      <c r="F289" s="7">
        <v>120.0</v>
      </c>
      <c r="G289" s="10">
        <v>119.0</v>
      </c>
      <c r="H289" s="7" t="s">
        <v>744</v>
      </c>
      <c r="I289" s="11" t="s">
        <v>23</v>
      </c>
      <c r="J289" s="11" t="s">
        <v>172</v>
      </c>
      <c r="K289" s="11" t="s">
        <v>25</v>
      </c>
      <c r="L289" s="16" t="s">
        <v>823</v>
      </c>
      <c r="M289" s="49" t="s">
        <v>824</v>
      </c>
      <c r="N289" s="13" t="s">
        <v>1003</v>
      </c>
      <c r="O289" s="11" t="s">
        <v>27</v>
      </c>
      <c r="P289" s="7" t="s">
        <v>744</v>
      </c>
      <c r="Q289" s="14" t="b">
        <f t="shared" si="1"/>
        <v>1</v>
      </c>
      <c r="R289" s="15" t="b">
        <f t="shared" si="2"/>
        <v>0</v>
      </c>
      <c r="S289" s="15" t="str">
        <f t="shared" si="3"/>
        <v>APPROVED</v>
      </c>
    </row>
    <row r="290" ht="15.75" customHeight="1">
      <c r="A290" s="7" t="s">
        <v>1004</v>
      </c>
      <c r="B290" s="13" t="s">
        <v>737</v>
      </c>
      <c r="C290" s="9">
        <v>45853.0</v>
      </c>
      <c r="D290" s="9">
        <v>45854.0</v>
      </c>
      <c r="E290" s="7" t="s">
        <v>21</v>
      </c>
      <c r="F290" s="7">
        <v>24.0</v>
      </c>
      <c r="G290" s="10">
        <v>118.18</v>
      </c>
      <c r="H290" s="7" t="s">
        <v>177</v>
      </c>
      <c r="I290" s="11" t="s">
        <v>23</v>
      </c>
      <c r="J290" s="11" t="s">
        <v>172</v>
      </c>
      <c r="K290" s="11" t="s">
        <v>25</v>
      </c>
      <c r="L290" s="16" t="s">
        <v>738</v>
      </c>
      <c r="M290" s="12" t="s">
        <v>1005</v>
      </c>
      <c r="N290" s="13"/>
      <c r="O290" s="11" t="s">
        <v>27</v>
      </c>
      <c r="P290" s="7" t="s">
        <v>177</v>
      </c>
      <c r="Q290" s="14" t="b">
        <f t="shared" si="1"/>
        <v>1</v>
      </c>
      <c r="R290" s="15" t="b">
        <f t="shared" si="2"/>
        <v>0</v>
      </c>
      <c r="S290" s="15" t="str">
        <f t="shared" si="3"/>
        <v>APPROVED</v>
      </c>
    </row>
    <row r="291" ht="15.75" customHeight="1">
      <c r="A291" s="7" t="s">
        <v>1006</v>
      </c>
      <c r="B291" s="13" t="s">
        <v>1007</v>
      </c>
      <c r="C291" s="9">
        <v>45854.0</v>
      </c>
      <c r="D291" s="9">
        <v>45854.0</v>
      </c>
      <c r="E291" s="7" t="s">
        <v>21</v>
      </c>
      <c r="F291" s="7">
        <v>24.0</v>
      </c>
      <c r="G291" s="10">
        <v>115.0</v>
      </c>
      <c r="H291" s="7" t="s">
        <v>177</v>
      </c>
      <c r="I291" s="11" t="s">
        <v>23</v>
      </c>
      <c r="J291" s="11" t="s">
        <v>30</v>
      </c>
      <c r="K291" s="11" t="s">
        <v>25</v>
      </c>
      <c r="L291" s="16" t="s">
        <v>1008</v>
      </c>
      <c r="M291" s="49" t="s">
        <v>1009</v>
      </c>
      <c r="N291" s="13"/>
      <c r="O291" s="11" t="s">
        <v>27</v>
      </c>
      <c r="P291" s="7" t="s">
        <v>177</v>
      </c>
      <c r="Q291" s="14" t="b">
        <f t="shared" si="1"/>
        <v>1</v>
      </c>
      <c r="R291" s="15" t="b">
        <f t="shared" si="2"/>
        <v>0</v>
      </c>
      <c r="S291" s="15" t="str">
        <f t="shared" si="3"/>
        <v>APPROVED</v>
      </c>
    </row>
    <row r="292" ht="15.75" customHeight="1">
      <c r="A292" s="39" t="s">
        <v>1010</v>
      </c>
      <c r="B292" s="37" t="s">
        <v>176</v>
      </c>
      <c r="C292" s="38">
        <v>45854.0</v>
      </c>
      <c r="D292" s="38">
        <v>45854.0</v>
      </c>
      <c r="E292" s="39" t="s">
        <v>21</v>
      </c>
      <c r="F292" s="39">
        <v>48.0</v>
      </c>
      <c r="G292" s="40">
        <v>119.0</v>
      </c>
      <c r="H292" s="39" t="s">
        <v>177</v>
      </c>
      <c r="I292" s="41" t="s">
        <v>23</v>
      </c>
      <c r="J292" s="41" t="s">
        <v>172</v>
      </c>
      <c r="K292" s="41" t="s">
        <v>25</v>
      </c>
      <c r="L292" s="76" t="s">
        <v>568</v>
      </c>
      <c r="M292" s="12" t="s">
        <v>1011</v>
      </c>
      <c r="N292" s="37"/>
      <c r="O292" s="41" t="s">
        <v>27</v>
      </c>
      <c r="P292" s="39" t="s">
        <v>177</v>
      </c>
      <c r="Q292" s="14" t="b">
        <f t="shared" si="1"/>
        <v>1</v>
      </c>
      <c r="R292" s="15" t="b">
        <f t="shared" si="2"/>
        <v>0</v>
      </c>
      <c r="S292" s="15" t="str">
        <f t="shared" si="3"/>
        <v>APPROVED</v>
      </c>
    </row>
    <row r="293" ht="15.75" customHeight="1">
      <c r="A293" s="7" t="s">
        <v>1012</v>
      </c>
      <c r="B293" s="13" t="s">
        <v>1013</v>
      </c>
      <c r="C293" s="9">
        <v>45855.0</v>
      </c>
      <c r="D293" s="9">
        <v>45856.0</v>
      </c>
      <c r="E293" s="7" t="s">
        <v>21</v>
      </c>
      <c r="F293" s="7">
        <v>24.0</v>
      </c>
      <c r="G293" s="10">
        <v>118.18</v>
      </c>
      <c r="H293" s="7" t="s">
        <v>177</v>
      </c>
      <c r="I293" s="11" t="s">
        <v>23</v>
      </c>
      <c r="J293" s="11" t="s">
        <v>172</v>
      </c>
      <c r="K293" s="11" t="s">
        <v>25</v>
      </c>
      <c r="L293" s="16" t="s">
        <v>985</v>
      </c>
      <c r="M293" s="49" t="s">
        <v>986</v>
      </c>
      <c r="N293" s="13"/>
      <c r="O293" s="11" t="s">
        <v>27</v>
      </c>
      <c r="P293" s="7" t="s">
        <v>177</v>
      </c>
      <c r="Q293" s="14" t="b">
        <f t="shared" si="1"/>
        <v>1</v>
      </c>
      <c r="R293" s="15" t="b">
        <f t="shared" si="2"/>
        <v>0</v>
      </c>
      <c r="S293" s="15" t="str">
        <f t="shared" si="3"/>
        <v>APPROVED</v>
      </c>
    </row>
    <row r="294" ht="15.75" customHeight="1">
      <c r="A294" s="24" t="s">
        <v>1014</v>
      </c>
      <c r="B294" s="25" t="s">
        <v>353</v>
      </c>
      <c r="C294" s="26">
        <v>45855.0</v>
      </c>
      <c r="D294" s="26">
        <v>45856.0</v>
      </c>
      <c r="E294" s="24" t="s">
        <v>21</v>
      </c>
      <c r="F294" s="24">
        <v>120.0</v>
      </c>
      <c r="G294" s="27">
        <v>135.0</v>
      </c>
      <c r="H294" s="24" t="s">
        <v>744</v>
      </c>
      <c r="I294" s="28" t="s">
        <v>23</v>
      </c>
      <c r="J294" s="28" t="s">
        <v>172</v>
      </c>
      <c r="K294" s="28" t="s">
        <v>25</v>
      </c>
      <c r="L294" s="96" t="s">
        <v>1015</v>
      </c>
      <c r="M294" s="97" t="s">
        <v>1016</v>
      </c>
      <c r="N294" s="25"/>
      <c r="O294" s="28" t="s">
        <v>27</v>
      </c>
      <c r="P294" s="24" t="s">
        <v>744</v>
      </c>
      <c r="Q294" s="14" t="b">
        <f t="shared" si="1"/>
        <v>1</v>
      </c>
      <c r="R294" s="15" t="b">
        <f t="shared" si="2"/>
        <v>0</v>
      </c>
      <c r="S294" s="15" t="str">
        <f t="shared" si="3"/>
        <v>APPROVED</v>
      </c>
    </row>
    <row r="295" ht="15.75" customHeight="1">
      <c r="A295" s="30" t="s">
        <v>1017</v>
      </c>
      <c r="B295" s="31" t="s">
        <v>1018</v>
      </c>
      <c r="C295" s="32">
        <v>45855.0</v>
      </c>
      <c r="D295" s="32">
        <v>45855.0</v>
      </c>
      <c r="E295" s="30" t="s">
        <v>21</v>
      </c>
      <c r="F295" s="30"/>
      <c r="G295" s="33"/>
      <c r="H295" s="30" t="s">
        <v>715</v>
      </c>
      <c r="I295" s="34" t="s">
        <v>23</v>
      </c>
      <c r="J295" s="30"/>
      <c r="K295" s="7" t="s">
        <v>31</v>
      </c>
      <c r="L295" s="66" t="s">
        <v>1019</v>
      </c>
      <c r="M295" s="69" t="s">
        <v>1020</v>
      </c>
      <c r="N295" s="31"/>
      <c r="O295" s="30" t="s">
        <v>98</v>
      </c>
      <c r="P295" s="30" t="s">
        <v>715</v>
      </c>
      <c r="Q295" s="14" t="b">
        <f t="shared" si="1"/>
        <v>0</v>
      </c>
      <c r="R295" s="15" t="b">
        <f t="shared" si="2"/>
        <v>1</v>
      </c>
      <c r="S295" s="15" t="str">
        <f t="shared" si="3"/>
        <v>PENDING</v>
      </c>
    </row>
    <row r="296" ht="15.75" customHeight="1">
      <c r="A296" s="7" t="s">
        <v>1021</v>
      </c>
      <c r="B296" s="8" t="s">
        <v>381</v>
      </c>
      <c r="C296" s="9">
        <v>45856.0</v>
      </c>
      <c r="D296" s="9">
        <v>45856.0</v>
      </c>
      <c r="E296" s="7" t="s">
        <v>21</v>
      </c>
      <c r="F296" s="7">
        <v>24.0</v>
      </c>
      <c r="G296" s="10">
        <v>119.0</v>
      </c>
      <c r="H296" s="7" t="s">
        <v>177</v>
      </c>
      <c r="I296" s="11" t="s">
        <v>23</v>
      </c>
      <c r="J296" s="11" t="s">
        <v>172</v>
      </c>
      <c r="K296" s="11" t="s">
        <v>25</v>
      </c>
      <c r="L296" s="16" t="s">
        <v>1022</v>
      </c>
      <c r="M296" s="49" t="s">
        <v>1023</v>
      </c>
      <c r="N296" s="13"/>
      <c r="O296" s="11" t="s">
        <v>27</v>
      </c>
      <c r="P296" s="7" t="s">
        <v>177</v>
      </c>
      <c r="Q296" s="14" t="b">
        <f t="shared" si="1"/>
        <v>1</v>
      </c>
      <c r="R296" s="15" t="b">
        <f t="shared" si="2"/>
        <v>0</v>
      </c>
      <c r="S296" s="15" t="str">
        <f t="shared" si="3"/>
        <v>APPROVED</v>
      </c>
    </row>
    <row r="297" ht="13.5" customHeight="1">
      <c r="A297" s="7" t="s">
        <v>1024</v>
      </c>
      <c r="B297" s="13" t="s">
        <v>829</v>
      </c>
      <c r="C297" s="9">
        <v>45859.0</v>
      </c>
      <c r="D297" s="9">
        <v>45866.0</v>
      </c>
      <c r="E297" s="7" t="s">
        <v>21</v>
      </c>
      <c r="F297" s="7">
        <v>24.0</v>
      </c>
      <c r="G297" s="10">
        <v>128.25</v>
      </c>
      <c r="H297" s="7" t="s">
        <v>22</v>
      </c>
      <c r="I297" s="11" t="s">
        <v>23</v>
      </c>
      <c r="J297" s="11" t="s">
        <v>172</v>
      </c>
      <c r="K297" s="11" t="s">
        <v>25</v>
      </c>
      <c r="L297" s="16" t="s">
        <v>830</v>
      </c>
      <c r="M297" s="49" t="s">
        <v>1025</v>
      </c>
      <c r="N297" s="13"/>
      <c r="O297" s="11" t="s">
        <v>27</v>
      </c>
      <c r="P297" s="7" t="s">
        <v>22</v>
      </c>
      <c r="Q297" s="14" t="b">
        <f t="shared" si="1"/>
        <v>1</v>
      </c>
      <c r="R297" s="15" t="b">
        <f t="shared" si="2"/>
        <v>0</v>
      </c>
      <c r="S297" s="15" t="str">
        <f t="shared" si="3"/>
        <v>APPROVED</v>
      </c>
    </row>
    <row r="298" ht="15.75" customHeight="1">
      <c r="A298" s="39" t="s">
        <v>1026</v>
      </c>
      <c r="B298" s="37" t="s">
        <v>1027</v>
      </c>
      <c r="C298" s="38">
        <v>45859.0</v>
      </c>
      <c r="D298" s="38">
        <v>45864.0</v>
      </c>
      <c r="E298" s="39" t="s">
        <v>21</v>
      </c>
      <c r="F298" s="39">
        <v>120.0</v>
      </c>
      <c r="G298" s="40">
        <v>110.0</v>
      </c>
      <c r="H298" s="39" t="s">
        <v>22</v>
      </c>
      <c r="I298" s="41" t="s">
        <v>23</v>
      </c>
      <c r="J298" s="41" t="s">
        <v>30</v>
      </c>
      <c r="K298" s="41" t="s">
        <v>25</v>
      </c>
      <c r="L298" s="76" t="s">
        <v>1028</v>
      </c>
      <c r="M298" s="12" t="s">
        <v>1029</v>
      </c>
      <c r="N298" s="37"/>
      <c r="O298" s="41" t="s">
        <v>27</v>
      </c>
      <c r="P298" s="39" t="s">
        <v>22</v>
      </c>
      <c r="Q298" s="14" t="b">
        <f t="shared" si="1"/>
        <v>1</v>
      </c>
      <c r="R298" s="15" t="b">
        <f t="shared" si="2"/>
        <v>0</v>
      </c>
      <c r="S298" s="15" t="str">
        <f t="shared" si="3"/>
        <v>APPROVED</v>
      </c>
    </row>
    <row r="299" ht="15.75" customHeight="1">
      <c r="A299" s="7" t="s">
        <v>1030</v>
      </c>
      <c r="B299" s="13" t="s">
        <v>1031</v>
      </c>
      <c r="C299" s="9">
        <v>45862.0</v>
      </c>
      <c r="D299" s="9">
        <v>45869.0</v>
      </c>
      <c r="E299" s="7" t="s">
        <v>21</v>
      </c>
      <c r="F299" s="7">
        <v>48.0</v>
      </c>
      <c r="G299" s="10">
        <v>119.0</v>
      </c>
      <c r="H299" s="7" t="s">
        <v>744</v>
      </c>
      <c r="I299" s="11" t="s">
        <v>23</v>
      </c>
      <c r="J299" s="11" t="s">
        <v>172</v>
      </c>
      <c r="K299" s="11" t="s">
        <v>25</v>
      </c>
      <c r="L299" s="16" t="s">
        <v>1032</v>
      </c>
      <c r="M299" s="49" t="s">
        <v>1033</v>
      </c>
      <c r="N299" s="13" t="s">
        <v>1003</v>
      </c>
      <c r="O299" s="11" t="s">
        <v>27</v>
      </c>
      <c r="P299" s="7" t="s">
        <v>744</v>
      </c>
      <c r="Q299" s="14" t="b">
        <f t="shared" si="1"/>
        <v>1</v>
      </c>
      <c r="R299" s="15" t="b">
        <f t="shared" si="2"/>
        <v>0</v>
      </c>
      <c r="S299" s="15" t="str">
        <f t="shared" si="3"/>
        <v>APPROVED</v>
      </c>
    </row>
    <row r="300" ht="15.75" customHeight="1">
      <c r="A300" s="24" t="s">
        <v>1034</v>
      </c>
      <c r="B300" s="25" t="s">
        <v>1035</v>
      </c>
      <c r="C300" s="26">
        <v>45862.0</v>
      </c>
      <c r="D300" s="26">
        <v>45867.0</v>
      </c>
      <c r="E300" s="24" t="s">
        <v>21</v>
      </c>
      <c r="F300" s="24">
        <v>120.0</v>
      </c>
      <c r="G300" s="27">
        <v>119.0</v>
      </c>
      <c r="H300" s="24" t="s">
        <v>744</v>
      </c>
      <c r="I300" s="28" t="s">
        <v>23</v>
      </c>
      <c r="J300" s="28" t="s">
        <v>172</v>
      </c>
      <c r="K300" s="28" t="s">
        <v>84</v>
      </c>
      <c r="L300" s="96" t="s">
        <v>1036</v>
      </c>
      <c r="M300" s="97" t="s">
        <v>1037</v>
      </c>
      <c r="N300" s="25"/>
      <c r="O300" s="28" t="s">
        <v>27</v>
      </c>
      <c r="P300" s="24" t="s">
        <v>744</v>
      </c>
      <c r="Q300" s="14" t="b">
        <f t="shared" si="1"/>
        <v>0</v>
      </c>
      <c r="R300" s="15" t="b">
        <f t="shared" si="2"/>
        <v>0</v>
      </c>
      <c r="S300" s="15" t="str">
        <f t="shared" si="3"/>
        <v>PENDING</v>
      </c>
    </row>
    <row r="301" ht="15.75" customHeight="1">
      <c r="A301" s="24" t="s">
        <v>1038</v>
      </c>
      <c r="B301" s="115" t="s">
        <v>714</v>
      </c>
      <c r="C301" s="26">
        <v>45864.0</v>
      </c>
      <c r="D301" s="26">
        <v>45864.0</v>
      </c>
      <c r="E301" s="24" t="s">
        <v>21</v>
      </c>
      <c r="F301" s="24">
        <v>168.0</v>
      </c>
      <c r="G301" s="27"/>
      <c r="H301" s="24" t="s">
        <v>715</v>
      </c>
      <c r="I301" s="28" t="s">
        <v>23</v>
      </c>
      <c r="J301" s="28" t="s">
        <v>30</v>
      </c>
      <c r="K301" s="24" t="s">
        <v>31</v>
      </c>
      <c r="L301" s="96"/>
      <c r="M301" s="29"/>
      <c r="N301" s="25"/>
      <c r="O301" s="28" t="s">
        <v>27</v>
      </c>
      <c r="P301" s="24" t="s">
        <v>715</v>
      </c>
      <c r="Q301" s="14" t="b">
        <f t="shared" si="1"/>
        <v>0</v>
      </c>
      <c r="R301" s="15" t="b">
        <f t="shared" si="2"/>
        <v>0</v>
      </c>
      <c r="S301" s="15" t="str">
        <f t="shared" si="3"/>
        <v>PENDING</v>
      </c>
    </row>
    <row r="302" ht="15.75" customHeight="1">
      <c r="A302" s="24" t="s">
        <v>1039</v>
      </c>
      <c r="B302" s="25" t="s">
        <v>995</v>
      </c>
      <c r="C302" s="26">
        <v>45853.0</v>
      </c>
      <c r="D302" s="26">
        <v>45853.0</v>
      </c>
      <c r="E302" s="24" t="s">
        <v>21</v>
      </c>
      <c r="F302" s="24">
        <v>72.0</v>
      </c>
      <c r="G302" s="27">
        <v>105.0</v>
      </c>
      <c r="H302" s="24" t="s">
        <v>715</v>
      </c>
      <c r="I302" s="28" t="s">
        <v>23</v>
      </c>
      <c r="J302" s="28" t="s">
        <v>30</v>
      </c>
      <c r="K302" s="28" t="s">
        <v>49</v>
      </c>
      <c r="L302" s="96" t="s">
        <v>996</v>
      </c>
      <c r="M302" s="29" t="s">
        <v>997</v>
      </c>
      <c r="N302" s="25"/>
      <c r="O302" s="28" t="s">
        <v>27</v>
      </c>
      <c r="P302" s="24" t="s">
        <v>715</v>
      </c>
      <c r="Q302" s="14" t="b">
        <f t="shared" si="1"/>
        <v>0</v>
      </c>
      <c r="R302" s="15" t="b">
        <f t="shared" si="2"/>
        <v>0</v>
      </c>
      <c r="S302" s="15" t="str">
        <f t="shared" si="3"/>
        <v>PENDING</v>
      </c>
    </row>
    <row r="303" ht="15.75" customHeight="1">
      <c r="A303" s="24" t="s">
        <v>1040</v>
      </c>
      <c r="B303" s="25" t="s">
        <v>1041</v>
      </c>
      <c r="C303" s="26">
        <v>45853.0</v>
      </c>
      <c r="D303" s="26">
        <v>45853.0</v>
      </c>
      <c r="E303" s="24" t="s">
        <v>21</v>
      </c>
      <c r="F303" s="24">
        <v>24.0</v>
      </c>
      <c r="G303" s="27">
        <v>119.0</v>
      </c>
      <c r="H303" s="24" t="s">
        <v>715</v>
      </c>
      <c r="I303" s="28" t="s">
        <v>23</v>
      </c>
      <c r="J303" s="28" t="s">
        <v>172</v>
      </c>
      <c r="K303" s="28" t="s">
        <v>84</v>
      </c>
      <c r="L303" s="96" t="s">
        <v>1042</v>
      </c>
      <c r="M303" s="29" t="s">
        <v>1043</v>
      </c>
      <c r="N303" s="25"/>
      <c r="O303" s="28" t="s">
        <v>27</v>
      </c>
      <c r="P303" s="24" t="s">
        <v>715</v>
      </c>
      <c r="Q303" s="14" t="b">
        <f t="shared" si="1"/>
        <v>0</v>
      </c>
      <c r="R303" s="15" t="b">
        <f t="shared" si="2"/>
        <v>0</v>
      </c>
      <c r="S303" s="15" t="str">
        <f t="shared" si="3"/>
        <v>PENDING</v>
      </c>
    </row>
    <row r="304" ht="15.75" customHeight="1">
      <c r="A304" s="7" t="s">
        <v>1044</v>
      </c>
      <c r="B304" s="8" t="s">
        <v>999</v>
      </c>
      <c r="C304" s="9">
        <v>45854.0</v>
      </c>
      <c r="D304" s="9">
        <v>45854.0</v>
      </c>
      <c r="E304" s="7" t="s">
        <v>21</v>
      </c>
      <c r="F304" s="7">
        <v>48.0</v>
      </c>
      <c r="G304" s="10">
        <v>115.0</v>
      </c>
      <c r="H304" s="7" t="s">
        <v>715</v>
      </c>
      <c r="I304" s="11" t="s">
        <v>23</v>
      </c>
      <c r="J304" s="11" t="s">
        <v>30</v>
      </c>
      <c r="K304" s="11" t="s">
        <v>25</v>
      </c>
      <c r="L304" s="16" t="s">
        <v>1000</v>
      </c>
      <c r="M304" s="12"/>
      <c r="N304" s="13"/>
      <c r="O304" s="11" t="s">
        <v>27</v>
      </c>
      <c r="P304" s="7" t="s">
        <v>715</v>
      </c>
      <c r="Q304" s="14" t="b">
        <f t="shared" si="1"/>
        <v>1</v>
      </c>
      <c r="R304" s="15" t="b">
        <f t="shared" si="2"/>
        <v>0</v>
      </c>
      <c r="S304" s="15" t="str">
        <f t="shared" si="3"/>
        <v>APPROVED</v>
      </c>
    </row>
    <row r="305" ht="15.75" customHeight="1">
      <c r="A305" s="39" t="s">
        <v>1045</v>
      </c>
      <c r="B305" s="37" t="s">
        <v>1018</v>
      </c>
      <c r="C305" s="38">
        <v>45855.0</v>
      </c>
      <c r="D305" s="38">
        <v>45855.0</v>
      </c>
      <c r="E305" s="39" t="s">
        <v>21</v>
      </c>
      <c r="F305" s="39">
        <v>120.0</v>
      </c>
      <c r="G305" s="40">
        <v>110.0</v>
      </c>
      <c r="H305" s="39" t="s">
        <v>715</v>
      </c>
      <c r="I305" s="41" t="s">
        <v>23</v>
      </c>
      <c r="J305" s="41" t="s">
        <v>30</v>
      </c>
      <c r="K305" s="41" t="s">
        <v>25</v>
      </c>
      <c r="L305" s="76" t="s">
        <v>1019</v>
      </c>
      <c r="M305" s="12"/>
      <c r="N305" s="37"/>
      <c r="O305" s="41" t="s">
        <v>27</v>
      </c>
      <c r="P305" s="39" t="s">
        <v>715</v>
      </c>
      <c r="Q305" s="14" t="b">
        <f t="shared" si="1"/>
        <v>1</v>
      </c>
      <c r="R305" s="15" t="b">
        <f t="shared" si="2"/>
        <v>0</v>
      </c>
      <c r="S305" s="15" t="str">
        <f t="shared" si="3"/>
        <v>APPROVED</v>
      </c>
    </row>
    <row r="306" ht="15.75" customHeight="1">
      <c r="A306" s="24" t="s">
        <v>1046</v>
      </c>
      <c r="B306" s="128" t="s">
        <v>323</v>
      </c>
      <c r="C306" s="26">
        <v>45866.0</v>
      </c>
      <c r="D306" s="26">
        <v>45866.0</v>
      </c>
      <c r="E306" s="24" t="s">
        <v>21</v>
      </c>
      <c r="F306" s="24">
        <v>24.0</v>
      </c>
      <c r="G306" s="27">
        <v>119.0</v>
      </c>
      <c r="H306" s="24" t="s">
        <v>177</v>
      </c>
      <c r="I306" s="28" t="s">
        <v>23</v>
      </c>
      <c r="J306" s="28" t="s">
        <v>172</v>
      </c>
      <c r="K306" s="28" t="s">
        <v>84</v>
      </c>
      <c r="L306" s="96" t="s">
        <v>1047</v>
      </c>
      <c r="M306" s="29" t="s">
        <v>1048</v>
      </c>
      <c r="N306" s="25"/>
      <c r="O306" s="28" t="s">
        <v>27</v>
      </c>
      <c r="P306" s="24" t="s">
        <v>177</v>
      </c>
      <c r="Q306" s="14" t="b">
        <f t="shared" si="1"/>
        <v>0</v>
      </c>
      <c r="R306" s="15" t="b">
        <f t="shared" si="2"/>
        <v>0</v>
      </c>
      <c r="S306" s="15" t="str">
        <f t="shared" si="3"/>
        <v>PENDING</v>
      </c>
    </row>
    <row r="307" ht="16.5" customHeight="1">
      <c r="A307" s="7" t="s">
        <v>1049</v>
      </c>
      <c r="B307" s="8" t="s">
        <v>73</v>
      </c>
      <c r="C307" s="9">
        <v>45866.0</v>
      </c>
      <c r="D307" s="9">
        <v>45867.0</v>
      </c>
      <c r="E307" s="7" t="s">
        <v>21</v>
      </c>
      <c r="F307" s="7">
        <v>48.0</v>
      </c>
      <c r="G307" s="10">
        <v>119.0</v>
      </c>
      <c r="H307" s="7" t="s">
        <v>177</v>
      </c>
      <c r="I307" s="11" t="s">
        <v>23</v>
      </c>
      <c r="J307" s="11" t="s">
        <v>172</v>
      </c>
      <c r="K307" s="11" t="s">
        <v>25</v>
      </c>
      <c r="L307" s="16" t="s">
        <v>448</v>
      </c>
      <c r="M307" s="12" t="s">
        <v>1050</v>
      </c>
      <c r="N307" s="13"/>
      <c r="O307" s="11" t="s">
        <v>27</v>
      </c>
      <c r="P307" s="7" t="s">
        <v>177</v>
      </c>
      <c r="Q307" s="14" t="b">
        <f t="shared" si="1"/>
        <v>1</v>
      </c>
      <c r="R307" s="15" t="b">
        <f t="shared" si="2"/>
        <v>0</v>
      </c>
      <c r="S307" s="15" t="str">
        <f t="shared" si="3"/>
        <v>APPROVED</v>
      </c>
    </row>
    <row r="308" ht="15.75" customHeight="1">
      <c r="A308" s="7" t="s">
        <v>1051</v>
      </c>
      <c r="B308" s="8" t="s">
        <v>685</v>
      </c>
      <c r="C308" s="9">
        <v>45867.0</v>
      </c>
      <c r="D308" s="9">
        <v>45867.0</v>
      </c>
      <c r="E308" s="7" t="s">
        <v>21</v>
      </c>
      <c r="F308" s="7">
        <v>24.0</v>
      </c>
      <c r="G308" s="10">
        <v>112.0</v>
      </c>
      <c r="H308" s="7" t="s">
        <v>22</v>
      </c>
      <c r="I308" s="11" t="s">
        <v>23</v>
      </c>
      <c r="J308" s="11" t="s">
        <v>30</v>
      </c>
      <c r="K308" s="11" t="s">
        <v>25</v>
      </c>
      <c r="L308" s="16" t="s">
        <v>686</v>
      </c>
      <c r="M308" s="12" t="s">
        <v>1052</v>
      </c>
      <c r="N308" s="13"/>
      <c r="O308" s="11" t="s">
        <v>27</v>
      </c>
      <c r="P308" s="7" t="s">
        <v>22</v>
      </c>
      <c r="Q308" s="14" t="b">
        <f t="shared" si="1"/>
        <v>1</v>
      </c>
      <c r="R308" s="15" t="b">
        <f t="shared" si="2"/>
        <v>0</v>
      </c>
      <c r="S308" s="15" t="str">
        <f t="shared" si="3"/>
        <v>APPROVED</v>
      </c>
    </row>
    <row r="309" ht="15.75" customHeight="1">
      <c r="A309" s="24" t="s">
        <v>1053</v>
      </c>
      <c r="B309" s="25" t="s">
        <v>1054</v>
      </c>
      <c r="C309" s="26">
        <v>45867.0</v>
      </c>
      <c r="D309" s="26">
        <v>45867.0</v>
      </c>
      <c r="E309" s="24" t="s">
        <v>21</v>
      </c>
      <c r="F309" s="24">
        <v>120.0</v>
      </c>
      <c r="G309" s="27"/>
      <c r="H309" s="24" t="s">
        <v>744</v>
      </c>
      <c r="I309" s="28" t="s">
        <v>23</v>
      </c>
      <c r="J309" s="24"/>
      <c r="K309" s="7" t="s">
        <v>31</v>
      </c>
      <c r="M309" s="29"/>
      <c r="N309" s="25"/>
      <c r="O309" s="68" t="s">
        <v>417</v>
      </c>
      <c r="P309" s="24" t="s">
        <v>744</v>
      </c>
      <c r="Q309" s="14" t="b">
        <f t="shared" si="1"/>
        <v>0</v>
      </c>
      <c r="R309" s="15" t="b">
        <f t="shared" si="2"/>
        <v>0</v>
      </c>
      <c r="S309" s="15" t="str">
        <f t="shared" si="3"/>
        <v>PENDING</v>
      </c>
    </row>
    <row r="310" ht="15.75" customHeight="1">
      <c r="A310" s="24" t="s">
        <v>1055</v>
      </c>
      <c r="B310" s="25" t="s">
        <v>1056</v>
      </c>
      <c r="C310" s="26">
        <v>45867.0</v>
      </c>
      <c r="D310" s="26">
        <v>45869.0</v>
      </c>
      <c r="E310" s="24" t="s">
        <v>21</v>
      </c>
      <c r="F310" s="24">
        <v>24.0</v>
      </c>
      <c r="G310" s="27">
        <v>119.0</v>
      </c>
      <c r="H310" s="24" t="s">
        <v>744</v>
      </c>
      <c r="I310" s="28" t="s">
        <v>23</v>
      </c>
      <c r="J310" s="28" t="s">
        <v>172</v>
      </c>
      <c r="K310" s="28" t="s">
        <v>49</v>
      </c>
      <c r="L310" s="96" t="s">
        <v>1057</v>
      </c>
      <c r="M310" s="29" t="s">
        <v>376</v>
      </c>
      <c r="N310" s="29" t="s">
        <v>1058</v>
      </c>
      <c r="O310" s="28" t="s">
        <v>27</v>
      </c>
      <c r="P310" s="24" t="s">
        <v>744</v>
      </c>
      <c r="Q310" s="14" t="b">
        <f t="shared" si="1"/>
        <v>0</v>
      </c>
      <c r="R310" s="15" t="b">
        <f t="shared" si="2"/>
        <v>0</v>
      </c>
      <c r="S310" s="15" t="str">
        <f t="shared" si="3"/>
        <v>PENDING</v>
      </c>
    </row>
    <row r="311" ht="15.75" customHeight="1">
      <c r="A311" s="7" t="s">
        <v>1059</v>
      </c>
      <c r="B311" s="13" t="s">
        <v>1060</v>
      </c>
      <c r="C311" s="9">
        <v>45867.0</v>
      </c>
      <c r="D311" s="9">
        <v>45867.0</v>
      </c>
      <c r="E311" s="7" t="s">
        <v>21</v>
      </c>
      <c r="F311" s="7">
        <v>24.0</v>
      </c>
      <c r="G311" s="10">
        <v>118.18</v>
      </c>
      <c r="H311" s="7" t="s">
        <v>177</v>
      </c>
      <c r="I311" s="11" t="s">
        <v>23</v>
      </c>
      <c r="J311" s="11" t="s">
        <v>172</v>
      </c>
      <c r="K311" s="11" t="s">
        <v>25</v>
      </c>
      <c r="L311" s="16" t="s">
        <v>1061</v>
      </c>
      <c r="M311" s="12" t="s">
        <v>1062</v>
      </c>
      <c r="N311" s="13"/>
      <c r="O311" s="11" t="s">
        <v>27</v>
      </c>
      <c r="P311" s="7" t="s">
        <v>177</v>
      </c>
      <c r="Q311" s="14" t="b">
        <f t="shared" si="1"/>
        <v>1</v>
      </c>
      <c r="R311" s="15" t="b">
        <f t="shared" si="2"/>
        <v>0</v>
      </c>
      <c r="S311" s="15" t="str">
        <f t="shared" si="3"/>
        <v>APPROVED</v>
      </c>
    </row>
    <row r="312" ht="15.75" customHeight="1">
      <c r="A312" s="24" t="s">
        <v>1063</v>
      </c>
      <c r="B312" s="25" t="s">
        <v>1064</v>
      </c>
      <c r="C312" s="26">
        <v>45867.0</v>
      </c>
      <c r="D312" s="26">
        <v>45867.0</v>
      </c>
      <c r="E312" s="24" t="s">
        <v>21</v>
      </c>
      <c r="F312" s="24">
        <v>24.0</v>
      </c>
      <c r="G312" s="27">
        <v>118.18</v>
      </c>
      <c r="H312" s="24" t="s">
        <v>177</v>
      </c>
      <c r="I312" s="28" t="s">
        <v>23</v>
      </c>
      <c r="J312" s="28" t="s">
        <v>172</v>
      </c>
      <c r="K312" s="28" t="s">
        <v>482</v>
      </c>
      <c r="L312" s="96" t="s">
        <v>1065</v>
      </c>
      <c r="M312" s="29"/>
      <c r="N312" s="25"/>
      <c r="O312" s="28" t="s">
        <v>27</v>
      </c>
      <c r="P312" s="24" t="s">
        <v>177</v>
      </c>
      <c r="Q312" s="14" t="b">
        <f t="shared" si="1"/>
        <v>0</v>
      </c>
      <c r="R312" s="15" t="b">
        <f t="shared" si="2"/>
        <v>0</v>
      </c>
      <c r="S312" s="15" t="str">
        <f t="shared" si="3"/>
        <v>PENDING</v>
      </c>
    </row>
    <row r="313" ht="15.75" customHeight="1">
      <c r="A313" s="7" t="s">
        <v>1066</v>
      </c>
      <c r="B313" s="13" t="s">
        <v>1067</v>
      </c>
      <c r="C313" s="9">
        <v>45867.0</v>
      </c>
      <c r="D313" s="9">
        <v>45867.0</v>
      </c>
      <c r="E313" s="7" t="s">
        <v>21</v>
      </c>
      <c r="F313" s="7">
        <v>48.0</v>
      </c>
      <c r="G313" s="10">
        <v>118.18</v>
      </c>
      <c r="H313" s="7" t="s">
        <v>177</v>
      </c>
      <c r="I313" s="11" t="s">
        <v>23</v>
      </c>
      <c r="J313" s="11" t="s">
        <v>172</v>
      </c>
      <c r="K313" s="11" t="s">
        <v>25</v>
      </c>
      <c r="L313" s="16" t="s">
        <v>566</v>
      </c>
      <c r="M313" s="12" t="s">
        <v>1068</v>
      </c>
      <c r="N313" s="13"/>
      <c r="O313" s="11" t="s">
        <v>27</v>
      </c>
      <c r="P313" s="7" t="s">
        <v>177</v>
      </c>
      <c r="Q313" s="14" t="b">
        <f t="shared" si="1"/>
        <v>1</v>
      </c>
      <c r="R313" s="15" t="b">
        <f t="shared" si="2"/>
        <v>0</v>
      </c>
      <c r="S313" s="15" t="str">
        <f t="shared" si="3"/>
        <v>APPROVED</v>
      </c>
    </row>
    <row r="314" ht="15.75" customHeight="1">
      <c r="A314" s="7" t="s">
        <v>1069</v>
      </c>
      <c r="B314" s="13" t="s">
        <v>1070</v>
      </c>
      <c r="C314" s="9">
        <v>45867.0</v>
      </c>
      <c r="D314" s="9">
        <v>45867.0</v>
      </c>
      <c r="E314" s="7" t="s">
        <v>21</v>
      </c>
      <c r="F314" s="7">
        <v>24.0</v>
      </c>
      <c r="G314" s="10">
        <v>118.0</v>
      </c>
      <c r="H314" s="7" t="s">
        <v>22</v>
      </c>
      <c r="I314" s="11" t="s">
        <v>23</v>
      </c>
      <c r="J314" s="11" t="s">
        <v>30</v>
      </c>
      <c r="K314" s="11" t="s">
        <v>25</v>
      </c>
      <c r="L314" s="16" t="s">
        <v>1071</v>
      </c>
      <c r="M314" s="12"/>
      <c r="N314" s="13"/>
      <c r="O314" s="11" t="s">
        <v>27</v>
      </c>
      <c r="P314" s="7" t="s">
        <v>22</v>
      </c>
      <c r="Q314" s="14" t="b">
        <f t="shared" si="1"/>
        <v>1</v>
      </c>
      <c r="R314" s="15" t="b">
        <f t="shared" si="2"/>
        <v>0</v>
      </c>
      <c r="S314" s="15" t="str">
        <f t="shared" si="3"/>
        <v>APPROVED</v>
      </c>
    </row>
    <row r="315" ht="15.75" customHeight="1">
      <c r="A315" s="24" t="s">
        <v>1072</v>
      </c>
      <c r="B315" s="25" t="s">
        <v>1073</v>
      </c>
      <c r="C315" s="26">
        <v>45867.0</v>
      </c>
      <c r="D315" s="26">
        <v>45867.0</v>
      </c>
      <c r="E315" s="24" t="s">
        <v>21</v>
      </c>
      <c r="F315" s="24">
        <v>24.0</v>
      </c>
      <c r="G315" s="27">
        <v>119.0</v>
      </c>
      <c r="H315" s="24" t="s">
        <v>744</v>
      </c>
      <c r="I315" s="28" t="s">
        <v>23</v>
      </c>
      <c r="J315" s="28" t="s">
        <v>172</v>
      </c>
      <c r="K315" s="28" t="s">
        <v>49</v>
      </c>
      <c r="L315" s="96" t="s">
        <v>1074</v>
      </c>
      <c r="M315" s="29"/>
      <c r="N315" s="25"/>
      <c r="O315" s="28" t="s">
        <v>27</v>
      </c>
      <c r="P315" s="24" t="s">
        <v>744</v>
      </c>
      <c r="Q315" s="14" t="b">
        <f t="shared" si="1"/>
        <v>0</v>
      </c>
      <c r="R315" s="15" t="b">
        <f t="shared" si="2"/>
        <v>0</v>
      </c>
      <c r="S315" s="15" t="str">
        <f t="shared" si="3"/>
        <v>PENDING</v>
      </c>
    </row>
    <row r="316" ht="15.75" customHeight="1">
      <c r="A316" s="30" t="s">
        <v>1075</v>
      </c>
      <c r="B316" s="31" t="s">
        <v>1076</v>
      </c>
      <c r="C316" s="32">
        <v>45867.0</v>
      </c>
      <c r="D316" s="32"/>
      <c r="E316" s="30" t="s">
        <v>21</v>
      </c>
      <c r="F316" s="30"/>
      <c r="G316" s="33"/>
      <c r="H316" s="30" t="s">
        <v>744</v>
      </c>
      <c r="I316" s="34" t="s">
        <v>23</v>
      </c>
      <c r="J316" s="34" t="s">
        <v>172</v>
      </c>
      <c r="K316" s="34" t="s">
        <v>49</v>
      </c>
      <c r="L316" s="66"/>
      <c r="M316" s="35" t="s">
        <v>376</v>
      </c>
      <c r="N316" s="31"/>
      <c r="O316" s="30" t="s">
        <v>98</v>
      </c>
      <c r="P316" s="30" t="s">
        <v>744</v>
      </c>
      <c r="Q316" s="14" t="b">
        <f t="shared" si="1"/>
        <v>0</v>
      </c>
      <c r="R316" s="15" t="b">
        <f t="shared" si="2"/>
        <v>1</v>
      </c>
      <c r="S316" s="15" t="str">
        <f t="shared" si="3"/>
        <v>PENDING</v>
      </c>
    </row>
    <row r="317" ht="15.75" customHeight="1">
      <c r="A317" s="7" t="s">
        <v>1077</v>
      </c>
      <c r="B317" s="8" t="s">
        <v>117</v>
      </c>
      <c r="C317" s="9">
        <v>45868.0</v>
      </c>
      <c r="D317" s="9"/>
      <c r="E317" s="7" t="s">
        <v>21</v>
      </c>
      <c r="F317" s="7">
        <v>24.0</v>
      </c>
      <c r="G317" s="10"/>
      <c r="H317" s="7" t="s">
        <v>22</v>
      </c>
      <c r="I317" s="11" t="s">
        <v>23</v>
      </c>
      <c r="J317" s="11" t="s">
        <v>30</v>
      </c>
      <c r="K317" s="7" t="s">
        <v>31</v>
      </c>
      <c r="L317" s="16"/>
      <c r="M317" s="12"/>
      <c r="N317" s="13"/>
      <c r="O317" s="11" t="s">
        <v>27</v>
      </c>
      <c r="P317" s="7" t="s">
        <v>22</v>
      </c>
      <c r="Q317" s="14" t="b">
        <f t="shared" si="1"/>
        <v>0</v>
      </c>
      <c r="R317" s="15" t="b">
        <f t="shared" si="2"/>
        <v>0</v>
      </c>
      <c r="S317" s="15" t="str">
        <f t="shared" si="3"/>
        <v>PENDING</v>
      </c>
    </row>
    <row r="318" ht="15.75" customHeight="1">
      <c r="A318" s="7" t="s">
        <v>1078</v>
      </c>
      <c r="B318" s="8" t="s">
        <v>1079</v>
      </c>
      <c r="C318" s="9">
        <v>45869.0</v>
      </c>
      <c r="D318" s="9">
        <v>45869.0</v>
      </c>
      <c r="E318" s="7" t="s">
        <v>21</v>
      </c>
      <c r="F318" s="7">
        <v>48.0</v>
      </c>
      <c r="G318" s="10">
        <v>127.6</v>
      </c>
      <c r="H318" s="7" t="s">
        <v>715</v>
      </c>
      <c r="I318" s="11" t="s">
        <v>23</v>
      </c>
      <c r="J318" s="11" t="s">
        <v>35</v>
      </c>
      <c r="K318" s="11" t="s">
        <v>25</v>
      </c>
      <c r="L318" s="16" t="s">
        <v>1080</v>
      </c>
      <c r="M318" s="12" t="s">
        <v>1081</v>
      </c>
      <c r="N318" s="13"/>
      <c r="O318" s="11" t="s">
        <v>27</v>
      </c>
      <c r="P318" s="7" t="s">
        <v>715</v>
      </c>
      <c r="Q318" s="14" t="b">
        <f t="shared" si="1"/>
        <v>1</v>
      </c>
      <c r="R318" s="15" t="b">
        <f t="shared" si="2"/>
        <v>0</v>
      </c>
      <c r="S318" s="15" t="str">
        <f t="shared" si="3"/>
        <v>APPROVED</v>
      </c>
    </row>
    <row r="319" ht="15.75" customHeight="1">
      <c r="A319" s="24" t="s">
        <v>1082</v>
      </c>
      <c r="B319" s="25" t="s">
        <v>1083</v>
      </c>
      <c r="C319" s="26">
        <v>45869.0</v>
      </c>
      <c r="D319" s="26">
        <v>45888.0</v>
      </c>
      <c r="E319" s="24" t="s">
        <v>21</v>
      </c>
      <c r="F319" s="24">
        <v>24.0</v>
      </c>
      <c r="G319" s="27">
        <v>128.25</v>
      </c>
      <c r="H319" s="24" t="s">
        <v>744</v>
      </c>
      <c r="I319" s="28" t="s">
        <v>23</v>
      </c>
      <c r="J319" s="28" t="s">
        <v>172</v>
      </c>
      <c r="K319" s="28" t="s">
        <v>482</v>
      </c>
      <c r="L319" s="96" t="s">
        <v>1084</v>
      </c>
      <c r="M319" s="29"/>
      <c r="N319" s="29" t="s">
        <v>1085</v>
      </c>
      <c r="O319" s="28" t="s">
        <v>27</v>
      </c>
      <c r="P319" s="24" t="s">
        <v>744</v>
      </c>
      <c r="Q319" s="14" t="b">
        <f t="shared" si="1"/>
        <v>0</v>
      </c>
      <c r="R319" s="15" t="b">
        <f t="shared" si="2"/>
        <v>0</v>
      </c>
      <c r="S319" s="15" t="str">
        <f t="shared" si="3"/>
        <v>PENDING</v>
      </c>
    </row>
    <row r="320" ht="15.75" customHeight="1">
      <c r="A320" s="24" t="s">
        <v>1086</v>
      </c>
      <c r="B320" s="25" t="s">
        <v>1087</v>
      </c>
      <c r="C320" s="26">
        <v>45869.0</v>
      </c>
      <c r="D320" s="26">
        <v>45888.0</v>
      </c>
      <c r="E320" s="24" t="s">
        <v>21</v>
      </c>
      <c r="F320" s="24">
        <v>24.0</v>
      </c>
      <c r="G320" s="27">
        <v>119.0</v>
      </c>
      <c r="H320" s="24" t="s">
        <v>744</v>
      </c>
      <c r="I320" s="28" t="s">
        <v>23</v>
      </c>
      <c r="J320" s="28" t="s">
        <v>172</v>
      </c>
      <c r="K320" s="28" t="s">
        <v>482</v>
      </c>
      <c r="L320" s="96" t="s">
        <v>1088</v>
      </c>
      <c r="M320" s="29"/>
      <c r="N320" s="25"/>
      <c r="O320" s="28" t="s">
        <v>27</v>
      </c>
      <c r="P320" s="24" t="s">
        <v>744</v>
      </c>
      <c r="Q320" s="14" t="b">
        <f t="shared" si="1"/>
        <v>0</v>
      </c>
      <c r="R320" s="15" t="b">
        <f t="shared" si="2"/>
        <v>0</v>
      </c>
      <c r="S320" s="15" t="str">
        <f t="shared" si="3"/>
        <v>PENDING</v>
      </c>
    </row>
    <row r="321" ht="15.75" customHeight="1">
      <c r="A321" s="7" t="s">
        <v>1089</v>
      </c>
      <c r="B321" s="8" t="s">
        <v>394</v>
      </c>
      <c r="C321" s="9">
        <v>45870.0</v>
      </c>
      <c r="D321" s="9">
        <v>45785.0</v>
      </c>
      <c r="E321" s="7" t="s">
        <v>21</v>
      </c>
      <c r="F321" s="7">
        <v>48.0</v>
      </c>
      <c r="G321" s="10">
        <v>125.0</v>
      </c>
      <c r="H321" s="7" t="s">
        <v>22</v>
      </c>
      <c r="I321" s="11" t="s">
        <v>23</v>
      </c>
      <c r="J321" s="11" t="s">
        <v>35</v>
      </c>
      <c r="K321" s="11" t="s">
        <v>25</v>
      </c>
      <c r="L321" s="16" t="s">
        <v>399</v>
      </c>
      <c r="M321" s="12" t="s">
        <v>1090</v>
      </c>
      <c r="N321" s="13"/>
      <c r="O321" s="11" t="s">
        <v>27</v>
      </c>
      <c r="P321" s="7" t="s">
        <v>22</v>
      </c>
      <c r="Q321" s="14" t="b">
        <f t="shared" si="1"/>
        <v>1</v>
      </c>
      <c r="R321" s="15" t="b">
        <f t="shared" si="2"/>
        <v>0</v>
      </c>
      <c r="S321" s="15" t="str">
        <f t="shared" si="3"/>
        <v>APPROVED</v>
      </c>
    </row>
    <row r="322" ht="15.75" customHeight="1">
      <c r="A322" s="24" t="s">
        <v>1091</v>
      </c>
      <c r="B322" s="25" t="s">
        <v>373</v>
      </c>
      <c r="C322" s="26">
        <v>45870.0</v>
      </c>
      <c r="D322" s="26">
        <v>45665.0</v>
      </c>
      <c r="E322" s="24" t="s">
        <v>21</v>
      </c>
      <c r="F322" s="24">
        <v>24.0</v>
      </c>
      <c r="G322" s="27">
        <v>119.0</v>
      </c>
      <c r="H322" s="24" t="s">
        <v>177</v>
      </c>
      <c r="I322" s="28" t="s">
        <v>23</v>
      </c>
      <c r="J322" s="28" t="s">
        <v>172</v>
      </c>
      <c r="K322" s="28" t="s">
        <v>84</v>
      </c>
      <c r="L322" s="96" t="s">
        <v>1092</v>
      </c>
      <c r="M322" s="29" t="s">
        <v>1093</v>
      </c>
      <c r="N322" s="25"/>
      <c r="O322" s="28" t="s">
        <v>27</v>
      </c>
      <c r="P322" s="24" t="s">
        <v>177</v>
      </c>
      <c r="Q322" s="14" t="b">
        <f t="shared" si="1"/>
        <v>0</v>
      </c>
      <c r="R322" s="15" t="b">
        <f t="shared" si="2"/>
        <v>0</v>
      </c>
      <c r="S322" s="15" t="str">
        <f t="shared" si="3"/>
        <v>PENDING</v>
      </c>
    </row>
    <row r="323" ht="15.75" customHeight="1">
      <c r="A323" s="24" t="s">
        <v>1094</v>
      </c>
      <c r="B323" s="25" t="s">
        <v>581</v>
      </c>
      <c r="C323" s="26">
        <v>45870.0</v>
      </c>
      <c r="D323" s="26">
        <v>45665.0</v>
      </c>
      <c r="E323" s="24" t="s">
        <v>21</v>
      </c>
      <c r="F323" s="24">
        <v>24.0</v>
      </c>
      <c r="G323" s="27">
        <v>119.0</v>
      </c>
      <c r="H323" s="24" t="s">
        <v>177</v>
      </c>
      <c r="I323" s="28" t="s">
        <v>23</v>
      </c>
      <c r="J323" s="28" t="s">
        <v>172</v>
      </c>
      <c r="K323" s="28" t="s">
        <v>25</v>
      </c>
      <c r="L323" s="96" t="s">
        <v>582</v>
      </c>
      <c r="M323" s="29" t="s">
        <v>1095</v>
      </c>
      <c r="N323" s="25"/>
      <c r="O323" s="28" t="s">
        <v>27</v>
      </c>
      <c r="P323" s="24" t="s">
        <v>177</v>
      </c>
      <c r="Q323" s="14" t="b">
        <f t="shared" si="1"/>
        <v>1</v>
      </c>
      <c r="R323" s="15" t="b">
        <f t="shared" si="2"/>
        <v>0</v>
      </c>
      <c r="S323" s="15" t="str">
        <f t="shared" si="3"/>
        <v>APPROVED</v>
      </c>
    </row>
    <row r="324" ht="15.75" customHeight="1">
      <c r="A324" s="7" t="s">
        <v>1096</v>
      </c>
      <c r="B324" s="13" t="s">
        <v>1097</v>
      </c>
      <c r="C324" s="9">
        <v>45873.0</v>
      </c>
      <c r="D324" s="9">
        <v>45755.0</v>
      </c>
      <c r="E324" s="7" t="s">
        <v>21</v>
      </c>
      <c r="F324" s="7">
        <v>24.0</v>
      </c>
      <c r="G324" s="10"/>
      <c r="H324" s="7" t="s">
        <v>22</v>
      </c>
      <c r="I324" s="11" t="s">
        <v>23</v>
      </c>
      <c r="J324" s="11" t="s">
        <v>30</v>
      </c>
      <c r="K324" s="7" t="s">
        <v>31</v>
      </c>
      <c r="L324" s="16"/>
      <c r="M324" s="67"/>
      <c r="N324" s="13"/>
      <c r="O324" s="11" t="s">
        <v>27</v>
      </c>
      <c r="P324" s="7" t="s">
        <v>22</v>
      </c>
      <c r="Q324" s="14" t="b">
        <f t="shared" si="1"/>
        <v>0</v>
      </c>
      <c r="R324" s="15" t="b">
        <f t="shared" si="2"/>
        <v>0</v>
      </c>
      <c r="S324" s="15" t="str">
        <f t="shared" si="3"/>
        <v>PENDING</v>
      </c>
    </row>
    <row r="325" ht="15.75" customHeight="1">
      <c r="A325" s="7" t="s">
        <v>1098</v>
      </c>
      <c r="B325" s="13" t="s">
        <v>1099</v>
      </c>
      <c r="C325" s="9">
        <v>45869.0</v>
      </c>
      <c r="D325" s="9">
        <v>45869.0</v>
      </c>
      <c r="E325" s="7" t="s">
        <v>21</v>
      </c>
      <c r="F325" s="7">
        <v>10.0</v>
      </c>
      <c r="G325" s="10">
        <v>130.0</v>
      </c>
      <c r="H325" s="7" t="s">
        <v>715</v>
      </c>
      <c r="I325" s="11" t="s">
        <v>23</v>
      </c>
      <c r="J325" s="11" t="s">
        <v>30</v>
      </c>
      <c r="K325" s="11" t="s">
        <v>25</v>
      </c>
      <c r="L325" s="16"/>
      <c r="M325" s="67"/>
      <c r="N325" s="13"/>
      <c r="O325" s="11" t="s">
        <v>27</v>
      </c>
      <c r="P325" s="7" t="s">
        <v>715</v>
      </c>
      <c r="Q325" s="14" t="b">
        <f t="shared" si="1"/>
        <v>1</v>
      </c>
      <c r="R325" s="15" t="b">
        <f t="shared" si="2"/>
        <v>0</v>
      </c>
      <c r="S325" s="15" t="str">
        <f t="shared" si="3"/>
        <v>APPROVED</v>
      </c>
    </row>
    <row r="326" ht="15.75" customHeight="1">
      <c r="A326" s="7" t="s">
        <v>1100</v>
      </c>
      <c r="B326" s="13" t="s">
        <v>1101</v>
      </c>
      <c r="C326" s="9">
        <v>45867.0</v>
      </c>
      <c r="D326" s="9">
        <v>45867.0</v>
      </c>
      <c r="E326" s="7" t="s">
        <v>21</v>
      </c>
      <c r="F326" s="7">
        <v>24.0</v>
      </c>
      <c r="G326" s="10">
        <v>115.0</v>
      </c>
      <c r="H326" s="7" t="s">
        <v>715</v>
      </c>
      <c r="I326" s="11" t="s">
        <v>23</v>
      </c>
      <c r="J326" s="11" t="s">
        <v>30</v>
      </c>
      <c r="K326" s="11" t="s">
        <v>25</v>
      </c>
      <c r="L326" s="16"/>
      <c r="M326" s="12"/>
      <c r="N326" s="13"/>
      <c r="O326" s="11" t="s">
        <v>27</v>
      </c>
      <c r="P326" s="7" t="s">
        <v>715</v>
      </c>
      <c r="Q326" s="14" t="b">
        <f t="shared" si="1"/>
        <v>1</v>
      </c>
      <c r="R326" s="15" t="b">
        <f t="shared" si="2"/>
        <v>0</v>
      </c>
      <c r="S326" s="15" t="str">
        <f t="shared" si="3"/>
        <v>APPROVED</v>
      </c>
    </row>
    <row r="327" ht="15.75" customHeight="1">
      <c r="A327" s="7" t="s">
        <v>1102</v>
      </c>
      <c r="B327" s="8" t="s">
        <v>999</v>
      </c>
      <c r="C327" s="9">
        <v>45868.0</v>
      </c>
      <c r="D327" s="9">
        <v>45868.0</v>
      </c>
      <c r="E327" s="7" t="s">
        <v>21</v>
      </c>
      <c r="F327" s="7">
        <v>72.0</v>
      </c>
      <c r="G327" s="10">
        <v>115.0</v>
      </c>
      <c r="H327" s="7" t="s">
        <v>715</v>
      </c>
      <c r="I327" s="11" t="s">
        <v>23</v>
      </c>
      <c r="J327" s="11" t="s">
        <v>30</v>
      </c>
      <c r="K327" s="11" t="s">
        <v>25</v>
      </c>
      <c r="L327" s="16" t="s">
        <v>1000</v>
      </c>
      <c r="M327" s="12" t="s">
        <v>1103</v>
      </c>
      <c r="N327" s="13"/>
      <c r="O327" s="11" t="s">
        <v>27</v>
      </c>
      <c r="P327" s="7" t="s">
        <v>715</v>
      </c>
      <c r="Q327" s="14" t="b">
        <f t="shared" si="1"/>
        <v>1</v>
      </c>
      <c r="R327" s="15" t="b">
        <f t="shared" si="2"/>
        <v>0</v>
      </c>
      <c r="S327" s="15" t="str">
        <f t="shared" si="3"/>
        <v>APPROVED</v>
      </c>
    </row>
    <row r="328" ht="15.75" customHeight="1">
      <c r="A328" s="24" t="s">
        <v>1104</v>
      </c>
      <c r="B328" s="25" t="s">
        <v>1105</v>
      </c>
      <c r="C328" s="26">
        <v>45863.0</v>
      </c>
      <c r="D328" s="26">
        <v>45863.0</v>
      </c>
      <c r="E328" s="24" t="s">
        <v>21</v>
      </c>
      <c r="F328" s="24">
        <v>24.0</v>
      </c>
      <c r="G328" s="27">
        <v>119.0</v>
      </c>
      <c r="H328" s="24" t="s">
        <v>715</v>
      </c>
      <c r="I328" s="28" t="s">
        <v>23</v>
      </c>
      <c r="J328" s="28" t="s">
        <v>172</v>
      </c>
      <c r="K328" s="28" t="s">
        <v>49</v>
      </c>
      <c r="L328" s="96" t="s">
        <v>1106</v>
      </c>
      <c r="M328" s="29"/>
      <c r="N328" s="25"/>
      <c r="O328" s="28" t="s">
        <v>27</v>
      </c>
      <c r="P328" s="24" t="s">
        <v>715</v>
      </c>
      <c r="Q328" s="14" t="b">
        <f t="shared" si="1"/>
        <v>0</v>
      </c>
      <c r="R328" s="15" t="b">
        <f t="shared" si="2"/>
        <v>0</v>
      </c>
      <c r="S328" s="15" t="str">
        <f t="shared" si="3"/>
        <v>PENDING</v>
      </c>
    </row>
    <row r="329" ht="15.75" customHeight="1">
      <c r="A329" s="7" t="s">
        <v>1107</v>
      </c>
      <c r="B329" s="8" t="s">
        <v>714</v>
      </c>
      <c r="C329" s="9">
        <v>45873.0</v>
      </c>
      <c r="D329" s="9">
        <v>45755.0</v>
      </c>
      <c r="E329" s="7" t="s">
        <v>21</v>
      </c>
      <c r="F329" s="7">
        <v>240.0</v>
      </c>
      <c r="G329" s="10"/>
      <c r="H329" s="7" t="s">
        <v>715</v>
      </c>
      <c r="I329" s="11" t="s">
        <v>23</v>
      </c>
      <c r="J329" s="11" t="s">
        <v>30</v>
      </c>
      <c r="K329" s="7" t="s">
        <v>31</v>
      </c>
      <c r="L329" s="16"/>
      <c r="M329" s="12"/>
      <c r="N329" s="8" t="s">
        <v>32</v>
      </c>
      <c r="O329" s="11" t="s">
        <v>27</v>
      </c>
      <c r="P329" s="7" t="s">
        <v>715</v>
      </c>
      <c r="Q329" s="14" t="b">
        <f t="shared" si="1"/>
        <v>0</v>
      </c>
      <c r="R329" s="15" t="b">
        <f t="shared" si="2"/>
        <v>0</v>
      </c>
      <c r="S329" s="15" t="str">
        <f t="shared" si="3"/>
        <v>PENDING</v>
      </c>
    </row>
    <row r="330" ht="15.75" customHeight="1">
      <c r="A330" s="24" t="s">
        <v>1108</v>
      </c>
      <c r="B330" s="25" t="s">
        <v>398</v>
      </c>
      <c r="C330" s="26">
        <v>45873.0</v>
      </c>
      <c r="D330" s="26">
        <v>45755.0</v>
      </c>
      <c r="E330" s="24" t="s">
        <v>21</v>
      </c>
      <c r="F330" s="24">
        <v>48.0</v>
      </c>
      <c r="G330" s="27">
        <v>118.18</v>
      </c>
      <c r="H330" s="24" t="s">
        <v>177</v>
      </c>
      <c r="I330" s="28" t="s">
        <v>23</v>
      </c>
      <c r="J330" s="28" t="s">
        <v>172</v>
      </c>
      <c r="K330" s="28" t="s">
        <v>84</v>
      </c>
      <c r="L330" s="96" t="s">
        <v>399</v>
      </c>
      <c r="M330" s="97" t="s">
        <v>1109</v>
      </c>
      <c r="N330" s="25"/>
      <c r="O330" s="28" t="s">
        <v>27</v>
      </c>
      <c r="P330" s="24" t="s">
        <v>177</v>
      </c>
      <c r="Q330" s="14" t="b">
        <f t="shared" si="1"/>
        <v>0</v>
      </c>
      <c r="R330" s="15" t="b">
        <f t="shared" si="2"/>
        <v>0</v>
      </c>
      <c r="S330" s="15" t="str">
        <f t="shared" si="3"/>
        <v>PENDING</v>
      </c>
    </row>
    <row r="331" ht="15.75" customHeight="1">
      <c r="A331" s="24" t="s">
        <v>1110</v>
      </c>
      <c r="B331" s="25" t="s">
        <v>1111</v>
      </c>
      <c r="C331" s="26">
        <v>45873.0</v>
      </c>
      <c r="D331" s="26">
        <v>45755.0</v>
      </c>
      <c r="E331" s="24" t="s">
        <v>21</v>
      </c>
      <c r="F331" s="24">
        <v>48.0</v>
      </c>
      <c r="G331" s="27">
        <v>118.18</v>
      </c>
      <c r="H331" s="24" t="s">
        <v>177</v>
      </c>
      <c r="I331" s="28" t="s">
        <v>23</v>
      </c>
      <c r="J331" s="28" t="s">
        <v>172</v>
      </c>
      <c r="K331" s="28" t="s">
        <v>84</v>
      </c>
      <c r="L331" s="96" t="s">
        <v>1112</v>
      </c>
      <c r="M331" s="97" t="s">
        <v>1113</v>
      </c>
      <c r="N331" s="25"/>
      <c r="O331" s="28" t="s">
        <v>27</v>
      </c>
      <c r="P331" s="24" t="s">
        <v>177</v>
      </c>
      <c r="Q331" s="14" t="b">
        <f t="shared" si="1"/>
        <v>0</v>
      </c>
      <c r="R331" s="15" t="b">
        <f t="shared" si="2"/>
        <v>0</v>
      </c>
      <c r="S331" s="15" t="str">
        <f t="shared" si="3"/>
        <v>PENDING</v>
      </c>
    </row>
    <row r="332" ht="15.75" customHeight="1">
      <c r="A332" s="24" t="s">
        <v>1114</v>
      </c>
      <c r="B332" s="25" t="s">
        <v>132</v>
      </c>
      <c r="C332" s="26">
        <v>45873.0</v>
      </c>
      <c r="D332" s="26">
        <v>45755.0</v>
      </c>
      <c r="E332" s="24" t="s">
        <v>21</v>
      </c>
      <c r="F332" s="24">
        <v>72.0</v>
      </c>
      <c r="G332" s="27">
        <v>118.18</v>
      </c>
      <c r="H332" s="24" t="s">
        <v>177</v>
      </c>
      <c r="I332" s="28" t="s">
        <v>23</v>
      </c>
      <c r="J332" s="28" t="s">
        <v>172</v>
      </c>
      <c r="K332" s="28" t="s">
        <v>49</v>
      </c>
      <c r="L332" s="96" t="s">
        <v>242</v>
      </c>
      <c r="M332" s="97" t="s">
        <v>1115</v>
      </c>
      <c r="N332" s="25"/>
      <c r="O332" s="28" t="s">
        <v>27</v>
      </c>
      <c r="P332" s="24" t="s">
        <v>177</v>
      </c>
      <c r="Q332" s="14" t="b">
        <f t="shared" si="1"/>
        <v>0</v>
      </c>
      <c r="R332" s="15" t="b">
        <f t="shared" si="2"/>
        <v>0</v>
      </c>
      <c r="S332" s="15" t="str">
        <f t="shared" si="3"/>
        <v>PENDING</v>
      </c>
    </row>
    <row r="333" ht="15.75" customHeight="1">
      <c r="A333" s="7" t="s">
        <v>1116</v>
      </c>
      <c r="B333" s="8" t="s">
        <v>113</v>
      </c>
      <c r="C333" s="9">
        <v>45874.0</v>
      </c>
      <c r="D333" s="9">
        <v>45785.0</v>
      </c>
      <c r="E333" s="7" t="s">
        <v>21</v>
      </c>
      <c r="F333" s="7">
        <v>24.0</v>
      </c>
      <c r="G333" s="10">
        <v>121.0</v>
      </c>
      <c r="H333" s="7" t="s">
        <v>177</v>
      </c>
      <c r="I333" s="11" t="s">
        <v>23</v>
      </c>
      <c r="J333" s="11" t="s">
        <v>172</v>
      </c>
      <c r="K333" s="11" t="s">
        <v>25</v>
      </c>
      <c r="L333" s="16" t="s">
        <v>114</v>
      </c>
      <c r="M333" s="49" t="s">
        <v>1117</v>
      </c>
      <c r="N333" s="13"/>
      <c r="O333" s="11" t="s">
        <v>27</v>
      </c>
      <c r="P333" s="7" t="s">
        <v>177</v>
      </c>
      <c r="Q333" s="14" t="b">
        <f t="shared" si="1"/>
        <v>1</v>
      </c>
      <c r="R333" s="15" t="b">
        <f t="shared" si="2"/>
        <v>0</v>
      </c>
      <c r="S333" s="15" t="str">
        <f t="shared" si="3"/>
        <v>APPROVED</v>
      </c>
    </row>
    <row r="334" ht="15.75" customHeight="1">
      <c r="A334" s="7" t="s">
        <v>1118</v>
      </c>
      <c r="B334" s="13" t="s">
        <v>119</v>
      </c>
      <c r="C334" s="9">
        <v>45875.0</v>
      </c>
      <c r="D334" s="9">
        <v>45816.0</v>
      </c>
      <c r="E334" s="7" t="s">
        <v>21</v>
      </c>
      <c r="F334" s="7">
        <v>72.0</v>
      </c>
      <c r="G334" s="10">
        <v>121.84</v>
      </c>
      <c r="H334" s="7" t="s">
        <v>22</v>
      </c>
      <c r="I334" s="11" t="s">
        <v>23</v>
      </c>
      <c r="J334" s="11" t="s">
        <v>48</v>
      </c>
      <c r="K334" s="11" t="s">
        <v>25</v>
      </c>
      <c r="L334" s="16" t="s">
        <v>120</v>
      </c>
      <c r="M334" s="49" t="s">
        <v>1119</v>
      </c>
      <c r="N334" s="13"/>
      <c r="O334" s="11" t="s">
        <v>27</v>
      </c>
      <c r="P334" s="7" t="s">
        <v>22</v>
      </c>
      <c r="Q334" s="14" t="b">
        <f t="shared" si="1"/>
        <v>1</v>
      </c>
      <c r="R334" s="15" t="b">
        <f t="shared" si="2"/>
        <v>0</v>
      </c>
      <c r="S334" s="15" t="str">
        <f t="shared" si="3"/>
        <v>APPROVED</v>
      </c>
    </row>
    <row r="335" ht="15.75" customHeight="1">
      <c r="A335" s="95" t="s">
        <v>1120</v>
      </c>
      <c r="B335" s="98" t="s">
        <v>1121</v>
      </c>
      <c r="C335" s="129">
        <v>45875.0</v>
      </c>
      <c r="D335" s="129">
        <v>45816.0</v>
      </c>
      <c r="E335" s="95" t="s">
        <v>21</v>
      </c>
      <c r="F335" s="95">
        <v>72.0</v>
      </c>
      <c r="G335" s="130">
        <v>118.18</v>
      </c>
      <c r="H335" s="95" t="s">
        <v>744</v>
      </c>
      <c r="I335" s="131" t="s">
        <v>23</v>
      </c>
      <c r="J335" s="131" t="s">
        <v>48</v>
      </c>
      <c r="K335" s="131" t="s">
        <v>482</v>
      </c>
      <c r="L335" s="96" t="s">
        <v>1122</v>
      </c>
      <c r="M335" s="97" t="s">
        <v>1123</v>
      </c>
      <c r="N335" s="98"/>
      <c r="O335" s="131" t="s">
        <v>27</v>
      </c>
      <c r="P335" s="95" t="s">
        <v>744</v>
      </c>
      <c r="Q335" s="14" t="b">
        <f t="shared" si="1"/>
        <v>0</v>
      </c>
      <c r="R335" s="15" t="b">
        <f t="shared" si="2"/>
        <v>0</v>
      </c>
      <c r="S335" s="15" t="str">
        <f t="shared" si="3"/>
        <v>PENDING</v>
      </c>
    </row>
    <row r="336" ht="15.75" customHeight="1">
      <c r="A336" s="7" t="s">
        <v>1124</v>
      </c>
      <c r="B336" s="8" t="s">
        <v>714</v>
      </c>
      <c r="C336" s="9">
        <v>45869.0</v>
      </c>
      <c r="D336" s="9">
        <v>45869.0</v>
      </c>
      <c r="E336" s="7" t="s">
        <v>21</v>
      </c>
      <c r="F336" s="7">
        <v>12.0</v>
      </c>
      <c r="G336" s="10"/>
      <c r="H336" s="7" t="s">
        <v>715</v>
      </c>
      <c r="I336" s="11" t="s">
        <v>23</v>
      </c>
      <c r="J336" s="11" t="s">
        <v>30</v>
      </c>
      <c r="K336" s="7" t="s">
        <v>31</v>
      </c>
      <c r="L336" s="16" t="s">
        <v>1125</v>
      </c>
      <c r="M336" s="49"/>
      <c r="N336" s="8" t="s">
        <v>914</v>
      </c>
      <c r="O336" s="11" t="s">
        <v>27</v>
      </c>
      <c r="P336" s="7" t="s">
        <v>715</v>
      </c>
      <c r="Q336" s="14" t="b">
        <f t="shared" si="1"/>
        <v>0</v>
      </c>
      <c r="R336" s="15" t="b">
        <f t="shared" si="2"/>
        <v>0</v>
      </c>
      <c r="S336" s="15" t="str">
        <f t="shared" si="3"/>
        <v>PENDING</v>
      </c>
    </row>
    <row r="337" ht="15.75" customHeight="1">
      <c r="A337" s="7" t="s">
        <v>1126</v>
      </c>
      <c r="B337" s="8" t="s">
        <v>999</v>
      </c>
      <c r="C337" s="9">
        <v>45869.0</v>
      </c>
      <c r="D337" s="9">
        <v>45869.0</v>
      </c>
      <c r="E337" s="7" t="s">
        <v>21</v>
      </c>
      <c r="F337" s="7">
        <v>2.0</v>
      </c>
      <c r="G337" s="40">
        <v>118.18</v>
      </c>
      <c r="H337" s="7" t="s">
        <v>715</v>
      </c>
      <c r="I337" s="11" t="s">
        <v>23</v>
      </c>
      <c r="J337" s="11" t="s">
        <v>30</v>
      </c>
      <c r="K337" s="11" t="s">
        <v>25</v>
      </c>
      <c r="L337" s="16"/>
      <c r="M337" s="12"/>
      <c r="N337" s="13"/>
      <c r="O337" s="11" t="s">
        <v>27</v>
      </c>
      <c r="P337" s="7" t="s">
        <v>715</v>
      </c>
      <c r="Q337" s="14" t="b">
        <f t="shared" si="1"/>
        <v>1</v>
      </c>
      <c r="R337" s="15" t="b">
        <f t="shared" si="2"/>
        <v>0</v>
      </c>
      <c r="S337" s="15" t="str">
        <f t="shared" si="3"/>
        <v>APPROVED</v>
      </c>
    </row>
    <row r="338" ht="15.75" customHeight="1">
      <c r="A338" s="7" t="s">
        <v>1127</v>
      </c>
      <c r="B338" s="13" t="s">
        <v>930</v>
      </c>
      <c r="C338" s="9">
        <v>45875.0</v>
      </c>
      <c r="D338" s="9">
        <v>45816.0</v>
      </c>
      <c r="E338" s="7" t="s">
        <v>21</v>
      </c>
      <c r="F338" s="7">
        <v>24.0</v>
      </c>
      <c r="G338" s="16"/>
      <c r="H338" s="7" t="s">
        <v>177</v>
      </c>
      <c r="I338" s="11" t="s">
        <v>23</v>
      </c>
      <c r="J338" s="11" t="s">
        <v>172</v>
      </c>
      <c r="K338" s="11" t="s">
        <v>25</v>
      </c>
      <c r="L338" s="16"/>
      <c r="M338" s="12" t="s">
        <v>1128</v>
      </c>
      <c r="N338" s="13"/>
      <c r="O338" s="11" t="s">
        <v>27</v>
      </c>
      <c r="P338" s="7" t="s">
        <v>177</v>
      </c>
      <c r="Q338" s="14" t="b">
        <f t="shared" si="1"/>
        <v>1</v>
      </c>
      <c r="R338" s="15" t="b">
        <f t="shared" si="2"/>
        <v>0</v>
      </c>
      <c r="S338" s="15" t="str">
        <f t="shared" si="3"/>
        <v>APPROVED</v>
      </c>
    </row>
    <row r="339" ht="15.75" customHeight="1">
      <c r="A339" s="24" t="s">
        <v>1129</v>
      </c>
      <c r="B339" s="25" t="s">
        <v>1130</v>
      </c>
      <c r="C339" s="26">
        <v>45875.0</v>
      </c>
      <c r="D339" s="26">
        <v>45816.0</v>
      </c>
      <c r="E339" s="24" t="s">
        <v>21</v>
      </c>
      <c r="F339" s="24">
        <v>24.0</v>
      </c>
      <c r="G339" s="27">
        <v>118.18</v>
      </c>
      <c r="H339" s="24" t="s">
        <v>177</v>
      </c>
      <c r="I339" s="28" t="s">
        <v>23</v>
      </c>
      <c r="J339" s="28" t="s">
        <v>172</v>
      </c>
      <c r="K339" s="28" t="s">
        <v>84</v>
      </c>
      <c r="M339" s="29" t="s">
        <v>1131</v>
      </c>
      <c r="N339" s="132"/>
      <c r="O339" s="28" t="s">
        <v>27</v>
      </c>
      <c r="P339" s="24" t="s">
        <v>177</v>
      </c>
      <c r="Q339" s="14" t="b">
        <f t="shared" si="1"/>
        <v>0</v>
      </c>
      <c r="R339" s="15" t="b">
        <f t="shared" si="2"/>
        <v>0</v>
      </c>
      <c r="S339" s="15" t="str">
        <f t="shared" si="3"/>
        <v>PENDING</v>
      </c>
    </row>
    <row r="340" ht="15.75" customHeight="1">
      <c r="A340" s="7" t="s">
        <v>1132</v>
      </c>
      <c r="B340" s="13" t="s">
        <v>640</v>
      </c>
      <c r="C340" s="9">
        <v>45875.0</v>
      </c>
      <c r="D340" s="9">
        <v>45816.0</v>
      </c>
      <c r="E340" s="7" t="s">
        <v>21</v>
      </c>
      <c r="F340" s="7">
        <v>24.0</v>
      </c>
      <c r="G340" s="10">
        <v>119.0</v>
      </c>
      <c r="H340" s="7" t="s">
        <v>177</v>
      </c>
      <c r="I340" s="11" t="s">
        <v>23</v>
      </c>
      <c r="J340" s="11" t="s">
        <v>172</v>
      </c>
      <c r="K340" s="11" t="s">
        <v>25</v>
      </c>
      <c r="L340" s="16"/>
      <c r="M340" s="12" t="s">
        <v>1133</v>
      </c>
      <c r="N340" s="13"/>
      <c r="O340" s="11" t="s">
        <v>27</v>
      </c>
      <c r="P340" s="7" t="s">
        <v>177</v>
      </c>
      <c r="Q340" s="14" t="b">
        <f t="shared" si="1"/>
        <v>1</v>
      </c>
      <c r="R340" s="15" t="b">
        <f t="shared" si="2"/>
        <v>0</v>
      </c>
      <c r="S340" s="15" t="str">
        <f t="shared" si="3"/>
        <v>APPROVED</v>
      </c>
    </row>
    <row r="341" ht="15.75" customHeight="1">
      <c r="A341" s="24" t="s">
        <v>1134</v>
      </c>
      <c r="B341" s="25" t="s">
        <v>1135</v>
      </c>
      <c r="C341" s="26">
        <v>45875.0</v>
      </c>
      <c r="D341" s="26">
        <v>45816.0</v>
      </c>
      <c r="E341" s="24" t="s">
        <v>21</v>
      </c>
      <c r="F341" s="24">
        <v>120.0</v>
      </c>
      <c r="G341" s="27">
        <v>118.18</v>
      </c>
      <c r="H341" s="24" t="s">
        <v>177</v>
      </c>
      <c r="I341" s="28" t="s">
        <v>23</v>
      </c>
      <c r="J341" s="28" t="s">
        <v>172</v>
      </c>
      <c r="K341" s="28" t="s">
        <v>84</v>
      </c>
      <c r="M341" s="29" t="s">
        <v>1136</v>
      </c>
      <c r="N341" s="132"/>
      <c r="O341" s="28" t="s">
        <v>27</v>
      </c>
      <c r="P341" s="24" t="s">
        <v>177</v>
      </c>
      <c r="Q341" s="14" t="b">
        <f t="shared" si="1"/>
        <v>0</v>
      </c>
      <c r="R341" s="15" t="b">
        <f t="shared" si="2"/>
        <v>0</v>
      </c>
      <c r="S341" s="15" t="str">
        <f t="shared" si="3"/>
        <v>PENDING</v>
      </c>
    </row>
    <row r="342" ht="15.75" customHeight="1">
      <c r="A342" s="24" t="s">
        <v>1137</v>
      </c>
      <c r="B342" s="25" t="s">
        <v>1138</v>
      </c>
      <c r="C342" s="26">
        <v>45875.0</v>
      </c>
      <c r="D342" s="26">
        <v>45877.0</v>
      </c>
      <c r="E342" s="24" t="s">
        <v>21</v>
      </c>
      <c r="F342" s="24">
        <v>240.0</v>
      </c>
      <c r="G342" s="27">
        <v>108.0</v>
      </c>
      <c r="H342" s="24" t="s">
        <v>177</v>
      </c>
      <c r="I342" s="28" t="s">
        <v>23</v>
      </c>
      <c r="J342" s="28" t="s">
        <v>35</v>
      </c>
      <c r="K342" s="28" t="s">
        <v>84</v>
      </c>
      <c r="M342" s="29" t="s">
        <v>1139</v>
      </c>
      <c r="N342" s="132"/>
      <c r="O342" s="28" t="s">
        <v>27</v>
      </c>
      <c r="P342" s="24" t="s">
        <v>177</v>
      </c>
      <c r="Q342" s="14" t="b">
        <f t="shared" si="1"/>
        <v>0</v>
      </c>
      <c r="R342" s="15" t="b">
        <f t="shared" si="2"/>
        <v>0</v>
      </c>
      <c r="S342" s="15" t="str">
        <f t="shared" si="3"/>
        <v>PENDING</v>
      </c>
    </row>
    <row r="343" ht="15.75" customHeight="1">
      <c r="A343" s="39" t="s">
        <v>1140</v>
      </c>
      <c r="B343" s="37" t="s">
        <v>1099</v>
      </c>
      <c r="C343" s="38">
        <v>45875.0</v>
      </c>
      <c r="D343" s="9">
        <v>45877.0</v>
      </c>
      <c r="E343" s="39" t="s">
        <v>21</v>
      </c>
      <c r="F343" s="39">
        <v>120.0</v>
      </c>
      <c r="G343" s="40">
        <v>130.0</v>
      </c>
      <c r="H343" s="39" t="s">
        <v>715</v>
      </c>
      <c r="I343" s="41" t="s">
        <v>23</v>
      </c>
      <c r="J343" s="41" t="s">
        <v>30</v>
      </c>
      <c r="K343" s="41" t="s">
        <v>25</v>
      </c>
      <c r="L343" s="76"/>
      <c r="M343" s="12"/>
      <c r="N343" s="13"/>
      <c r="O343" s="41" t="s">
        <v>27</v>
      </c>
      <c r="P343" s="39" t="s">
        <v>715</v>
      </c>
      <c r="Q343" s="14" t="b">
        <f t="shared" si="1"/>
        <v>1</v>
      </c>
      <c r="R343" s="15" t="b">
        <f t="shared" si="2"/>
        <v>0</v>
      </c>
      <c r="S343" s="15" t="str">
        <f t="shared" si="3"/>
        <v>APPROVED</v>
      </c>
    </row>
    <row r="344" ht="15.75" customHeight="1">
      <c r="A344" s="24" t="s">
        <v>1141</v>
      </c>
      <c r="B344" s="25" t="s">
        <v>1142</v>
      </c>
      <c r="C344" s="26">
        <v>45877.0</v>
      </c>
      <c r="D344" s="26"/>
      <c r="E344" s="24" t="s">
        <v>21</v>
      </c>
      <c r="F344" s="24">
        <v>48.0</v>
      </c>
      <c r="G344" s="27">
        <v>122.0</v>
      </c>
      <c r="H344" s="24" t="s">
        <v>744</v>
      </c>
      <c r="I344" s="28" t="s">
        <v>23</v>
      </c>
      <c r="J344" s="28" t="s">
        <v>172</v>
      </c>
      <c r="K344" s="28" t="s">
        <v>25</v>
      </c>
      <c r="M344" s="29" t="s">
        <v>1143</v>
      </c>
      <c r="N344" s="57" t="s">
        <v>1144</v>
      </c>
      <c r="O344" s="28" t="s">
        <v>27</v>
      </c>
      <c r="P344" s="24" t="s">
        <v>744</v>
      </c>
      <c r="Q344" s="14" t="b">
        <f t="shared" si="1"/>
        <v>1</v>
      </c>
      <c r="R344" s="15" t="b">
        <f t="shared" si="2"/>
        <v>0</v>
      </c>
      <c r="S344" s="15" t="str">
        <f t="shared" si="3"/>
        <v>APPROVED</v>
      </c>
    </row>
    <row r="345" ht="15.75" customHeight="1">
      <c r="A345" s="7" t="s">
        <v>1145</v>
      </c>
      <c r="B345" s="13" t="s">
        <v>194</v>
      </c>
      <c r="C345" s="9">
        <v>45877.0</v>
      </c>
      <c r="D345" s="9">
        <v>45877.0</v>
      </c>
      <c r="E345" s="7" t="s">
        <v>21</v>
      </c>
      <c r="F345" s="7">
        <v>24.0</v>
      </c>
      <c r="G345" s="10">
        <v>119.0</v>
      </c>
      <c r="H345" s="7" t="s">
        <v>177</v>
      </c>
      <c r="I345" s="11" t="s">
        <v>23</v>
      </c>
      <c r="J345" s="11" t="s">
        <v>172</v>
      </c>
      <c r="K345" s="11" t="s">
        <v>25</v>
      </c>
      <c r="L345" s="16"/>
      <c r="M345" s="12" t="s">
        <v>781</v>
      </c>
      <c r="N345" s="13"/>
      <c r="O345" s="11" t="s">
        <v>27</v>
      </c>
      <c r="P345" s="7" t="s">
        <v>177</v>
      </c>
      <c r="Q345" s="14" t="b">
        <f t="shared" si="1"/>
        <v>1</v>
      </c>
      <c r="R345" s="15" t="b">
        <f t="shared" si="2"/>
        <v>0</v>
      </c>
      <c r="S345" s="15" t="str">
        <f t="shared" si="3"/>
        <v>APPROVED</v>
      </c>
    </row>
    <row r="346" ht="15.75" customHeight="1">
      <c r="A346" s="24" t="s">
        <v>1146</v>
      </c>
      <c r="B346" s="25" t="s">
        <v>515</v>
      </c>
      <c r="C346" s="26">
        <v>45878.0</v>
      </c>
      <c r="D346" s="26">
        <v>45908.0</v>
      </c>
      <c r="E346" s="24" t="s">
        <v>21</v>
      </c>
      <c r="F346" s="24">
        <v>24.0</v>
      </c>
      <c r="G346" s="27">
        <v>118.18</v>
      </c>
      <c r="H346" s="24" t="s">
        <v>177</v>
      </c>
      <c r="I346" s="28" t="s">
        <v>23</v>
      </c>
      <c r="J346" s="28" t="s">
        <v>172</v>
      </c>
      <c r="K346" s="28" t="s">
        <v>482</v>
      </c>
      <c r="M346" s="29"/>
      <c r="N346" s="132"/>
      <c r="O346" s="28" t="s">
        <v>27</v>
      </c>
      <c r="P346" s="24" t="s">
        <v>177</v>
      </c>
      <c r="Q346" s="14" t="b">
        <f t="shared" si="1"/>
        <v>0</v>
      </c>
      <c r="R346" s="15" t="b">
        <f t="shared" si="2"/>
        <v>0</v>
      </c>
      <c r="S346" s="15" t="str">
        <f t="shared" si="3"/>
        <v>PENDING</v>
      </c>
    </row>
    <row r="347" ht="15.75" customHeight="1">
      <c r="A347" s="24" t="s">
        <v>1147</v>
      </c>
      <c r="B347" s="25" t="s">
        <v>519</v>
      </c>
      <c r="C347" s="26">
        <v>45878.0</v>
      </c>
      <c r="D347" s="26">
        <v>45908.0</v>
      </c>
      <c r="E347" s="24" t="s">
        <v>21</v>
      </c>
      <c r="F347" s="24">
        <v>24.0</v>
      </c>
      <c r="G347" s="27">
        <v>118.18</v>
      </c>
      <c r="H347" s="24" t="s">
        <v>177</v>
      </c>
      <c r="I347" s="28" t="s">
        <v>23</v>
      </c>
      <c r="J347" s="28" t="s">
        <v>172</v>
      </c>
      <c r="K347" s="28" t="s">
        <v>84</v>
      </c>
      <c r="M347" s="29" t="s">
        <v>1148</v>
      </c>
      <c r="N347" s="132"/>
      <c r="O347" s="28" t="s">
        <v>27</v>
      </c>
      <c r="P347" s="24" t="s">
        <v>177</v>
      </c>
      <c r="Q347" s="14" t="b">
        <f t="shared" si="1"/>
        <v>0</v>
      </c>
      <c r="R347" s="15" t="b">
        <f t="shared" si="2"/>
        <v>0</v>
      </c>
      <c r="S347" s="15" t="str">
        <f t="shared" si="3"/>
        <v>PENDING</v>
      </c>
    </row>
    <row r="348" ht="15.75" customHeight="1">
      <c r="A348" s="7" t="s">
        <v>1149</v>
      </c>
      <c r="B348" s="8" t="s">
        <v>276</v>
      </c>
      <c r="C348" s="9">
        <v>45878.0</v>
      </c>
      <c r="D348" s="9">
        <v>45908.0</v>
      </c>
      <c r="E348" s="7" t="s">
        <v>21</v>
      </c>
      <c r="F348" s="7">
        <v>48.0</v>
      </c>
      <c r="G348" s="10">
        <v>118.18</v>
      </c>
      <c r="H348" s="7" t="s">
        <v>177</v>
      </c>
      <c r="I348" s="11" t="s">
        <v>23</v>
      </c>
      <c r="J348" s="11" t="s">
        <v>172</v>
      </c>
      <c r="K348" s="11" t="s">
        <v>25</v>
      </c>
      <c r="L348" s="16"/>
      <c r="M348" s="12" t="s">
        <v>1150</v>
      </c>
      <c r="N348" s="13"/>
      <c r="O348" s="11" t="s">
        <v>27</v>
      </c>
      <c r="P348" s="7" t="s">
        <v>177</v>
      </c>
      <c r="Q348" s="14" t="b">
        <f t="shared" si="1"/>
        <v>1</v>
      </c>
      <c r="R348" s="15" t="b">
        <f t="shared" si="2"/>
        <v>0</v>
      </c>
      <c r="S348" s="15" t="str">
        <f t="shared" si="3"/>
        <v>APPROVED</v>
      </c>
    </row>
    <row r="349" ht="15.75" customHeight="1">
      <c r="A349" s="7" t="s">
        <v>1151</v>
      </c>
      <c r="B349" s="48" t="s">
        <v>680</v>
      </c>
      <c r="C349" s="9">
        <v>45856.0</v>
      </c>
      <c r="D349" s="72">
        <v>45856.0</v>
      </c>
      <c r="E349" s="7" t="s">
        <v>21</v>
      </c>
      <c r="F349" s="7">
        <v>72.0</v>
      </c>
      <c r="G349" s="10">
        <v>135.0</v>
      </c>
      <c r="H349" s="7" t="s">
        <v>171</v>
      </c>
      <c r="I349" s="11" t="s">
        <v>23</v>
      </c>
      <c r="J349" s="11" t="s">
        <v>172</v>
      </c>
      <c r="K349" s="11" t="s">
        <v>25</v>
      </c>
      <c r="L349" s="16"/>
      <c r="M349" s="12" t="s">
        <v>1152</v>
      </c>
      <c r="N349" s="13"/>
      <c r="O349" s="11" t="s">
        <v>27</v>
      </c>
      <c r="P349" s="7" t="s">
        <v>171</v>
      </c>
      <c r="Q349" s="14" t="b">
        <f t="shared" si="1"/>
        <v>1</v>
      </c>
      <c r="R349" s="15" t="b">
        <f t="shared" si="2"/>
        <v>0</v>
      </c>
      <c r="S349" s="15" t="str">
        <f t="shared" si="3"/>
        <v>APPROVED</v>
      </c>
    </row>
    <row r="350" ht="15.75" customHeight="1">
      <c r="A350" s="7" t="s">
        <v>1153</v>
      </c>
      <c r="B350" s="13" t="s">
        <v>1154</v>
      </c>
      <c r="C350" s="9">
        <v>45839.0</v>
      </c>
      <c r="D350" s="9">
        <v>45664.0</v>
      </c>
      <c r="E350" s="7" t="s">
        <v>21</v>
      </c>
      <c r="F350" s="7">
        <v>24.0</v>
      </c>
      <c r="G350" s="10">
        <v>128.25</v>
      </c>
      <c r="H350" s="7" t="s">
        <v>171</v>
      </c>
      <c r="I350" s="11" t="s">
        <v>23</v>
      </c>
      <c r="J350" s="11" t="s">
        <v>172</v>
      </c>
      <c r="K350" s="11" t="s">
        <v>25</v>
      </c>
      <c r="L350" s="16"/>
      <c r="M350" s="12" t="s">
        <v>1155</v>
      </c>
      <c r="N350" s="13"/>
      <c r="O350" s="11" t="s">
        <v>27</v>
      </c>
      <c r="P350" s="7" t="s">
        <v>171</v>
      </c>
      <c r="Q350" s="14" t="b">
        <f t="shared" si="1"/>
        <v>1</v>
      </c>
      <c r="R350" s="15" t="b">
        <f t="shared" si="2"/>
        <v>0</v>
      </c>
      <c r="S350" s="15" t="str">
        <f t="shared" si="3"/>
        <v>APPROVED</v>
      </c>
    </row>
    <row r="351" ht="15.75" customHeight="1">
      <c r="A351" s="24" t="s">
        <v>1156</v>
      </c>
      <c r="B351" s="25" t="s">
        <v>1157</v>
      </c>
      <c r="C351" s="26">
        <v>45839.0</v>
      </c>
      <c r="D351" s="26">
        <v>45664.0</v>
      </c>
      <c r="E351" s="24" t="s">
        <v>21</v>
      </c>
      <c r="F351" s="24">
        <v>24.0</v>
      </c>
      <c r="G351" s="27">
        <v>128.25</v>
      </c>
      <c r="H351" s="24" t="s">
        <v>171</v>
      </c>
      <c r="I351" s="28" t="s">
        <v>23</v>
      </c>
      <c r="J351" s="28" t="s">
        <v>172</v>
      </c>
      <c r="K351" s="28" t="s">
        <v>84</v>
      </c>
      <c r="M351" s="29" t="s">
        <v>1158</v>
      </c>
      <c r="N351" s="132"/>
      <c r="O351" s="28" t="s">
        <v>27</v>
      </c>
      <c r="P351" s="24" t="s">
        <v>171</v>
      </c>
      <c r="Q351" s="14" t="b">
        <f t="shared" si="1"/>
        <v>0</v>
      </c>
      <c r="R351" s="15" t="b">
        <f t="shared" si="2"/>
        <v>0</v>
      </c>
      <c r="S351" s="15" t="str">
        <f t="shared" si="3"/>
        <v>PENDING</v>
      </c>
    </row>
    <row r="352" ht="15.75" customHeight="1">
      <c r="A352" s="24" t="s">
        <v>1159</v>
      </c>
      <c r="B352" s="25" t="s">
        <v>455</v>
      </c>
      <c r="C352" s="26">
        <v>45880.0</v>
      </c>
      <c r="D352" s="26">
        <v>45969.0</v>
      </c>
      <c r="E352" s="24" t="s">
        <v>21</v>
      </c>
      <c r="F352" s="24">
        <v>240.0</v>
      </c>
      <c r="G352" s="27"/>
      <c r="H352" s="24" t="s">
        <v>171</v>
      </c>
      <c r="I352" s="28" t="s">
        <v>23</v>
      </c>
      <c r="J352" s="24"/>
      <c r="K352" s="28" t="s">
        <v>31</v>
      </c>
      <c r="M352" s="29"/>
      <c r="N352" s="25"/>
      <c r="O352" s="68" t="s">
        <v>417</v>
      </c>
      <c r="P352" s="24" t="s">
        <v>171</v>
      </c>
      <c r="Q352" s="14" t="b">
        <f t="shared" si="1"/>
        <v>0</v>
      </c>
      <c r="R352" s="15" t="b">
        <f t="shared" si="2"/>
        <v>0</v>
      </c>
      <c r="S352" s="15" t="str">
        <f t="shared" si="3"/>
        <v>PENDING</v>
      </c>
    </row>
    <row r="353" ht="15.75" customHeight="1">
      <c r="A353" s="24" t="s">
        <v>1160</v>
      </c>
      <c r="B353" s="25" t="s">
        <v>1161</v>
      </c>
      <c r="C353" s="26">
        <v>45848.0</v>
      </c>
      <c r="D353" s="26">
        <v>45937.0</v>
      </c>
      <c r="E353" s="24" t="s">
        <v>21</v>
      </c>
      <c r="F353" s="24">
        <v>24.0</v>
      </c>
      <c r="G353" s="27">
        <v>119.0</v>
      </c>
      <c r="H353" s="24" t="s">
        <v>715</v>
      </c>
      <c r="I353" s="28" t="s">
        <v>23</v>
      </c>
      <c r="J353" s="28" t="s">
        <v>172</v>
      </c>
      <c r="K353" s="28" t="s">
        <v>49</v>
      </c>
      <c r="M353" s="29"/>
      <c r="N353" s="25"/>
      <c r="O353" s="28" t="s">
        <v>27</v>
      </c>
      <c r="P353" s="24" t="s">
        <v>715</v>
      </c>
      <c r="Q353" s="14" t="b">
        <f t="shared" si="1"/>
        <v>0</v>
      </c>
      <c r="R353" s="15" t="b">
        <f t="shared" si="2"/>
        <v>0</v>
      </c>
      <c r="S353" s="15" t="str">
        <f t="shared" si="3"/>
        <v>PENDING</v>
      </c>
    </row>
    <row r="354" ht="15.75" customHeight="1">
      <c r="A354" s="24" t="s">
        <v>1162</v>
      </c>
      <c r="B354" s="115" t="s">
        <v>117</v>
      </c>
      <c r="C354" s="26">
        <v>45881.0</v>
      </c>
      <c r="D354" s="26">
        <v>45999.0</v>
      </c>
      <c r="E354" s="24" t="s">
        <v>21</v>
      </c>
      <c r="F354" s="24">
        <v>24.0</v>
      </c>
      <c r="G354" s="27"/>
      <c r="H354" s="24" t="s">
        <v>22</v>
      </c>
      <c r="I354" s="28" t="s">
        <v>23</v>
      </c>
      <c r="J354" s="28" t="s">
        <v>30</v>
      </c>
      <c r="K354" s="24" t="s">
        <v>31</v>
      </c>
      <c r="M354" s="29"/>
      <c r="N354" s="115" t="s">
        <v>716</v>
      </c>
      <c r="O354" s="68" t="s">
        <v>417</v>
      </c>
      <c r="P354" s="24" t="s">
        <v>22</v>
      </c>
      <c r="Q354" s="14" t="b">
        <f t="shared" si="1"/>
        <v>0</v>
      </c>
      <c r="R354" s="15" t="b">
        <f t="shared" si="2"/>
        <v>0</v>
      </c>
      <c r="S354" s="15" t="str">
        <f t="shared" si="3"/>
        <v>PENDING</v>
      </c>
    </row>
    <row r="355" ht="15.75" customHeight="1">
      <c r="A355" s="7" t="s">
        <v>1163</v>
      </c>
      <c r="B355" s="13" t="s">
        <v>1164</v>
      </c>
      <c r="C355" s="9">
        <v>45880.0</v>
      </c>
      <c r="D355" s="9">
        <v>45882.0</v>
      </c>
      <c r="E355" s="7" t="s">
        <v>21</v>
      </c>
      <c r="F355" s="7">
        <v>72.0</v>
      </c>
      <c r="G355" s="10">
        <v>135.0</v>
      </c>
      <c r="H355" s="7" t="s">
        <v>22</v>
      </c>
      <c r="I355" s="11" t="s">
        <v>23</v>
      </c>
      <c r="J355" s="11" t="s">
        <v>30</v>
      </c>
      <c r="K355" s="11" t="s">
        <v>25</v>
      </c>
      <c r="L355" s="16"/>
      <c r="M355" s="12"/>
      <c r="N355" s="13"/>
      <c r="O355" s="11" t="s">
        <v>27</v>
      </c>
      <c r="P355" s="7" t="s">
        <v>22</v>
      </c>
      <c r="Q355" s="14" t="b">
        <f t="shared" si="1"/>
        <v>1</v>
      </c>
      <c r="R355" s="15" t="b">
        <f t="shared" si="2"/>
        <v>0</v>
      </c>
      <c r="S355" s="15" t="str">
        <f t="shared" si="3"/>
        <v>APPROVED</v>
      </c>
    </row>
    <row r="356" ht="15.75" customHeight="1">
      <c r="A356" s="24" t="s">
        <v>1165</v>
      </c>
      <c r="B356" s="25" t="s">
        <v>743</v>
      </c>
      <c r="C356" s="26">
        <v>45880.0</v>
      </c>
      <c r="D356" s="26"/>
      <c r="E356" s="24" t="s">
        <v>21</v>
      </c>
      <c r="F356" s="24">
        <v>48.0</v>
      </c>
      <c r="G356" s="27">
        <v>122.0</v>
      </c>
      <c r="H356" s="24" t="s">
        <v>744</v>
      </c>
      <c r="I356" s="28" t="s">
        <v>23</v>
      </c>
      <c r="J356" s="28" t="s">
        <v>172</v>
      </c>
      <c r="K356" s="28" t="s">
        <v>84</v>
      </c>
      <c r="M356" s="133" t="s">
        <v>1166</v>
      </c>
      <c r="N356" s="25"/>
      <c r="O356" s="28" t="s">
        <v>27</v>
      </c>
      <c r="P356" s="24" t="s">
        <v>744</v>
      </c>
      <c r="Q356" s="14" t="b">
        <f t="shared" si="1"/>
        <v>0</v>
      </c>
      <c r="R356" s="15" t="b">
        <f t="shared" si="2"/>
        <v>0</v>
      </c>
      <c r="S356" s="15" t="str">
        <f t="shared" si="3"/>
        <v>PENDING</v>
      </c>
    </row>
    <row r="357" ht="15.75" customHeight="1">
      <c r="A357" s="7" t="s">
        <v>1167</v>
      </c>
      <c r="B357" s="13" t="s">
        <v>737</v>
      </c>
      <c r="C357" s="9">
        <v>45881.0</v>
      </c>
      <c r="D357" s="9">
        <v>45999.0</v>
      </c>
      <c r="E357" s="7" t="s">
        <v>21</v>
      </c>
      <c r="F357" s="7">
        <v>48.0</v>
      </c>
      <c r="G357" s="10">
        <v>118.18</v>
      </c>
      <c r="H357" s="7" t="s">
        <v>177</v>
      </c>
      <c r="I357" s="11" t="s">
        <v>23</v>
      </c>
      <c r="J357" s="11" t="s">
        <v>172</v>
      </c>
      <c r="K357" s="11" t="s">
        <v>25</v>
      </c>
      <c r="L357" s="16"/>
      <c r="M357" s="12" t="s">
        <v>1005</v>
      </c>
      <c r="N357" s="13"/>
      <c r="O357" s="11" t="s">
        <v>27</v>
      </c>
      <c r="P357" s="7" t="s">
        <v>177</v>
      </c>
      <c r="Q357" s="14" t="b">
        <f t="shared" si="1"/>
        <v>1</v>
      </c>
      <c r="R357" s="15" t="b">
        <f t="shared" si="2"/>
        <v>0</v>
      </c>
      <c r="S357" s="15" t="str">
        <f t="shared" si="3"/>
        <v>APPROVED</v>
      </c>
    </row>
    <row r="358" ht="15.75" customHeight="1">
      <c r="A358" s="7" t="s">
        <v>1168</v>
      </c>
      <c r="B358" s="13" t="s">
        <v>1007</v>
      </c>
      <c r="C358" s="9">
        <v>45881.0</v>
      </c>
      <c r="D358" s="9">
        <v>45999.0</v>
      </c>
      <c r="E358" s="7" t="s">
        <v>21</v>
      </c>
      <c r="F358" s="7">
        <v>24.0</v>
      </c>
      <c r="G358" s="10">
        <v>100.0</v>
      </c>
      <c r="H358" s="7" t="s">
        <v>177</v>
      </c>
      <c r="I358" s="11" t="s">
        <v>23</v>
      </c>
      <c r="J358" s="11" t="s">
        <v>30</v>
      </c>
      <c r="K358" s="11" t="s">
        <v>25</v>
      </c>
      <c r="L358" s="16"/>
      <c r="M358" s="12" t="s">
        <v>274</v>
      </c>
      <c r="N358" s="13"/>
      <c r="O358" s="11" t="s">
        <v>27</v>
      </c>
      <c r="P358" s="7" t="s">
        <v>177</v>
      </c>
      <c r="Q358" s="14" t="b">
        <f t="shared" si="1"/>
        <v>1</v>
      </c>
      <c r="R358" s="15" t="b">
        <f t="shared" si="2"/>
        <v>0</v>
      </c>
      <c r="S358" s="15" t="str">
        <f t="shared" si="3"/>
        <v>APPROVED</v>
      </c>
    </row>
    <row r="359" ht="15.75" customHeight="1">
      <c r="A359" s="7" t="s">
        <v>1169</v>
      </c>
      <c r="B359" s="8" t="s">
        <v>1079</v>
      </c>
      <c r="C359" s="9">
        <v>45881.0</v>
      </c>
      <c r="D359" s="9">
        <v>45999.0</v>
      </c>
      <c r="E359" s="7" t="s">
        <v>21</v>
      </c>
      <c r="F359" s="7">
        <v>48.0</v>
      </c>
      <c r="G359" s="10">
        <v>127.6</v>
      </c>
      <c r="H359" s="7" t="s">
        <v>715</v>
      </c>
      <c r="I359" s="11" t="s">
        <v>23</v>
      </c>
      <c r="J359" s="11" t="s">
        <v>35</v>
      </c>
      <c r="K359" s="11" t="s">
        <v>25</v>
      </c>
      <c r="L359" s="16"/>
      <c r="M359" s="12" t="s">
        <v>1081</v>
      </c>
      <c r="N359" s="13"/>
      <c r="O359" s="11" t="s">
        <v>27</v>
      </c>
      <c r="P359" s="7" t="s">
        <v>715</v>
      </c>
      <c r="Q359" s="14" t="b">
        <f t="shared" si="1"/>
        <v>1</v>
      </c>
      <c r="R359" s="15" t="b">
        <f t="shared" si="2"/>
        <v>0</v>
      </c>
      <c r="S359" s="15" t="str">
        <f t="shared" si="3"/>
        <v>APPROVED</v>
      </c>
    </row>
    <row r="360" ht="15.75" customHeight="1">
      <c r="A360" s="24" t="s">
        <v>1170</v>
      </c>
      <c r="B360" s="25" t="s">
        <v>504</v>
      </c>
      <c r="C360" s="26">
        <v>45881.0</v>
      </c>
      <c r="D360" s="26">
        <v>45882.0</v>
      </c>
      <c r="E360" s="24" t="s">
        <v>21</v>
      </c>
      <c r="F360" s="24">
        <v>120.0</v>
      </c>
      <c r="G360" s="27">
        <v>121.84</v>
      </c>
      <c r="H360" s="24" t="s">
        <v>171</v>
      </c>
      <c r="I360" s="28" t="s">
        <v>23</v>
      </c>
      <c r="J360" s="28" t="s">
        <v>172</v>
      </c>
      <c r="K360" s="28" t="s">
        <v>49</v>
      </c>
      <c r="M360" s="29"/>
      <c r="N360" s="25"/>
      <c r="O360" s="28" t="s">
        <v>27</v>
      </c>
      <c r="P360" s="24" t="s">
        <v>171</v>
      </c>
      <c r="Q360" s="14" t="b">
        <f t="shared" si="1"/>
        <v>0</v>
      </c>
      <c r="R360" s="15" t="b">
        <f t="shared" si="2"/>
        <v>0</v>
      </c>
      <c r="S360" s="15" t="str">
        <f t="shared" si="3"/>
        <v>PENDING</v>
      </c>
    </row>
    <row r="361" ht="15.75" customHeight="1">
      <c r="A361" s="24" t="s">
        <v>1171</v>
      </c>
      <c r="B361" s="115" t="s">
        <v>785</v>
      </c>
      <c r="C361" s="26">
        <v>45881.0</v>
      </c>
      <c r="D361" s="26">
        <v>45887.0</v>
      </c>
      <c r="E361" s="24" t="s">
        <v>21</v>
      </c>
      <c r="F361" s="24">
        <v>72.0</v>
      </c>
      <c r="G361" s="27">
        <v>122.0</v>
      </c>
      <c r="H361" s="24" t="s">
        <v>744</v>
      </c>
      <c r="I361" s="28" t="s">
        <v>23</v>
      </c>
      <c r="J361" s="28" t="s">
        <v>172</v>
      </c>
      <c r="K361" s="28" t="s">
        <v>25</v>
      </c>
      <c r="M361" s="29" t="s">
        <v>1172</v>
      </c>
      <c r="N361" s="25"/>
      <c r="O361" s="28" t="s">
        <v>27</v>
      </c>
      <c r="P361" s="24" t="s">
        <v>744</v>
      </c>
      <c r="Q361" s="14" t="b">
        <f t="shared" si="1"/>
        <v>1</v>
      </c>
      <c r="R361" s="15" t="b">
        <f t="shared" si="2"/>
        <v>0</v>
      </c>
      <c r="S361" s="15" t="str">
        <f t="shared" si="3"/>
        <v>APPROVED</v>
      </c>
    </row>
    <row r="362" ht="15.75" customHeight="1">
      <c r="A362" s="24" t="s">
        <v>1173</v>
      </c>
      <c r="B362" s="115" t="s">
        <v>373</v>
      </c>
      <c r="C362" s="26">
        <v>45870.0</v>
      </c>
      <c r="D362" s="26">
        <v>45665.0</v>
      </c>
      <c r="E362" s="24" t="s">
        <v>21</v>
      </c>
      <c r="F362" s="24">
        <v>24.0</v>
      </c>
      <c r="G362" s="27">
        <v>119.0</v>
      </c>
      <c r="H362" s="24" t="s">
        <v>177</v>
      </c>
      <c r="I362" s="28" t="s">
        <v>23</v>
      </c>
      <c r="J362" s="28" t="s">
        <v>172</v>
      </c>
      <c r="K362" s="28" t="s">
        <v>49</v>
      </c>
      <c r="M362" s="29"/>
      <c r="N362" s="25"/>
      <c r="O362" s="28" t="s">
        <v>27</v>
      </c>
      <c r="P362" s="24" t="s">
        <v>177</v>
      </c>
      <c r="Q362" s="14" t="b">
        <f t="shared" si="1"/>
        <v>0</v>
      </c>
      <c r="R362" s="15" t="b">
        <f t="shared" si="2"/>
        <v>0</v>
      </c>
      <c r="S362" s="15" t="str">
        <f t="shared" si="3"/>
        <v>PENDING</v>
      </c>
    </row>
    <row r="363" ht="15.75" customHeight="1">
      <c r="A363" s="7" t="s">
        <v>1174</v>
      </c>
      <c r="B363" s="13" t="s">
        <v>829</v>
      </c>
      <c r="C363" s="9">
        <v>45882.0</v>
      </c>
      <c r="D363" s="9">
        <v>45884.0</v>
      </c>
      <c r="E363" s="7" t="s">
        <v>21</v>
      </c>
      <c r="F363" s="7">
        <v>48.0</v>
      </c>
      <c r="G363" s="10">
        <v>118.18</v>
      </c>
      <c r="H363" s="7" t="s">
        <v>177</v>
      </c>
      <c r="I363" s="11" t="s">
        <v>23</v>
      </c>
      <c r="J363" s="11" t="s">
        <v>172</v>
      </c>
      <c r="K363" s="11" t="s">
        <v>25</v>
      </c>
      <c r="L363" s="16"/>
      <c r="M363" s="12" t="s">
        <v>1175</v>
      </c>
      <c r="N363" s="13"/>
      <c r="O363" s="11" t="s">
        <v>27</v>
      </c>
      <c r="P363" s="7" t="s">
        <v>177</v>
      </c>
      <c r="Q363" s="14" t="b">
        <f t="shared" si="1"/>
        <v>1</v>
      </c>
      <c r="R363" s="15" t="b">
        <f t="shared" si="2"/>
        <v>0</v>
      </c>
      <c r="S363" s="15" t="str">
        <f t="shared" si="3"/>
        <v>APPROVED</v>
      </c>
    </row>
    <row r="364" ht="27.0" customHeight="1">
      <c r="A364" s="7" t="s">
        <v>1176</v>
      </c>
      <c r="B364" s="13" t="s">
        <v>473</v>
      </c>
      <c r="C364" s="9">
        <v>45882.0</v>
      </c>
      <c r="D364" s="9">
        <v>45882.0</v>
      </c>
      <c r="E364" s="7" t="s">
        <v>21</v>
      </c>
      <c r="F364" s="7">
        <v>48.0</v>
      </c>
      <c r="G364" s="10">
        <v>118.18</v>
      </c>
      <c r="H364" s="7" t="s">
        <v>177</v>
      </c>
      <c r="I364" s="11" t="s">
        <v>23</v>
      </c>
      <c r="J364" s="11" t="s">
        <v>172</v>
      </c>
      <c r="K364" s="11" t="s">
        <v>25</v>
      </c>
      <c r="L364" s="16"/>
      <c r="M364" s="49" t="s">
        <v>475</v>
      </c>
      <c r="N364" s="13"/>
      <c r="O364" s="11" t="s">
        <v>27</v>
      </c>
      <c r="P364" s="7" t="s">
        <v>177</v>
      </c>
      <c r="Q364" s="14" t="b">
        <f t="shared" si="1"/>
        <v>1</v>
      </c>
      <c r="R364" s="15" t="b">
        <f t="shared" si="2"/>
        <v>0</v>
      </c>
      <c r="S364" s="15" t="str">
        <f t="shared" si="3"/>
        <v>APPROVED</v>
      </c>
    </row>
    <row r="365" ht="15.75" customHeight="1">
      <c r="A365" s="24" t="s">
        <v>1177</v>
      </c>
      <c r="B365" s="25" t="s">
        <v>357</v>
      </c>
      <c r="C365" s="26">
        <v>45882.0</v>
      </c>
      <c r="D365" s="26">
        <v>45882.0</v>
      </c>
      <c r="E365" s="24" t="s">
        <v>21</v>
      </c>
      <c r="F365" s="24">
        <v>24.0</v>
      </c>
      <c r="G365" s="27">
        <v>118.18</v>
      </c>
      <c r="H365" s="24" t="s">
        <v>177</v>
      </c>
      <c r="I365" s="28" t="s">
        <v>23</v>
      </c>
      <c r="J365" s="28" t="s">
        <v>172</v>
      </c>
      <c r="K365" s="28" t="s">
        <v>482</v>
      </c>
      <c r="M365" s="29"/>
      <c r="N365" s="25"/>
      <c r="O365" s="28" t="s">
        <v>27</v>
      </c>
      <c r="P365" s="24" t="s">
        <v>177</v>
      </c>
      <c r="Q365" s="14" t="b">
        <f t="shared" si="1"/>
        <v>0</v>
      </c>
      <c r="R365" s="15" t="b">
        <f t="shared" si="2"/>
        <v>0</v>
      </c>
      <c r="S365" s="15" t="str">
        <f t="shared" si="3"/>
        <v>PENDING</v>
      </c>
    </row>
    <row r="366" ht="15.75" customHeight="1">
      <c r="A366" s="7" t="s">
        <v>1178</v>
      </c>
      <c r="B366" s="13" t="s">
        <v>1179</v>
      </c>
      <c r="C366" s="9">
        <v>45884.0</v>
      </c>
      <c r="D366" s="9">
        <v>45884.0</v>
      </c>
      <c r="E366" s="7" t="s">
        <v>21</v>
      </c>
      <c r="F366" s="7">
        <v>24.0</v>
      </c>
      <c r="G366" s="10">
        <v>119.0</v>
      </c>
      <c r="H366" s="7" t="s">
        <v>744</v>
      </c>
      <c r="I366" s="11" t="s">
        <v>23</v>
      </c>
      <c r="J366" s="11" t="s">
        <v>172</v>
      </c>
      <c r="K366" s="11" t="s">
        <v>25</v>
      </c>
      <c r="L366" s="16"/>
      <c r="M366" s="12"/>
      <c r="N366" s="13"/>
      <c r="O366" s="11" t="s">
        <v>27</v>
      </c>
      <c r="P366" s="7" t="s">
        <v>744</v>
      </c>
      <c r="Q366" s="14" t="b">
        <f t="shared" si="1"/>
        <v>1</v>
      </c>
      <c r="R366" s="15" t="b">
        <f t="shared" si="2"/>
        <v>0</v>
      </c>
      <c r="S366" s="15" t="str">
        <f t="shared" si="3"/>
        <v>APPROVED</v>
      </c>
    </row>
    <row r="367" ht="15.75" customHeight="1">
      <c r="A367" s="7" t="s">
        <v>1180</v>
      </c>
      <c r="B367" s="134" t="s">
        <v>1181</v>
      </c>
      <c r="C367" s="9">
        <v>45884.0</v>
      </c>
      <c r="D367" s="9">
        <v>45884.0</v>
      </c>
      <c r="E367" s="7" t="s">
        <v>21</v>
      </c>
      <c r="F367" s="7">
        <v>48.0</v>
      </c>
      <c r="G367" s="10"/>
      <c r="H367" s="7" t="s">
        <v>1182</v>
      </c>
      <c r="I367" s="11" t="s">
        <v>23</v>
      </c>
      <c r="J367" s="11" t="s">
        <v>30</v>
      </c>
      <c r="K367" s="7" t="s">
        <v>31</v>
      </c>
      <c r="L367" s="16"/>
      <c r="M367" s="12"/>
      <c r="N367" s="13"/>
      <c r="O367" s="11" t="s">
        <v>27</v>
      </c>
      <c r="P367" s="7" t="s">
        <v>1182</v>
      </c>
      <c r="Q367" s="14" t="b">
        <f t="shared" si="1"/>
        <v>0</v>
      </c>
      <c r="R367" s="15" t="b">
        <f t="shared" si="2"/>
        <v>0</v>
      </c>
      <c r="S367" s="15" t="str">
        <f t="shared" si="3"/>
        <v>PENDING</v>
      </c>
    </row>
    <row r="368" ht="15.75" customHeight="1">
      <c r="A368" s="7" t="s">
        <v>1183</v>
      </c>
      <c r="B368" s="13" t="s">
        <v>262</v>
      </c>
      <c r="C368" s="9">
        <v>45853.0</v>
      </c>
      <c r="D368" s="9">
        <v>45853.0</v>
      </c>
      <c r="E368" s="7" t="s">
        <v>21</v>
      </c>
      <c r="F368" s="7">
        <v>24.0</v>
      </c>
      <c r="G368" s="10">
        <v>128.25</v>
      </c>
      <c r="H368" s="7" t="s">
        <v>744</v>
      </c>
      <c r="I368" s="11" t="s">
        <v>23</v>
      </c>
      <c r="J368" s="11" t="s">
        <v>172</v>
      </c>
      <c r="K368" s="11" t="s">
        <v>25</v>
      </c>
      <c r="L368" s="16"/>
      <c r="M368" s="12"/>
      <c r="N368" s="13"/>
      <c r="O368" s="11" t="s">
        <v>27</v>
      </c>
      <c r="P368" s="7" t="s">
        <v>744</v>
      </c>
      <c r="Q368" s="14" t="b">
        <f t="shared" si="1"/>
        <v>1</v>
      </c>
      <c r="R368" s="15" t="b">
        <f t="shared" si="2"/>
        <v>0</v>
      </c>
      <c r="S368" s="15" t="str">
        <f t="shared" si="3"/>
        <v>APPROVED</v>
      </c>
    </row>
    <row r="369" ht="14.25" customHeight="1">
      <c r="A369" s="24" t="s">
        <v>1184</v>
      </c>
      <c r="B369" s="25" t="s">
        <v>906</v>
      </c>
      <c r="C369" s="26">
        <v>45878.0</v>
      </c>
      <c r="D369" s="26">
        <v>45908.0</v>
      </c>
      <c r="E369" s="24" t="s">
        <v>21</v>
      </c>
      <c r="F369" s="24">
        <v>72.0</v>
      </c>
      <c r="G369" s="27">
        <v>119.0</v>
      </c>
      <c r="H369" s="24" t="s">
        <v>715</v>
      </c>
      <c r="I369" s="28" t="s">
        <v>23</v>
      </c>
      <c r="J369" s="28" t="s">
        <v>172</v>
      </c>
      <c r="K369" s="28" t="s">
        <v>482</v>
      </c>
      <c r="M369" s="29"/>
      <c r="N369" s="25"/>
      <c r="O369" s="28" t="s">
        <v>27</v>
      </c>
      <c r="P369" s="24" t="s">
        <v>715</v>
      </c>
      <c r="Q369" s="14" t="b">
        <f t="shared" si="1"/>
        <v>0</v>
      </c>
      <c r="R369" s="15" t="b">
        <f t="shared" si="2"/>
        <v>0</v>
      </c>
      <c r="S369" s="15" t="str">
        <f t="shared" si="3"/>
        <v>PENDING</v>
      </c>
    </row>
    <row r="370" ht="15.75" customHeight="1">
      <c r="A370" s="24" t="s">
        <v>1185</v>
      </c>
      <c r="B370" s="25" t="s">
        <v>1186</v>
      </c>
      <c r="C370" s="26">
        <v>45877.0</v>
      </c>
      <c r="D370" s="26">
        <v>45877.0</v>
      </c>
      <c r="E370" s="24" t="s">
        <v>21</v>
      </c>
      <c r="F370" s="24">
        <v>24.0</v>
      </c>
      <c r="G370" s="27">
        <v>128.0</v>
      </c>
      <c r="H370" s="24" t="s">
        <v>715</v>
      </c>
      <c r="I370" s="28" t="s">
        <v>23</v>
      </c>
      <c r="J370" s="28" t="s">
        <v>172</v>
      </c>
      <c r="K370" s="28" t="s">
        <v>482</v>
      </c>
      <c r="M370" s="29"/>
      <c r="N370" s="25"/>
      <c r="O370" s="28" t="s">
        <v>27</v>
      </c>
      <c r="P370" s="24" t="s">
        <v>715</v>
      </c>
      <c r="Q370" s="14" t="b">
        <f t="shared" si="1"/>
        <v>0</v>
      </c>
      <c r="R370" s="15" t="b">
        <f t="shared" si="2"/>
        <v>0</v>
      </c>
      <c r="S370" s="15" t="str">
        <f t="shared" si="3"/>
        <v>PENDING</v>
      </c>
    </row>
    <row r="371" ht="15.75" customHeight="1">
      <c r="A371" s="7" t="s">
        <v>1187</v>
      </c>
      <c r="B371" s="8" t="s">
        <v>999</v>
      </c>
      <c r="C371" s="9">
        <v>45883.0</v>
      </c>
      <c r="D371" s="9">
        <v>45883.0</v>
      </c>
      <c r="E371" s="7" t="s">
        <v>21</v>
      </c>
      <c r="F371" s="7">
        <v>72.0</v>
      </c>
      <c r="G371" s="10">
        <v>115.0</v>
      </c>
      <c r="H371" s="7" t="s">
        <v>715</v>
      </c>
      <c r="I371" s="11" t="s">
        <v>23</v>
      </c>
      <c r="J371" s="11" t="s">
        <v>30</v>
      </c>
      <c r="K371" s="11" t="s">
        <v>25</v>
      </c>
      <c r="L371" s="16"/>
      <c r="M371" s="12" t="s">
        <v>1188</v>
      </c>
      <c r="N371" s="13"/>
      <c r="O371" s="11" t="s">
        <v>27</v>
      </c>
      <c r="P371" s="7" t="s">
        <v>715</v>
      </c>
      <c r="Q371" s="14" t="b">
        <f t="shared" si="1"/>
        <v>1</v>
      </c>
      <c r="R371" s="15" t="b">
        <f t="shared" si="2"/>
        <v>0</v>
      </c>
      <c r="S371" s="15" t="str">
        <f t="shared" si="3"/>
        <v>APPROVED</v>
      </c>
    </row>
    <row r="372" ht="15.75" customHeight="1">
      <c r="A372" s="7" t="s">
        <v>1189</v>
      </c>
      <c r="B372" s="13" t="s">
        <v>1190</v>
      </c>
      <c r="C372" s="9">
        <v>45875.0</v>
      </c>
      <c r="D372" s="9">
        <v>45816.0</v>
      </c>
      <c r="E372" s="7" t="s">
        <v>21</v>
      </c>
      <c r="F372" s="7">
        <v>48.0</v>
      </c>
      <c r="G372" s="10">
        <v>110.0</v>
      </c>
      <c r="H372" s="7" t="s">
        <v>715</v>
      </c>
      <c r="I372" s="11" t="s">
        <v>23</v>
      </c>
      <c r="J372" s="11" t="s">
        <v>30</v>
      </c>
      <c r="K372" s="11" t="s">
        <v>25</v>
      </c>
      <c r="L372" s="16"/>
      <c r="M372" s="12" t="s">
        <v>1188</v>
      </c>
      <c r="N372" s="13"/>
      <c r="O372" s="11" t="s">
        <v>27</v>
      </c>
      <c r="P372" s="7" t="s">
        <v>715</v>
      </c>
      <c r="Q372" s="14" t="b">
        <f t="shared" si="1"/>
        <v>1</v>
      </c>
      <c r="R372" s="15" t="b">
        <f t="shared" si="2"/>
        <v>0</v>
      </c>
      <c r="S372" s="15" t="str">
        <f t="shared" si="3"/>
        <v>APPROVED</v>
      </c>
    </row>
    <row r="373" ht="15.75" customHeight="1">
      <c r="A373" s="24" t="s">
        <v>1191</v>
      </c>
      <c r="B373" s="115" t="s">
        <v>73</v>
      </c>
      <c r="C373" s="26">
        <v>45884.0</v>
      </c>
      <c r="D373" s="26">
        <v>45884.0</v>
      </c>
      <c r="E373" s="24" t="s">
        <v>21</v>
      </c>
      <c r="F373" s="24">
        <v>72.0</v>
      </c>
      <c r="G373" s="27">
        <v>118.18</v>
      </c>
      <c r="H373" s="24" t="s">
        <v>177</v>
      </c>
      <c r="I373" s="28" t="s">
        <v>23</v>
      </c>
      <c r="J373" s="28" t="s">
        <v>172</v>
      </c>
      <c r="K373" s="28" t="s">
        <v>84</v>
      </c>
      <c r="M373" s="29" t="s">
        <v>1192</v>
      </c>
      <c r="N373" s="25"/>
      <c r="O373" s="28" t="s">
        <v>27</v>
      </c>
      <c r="P373" s="24" t="s">
        <v>177</v>
      </c>
      <c r="Q373" s="14" t="b">
        <f t="shared" si="1"/>
        <v>0</v>
      </c>
      <c r="R373" s="15" t="b">
        <f t="shared" si="2"/>
        <v>0</v>
      </c>
      <c r="S373" s="15" t="str">
        <f t="shared" si="3"/>
        <v>PENDING</v>
      </c>
    </row>
    <row r="374" ht="15.75" customHeight="1">
      <c r="A374" s="24" t="s">
        <v>1193</v>
      </c>
      <c r="B374" s="115" t="s">
        <v>73</v>
      </c>
      <c r="C374" s="26">
        <v>45884.0</v>
      </c>
      <c r="D374" s="26">
        <v>45884.0</v>
      </c>
      <c r="E374" s="24" t="s">
        <v>21</v>
      </c>
      <c r="F374" s="24">
        <v>48.0</v>
      </c>
      <c r="G374" s="27">
        <v>119.0</v>
      </c>
      <c r="H374" s="24" t="s">
        <v>177</v>
      </c>
      <c r="I374" s="28" t="s">
        <v>23</v>
      </c>
      <c r="J374" s="28" t="s">
        <v>172</v>
      </c>
      <c r="K374" s="28" t="s">
        <v>49</v>
      </c>
      <c r="M374" s="29"/>
      <c r="N374" s="25"/>
      <c r="O374" s="28" t="s">
        <v>27</v>
      </c>
      <c r="P374" s="24" t="s">
        <v>177</v>
      </c>
      <c r="Q374" s="14" t="b">
        <f t="shared" si="1"/>
        <v>0</v>
      </c>
      <c r="R374" s="15" t="b">
        <f t="shared" si="2"/>
        <v>0</v>
      </c>
      <c r="S374" s="15" t="str">
        <f t="shared" si="3"/>
        <v>PENDING</v>
      </c>
    </row>
    <row r="375" ht="15.75" customHeight="1">
      <c r="A375" s="24" t="s">
        <v>1194</v>
      </c>
      <c r="B375" s="25" t="s">
        <v>1195</v>
      </c>
      <c r="C375" s="26">
        <v>45884.0</v>
      </c>
      <c r="D375" s="26">
        <v>45884.0</v>
      </c>
      <c r="E375" s="24" t="s">
        <v>21</v>
      </c>
      <c r="F375" s="24">
        <v>24.0</v>
      </c>
      <c r="G375" s="27">
        <v>125.0</v>
      </c>
      <c r="H375" s="24" t="s">
        <v>715</v>
      </c>
      <c r="I375" s="28" t="s">
        <v>23</v>
      </c>
      <c r="J375" s="28" t="s">
        <v>48</v>
      </c>
      <c r="K375" s="28" t="s">
        <v>49</v>
      </c>
      <c r="M375" s="29" t="s">
        <v>1196</v>
      </c>
      <c r="N375" s="25"/>
      <c r="O375" s="28" t="s">
        <v>27</v>
      </c>
      <c r="P375" s="24" t="s">
        <v>715</v>
      </c>
      <c r="Q375" s="14" t="b">
        <f t="shared" si="1"/>
        <v>0</v>
      </c>
      <c r="R375" s="15" t="b">
        <f t="shared" si="2"/>
        <v>0</v>
      </c>
      <c r="S375" s="15" t="str">
        <f t="shared" si="3"/>
        <v>PENDING</v>
      </c>
    </row>
    <row r="376" ht="15.75" customHeight="1">
      <c r="A376" s="7" t="s">
        <v>1197</v>
      </c>
      <c r="B376" s="13" t="s">
        <v>829</v>
      </c>
      <c r="C376" s="9">
        <v>45887.0</v>
      </c>
      <c r="D376" s="9">
        <v>45887.0</v>
      </c>
      <c r="E376" s="7" t="s">
        <v>21</v>
      </c>
      <c r="F376" s="7">
        <v>72.0</v>
      </c>
      <c r="G376" s="10">
        <v>118.18</v>
      </c>
      <c r="H376" s="7" t="s">
        <v>177</v>
      </c>
      <c r="I376" s="11" t="s">
        <v>23</v>
      </c>
      <c r="J376" s="11" t="s">
        <v>172</v>
      </c>
      <c r="K376" s="11" t="s">
        <v>25</v>
      </c>
      <c r="L376" s="16"/>
      <c r="M376" s="12" t="s">
        <v>1175</v>
      </c>
      <c r="N376" s="13"/>
      <c r="O376" s="11" t="s">
        <v>27</v>
      </c>
      <c r="P376" s="7" t="s">
        <v>177</v>
      </c>
      <c r="Q376" s="14" t="b">
        <f t="shared" si="1"/>
        <v>1</v>
      </c>
      <c r="R376" s="15" t="b">
        <f t="shared" si="2"/>
        <v>0</v>
      </c>
      <c r="S376" s="15" t="str">
        <f t="shared" si="3"/>
        <v>APPROVED</v>
      </c>
    </row>
    <row r="377" ht="15.75" customHeight="1">
      <c r="A377" s="7" t="s">
        <v>1198</v>
      </c>
      <c r="B377" s="8" t="s">
        <v>714</v>
      </c>
      <c r="C377" s="9">
        <v>45884.0</v>
      </c>
      <c r="D377" s="9">
        <v>45884.0</v>
      </c>
      <c r="E377" s="7" t="s">
        <v>21</v>
      </c>
      <c r="F377" s="7">
        <v>0.0</v>
      </c>
      <c r="G377" s="10"/>
      <c r="H377" s="7" t="s">
        <v>715</v>
      </c>
      <c r="I377" s="11" t="s">
        <v>23</v>
      </c>
      <c r="J377" s="11" t="s">
        <v>172</v>
      </c>
      <c r="K377" s="7" t="s">
        <v>31</v>
      </c>
      <c r="L377" s="16"/>
      <c r="M377" s="12"/>
      <c r="N377" s="13"/>
      <c r="O377" s="11" t="s">
        <v>27</v>
      </c>
      <c r="P377" s="7" t="s">
        <v>715</v>
      </c>
      <c r="Q377" s="14" t="b">
        <f t="shared" si="1"/>
        <v>0</v>
      </c>
      <c r="R377" s="15" t="b">
        <f t="shared" si="2"/>
        <v>0</v>
      </c>
      <c r="S377" s="15" t="str">
        <f t="shared" si="3"/>
        <v>PENDING</v>
      </c>
    </row>
    <row r="378" ht="15.75" customHeight="1">
      <c r="A378" s="24" t="s">
        <v>1199</v>
      </c>
      <c r="B378" s="25" t="s">
        <v>1200</v>
      </c>
      <c r="C378" s="26">
        <v>45882.0</v>
      </c>
      <c r="D378" s="26">
        <v>45882.0</v>
      </c>
      <c r="E378" s="24" t="s">
        <v>21</v>
      </c>
      <c r="F378" s="24">
        <v>24.0</v>
      </c>
      <c r="G378" s="27">
        <v>110.0</v>
      </c>
      <c r="H378" s="24" t="s">
        <v>171</v>
      </c>
      <c r="I378" s="28" t="s">
        <v>23</v>
      </c>
      <c r="J378" s="28" t="s">
        <v>24</v>
      </c>
      <c r="K378" s="28" t="s">
        <v>84</v>
      </c>
      <c r="M378" s="29" t="s">
        <v>1201</v>
      </c>
      <c r="N378" s="25"/>
      <c r="O378" s="28" t="s">
        <v>27</v>
      </c>
      <c r="P378" s="24" t="s">
        <v>171</v>
      </c>
      <c r="Q378" s="14" t="b">
        <f t="shared" si="1"/>
        <v>0</v>
      </c>
      <c r="R378" s="15" t="b">
        <f t="shared" si="2"/>
        <v>0</v>
      </c>
      <c r="S378" s="15" t="str">
        <f t="shared" si="3"/>
        <v>PENDING</v>
      </c>
    </row>
    <row r="379" ht="15.75" customHeight="1">
      <c r="A379" s="24" t="s">
        <v>1202</v>
      </c>
      <c r="B379" s="25" t="s">
        <v>1203</v>
      </c>
      <c r="C379" s="26">
        <v>45881.0</v>
      </c>
      <c r="D379" s="26">
        <v>45999.0</v>
      </c>
      <c r="E379" s="24" t="s">
        <v>21</v>
      </c>
      <c r="F379" s="24">
        <v>24.0</v>
      </c>
      <c r="G379" s="27">
        <v>121.84</v>
      </c>
      <c r="H379" s="24" t="s">
        <v>171</v>
      </c>
      <c r="I379" s="28" t="s">
        <v>23</v>
      </c>
      <c r="J379" s="28" t="s">
        <v>172</v>
      </c>
      <c r="K379" s="28" t="s">
        <v>49</v>
      </c>
      <c r="M379" s="29" t="s">
        <v>1204</v>
      </c>
      <c r="N379" s="25"/>
      <c r="O379" s="28" t="s">
        <v>27</v>
      </c>
      <c r="P379" s="24" t="s">
        <v>171</v>
      </c>
      <c r="Q379" s="14" t="b">
        <f t="shared" si="1"/>
        <v>0</v>
      </c>
      <c r="R379" s="15" t="b">
        <f t="shared" si="2"/>
        <v>0</v>
      </c>
      <c r="S379" s="15" t="str">
        <f t="shared" si="3"/>
        <v>PENDING</v>
      </c>
    </row>
    <row r="380" ht="15.75" customHeight="1">
      <c r="A380" s="7" t="s">
        <v>1205</v>
      </c>
      <c r="B380" s="13" t="s">
        <v>345</v>
      </c>
      <c r="C380" s="9">
        <v>45880.0</v>
      </c>
      <c r="D380" s="9">
        <v>45969.0</v>
      </c>
      <c r="E380" s="7" t="s">
        <v>21</v>
      </c>
      <c r="F380" s="7">
        <v>24.0</v>
      </c>
      <c r="G380" s="10">
        <v>121.84</v>
      </c>
      <c r="H380" s="7" t="s">
        <v>171</v>
      </c>
      <c r="I380" s="11" t="s">
        <v>23</v>
      </c>
      <c r="J380" s="11" t="s">
        <v>172</v>
      </c>
      <c r="K380" s="11" t="s">
        <v>25</v>
      </c>
      <c r="L380" s="16"/>
      <c r="M380" s="12" t="s">
        <v>1206</v>
      </c>
      <c r="N380" s="13"/>
      <c r="O380" s="11" t="s">
        <v>27</v>
      </c>
      <c r="P380" s="7" t="s">
        <v>171</v>
      </c>
      <c r="Q380" s="14" t="b">
        <f t="shared" si="1"/>
        <v>1</v>
      </c>
      <c r="R380" s="15" t="b">
        <f t="shared" si="2"/>
        <v>0</v>
      </c>
      <c r="S380" s="15" t="str">
        <f t="shared" si="3"/>
        <v>APPROVED</v>
      </c>
    </row>
    <row r="381" ht="15.75" customHeight="1">
      <c r="A381" s="24" t="s">
        <v>1207</v>
      </c>
      <c r="B381" s="25" t="s">
        <v>1154</v>
      </c>
      <c r="C381" s="26">
        <v>45884.0</v>
      </c>
      <c r="D381" s="26">
        <v>45884.0</v>
      </c>
      <c r="E381" s="24" t="s">
        <v>21</v>
      </c>
      <c r="F381" s="24">
        <v>48.0</v>
      </c>
      <c r="G381" s="27">
        <v>121.0</v>
      </c>
      <c r="H381" s="24" t="s">
        <v>171</v>
      </c>
      <c r="I381" s="28" t="s">
        <v>23</v>
      </c>
      <c r="J381" s="28" t="s">
        <v>172</v>
      </c>
      <c r="K381" s="28" t="s">
        <v>49</v>
      </c>
      <c r="M381" s="29"/>
      <c r="N381" s="25"/>
      <c r="O381" s="28" t="s">
        <v>27</v>
      </c>
      <c r="P381" s="24" t="s">
        <v>171</v>
      </c>
      <c r="Q381" s="14" t="b">
        <f t="shared" si="1"/>
        <v>0</v>
      </c>
      <c r="R381" s="15" t="b">
        <f t="shared" si="2"/>
        <v>0</v>
      </c>
      <c r="S381" s="15" t="str">
        <f t="shared" si="3"/>
        <v>PENDING</v>
      </c>
    </row>
    <row r="382" ht="15.75" customHeight="1">
      <c r="A382" s="7" t="s">
        <v>1208</v>
      </c>
      <c r="B382" s="8" t="s">
        <v>1056</v>
      </c>
      <c r="C382" s="9">
        <v>45887.0</v>
      </c>
      <c r="D382" s="9">
        <v>45887.0</v>
      </c>
      <c r="E382" s="7" t="s">
        <v>21</v>
      </c>
      <c r="F382" s="7">
        <v>24.0</v>
      </c>
      <c r="G382" s="10">
        <v>119.0</v>
      </c>
      <c r="H382" s="7" t="s">
        <v>744</v>
      </c>
      <c r="I382" s="11" t="s">
        <v>23</v>
      </c>
      <c r="J382" s="11" t="s">
        <v>172</v>
      </c>
      <c r="K382" s="11" t="s">
        <v>25</v>
      </c>
      <c r="L382" s="16"/>
      <c r="M382" s="12" t="s">
        <v>1209</v>
      </c>
      <c r="N382" s="13"/>
      <c r="O382" s="11" t="s">
        <v>27</v>
      </c>
      <c r="P382" s="7" t="s">
        <v>744</v>
      </c>
      <c r="Q382" s="14" t="b">
        <f t="shared" si="1"/>
        <v>1</v>
      </c>
      <c r="R382" s="15" t="b">
        <f t="shared" si="2"/>
        <v>0</v>
      </c>
      <c r="S382" s="15" t="str">
        <f t="shared" si="3"/>
        <v>APPROVED</v>
      </c>
    </row>
    <row r="383" ht="15.75" customHeight="1">
      <c r="A383" s="7" t="s">
        <v>1210</v>
      </c>
      <c r="B383" s="13" t="s">
        <v>855</v>
      </c>
      <c r="C383" s="9">
        <v>45887.0</v>
      </c>
      <c r="D383" s="9">
        <v>45887.0</v>
      </c>
      <c r="E383" s="7" t="s">
        <v>21</v>
      </c>
      <c r="F383" s="7">
        <v>24.0</v>
      </c>
      <c r="G383" s="10">
        <v>119.0</v>
      </c>
      <c r="H383" s="7" t="s">
        <v>744</v>
      </c>
      <c r="I383" s="11" t="s">
        <v>23</v>
      </c>
      <c r="J383" s="11" t="s">
        <v>172</v>
      </c>
      <c r="K383" s="11" t="s">
        <v>25</v>
      </c>
      <c r="L383" s="16"/>
      <c r="M383" s="12" t="s">
        <v>1211</v>
      </c>
      <c r="N383" s="13"/>
      <c r="O383" s="11" t="s">
        <v>27</v>
      </c>
      <c r="P383" s="7" t="s">
        <v>744</v>
      </c>
      <c r="Q383" s="14" t="b">
        <f t="shared" si="1"/>
        <v>1</v>
      </c>
      <c r="R383" s="15" t="b">
        <f t="shared" si="2"/>
        <v>0</v>
      </c>
      <c r="S383" s="15" t="str">
        <f t="shared" si="3"/>
        <v>APPROVED</v>
      </c>
    </row>
    <row r="384" ht="15.75" customHeight="1">
      <c r="A384" s="7" t="s">
        <v>1212</v>
      </c>
      <c r="B384" s="13" t="s">
        <v>1076</v>
      </c>
      <c r="C384" s="9">
        <v>45887.0</v>
      </c>
      <c r="D384" s="9">
        <v>45887.0</v>
      </c>
      <c r="E384" s="7" t="s">
        <v>21</v>
      </c>
      <c r="F384" s="7">
        <v>72.0</v>
      </c>
      <c r="G384" s="10">
        <v>119.0</v>
      </c>
      <c r="H384" s="7" t="s">
        <v>744</v>
      </c>
      <c r="I384" s="11" t="s">
        <v>23</v>
      </c>
      <c r="J384" s="11" t="s">
        <v>172</v>
      </c>
      <c r="K384" s="11" t="s">
        <v>25</v>
      </c>
      <c r="L384" s="16"/>
      <c r="M384" s="12" t="s">
        <v>1213</v>
      </c>
      <c r="N384" s="36" t="s">
        <v>1214</v>
      </c>
      <c r="O384" s="11" t="s">
        <v>27</v>
      </c>
      <c r="P384" s="7" t="s">
        <v>744</v>
      </c>
      <c r="Q384" s="14" t="b">
        <f t="shared" si="1"/>
        <v>1</v>
      </c>
      <c r="R384" s="15" t="b">
        <f t="shared" si="2"/>
        <v>0</v>
      </c>
      <c r="S384" s="15" t="str">
        <f t="shared" si="3"/>
        <v>APPROVED</v>
      </c>
    </row>
    <row r="385" ht="15.75" customHeight="1">
      <c r="A385" s="24" t="s">
        <v>1215</v>
      </c>
      <c r="B385" s="25" t="s">
        <v>1216</v>
      </c>
      <c r="C385" s="26">
        <v>45888.0</v>
      </c>
      <c r="D385" s="26">
        <v>45888.0</v>
      </c>
      <c r="E385" s="24" t="s">
        <v>21</v>
      </c>
      <c r="F385" s="24">
        <v>24.0</v>
      </c>
      <c r="G385" s="27">
        <v>119.0</v>
      </c>
      <c r="H385" s="24" t="s">
        <v>744</v>
      </c>
      <c r="I385" s="28" t="s">
        <v>23</v>
      </c>
      <c r="J385" s="28" t="s">
        <v>172</v>
      </c>
      <c r="K385" s="28" t="s">
        <v>49</v>
      </c>
      <c r="M385" s="29"/>
      <c r="N385" s="135" t="s">
        <v>1217</v>
      </c>
      <c r="O385" s="28" t="s">
        <v>27</v>
      </c>
      <c r="P385" s="24" t="s">
        <v>744</v>
      </c>
      <c r="Q385" s="14" t="b">
        <f t="shared" si="1"/>
        <v>0</v>
      </c>
      <c r="R385" s="15" t="b">
        <f t="shared" si="2"/>
        <v>0</v>
      </c>
      <c r="S385" s="15" t="str">
        <f t="shared" si="3"/>
        <v>PENDING</v>
      </c>
    </row>
    <row r="386" ht="15.75" customHeight="1">
      <c r="A386" s="24" t="s">
        <v>1218</v>
      </c>
      <c r="B386" s="25" t="s">
        <v>1219</v>
      </c>
      <c r="C386" s="26">
        <v>45888.0</v>
      </c>
      <c r="D386" s="26">
        <v>45888.0</v>
      </c>
      <c r="E386" s="24" t="s">
        <v>21</v>
      </c>
      <c r="F386" s="24">
        <v>24.0</v>
      </c>
      <c r="G386" s="27">
        <v>119.0</v>
      </c>
      <c r="H386" s="24" t="s">
        <v>744</v>
      </c>
      <c r="I386" s="28" t="s">
        <v>23</v>
      </c>
      <c r="J386" s="28" t="s">
        <v>172</v>
      </c>
      <c r="K386" s="28" t="s">
        <v>482</v>
      </c>
      <c r="M386" s="29"/>
      <c r="N386" s="25"/>
      <c r="O386" s="28" t="s">
        <v>27</v>
      </c>
      <c r="P386" s="24" t="s">
        <v>744</v>
      </c>
      <c r="Q386" s="14" t="b">
        <f t="shared" si="1"/>
        <v>0</v>
      </c>
      <c r="R386" s="15" t="b">
        <f t="shared" si="2"/>
        <v>0</v>
      </c>
      <c r="S386" s="15" t="str">
        <f t="shared" si="3"/>
        <v>PENDING</v>
      </c>
    </row>
    <row r="387" ht="15.75" customHeight="1">
      <c r="A387" s="7" t="s">
        <v>1220</v>
      </c>
      <c r="B387" s="13" t="s">
        <v>992</v>
      </c>
      <c r="C387" s="9">
        <v>45888.0</v>
      </c>
      <c r="D387" s="9">
        <v>45888.0</v>
      </c>
      <c r="E387" s="7" t="s">
        <v>21</v>
      </c>
      <c r="F387" s="7">
        <v>48.0</v>
      </c>
      <c r="G387" s="10">
        <v>124.4</v>
      </c>
      <c r="H387" s="7" t="s">
        <v>744</v>
      </c>
      <c r="I387" s="11" t="s">
        <v>23</v>
      </c>
      <c r="J387" s="11" t="s">
        <v>172</v>
      </c>
      <c r="K387" s="11" t="s">
        <v>25</v>
      </c>
      <c r="L387" s="16"/>
      <c r="M387" s="12" t="s">
        <v>1221</v>
      </c>
      <c r="N387" s="13"/>
      <c r="O387" s="11" t="s">
        <v>27</v>
      </c>
      <c r="P387" s="7" t="s">
        <v>744</v>
      </c>
      <c r="Q387" s="14" t="b">
        <f t="shared" si="1"/>
        <v>1</v>
      </c>
      <c r="R387" s="15" t="b">
        <f t="shared" si="2"/>
        <v>0</v>
      </c>
      <c r="S387" s="15" t="str">
        <f t="shared" si="3"/>
        <v>APPROVED</v>
      </c>
    </row>
    <row r="388" ht="15.75" customHeight="1">
      <c r="A388" s="7" t="s">
        <v>1222</v>
      </c>
      <c r="B388" s="13" t="s">
        <v>1223</v>
      </c>
      <c r="C388" s="9">
        <v>45889.0</v>
      </c>
      <c r="D388" s="9">
        <v>45889.0</v>
      </c>
      <c r="E388" s="7" t="s">
        <v>21</v>
      </c>
      <c r="F388" s="7">
        <v>24.0</v>
      </c>
      <c r="G388" s="10">
        <v>118.0</v>
      </c>
      <c r="H388" s="7" t="s">
        <v>177</v>
      </c>
      <c r="I388" s="11" t="s">
        <v>23</v>
      </c>
      <c r="J388" s="11" t="s">
        <v>30</v>
      </c>
      <c r="K388" s="11" t="s">
        <v>25</v>
      </c>
      <c r="L388" s="16"/>
      <c r="M388" s="12"/>
      <c r="N388" s="13"/>
      <c r="O388" s="11" t="s">
        <v>27</v>
      </c>
      <c r="P388" s="7" t="s">
        <v>177</v>
      </c>
      <c r="Q388" s="14" t="b">
        <f t="shared" si="1"/>
        <v>1</v>
      </c>
      <c r="R388" s="15" t="b">
        <f t="shared" si="2"/>
        <v>0</v>
      </c>
      <c r="S388" s="15" t="str">
        <f t="shared" si="3"/>
        <v>APPROVED</v>
      </c>
    </row>
    <row r="389" ht="15.75" customHeight="1">
      <c r="A389" s="7" t="s">
        <v>1224</v>
      </c>
      <c r="B389" s="13" t="s">
        <v>1007</v>
      </c>
      <c r="C389" s="9">
        <v>45889.0</v>
      </c>
      <c r="D389" s="9">
        <v>45889.0</v>
      </c>
      <c r="E389" s="7" t="s">
        <v>21</v>
      </c>
      <c r="F389" s="7">
        <v>24.0</v>
      </c>
      <c r="G389" s="10">
        <v>100.0</v>
      </c>
      <c r="H389" s="7" t="s">
        <v>177</v>
      </c>
      <c r="I389" s="11" t="s">
        <v>23</v>
      </c>
      <c r="J389" s="11" t="s">
        <v>30</v>
      </c>
      <c r="K389" s="11" t="s">
        <v>25</v>
      </c>
      <c r="L389" s="16"/>
      <c r="M389" s="12"/>
      <c r="N389" s="13"/>
      <c r="O389" s="11" t="s">
        <v>27</v>
      </c>
      <c r="P389" s="7" t="s">
        <v>177</v>
      </c>
      <c r="Q389" s="14" t="b">
        <f t="shared" si="1"/>
        <v>1</v>
      </c>
      <c r="R389" s="15" t="b">
        <f t="shared" si="2"/>
        <v>0</v>
      </c>
      <c r="S389" s="15" t="str">
        <f t="shared" si="3"/>
        <v>APPROVED</v>
      </c>
    </row>
    <row r="390" ht="15.75" customHeight="1">
      <c r="A390" s="7" t="s">
        <v>1225</v>
      </c>
      <c r="B390" s="13" t="s">
        <v>730</v>
      </c>
      <c r="C390" s="9">
        <v>45889.0</v>
      </c>
      <c r="D390" s="9">
        <v>45889.0</v>
      </c>
      <c r="E390" s="7" t="s">
        <v>21</v>
      </c>
      <c r="F390" s="7">
        <v>48.0</v>
      </c>
      <c r="G390" s="10">
        <v>118.18</v>
      </c>
      <c r="H390" s="7" t="s">
        <v>177</v>
      </c>
      <c r="I390" s="11" t="s">
        <v>23</v>
      </c>
      <c r="J390" s="11" t="s">
        <v>172</v>
      </c>
      <c r="K390" s="11" t="s">
        <v>25</v>
      </c>
      <c r="L390" s="16"/>
      <c r="M390" s="12" t="s">
        <v>1226</v>
      </c>
      <c r="N390" s="13"/>
      <c r="O390" s="11" t="s">
        <v>27</v>
      </c>
      <c r="P390" s="7" t="s">
        <v>177</v>
      </c>
      <c r="Q390" s="14" t="b">
        <f t="shared" si="1"/>
        <v>1</v>
      </c>
      <c r="R390" s="15" t="b">
        <f t="shared" si="2"/>
        <v>0</v>
      </c>
      <c r="S390" s="15" t="str">
        <f t="shared" si="3"/>
        <v>APPROVED</v>
      </c>
    </row>
    <row r="391" ht="15.75" customHeight="1">
      <c r="A391" s="24" t="s">
        <v>1227</v>
      </c>
      <c r="B391" s="25" t="s">
        <v>1228</v>
      </c>
      <c r="C391" s="26">
        <v>45889.0</v>
      </c>
      <c r="D391" s="26">
        <v>45889.0</v>
      </c>
      <c r="E391" s="24" t="s">
        <v>21</v>
      </c>
      <c r="F391" s="24">
        <v>240.0</v>
      </c>
      <c r="G391" s="27">
        <v>110.0</v>
      </c>
      <c r="H391" s="24" t="s">
        <v>744</v>
      </c>
      <c r="I391" s="28" t="s">
        <v>23</v>
      </c>
      <c r="J391" s="28" t="s">
        <v>172</v>
      </c>
      <c r="K391" s="28" t="s">
        <v>84</v>
      </c>
      <c r="M391" s="29" t="s">
        <v>1229</v>
      </c>
      <c r="N391" s="25"/>
      <c r="O391" s="28" t="s">
        <v>27</v>
      </c>
      <c r="P391" s="24" t="s">
        <v>744</v>
      </c>
      <c r="Q391" s="14" t="b">
        <f t="shared" si="1"/>
        <v>0</v>
      </c>
      <c r="R391" s="15" t="b">
        <f t="shared" si="2"/>
        <v>0</v>
      </c>
      <c r="S391" s="15" t="str">
        <f t="shared" si="3"/>
        <v>PENDING</v>
      </c>
    </row>
    <row r="392" ht="15.75" customHeight="1">
      <c r="A392" s="7" t="s">
        <v>1230</v>
      </c>
      <c r="B392" s="8" t="s">
        <v>222</v>
      </c>
      <c r="C392" s="9">
        <v>45889.0</v>
      </c>
      <c r="D392" s="9">
        <v>45889.0</v>
      </c>
      <c r="E392" s="7" t="s">
        <v>21</v>
      </c>
      <c r="F392" s="7">
        <v>24.0</v>
      </c>
      <c r="G392" s="10"/>
      <c r="H392" s="7" t="s">
        <v>177</v>
      </c>
      <c r="I392" s="11" t="s">
        <v>23</v>
      </c>
      <c r="J392" s="11" t="s">
        <v>30</v>
      </c>
      <c r="K392" s="7" t="s">
        <v>31</v>
      </c>
      <c r="L392" s="16"/>
      <c r="M392" s="12"/>
      <c r="N392" s="8" t="s">
        <v>914</v>
      </c>
      <c r="O392" s="11" t="s">
        <v>27</v>
      </c>
      <c r="P392" s="7" t="s">
        <v>177</v>
      </c>
      <c r="Q392" s="14" t="b">
        <f t="shared" si="1"/>
        <v>0</v>
      </c>
      <c r="R392" s="15" t="b">
        <f t="shared" si="2"/>
        <v>0</v>
      </c>
      <c r="S392" s="15" t="str">
        <f t="shared" si="3"/>
        <v>PENDING</v>
      </c>
    </row>
    <row r="393" ht="15.75" customHeight="1">
      <c r="A393" s="24" t="s">
        <v>1231</v>
      </c>
      <c r="B393" s="115" t="s">
        <v>970</v>
      </c>
      <c r="C393" s="26">
        <v>45888.0</v>
      </c>
      <c r="D393" s="26">
        <v>45888.0</v>
      </c>
      <c r="E393" s="24" t="s">
        <v>21</v>
      </c>
      <c r="F393" s="24">
        <v>120.0</v>
      </c>
      <c r="G393" s="27">
        <v>119.0</v>
      </c>
      <c r="H393" s="24" t="s">
        <v>715</v>
      </c>
      <c r="I393" s="28" t="s">
        <v>23</v>
      </c>
      <c r="J393" s="28" t="s">
        <v>172</v>
      </c>
      <c r="K393" s="28" t="s">
        <v>49</v>
      </c>
      <c r="M393" s="29"/>
      <c r="N393" s="25"/>
      <c r="O393" s="28" t="s">
        <v>27</v>
      </c>
      <c r="P393" s="24" t="s">
        <v>715</v>
      </c>
      <c r="Q393" s="14" t="b">
        <f t="shared" si="1"/>
        <v>0</v>
      </c>
      <c r="R393" s="15" t="b">
        <f t="shared" si="2"/>
        <v>0</v>
      </c>
      <c r="S393" s="15" t="str">
        <f t="shared" si="3"/>
        <v>PENDING</v>
      </c>
    </row>
    <row r="394" ht="15.75" customHeight="1">
      <c r="A394" s="7" t="s">
        <v>1232</v>
      </c>
      <c r="B394" s="13" t="s">
        <v>1233</v>
      </c>
      <c r="C394" s="9">
        <v>45889.0</v>
      </c>
      <c r="D394" s="9">
        <v>45889.0</v>
      </c>
      <c r="E394" s="7" t="s">
        <v>21</v>
      </c>
      <c r="F394" s="7">
        <v>24.0</v>
      </c>
      <c r="G394" s="10">
        <v>115.0</v>
      </c>
      <c r="H394" s="7" t="s">
        <v>715</v>
      </c>
      <c r="I394" s="11" t="s">
        <v>23</v>
      </c>
      <c r="J394" s="11" t="s">
        <v>30</v>
      </c>
      <c r="K394" s="11" t="s">
        <v>25</v>
      </c>
      <c r="L394" s="16"/>
      <c r="M394" s="12"/>
      <c r="N394" s="13"/>
      <c r="O394" s="11" t="s">
        <v>27</v>
      </c>
      <c r="P394" s="7" t="s">
        <v>715</v>
      </c>
      <c r="Q394" s="14" t="b">
        <f t="shared" si="1"/>
        <v>1</v>
      </c>
      <c r="R394" s="15" t="b">
        <f t="shared" si="2"/>
        <v>0</v>
      </c>
      <c r="S394" s="15" t="str">
        <f t="shared" si="3"/>
        <v>APPROVED</v>
      </c>
    </row>
    <row r="395" ht="15.75" customHeight="1">
      <c r="A395" s="7" t="s">
        <v>1234</v>
      </c>
      <c r="B395" s="13" t="s">
        <v>1235</v>
      </c>
      <c r="C395" s="9">
        <v>45890.0</v>
      </c>
      <c r="D395" s="9">
        <v>45890.0</v>
      </c>
      <c r="E395" s="7" t="s">
        <v>21</v>
      </c>
      <c r="F395" s="7">
        <v>48.0</v>
      </c>
      <c r="G395" s="10">
        <v>119.0</v>
      </c>
      <c r="H395" s="7" t="s">
        <v>177</v>
      </c>
      <c r="I395" s="11" t="s">
        <v>23</v>
      </c>
      <c r="J395" s="11" t="s">
        <v>172</v>
      </c>
      <c r="K395" s="11" t="s">
        <v>25</v>
      </c>
      <c r="L395" s="16"/>
      <c r="M395" s="12" t="s">
        <v>1236</v>
      </c>
      <c r="N395" s="13"/>
      <c r="O395" s="11" t="s">
        <v>27</v>
      </c>
      <c r="P395" s="7" t="s">
        <v>177</v>
      </c>
      <c r="Q395" s="14" t="b">
        <f t="shared" si="1"/>
        <v>1</v>
      </c>
      <c r="R395" s="15" t="b">
        <f t="shared" si="2"/>
        <v>0</v>
      </c>
      <c r="S395" s="15" t="str">
        <f t="shared" si="3"/>
        <v>APPROVED</v>
      </c>
    </row>
    <row r="396" ht="15.75" customHeight="1">
      <c r="A396" s="24" t="s">
        <v>1237</v>
      </c>
      <c r="B396" s="115" t="s">
        <v>527</v>
      </c>
      <c r="C396" s="26">
        <v>45890.0</v>
      </c>
      <c r="D396" s="26">
        <v>45890.0</v>
      </c>
      <c r="E396" s="24" t="s">
        <v>21</v>
      </c>
      <c r="F396" s="24">
        <v>24.0</v>
      </c>
      <c r="G396" s="27">
        <v>118.18</v>
      </c>
      <c r="H396" s="24" t="s">
        <v>177</v>
      </c>
      <c r="I396" s="28" t="s">
        <v>23</v>
      </c>
      <c r="J396" s="28" t="s">
        <v>172</v>
      </c>
      <c r="K396" s="28" t="s">
        <v>84</v>
      </c>
      <c r="M396" s="29" t="s">
        <v>1238</v>
      </c>
      <c r="N396" s="25"/>
      <c r="O396" s="28" t="s">
        <v>27</v>
      </c>
      <c r="P396" s="24" t="s">
        <v>177</v>
      </c>
      <c r="Q396" s="14" t="b">
        <f t="shared" si="1"/>
        <v>0</v>
      </c>
      <c r="R396" s="15" t="b">
        <f t="shared" si="2"/>
        <v>0</v>
      </c>
      <c r="S396" s="15" t="str">
        <f t="shared" si="3"/>
        <v>PENDING</v>
      </c>
    </row>
    <row r="397" ht="15.75" customHeight="1">
      <c r="A397" s="7" t="s">
        <v>1239</v>
      </c>
      <c r="B397" s="8" t="s">
        <v>529</v>
      </c>
      <c r="C397" s="9">
        <v>45890.0</v>
      </c>
      <c r="D397" s="9">
        <v>45890.0</v>
      </c>
      <c r="E397" s="7" t="s">
        <v>21</v>
      </c>
      <c r="F397" s="7">
        <v>24.0</v>
      </c>
      <c r="G397" s="10">
        <v>118.18</v>
      </c>
      <c r="H397" s="7" t="s">
        <v>177</v>
      </c>
      <c r="I397" s="11" t="s">
        <v>23</v>
      </c>
      <c r="J397" s="11" t="s">
        <v>172</v>
      </c>
      <c r="K397" s="11" t="s">
        <v>25</v>
      </c>
      <c r="L397" s="16"/>
      <c r="M397" s="12" t="s">
        <v>1240</v>
      </c>
      <c r="N397" s="13"/>
      <c r="O397" s="11" t="s">
        <v>27</v>
      </c>
      <c r="P397" s="7" t="s">
        <v>177</v>
      </c>
      <c r="Q397" s="14" t="b">
        <f t="shared" si="1"/>
        <v>1</v>
      </c>
      <c r="R397" s="15" t="b">
        <f t="shared" si="2"/>
        <v>0</v>
      </c>
      <c r="S397" s="15" t="str">
        <f t="shared" si="3"/>
        <v>APPROVED</v>
      </c>
    </row>
    <row r="398" ht="15.75" customHeight="1">
      <c r="A398" s="7" t="s">
        <v>1241</v>
      </c>
      <c r="B398" s="13" t="s">
        <v>1242</v>
      </c>
      <c r="C398" s="9">
        <v>45890.0</v>
      </c>
      <c r="D398" s="9">
        <v>45890.0</v>
      </c>
      <c r="E398" s="7" t="s">
        <v>21</v>
      </c>
      <c r="F398" s="7">
        <v>48.0</v>
      </c>
      <c r="G398" s="10">
        <v>118.0</v>
      </c>
      <c r="H398" s="7" t="s">
        <v>177</v>
      </c>
      <c r="I398" s="11" t="s">
        <v>23</v>
      </c>
      <c r="J398" s="11" t="s">
        <v>172</v>
      </c>
      <c r="K398" s="11" t="s">
        <v>25</v>
      </c>
      <c r="L398" s="16"/>
      <c r="M398" s="12" t="s">
        <v>1243</v>
      </c>
      <c r="N398" s="13"/>
      <c r="O398" s="11" t="s">
        <v>27</v>
      </c>
      <c r="P398" s="7" t="s">
        <v>177</v>
      </c>
      <c r="Q398" s="14" t="b">
        <f t="shared" si="1"/>
        <v>1</v>
      </c>
      <c r="R398" s="15" t="b">
        <f t="shared" si="2"/>
        <v>0</v>
      </c>
      <c r="S398" s="15" t="str">
        <f t="shared" si="3"/>
        <v>APPROVED</v>
      </c>
    </row>
    <row r="399" ht="15.75" customHeight="1">
      <c r="A399" s="7" t="s">
        <v>1244</v>
      </c>
      <c r="B399" s="8" t="s">
        <v>533</v>
      </c>
      <c r="C399" s="9">
        <v>45890.0</v>
      </c>
      <c r="D399" s="9">
        <v>45890.0</v>
      </c>
      <c r="E399" s="7" t="s">
        <v>21</v>
      </c>
      <c r="F399" s="7">
        <v>24.0</v>
      </c>
      <c r="G399" s="10">
        <v>119.0</v>
      </c>
      <c r="H399" s="7" t="s">
        <v>177</v>
      </c>
      <c r="I399" s="11" t="s">
        <v>23</v>
      </c>
      <c r="J399" s="11" t="s">
        <v>172</v>
      </c>
      <c r="K399" s="11" t="s">
        <v>25</v>
      </c>
      <c r="L399" s="16"/>
      <c r="M399" s="12" t="s">
        <v>1245</v>
      </c>
      <c r="N399" s="13"/>
      <c r="O399" s="11" t="s">
        <v>27</v>
      </c>
      <c r="P399" s="7" t="s">
        <v>177</v>
      </c>
      <c r="Q399" s="14" t="b">
        <f t="shared" si="1"/>
        <v>1</v>
      </c>
      <c r="R399" s="15" t="b">
        <f t="shared" si="2"/>
        <v>0</v>
      </c>
      <c r="S399" s="15" t="str">
        <f t="shared" si="3"/>
        <v>APPROVED</v>
      </c>
    </row>
    <row r="400" ht="15.0" customHeight="1">
      <c r="A400" s="24" t="s">
        <v>1246</v>
      </c>
      <c r="B400" s="25" t="s">
        <v>1247</v>
      </c>
      <c r="C400" s="26">
        <v>45894.0</v>
      </c>
      <c r="D400" s="26">
        <v>45894.0</v>
      </c>
      <c r="E400" s="24" t="s">
        <v>21</v>
      </c>
      <c r="F400" s="24">
        <v>48.0</v>
      </c>
      <c r="G400" s="27">
        <v>119.0</v>
      </c>
      <c r="H400" s="24" t="s">
        <v>715</v>
      </c>
      <c r="I400" s="28" t="s">
        <v>23</v>
      </c>
      <c r="J400" s="28" t="s">
        <v>172</v>
      </c>
      <c r="K400" s="28" t="s">
        <v>482</v>
      </c>
      <c r="M400" s="29"/>
      <c r="N400" s="25"/>
      <c r="O400" s="28" t="s">
        <v>27</v>
      </c>
      <c r="P400" s="24" t="s">
        <v>715</v>
      </c>
      <c r="Q400" s="14" t="b">
        <f t="shared" si="1"/>
        <v>0</v>
      </c>
      <c r="R400" s="15" t="b">
        <f t="shared" si="2"/>
        <v>0</v>
      </c>
      <c r="S400" s="15" t="str">
        <f t="shared" si="3"/>
        <v>PENDING</v>
      </c>
    </row>
    <row r="401" ht="15.75" customHeight="1">
      <c r="A401" s="24" t="s">
        <v>1248</v>
      </c>
      <c r="B401" s="115" t="s">
        <v>714</v>
      </c>
      <c r="C401" s="26">
        <v>45890.0</v>
      </c>
      <c r="D401" s="26">
        <v>45890.0</v>
      </c>
      <c r="E401" s="24" t="s">
        <v>21</v>
      </c>
      <c r="F401" s="24">
        <v>24.0</v>
      </c>
      <c r="G401" s="27"/>
      <c r="H401" s="24" t="s">
        <v>22</v>
      </c>
      <c r="I401" s="28" t="s">
        <v>23</v>
      </c>
      <c r="J401" s="24"/>
      <c r="K401" s="24" t="s">
        <v>31</v>
      </c>
      <c r="M401" s="29"/>
      <c r="N401" s="115" t="s">
        <v>914</v>
      </c>
      <c r="O401" s="28" t="s">
        <v>27</v>
      </c>
      <c r="P401" s="24" t="s">
        <v>22</v>
      </c>
      <c r="Q401" s="14" t="b">
        <f t="shared" si="1"/>
        <v>0</v>
      </c>
      <c r="R401" s="15" t="b">
        <f t="shared" si="2"/>
        <v>0</v>
      </c>
      <c r="S401" s="15" t="str">
        <f t="shared" si="3"/>
        <v>PENDING</v>
      </c>
    </row>
    <row r="402" ht="15.75" customHeight="1">
      <c r="A402" s="24" t="s">
        <v>1249</v>
      </c>
      <c r="B402" s="25" t="s">
        <v>515</v>
      </c>
      <c r="C402" s="26">
        <v>45892.0</v>
      </c>
      <c r="D402" s="26">
        <v>45892.0</v>
      </c>
      <c r="E402" s="24" t="s">
        <v>21</v>
      </c>
      <c r="F402" s="24">
        <v>24.0</v>
      </c>
      <c r="G402" s="27">
        <v>118.18</v>
      </c>
      <c r="H402" s="24" t="s">
        <v>177</v>
      </c>
      <c r="I402" s="28" t="s">
        <v>23</v>
      </c>
      <c r="J402" s="28" t="s">
        <v>172</v>
      </c>
      <c r="K402" s="28" t="s">
        <v>84</v>
      </c>
      <c r="M402" s="29" t="s">
        <v>1250</v>
      </c>
      <c r="N402" s="25"/>
      <c r="O402" s="28" t="s">
        <v>27</v>
      </c>
      <c r="P402" s="24" t="s">
        <v>177</v>
      </c>
      <c r="Q402" s="14" t="b">
        <f t="shared" si="1"/>
        <v>0</v>
      </c>
      <c r="R402" s="15" t="b">
        <f t="shared" si="2"/>
        <v>0</v>
      </c>
      <c r="S402" s="15" t="str">
        <f t="shared" si="3"/>
        <v>PENDING</v>
      </c>
    </row>
    <row r="403" ht="15.75" customHeight="1">
      <c r="A403" s="24" t="s">
        <v>1251</v>
      </c>
      <c r="B403" s="25" t="s">
        <v>1252</v>
      </c>
      <c r="C403" s="26">
        <v>45895.0</v>
      </c>
      <c r="D403" s="26">
        <v>45697.0</v>
      </c>
      <c r="E403" s="24" t="s">
        <v>21</v>
      </c>
      <c r="F403" s="24">
        <v>48.0</v>
      </c>
      <c r="G403" s="27">
        <v>119.0</v>
      </c>
      <c r="H403" s="24" t="s">
        <v>744</v>
      </c>
      <c r="I403" s="28" t="s">
        <v>23</v>
      </c>
      <c r="J403" s="28" t="s">
        <v>172</v>
      </c>
      <c r="K403" s="28" t="s">
        <v>482</v>
      </c>
      <c r="M403" s="29"/>
      <c r="N403" s="29" t="s">
        <v>1253</v>
      </c>
      <c r="O403" s="28" t="s">
        <v>27</v>
      </c>
      <c r="P403" s="24" t="s">
        <v>744</v>
      </c>
      <c r="Q403" s="14" t="b">
        <f t="shared" si="1"/>
        <v>0</v>
      </c>
      <c r="R403" s="15" t="b">
        <f t="shared" si="2"/>
        <v>0</v>
      </c>
      <c r="S403" s="15" t="str">
        <f t="shared" si="3"/>
        <v>PENDING</v>
      </c>
    </row>
    <row r="404" ht="15.75" customHeight="1">
      <c r="A404" s="7" t="s">
        <v>1254</v>
      </c>
      <c r="B404" s="13" t="s">
        <v>1255</v>
      </c>
      <c r="C404" s="9">
        <v>45895.0</v>
      </c>
      <c r="D404" s="9">
        <v>45895.0</v>
      </c>
      <c r="E404" s="7" t="s">
        <v>21</v>
      </c>
      <c r="F404" s="7">
        <v>24.0</v>
      </c>
      <c r="G404" s="10">
        <v>118.18</v>
      </c>
      <c r="H404" s="7" t="s">
        <v>177</v>
      </c>
      <c r="I404" s="11" t="s">
        <v>23</v>
      </c>
      <c r="J404" s="11" t="s">
        <v>30</v>
      </c>
      <c r="K404" s="11" t="s">
        <v>25</v>
      </c>
      <c r="L404" s="16"/>
      <c r="M404" s="12" t="s">
        <v>30</v>
      </c>
      <c r="N404" s="13" t="s">
        <v>376</v>
      </c>
      <c r="O404" s="11" t="s">
        <v>27</v>
      </c>
      <c r="P404" s="7" t="s">
        <v>177</v>
      </c>
      <c r="Q404" s="14" t="b">
        <f t="shared" si="1"/>
        <v>1</v>
      </c>
      <c r="R404" s="15" t="b">
        <f t="shared" si="2"/>
        <v>0</v>
      </c>
      <c r="S404" s="15" t="str">
        <f t="shared" si="3"/>
        <v>APPROVED</v>
      </c>
    </row>
    <row r="405" ht="15.75" customHeight="1">
      <c r="A405" s="7" t="s">
        <v>1256</v>
      </c>
      <c r="B405" s="8" t="s">
        <v>495</v>
      </c>
      <c r="C405" s="9">
        <v>45895.0</v>
      </c>
      <c r="D405" s="9">
        <v>45895.0</v>
      </c>
      <c r="E405" s="7" t="s">
        <v>21</v>
      </c>
      <c r="F405" s="7">
        <v>48.0</v>
      </c>
      <c r="G405" s="10">
        <v>118.18</v>
      </c>
      <c r="H405" s="7" t="s">
        <v>177</v>
      </c>
      <c r="I405" s="11" t="s">
        <v>23</v>
      </c>
      <c r="J405" s="11" t="s">
        <v>172</v>
      </c>
      <c r="K405" s="11" t="s">
        <v>25</v>
      </c>
      <c r="L405" s="16"/>
      <c r="M405" s="12" t="s">
        <v>1257</v>
      </c>
      <c r="N405" s="13"/>
      <c r="O405" s="11" t="s">
        <v>27</v>
      </c>
      <c r="P405" s="7" t="s">
        <v>177</v>
      </c>
      <c r="Q405" s="14" t="b">
        <f t="shared" si="1"/>
        <v>1</v>
      </c>
      <c r="R405" s="15" t="b">
        <f t="shared" si="2"/>
        <v>0</v>
      </c>
      <c r="S405" s="15" t="str">
        <f t="shared" si="3"/>
        <v>APPROVED</v>
      </c>
    </row>
    <row r="406" ht="15.75" customHeight="1">
      <c r="A406" s="24" t="s">
        <v>1258</v>
      </c>
      <c r="B406" s="25" t="s">
        <v>302</v>
      </c>
      <c r="C406" s="26">
        <v>45895.0</v>
      </c>
      <c r="D406" s="26">
        <v>45895.0</v>
      </c>
      <c r="E406" s="24" t="s">
        <v>21</v>
      </c>
      <c r="F406" s="24">
        <v>120.0</v>
      </c>
      <c r="G406" s="27">
        <v>118.18</v>
      </c>
      <c r="H406" s="24" t="s">
        <v>177</v>
      </c>
      <c r="I406" s="28" t="s">
        <v>23</v>
      </c>
      <c r="J406" s="28" t="s">
        <v>172</v>
      </c>
      <c r="K406" s="28" t="s">
        <v>84</v>
      </c>
      <c r="M406" s="29" t="s">
        <v>1259</v>
      </c>
      <c r="N406" s="25"/>
      <c r="O406" s="28" t="s">
        <v>27</v>
      </c>
      <c r="P406" s="24" t="s">
        <v>177</v>
      </c>
      <c r="Q406" s="14" t="b">
        <f t="shared" si="1"/>
        <v>0</v>
      </c>
      <c r="R406" s="15" t="b">
        <f t="shared" si="2"/>
        <v>0</v>
      </c>
      <c r="S406" s="15" t="str">
        <f t="shared" si="3"/>
        <v>PENDING</v>
      </c>
    </row>
    <row r="407" ht="15.75" customHeight="1">
      <c r="A407" s="24" t="s">
        <v>1260</v>
      </c>
      <c r="B407" s="115" t="s">
        <v>1261</v>
      </c>
      <c r="C407" s="26">
        <v>45895.0</v>
      </c>
      <c r="D407" s="26">
        <v>45895.0</v>
      </c>
      <c r="E407" s="24" t="s">
        <v>21</v>
      </c>
      <c r="F407" s="24">
        <v>24.0</v>
      </c>
      <c r="G407" s="27">
        <v>119.0</v>
      </c>
      <c r="H407" s="24" t="s">
        <v>715</v>
      </c>
      <c r="I407" s="28" t="s">
        <v>23</v>
      </c>
      <c r="J407" s="28" t="s">
        <v>172</v>
      </c>
      <c r="K407" s="28" t="s">
        <v>49</v>
      </c>
      <c r="M407" s="29"/>
      <c r="N407" s="25"/>
      <c r="O407" s="28" t="s">
        <v>27</v>
      </c>
      <c r="P407" s="24" t="s">
        <v>715</v>
      </c>
      <c r="Q407" s="14" t="b">
        <f t="shared" si="1"/>
        <v>0</v>
      </c>
      <c r="R407" s="15" t="b">
        <f t="shared" si="2"/>
        <v>0</v>
      </c>
      <c r="S407" s="15" t="str">
        <f t="shared" si="3"/>
        <v>PENDING</v>
      </c>
    </row>
    <row r="408" ht="15.75" customHeight="1">
      <c r="A408" s="24" t="s">
        <v>1262</v>
      </c>
      <c r="B408" s="25" t="s">
        <v>1263</v>
      </c>
      <c r="C408" s="26">
        <v>45895.0</v>
      </c>
      <c r="D408" s="26">
        <v>45895.0</v>
      </c>
      <c r="E408" s="24" t="s">
        <v>21</v>
      </c>
      <c r="F408" s="24">
        <v>24.0</v>
      </c>
      <c r="G408" s="27">
        <v>115.0</v>
      </c>
      <c r="H408" s="24" t="s">
        <v>715</v>
      </c>
      <c r="I408" s="28" t="s">
        <v>23</v>
      </c>
      <c r="J408" s="28" t="s">
        <v>172</v>
      </c>
      <c r="K408" s="28" t="s">
        <v>49</v>
      </c>
      <c r="M408" s="29"/>
      <c r="N408" s="25"/>
      <c r="O408" s="28" t="s">
        <v>27</v>
      </c>
      <c r="P408" s="24" t="s">
        <v>715</v>
      </c>
      <c r="Q408" s="14" t="b">
        <f t="shared" si="1"/>
        <v>0</v>
      </c>
      <c r="R408" s="15" t="b">
        <f t="shared" si="2"/>
        <v>0</v>
      </c>
      <c r="S408" s="15" t="str">
        <f t="shared" si="3"/>
        <v>PENDING</v>
      </c>
    </row>
    <row r="409" ht="15.75" customHeight="1">
      <c r="A409" s="24" t="s">
        <v>1264</v>
      </c>
      <c r="B409" s="25" t="s">
        <v>886</v>
      </c>
      <c r="C409" s="26">
        <v>45895.0</v>
      </c>
      <c r="D409" s="26">
        <v>45895.0</v>
      </c>
      <c r="E409" s="24" t="s">
        <v>21</v>
      </c>
      <c r="F409" s="24">
        <v>48.0</v>
      </c>
      <c r="G409" s="27">
        <v>128.25</v>
      </c>
      <c r="H409" s="24" t="s">
        <v>715</v>
      </c>
      <c r="I409" s="28" t="s">
        <v>23</v>
      </c>
      <c r="J409" s="28" t="s">
        <v>172</v>
      </c>
      <c r="K409" s="28" t="s">
        <v>49</v>
      </c>
      <c r="M409" s="29"/>
      <c r="N409" s="25"/>
      <c r="O409" s="28" t="s">
        <v>27</v>
      </c>
      <c r="P409" s="24" t="s">
        <v>715</v>
      </c>
      <c r="Q409" s="14" t="b">
        <f t="shared" si="1"/>
        <v>0</v>
      </c>
      <c r="R409" s="15" t="b">
        <f t="shared" si="2"/>
        <v>0</v>
      </c>
      <c r="S409" s="15" t="str">
        <f t="shared" si="3"/>
        <v>PENDING</v>
      </c>
    </row>
    <row r="410" ht="15.75" customHeight="1">
      <c r="A410" s="24" t="s">
        <v>1265</v>
      </c>
      <c r="B410" s="115" t="s">
        <v>714</v>
      </c>
      <c r="C410" s="26">
        <v>45896.0</v>
      </c>
      <c r="D410" s="26"/>
      <c r="E410" s="24" t="s">
        <v>21</v>
      </c>
      <c r="F410" s="24">
        <v>240.0</v>
      </c>
      <c r="G410" s="27"/>
      <c r="H410" s="24" t="s">
        <v>715</v>
      </c>
      <c r="I410" s="28" t="s">
        <v>23</v>
      </c>
      <c r="J410" s="24"/>
      <c r="K410" s="28" t="s">
        <v>31</v>
      </c>
      <c r="M410" s="29"/>
      <c r="N410" s="25"/>
      <c r="O410" s="28" t="s">
        <v>27</v>
      </c>
      <c r="P410" s="24" t="s">
        <v>715</v>
      </c>
      <c r="Q410" s="14" t="b">
        <f t="shared" si="1"/>
        <v>0</v>
      </c>
      <c r="R410" s="15" t="b">
        <f t="shared" si="2"/>
        <v>0</v>
      </c>
      <c r="S410" s="15" t="str">
        <f t="shared" si="3"/>
        <v>PENDING</v>
      </c>
    </row>
    <row r="411" ht="15.75" customHeight="1">
      <c r="A411" s="24" t="s">
        <v>1266</v>
      </c>
      <c r="B411" s="25" t="s">
        <v>369</v>
      </c>
      <c r="C411" s="26">
        <v>45896.0</v>
      </c>
      <c r="D411" s="26">
        <v>45896.0</v>
      </c>
      <c r="E411" s="24" t="s">
        <v>21</v>
      </c>
      <c r="F411" s="24">
        <v>48.0</v>
      </c>
      <c r="G411" s="27">
        <v>118.18</v>
      </c>
      <c r="H411" s="24" t="s">
        <v>177</v>
      </c>
      <c r="I411" s="28" t="s">
        <v>23</v>
      </c>
      <c r="J411" s="28" t="s">
        <v>172</v>
      </c>
      <c r="K411" s="28" t="s">
        <v>84</v>
      </c>
      <c r="M411" s="29" t="s">
        <v>1267</v>
      </c>
      <c r="N411" s="25"/>
      <c r="O411" s="28" t="s">
        <v>27</v>
      </c>
      <c r="P411" s="24" t="s">
        <v>177</v>
      </c>
      <c r="Q411" s="14" t="b">
        <f t="shared" si="1"/>
        <v>0</v>
      </c>
      <c r="R411" s="15" t="b">
        <f t="shared" si="2"/>
        <v>0</v>
      </c>
      <c r="S411" s="15" t="str">
        <f t="shared" si="3"/>
        <v>PENDING</v>
      </c>
    </row>
    <row r="412" ht="15.75" customHeight="1">
      <c r="A412" s="24" t="s">
        <v>1268</v>
      </c>
      <c r="B412" s="25" t="s">
        <v>919</v>
      </c>
      <c r="C412" s="26">
        <v>45898.0</v>
      </c>
      <c r="D412" s="26">
        <v>45725.0</v>
      </c>
      <c r="E412" s="24" t="s">
        <v>21</v>
      </c>
      <c r="F412" s="24">
        <v>48.0</v>
      </c>
      <c r="G412" s="27">
        <v>121.84</v>
      </c>
      <c r="H412" s="24" t="s">
        <v>744</v>
      </c>
      <c r="I412" s="28" t="s">
        <v>23</v>
      </c>
      <c r="J412" s="28" t="s">
        <v>172</v>
      </c>
      <c r="K412" s="28" t="s">
        <v>482</v>
      </c>
      <c r="M412" s="29"/>
      <c r="N412" s="29" t="s">
        <v>1269</v>
      </c>
      <c r="O412" s="28" t="s">
        <v>27</v>
      </c>
      <c r="P412" s="24" t="s">
        <v>744</v>
      </c>
      <c r="Q412" s="14" t="b">
        <f t="shared" si="1"/>
        <v>0</v>
      </c>
      <c r="R412" s="15" t="b">
        <f t="shared" si="2"/>
        <v>0</v>
      </c>
      <c r="S412" s="15" t="str">
        <f t="shared" si="3"/>
        <v>PENDING</v>
      </c>
    </row>
    <row r="413" ht="15.75" customHeight="1">
      <c r="A413" s="24" t="s">
        <v>1270</v>
      </c>
      <c r="B413" s="25" t="s">
        <v>1130</v>
      </c>
      <c r="C413" s="26">
        <v>45898.0</v>
      </c>
      <c r="D413" s="26">
        <v>45898.0</v>
      </c>
      <c r="E413" s="24" t="s">
        <v>21</v>
      </c>
      <c r="F413" s="24">
        <v>48.0</v>
      </c>
      <c r="G413" s="27">
        <v>118.18</v>
      </c>
      <c r="H413" s="24" t="s">
        <v>177</v>
      </c>
      <c r="I413" s="28" t="s">
        <v>23</v>
      </c>
      <c r="J413" s="28" t="s">
        <v>172</v>
      </c>
      <c r="K413" s="28" t="s">
        <v>84</v>
      </c>
      <c r="M413" s="29" t="s">
        <v>1131</v>
      </c>
      <c r="N413" s="25"/>
      <c r="O413" s="28" t="s">
        <v>1271</v>
      </c>
      <c r="P413" s="24" t="s">
        <v>177</v>
      </c>
      <c r="Q413" s="14" t="b">
        <f t="shared" si="1"/>
        <v>0</v>
      </c>
      <c r="R413" s="15" t="b">
        <f t="shared" si="2"/>
        <v>0</v>
      </c>
      <c r="S413" s="15" t="str">
        <f t="shared" si="3"/>
        <v>PENDING</v>
      </c>
    </row>
    <row r="414" ht="16.5" customHeight="1">
      <c r="A414" s="30" t="s">
        <v>1272</v>
      </c>
      <c r="B414" s="58" t="s">
        <v>1273</v>
      </c>
      <c r="C414" s="32">
        <v>45880.0</v>
      </c>
      <c r="D414" s="32">
        <v>45725.0</v>
      </c>
      <c r="E414" s="30" t="s">
        <v>21</v>
      </c>
      <c r="F414" s="30">
        <v>72.0</v>
      </c>
      <c r="G414" s="33">
        <v>122.0</v>
      </c>
      <c r="H414" s="30" t="s">
        <v>1182</v>
      </c>
      <c r="I414" s="34" t="s">
        <v>23</v>
      </c>
      <c r="J414" s="34" t="s">
        <v>172</v>
      </c>
      <c r="K414" s="34" t="s">
        <v>49</v>
      </c>
      <c r="L414" s="66"/>
      <c r="M414" s="35" t="s">
        <v>1274</v>
      </c>
      <c r="N414" s="31"/>
      <c r="O414" s="30" t="s">
        <v>98</v>
      </c>
      <c r="P414" s="30" t="s">
        <v>1182</v>
      </c>
      <c r="Q414" s="14" t="b">
        <f t="shared" si="1"/>
        <v>0</v>
      </c>
      <c r="R414" s="15" t="b">
        <f t="shared" si="2"/>
        <v>1</v>
      </c>
      <c r="S414" s="15" t="str">
        <f t="shared" si="3"/>
        <v>PENDING</v>
      </c>
    </row>
    <row r="415" ht="15.75" customHeight="1">
      <c r="A415" s="30" t="s">
        <v>1275</v>
      </c>
      <c r="B415" s="31" t="s">
        <v>1276</v>
      </c>
      <c r="C415" s="32">
        <v>45881.0</v>
      </c>
      <c r="D415" s="32">
        <v>45725.0</v>
      </c>
      <c r="E415" s="30" t="s">
        <v>21</v>
      </c>
      <c r="F415" s="30">
        <v>24.0</v>
      </c>
      <c r="G415" s="33">
        <v>122.0</v>
      </c>
      <c r="H415" s="30" t="s">
        <v>1182</v>
      </c>
      <c r="I415" s="34" t="s">
        <v>23</v>
      </c>
      <c r="J415" s="34" t="s">
        <v>172</v>
      </c>
      <c r="K415" s="34" t="s">
        <v>49</v>
      </c>
      <c r="L415" s="66"/>
      <c r="M415" s="35" t="s">
        <v>1274</v>
      </c>
      <c r="N415" s="31"/>
      <c r="O415" s="30" t="s">
        <v>98</v>
      </c>
      <c r="P415" s="30" t="s">
        <v>1182</v>
      </c>
      <c r="Q415" s="14" t="b">
        <f t="shared" si="1"/>
        <v>0</v>
      </c>
      <c r="R415" s="15" t="b">
        <f t="shared" si="2"/>
        <v>1</v>
      </c>
      <c r="S415" s="15" t="str">
        <f t="shared" si="3"/>
        <v>PENDING</v>
      </c>
    </row>
    <row r="416" ht="15.75" customHeight="1">
      <c r="A416" s="30" t="s">
        <v>1277</v>
      </c>
      <c r="B416" s="31" t="s">
        <v>1278</v>
      </c>
      <c r="C416" s="32">
        <v>45883.0</v>
      </c>
      <c r="D416" s="32">
        <v>45725.0</v>
      </c>
      <c r="E416" s="30" t="s">
        <v>21</v>
      </c>
      <c r="F416" s="30">
        <v>24.0</v>
      </c>
      <c r="G416" s="33">
        <v>121.0</v>
      </c>
      <c r="H416" s="30" t="s">
        <v>1182</v>
      </c>
      <c r="I416" s="34" t="s">
        <v>23</v>
      </c>
      <c r="J416" s="34" t="s">
        <v>172</v>
      </c>
      <c r="K416" s="34" t="s">
        <v>49</v>
      </c>
      <c r="L416" s="66"/>
      <c r="M416" s="35" t="s">
        <v>1274</v>
      </c>
      <c r="N416" s="31"/>
      <c r="O416" s="30" t="s">
        <v>98</v>
      </c>
      <c r="P416" s="30" t="s">
        <v>1182</v>
      </c>
      <c r="Q416" s="14" t="b">
        <f t="shared" si="1"/>
        <v>0</v>
      </c>
      <c r="R416" s="15" t="b">
        <f t="shared" si="2"/>
        <v>1</v>
      </c>
      <c r="S416" s="15" t="str">
        <f t="shared" si="3"/>
        <v>PENDING</v>
      </c>
    </row>
    <row r="417" ht="15.75" customHeight="1">
      <c r="A417" s="24" t="s">
        <v>1279</v>
      </c>
      <c r="B417" s="25" t="s">
        <v>1280</v>
      </c>
      <c r="C417" s="26">
        <v>45884.0</v>
      </c>
      <c r="D417" s="26">
        <v>45725.0</v>
      </c>
      <c r="E417" s="24" t="s">
        <v>21</v>
      </c>
      <c r="F417" s="24">
        <v>24.0</v>
      </c>
      <c r="G417" s="27">
        <v>121.0</v>
      </c>
      <c r="H417" s="24" t="s">
        <v>1182</v>
      </c>
      <c r="I417" s="28" t="s">
        <v>23</v>
      </c>
      <c r="J417" s="28" t="s">
        <v>24</v>
      </c>
      <c r="K417" s="28" t="s">
        <v>49</v>
      </c>
      <c r="M417" s="29" t="s">
        <v>1274</v>
      </c>
      <c r="N417" s="25"/>
      <c r="O417" s="28" t="s">
        <v>27</v>
      </c>
      <c r="P417" s="24" t="s">
        <v>1182</v>
      </c>
      <c r="Q417" s="14" t="b">
        <f t="shared" si="1"/>
        <v>0</v>
      </c>
      <c r="R417" s="15" t="b">
        <f t="shared" si="2"/>
        <v>0</v>
      </c>
      <c r="S417" s="15" t="str">
        <f t="shared" si="3"/>
        <v>PENDING</v>
      </c>
    </row>
    <row r="418" ht="15.75" customHeight="1">
      <c r="A418" s="24" t="s">
        <v>1281</v>
      </c>
      <c r="B418" s="115" t="s">
        <v>1273</v>
      </c>
      <c r="C418" s="26">
        <v>45885.0</v>
      </c>
      <c r="D418" s="26">
        <v>45725.0</v>
      </c>
      <c r="E418" s="24" t="s">
        <v>21</v>
      </c>
      <c r="F418" s="24">
        <v>120.0</v>
      </c>
      <c r="G418" s="27">
        <v>118.0</v>
      </c>
      <c r="H418" s="24" t="s">
        <v>1182</v>
      </c>
      <c r="I418" s="28" t="s">
        <v>23</v>
      </c>
      <c r="J418" s="28" t="s">
        <v>172</v>
      </c>
      <c r="K418" s="28" t="s">
        <v>49</v>
      </c>
      <c r="M418" s="29" t="s">
        <v>1274</v>
      </c>
      <c r="N418" s="25"/>
      <c r="O418" s="28" t="s">
        <v>27</v>
      </c>
      <c r="P418" s="24" t="s">
        <v>1182</v>
      </c>
      <c r="Q418" s="14" t="b">
        <f t="shared" si="1"/>
        <v>0</v>
      </c>
      <c r="R418" s="15" t="b">
        <f t="shared" si="2"/>
        <v>0</v>
      </c>
      <c r="S418" s="15" t="str">
        <f t="shared" si="3"/>
        <v>PENDING</v>
      </c>
    </row>
    <row r="419" ht="15.75" customHeight="1">
      <c r="A419" s="24" t="s">
        <v>1282</v>
      </c>
      <c r="B419" s="25" t="s">
        <v>1283</v>
      </c>
      <c r="C419" s="26">
        <v>45887.0</v>
      </c>
      <c r="D419" s="26">
        <v>45725.0</v>
      </c>
      <c r="E419" s="24" t="s">
        <v>21</v>
      </c>
      <c r="F419" s="24">
        <v>120.0</v>
      </c>
      <c r="G419" s="27">
        <v>118.0</v>
      </c>
      <c r="H419" s="24" t="s">
        <v>1182</v>
      </c>
      <c r="I419" s="28" t="s">
        <v>23</v>
      </c>
      <c r="J419" s="28" t="s">
        <v>172</v>
      </c>
      <c r="K419" s="28" t="s">
        <v>49</v>
      </c>
      <c r="M419" s="29" t="s">
        <v>1274</v>
      </c>
      <c r="N419" s="25"/>
      <c r="O419" s="28" t="s">
        <v>27</v>
      </c>
      <c r="P419" s="24" t="s">
        <v>1182</v>
      </c>
      <c r="Q419" s="14" t="b">
        <f t="shared" si="1"/>
        <v>0</v>
      </c>
      <c r="R419" s="15" t="b">
        <f t="shared" si="2"/>
        <v>0</v>
      </c>
      <c r="S419" s="15" t="str">
        <f t="shared" si="3"/>
        <v>PENDING</v>
      </c>
    </row>
    <row r="420" ht="15.75" customHeight="1">
      <c r="A420" s="24" t="s">
        <v>1284</v>
      </c>
      <c r="B420" s="115" t="s">
        <v>1285</v>
      </c>
      <c r="C420" s="26">
        <v>45888.0</v>
      </c>
      <c r="D420" s="26">
        <v>45725.0</v>
      </c>
      <c r="E420" s="24" t="s">
        <v>21</v>
      </c>
      <c r="F420" s="24">
        <v>24.0</v>
      </c>
      <c r="G420" s="27">
        <v>121.0</v>
      </c>
      <c r="H420" s="24" t="s">
        <v>1182</v>
      </c>
      <c r="I420" s="28" t="s">
        <v>23</v>
      </c>
      <c r="J420" s="28" t="s">
        <v>172</v>
      </c>
      <c r="K420" s="28" t="s">
        <v>49</v>
      </c>
      <c r="M420" s="29" t="s">
        <v>1274</v>
      </c>
      <c r="N420" s="25"/>
      <c r="O420" s="28" t="s">
        <v>27</v>
      </c>
      <c r="P420" s="24" t="s">
        <v>1182</v>
      </c>
      <c r="Q420" s="14" t="b">
        <f t="shared" si="1"/>
        <v>0</v>
      </c>
      <c r="R420" s="15" t="b">
        <f t="shared" si="2"/>
        <v>0</v>
      </c>
      <c r="S420" s="15" t="str">
        <f t="shared" si="3"/>
        <v>PENDING</v>
      </c>
    </row>
    <row r="421" ht="15.75" customHeight="1">
      <c r="A421" s="7" t="s">
        <v>1286</v>
      </c>
      <c r="B421" s="13" t="s">
        <v>1276</v>
      </c>
      <c r="C421" s="9">
        <v>45890.0</v>
      </c>
      <c r="D421" s="9">
        <v>45725.0</v>
      </c>
      <c r="E421" s="7" t="s">
        <v>21</v>
      </c>
      <c r="F421" s="7">
        <v>120.0</v>
      </c>
      <c r="G421" s="10">
        <v>118.0</v>
      </c>
      <c r="H421" s="7" t="s">
        <v>1182</v>
      </c>
      <c r="I421" s="11" t="s">
        <v>23</v>
      </c>
      <c r="J421" s="11" t="s">
        <v>172</v>
      </c>
      <c r="K421" s="11" t="s">
        <v>25</v>
      </c>
      <c r="L421" s="16"/>
      <c r="M421" s="12"/>
      <c r="N421" s="13"/>
      <c r="O421" s="11" t="s">
        <v>27</v>
      </c>
      <c r="P421" s="7" t="s">
        <v>1182</v>
      </c>
      <c r="Q421" s="14" t="b">
        <f t="shared" si="1"/>
        <v>1</v>
      </c>
      <c r="R421" s="15" t="b">
        <f t="shared" si="2"/>
        <v>0</v>
      </c>
      <c r="S421" s="15" t="str">
        <f t="shared" si="3"/>
        <v>APPROVED</v>
      </c>
    </row>
    <row r="422" ht="15.75" customHeight="1">
      <c r="A422" s="7" t="s">
        <v>1286</v>
      </c>
      <c r="B422" s="13" t="s">
        <v>1276</v>
      </c>
      <c r="C422" s="9">
        <v>45890.0</v>
      </c>
      <c r="D422" s="9">
        <v>45725.0</v>
      </c>
      <c r="E422" s="7" t="s">
        <v>1287</v>
      </c>
      <c r="F422" s="7">
        <v>320.0</v>
      </c>
      <c r="G422" s="10">
        <v>50.0</v>
      </c>
      <c r="H422" s="7" t="s">
        <v>1182</v>
      </c>
      <c r="I422" s="11" t="s">
        <v>23</v>
      </c>
      <c r="J422" s="11" t="s">
        <v>172</v>
      </c>
      <c r="K422" s="11" t="s">
        <v>25</v>
      </c>
      <c r="L422" s="16"/>
      <c r="M422" s="12"/>
      <c r="N422" s="13"/>
      <c r="O422" s="11" t="s">
        <v>27</v>
      </c>
      <c r="P422" s="7" t="s">
        <v>1182</v>
      </c>
      <c r="Q422" s="14" t="b">
        <f t="shared" si="1"/>
        <v>1</v>
      </c>
      <c r="R422" s="15" t="b">
        <f t="shared" si="2"/>
        <v>0</v>
      </c>
      <c r="S422" s="15" t="str">
        <f t="shared" si="3"/>
        <v>APPROVED</v>
      </c>
    </row>
    <row r="423" ht="15.75" customHeight="1">
      <c r="A423" s="30" t="s">
        <v>1288</v>
      </c>
      <c r="B423" s="31" t="s">
        <v>1276</v>
      </c>
      <c r="C423" s="32">
        <v>45889.0</v>
      </c>
      <c r="D423" s="32">
        <v>45725.0</v>
      </c>
      <c r="E423" s="30" t="s">
        <v>21</v>
      </c>
      <c r="F423" s="30">
        <v>24.0</v>
      </c>
      <c r="G423" s="33">
        <v>118.0</v>
      </c>
      <c r="H423" s="30" t="s">
        <v>1182</v>
      </c>
      <c r="I423" s="34" t="s">
        <v>23</v>
      </c>
      <c r="J423" s="34" t="s">
        <v>172</v>
      </c>
      <c r="K423" s="34" t="s">
        <v>49</v>
      </c>
      <c r="L423" s="66"/>
      <c r="M423" s="35" t="s">
        <v>1274</v>
      </c>
      <c r="N423" s="31"/>
      <c r="O423" s="30" t="s">
        <v>98</v>
      </c>
      <c r="P423" s="30" t="s">
        <v>1182</v>
      </c>
      <c r="Q423" s="14" t="b">
        <f t="shared" si="1"/>
        <v>0</v>
      </c>
      <c r="R423" s="15" t="b">
        <f t="shared" si="2"/>
        <v>1</v>
      </c>
      <c r="S423" s="15" t="str">
        <f t="shared" si="3"/>
        <v>PENDING</v>
      </c>
    </row>
    <row r="424" ht="15.75" customHeight="1">
      <c r="A424" s="24" t="s">
        <v>1289</v>
      </c>
      <c r="B424" s="25" t="s">
        <v>1276</v>
      </c>
      <c r="C424" s="26">
        <v>45890.0</v>
      </c>
      <c r="D424" s="26">
        <v>45725.0</v>
      </c>
      <c r="E424" s="24" t="s">
        <v>21</v>
      </c>
      <c r="F424" s="24">
        <v>24.0</v>
      </c>
      <c r="G424" s="27">
        <v>118.0</v>
      </c>
      <c r="H424" s="24" t="s">
        <v>1182</v>
      </c>
      <c r="I424" s="28" t="s">
        <v>23</v>
      </c>
      <c r="J424" s="28" t="s">
        <v>172</v>
      </c>
      <c r="K424" s="28" t="s">
        <v>84</v>
      </c>
      <c r="M424" s="29" t="s">
        <v>1290</v>
      </c>
      <c r="N424" s="135" t="s">
        <v>1291</v>
      </c>
      <c r="O424" s="28" t="s">
        <v>27</v>
      </c>
      <c r="P424" s="24" t="s">
        <v>1182</v>
      </c>
      <c r="Q424" s="14" t="b">
        <f t="shared" si="1"/>
        <v>0</v>
      </c>
      <c r="R424" s="15" t="b">
        <f t="shared" si="2"/>
        <v>0</v>
      </c>
      <c r="S424" s="15" t="str">
        <f t="shared" si="3"/>
        <v>PENDING</v>
      </c>
    </row>
    <row r="425" ht="15.75" customHeight="1">
      <c r="A425" s="24" t="s">
        <v>1292</v>
      </c>
      <c r="B425" s="25" t="s">
        <v>1283</v>
      </c>
      <c r="C425" s="26">
        <v>45897.0</v>
      </c>
      <c r="D425" s="26">
        <v>45725.0</v>
      </c>
      <c r="E425" s="24" t="s">
        <v>21</v>
      </c>
      <c r="F425" s="24">
        <v>24.0</v>
      </c>
      <c r="G425" s="27">
        <v>121.0</v>
      </c>
      <c r="H425" s="24" t="s">
        <v>1182</v>
      </c>
      <c r="I425" s="28" t="s">
        <v>23</v>
      </c>
      <c r="J425" s="28" t="s">
        <v>172</v>
      </c>
      <c r="K425" s="28" t="s">
        <v>49</v>
      </c>
      <c r="M425" s="29" t="s">
        <v>1274</v>
      </c>
      <c r="N425" s="25"/>
      <c r="O425" s="28" t="s">
        <v>27</v>
      </c>
      <c r="P425" s="24" t="s">
        <v>1182</v>
      </c>
      <c r="Q425" s="14" t="b">
        <f t="shared" si="1"/>
        <v>0</v>
      </c>
      <c r="R425" s="15" t="b">
        <f t="shared" si="2"/>
        <v>0</v>
      </c>
      <c r="S425" s="15" t="str">
        <f t="shared" si="3"/>
        <v>PENDING</v>
      </c>
    </row>
    <row r="426" ht="15.75" customHeight="1">
      <c r="A426" s="24" t="s">
        <v>1293</v>
      </c>
      <c r="B426" s="25" t="s">
        <v>1294</v>
      </c>
      <c r="C426" s="26">
        <v>45882.0</v>
      </c>
      <c r="D426" s="26">
        <v>45725.0</v>
      </c>
      <c r="E426" s="24" t="s">
        <v>21</v>
      </c>
      <c r="F426" s="24">
        <v>120.0</v>
      </c>
      <c r="G426" s="27">
        <v>118.0</v>
      </c>
      <c r="H426" s="24" t="s">
        <v>1182</v>
      </c>
      <c r="I426" s="28" t="s">
        <v>23</v>
      </c>
      <c r="J426" s="28" t="s">
        <v>35</v>
      </c>
      <c r="K426" s="28" t="s">
        <v>49</v>
      </c>
      <c r="M426" s="29" t="s">
        <v>1274</v>
      </c>
      <c r="N426" s="25"/>
      <c r="O426" s="28" t="s">
        <v>27</v>
      </c>
      <c r="P426" s="24" t="s">
        <v>1182</v>
      </c>
      <c r="Q426" s="14" t="b">
        <f t="shared" si="1"/>
        <v>0</v>
      </c>
      <c r="R426" s="15" t="b">
        <f t="shared" si="2"/>
        <v>0</v>
      </c>
      <c r="S426" s="15" t="str">
        <f t="shared" si="3"/>
        <v>PENDING</v>
      </c>
    </row>
    <row r="427" ht="15.75" customHeight="1">
      <c r="A427" s="24" t="s">
        <v>1295</v>
      </c>
      <c r="B427" s="25" t="s">
        <v>1278</v>
      </c>
      <c r="C427" s="26">
        <v>45883.0</v>
      </c>
      <c r="D427" s="26">
        <v>45725.0</v>
      </c>
      <c r="E427" s="24" t="s">
        <v>21</v>
      </c>
      <c r="F427" s="24">
        <v>72.0</v>
      </c>
      <c r="G427" s="27">
        <v>121.0</v>
      </c>
      <c r="H427" s="24" t="s">
        <v>1182</v>
      </c>
      <c r="I427" s="28" t="s">
        <v>23</v>
      </c>
      <c r="J427" s="28" t="s">
        <v>172</v>
      </c>
      <c r="K427" s="28" t="s">
        <v>49</v>
      </c>
      <c r="M427" s="29" t="s">
        <v>1274</v>
      </c>
      <c r="N427" s="25"/>
      <c r="O427" s="28" t="s">
        <v>27</v>
      </c>
      <c r="P427" s="24" t="s">
        <v>1182</v>
      </c>
      <c r="Q427" s="14" t="b">
        <f t="shared" si="1"/>
        <v>0</v>
      </c>
      <c r="R427" s="15" t="b">
        <f t="shared" si="2"/>
        <v>0</v>
      </c>
      <c r="S427" s="15" t="str">
        <f t="shared" si="3"/>
        <v>PENDING</v>
      </c>
    </row>
    <row r="428" ht="15.75" customHeight="1">
      <c r="A428" s="136" t="s">
        <v>1296</v>
      </c>
      <c r="B428" s="137" t="s">
        <v>999</v>
      </c>
      <c r="C428" s="138">
        <v>45898.0</v>
      </c>
      <c r="D428" s="138">
        <v>45898.0</v>
      </c>
      <c r="E428" s="136" t="s">
        <v>21</v>
      </c>
      <c r="F428" s="136">
        <v>72.0</v>
      </c>
      <c r="G428" s="139">
        <v>121.0</v>
      </c>
      <c r="H428" s="136" t="s">
        <v>715</v>
      </c>
      <c r="I428" s="140" t="s">
        <v>23</v>
      </c>
      <c r="J428" s="140" t="s">
        <v>30</v>
      </c>
      <c r="K428" s="140" t="s">
        <v>25</v>
      </c>
      <c r="L428" s="141"/>
      <c r="M428" s="29" t="s">
        <v>1297</v>
      </c>
      <c r="N428" s="142"/>
      <c r="O428" s="140" t="s">
        <v>27</v>
      </c>
      <c r="P428" s="136" t="s">
        <v>715</v>
      </c>
      <c r="Q428" s="14" t="b">
        <f t="shared" si="1"/>
        <v>1</v>
      </c>
      <c r="R428" s="15" t="b">
        <f t="shared" si="2"/>
        <v>0</v>
      </c>
      <c r="S428" s="15" t="str">
        <f t="shared" si="3"/>
        <v>APPROVED</v>
      </c>
    </row>
    <row r="429" ht="15.75" customHeight="1">
      <c r="A429" s="7" t="s">
        <v>1298</v>
      </c>
      <c r="B429" s="8" t="s">
        <v>1101</v>
      </c>
      <c r="C429" s="9">
        <v>45882.0</v>
      </c>
      <c r="D429" s="9">
        <v>45882.0</v>
      </c>
      <c r="E429" s="7" t="s">
        <v>21</v>
      </c>
      <c r="F429" s="7">
        <v>48.0</v>
      </c>
      <c r="G429" s="10">
        <v>115.0</v>
      </c>
      <c r="H429" s="7" t="s">
        <v>715</v>
      </c>
      <c r="I429" s="11" t="s">
        <v>23</v>
      </c>
      <c r="J429" s="11" t="s">
        <v>48</v>
      </c>
      <c r="K429" s="11" t="s">
        <v>25</v>
      </c>
      <c r="L429" s="16"/>
      <c r="M429" s="67" t="s">
        <v>1299</v>
      </c>
      <c r="N429" s="13"/>
      <c r="O429" s="11" t="s">
        <v>27</v>
      </c>
      <c r="P429" s="7" t="s">
        <v>715</v>
      </c>
      <c r="Q429" s="14" t="b">
        <f t="shared" si="1"/>
        <v>1</v>
      </c>
      <c r="R429" s="15" t="b">
        <f t="shared" si="2"/>
        <v>0</v>
      </c>
      <c r="S429" s="15" t="str">
        <f t="shared" si="3"/>
        <v>APPROVED</v>
      </c>
    </row>
    <row r="430" ht="15.75" customHeight="1">
      <c r="A430" s="24" t="s">
        <v>1300</v>
      </c>
      <c r="B430" s="25" t="s">
        <v>306</v>
      </c>
      <c r="C430" s="26">
        <v>45901.0</v>
      </c>
      <c r="D430" s="26">
        <v>45666.0</v>
      </c>
      <c r="E430" s="24" t="s">
        <v>21</v>
      </c>
      <c r="F430" s="24">
        <v>48.0</v>
      </c>
      <c r="G430" s="27">
        <v>135.0</v>
      </c>
      <c r="H430" s="24" t="s">
        <v>177</v>
      </c>
      <c r="I430" s="28" t="s">
        <v>23</v>
      </c>
      <c r="J430" s="28" t="s">
        <v>172</v>
      </c>
      <c r="K430" s="28" t="s">
        <v>25</v>
      </c>
      <c r="M430" s="29" t="s">
        <v>1301</v>
      </c>
      <c r="N430" s="25"/>
      <c r="O430" s="28" t="s">
        <v>1271</v>
      </c>
      <c r="P430" s="24" t="s">
        <v>177</v>
      </c>
      <c r="Q430" s="14" t="b">
        <f t="shared" si="1"/>
        <v>1</v>
      </c>
      <c r="R430" s="15" t="b">
        <f t="shared" si="2"/>
        <v>0</v>
      </c>
      <c r="S430" s="15" t="str">
        <f t="shared" si="3"/>
        <v>APPROVED</v>
      </c>
    </row>
    <row r="431" ht="15.75" customHeight="1">
      <c r="A431" s="7" t="s">
        <v>1302</v>
      </c>
      <c r="B431" s="8" t="s">
        <v>288</v>
      </c>
      <c r="C431" s="9">
        <v>45902.0</v>
      </c>
      <c r="D431" s="9">
        <v>45697.0</v>
      </c>
      <c r="E431" s="7" t="s">
        <v>21</v>
      </c>
      <c r="F431" s="7">
        <v>48.0</v>
      </c>
      <c r="G431" s="10">
        <v>128.0</v>
      </c>
      <c r="H431" s="7" t="s">
        <v>177</v>
      </c>
      <c r="I431" s="11" t="s">
        <v>23</v>
      </c>
      <c r="J431" s="11" t="s">
        <v>35</v>
      </c>
      <c r="K431" s="11" t="s">
        <v>25</v>
      </c>
      <c r="L431" s="16"/>
      <c r="M431" s="12" t="s">
        <v>1303</v>
      </c>
      <c r="N431" s="13"/>
      <c r="O431" s="11" t="s">
        <v>27</v>
      </c>
      <c r="P431" s="7" t="s">
        <v>177</v>
      </c>
      <c r="Q431" s="14" t="b">
        <f t="shared" si="1"/>
        <v>1</v>
      </c>
      <c r="R431" s="15" t="b">
        <f t="shared" si="2"/>
        <v>0</v>
      </c>
      <c r="S431" s="15" t="str">
        <f t="shared" si="3"/>
        <v>APPROVED</v>
      </c>
    </row>
    <row r="432" ht="15.75" customHeight="1">
      <c r="A432" s="24" t="s">
        <v>1304</v>
      </c>
      <c r="B432" s="115" t="s">
        <v>574</v>
      </c>
      <c r="C432" s="26">
        <v>45903.0</v>
      </c>
      <c r="D432" s="26">
        <v>45725.0</v>
      </c>
      <c r="E432" s="24" t="s">
        <v>21</v>
      </c>
      <c r="F432" s="24">
        <v>960.0</v>
      </c>
      <c r="G432" s="27"/>
      <c r="H432" s="24" t="s">
        <v>1182</v>
      </c>
      <c r="I432" s="28" t="s">
        <v>23</v>
      </c>
      <c r="J432" s="24"/>
      <c r="K432" s="28" t="s">
        <v>31</v>
      </c>
      <c r="M432" s="29"/>
      <c r="N432" s="25"/>
      <c r="O432" s="28" t="s">
        <v>27</v>
      </c>
      <c r="P432" s="24" t="s">
        <v>1182</v>
      </c>
      <c r="Q432" s="14" t="b">
        <f t="shared" si="1"/>
        <v>0</v>
      </c>
      <c r="R432" s="15" t="b">
        <f t="shared" si="2"/>
        <v>0</v>
      </c>
      <c r="S432" s="15" t="str">
        <f t="shared" si="3"/>
        <v>PENDING</v>
      </c>
    </row>
    <row r="433" ht="15.75" customHeight="1">
      <c r="A433" s="24" t="s">
        <v>1305</v>
      </c>
      <c r="B433" s="128" t="s">
        <v>574</v>
      </c>
      <c r="C433" s="26">
        <v>45903.0</v>
      </c>
      <c r="D433" s="26">
        <v>45725.0</v>
      </c>
      <c r="E433" s="24" t="s">
        <v>21</v>
      </c>
      <c r="F433" s="24">
        <v>360.0</v>
      </c>
      <c r="G433" s="27"/>
      <c r="H433" s="24" t="s">
        <v>744</v>
      </c>
      <c r="I433" s="28" t="s">
        <v>23</v>
      </c>
      <c r="J433" s="24"/>
      <c r="K433" s="28" t="s">
        <v>31</v>
      </c>
      <c r="M433" s="29"/>
      <c r="N433" s="25"/>
      <c r="O433" s="28" t="s">
        <v>27</v>
      </c>
      <c r="P433" s="24" t="s">
        <v>744</v>
      </c>
      <c r="Q433" s="14" t="b">
        <f t="shared" si="1"/>
        <v>0</v>
      </c>
      <c r="R433" s="15" t="b">
        <f t="shared" si="2"/>
        <v>0</v>
      </c>
      <c r="S433" s="15" t="str">
        <f t="shared" si="3"/>
        <v>PENDING</v>
      </c>
    </row>
    <row r="434" ht="15.75" customHeight="1">
      <c r="A434" s="7" t="s">
        <v>1306</v>
      </c>
      <c r="B434" s="8" t="s">
        <v>1307</v>
      </c>
      <c r="C434" s="9">
        <v>45903.0</v>
      </c>
      <c r="D434" s="9">
        <v>45725.0</v>
      </c>
      <c r="E434" s="7" t="s">
        <v>21</v>
      </c>
      <c r="F434" s="7">
        <v>24.0</v>
      </c>
      <c r="G434" s="10">
        <v>128.0</v>
      </c>
      <c r="H434" s="7" t="s">
        <v>715</v>
      </c>
      <c r="I434" s="11" t="s">
        <v>23</v>
      </c>
      <c r="J434" s="11" t="s">
        <v>30</v>
      </c>
      <c r="K434" s="11" t="s">
        <v>25</v>
      </c>
      <c r="L434" s="16"/>
      <c r="M434" s="12"/>
      <c r="N434" s="13"/>
      <c r="O434" s="11" t="s">
        <v>27</v>
      </c>
      <c r="P434" s="7" t="s">
        <v>715</v>
      </c>
      <c r="Q434" s="14" t="b">
        <f t="shared" si="1"/>
        <v>1</v>
      </c>
      <c r="R434" s="15" t="b">
        <f t="shared" si="2"/>
        <v>0</v>
      </c>
      <c r="S434" s="15" t="str">
        <f t="shared" si="3"/>
        <v>APPROVED</v>
      </c>
    </row>
    <row r="435" ht="15.75" customHeight="1">
      <c r="A435" s="24" t="s">
        <v>1308</v>
      </c>
      <c r="B435" s="115" t="s">
        <v>1087</v>
      </c>
      <c r="C435" s="26">
        <v>45903.0</v>
      </c>
      <c r="D435" s="26">
        <v>45725.0</v>
      </c>
      <c r="E435" s="24" t="s">
        <v>21</v>
      </c>
      <c r="F435" s="24">
        <v>96.0</v>
      </c>
      <c r="G435" s="27">
        <v>119.0</v>
      </c>
      <c r="H435" s="24" t="s">
        <v>744</v>
      </c>
      <c r="I435" s="28" t="s">
        <v>23</v>
      </c>
      <c r="J435" s="28" t="s">
        <v>172</v>
      </c>
      <c r="K435" s="28" t="s">
        <v>482</v>
      </c>
      <c r="M435" s="29"/>
      <c r="N435" s="25"/>
      <c r="O435" s="28" t="s">
        <v>27</v>
      </c>
      <c r="P435" s="24" t="s">
        <v>744</v>
      </c>
      <c r="Q435" s="14" t="b">
        <f t="shared" si="1"/>
        <v>0</v>
      </c>
      <c r="R435" s="15" t="b">
        <f t="shared" si="2"/>
        <v>0</v>
      </c>
      <c r="S435" s="15" t="str">
        <f t="shared" si="3"/>
        <v>PENDING</v>
      </c>
    </row>
    <row r="436" ht="15.75" customHeight="1">
      <c r="A436" s="24" t="s">
        <v>1309</v>
      </c>
      <c r="B436" s="25" t="s">
        <v>886</v>
      </c>
      <c r="C436" s="26">
        <v>45903.0</v>
      </c>
      <c r="D436" s="26">
        <v>45725.0</v>
      </c>
      <c r="E436" s="24" t="s">
        <v>21</v>
      </c>
      <c r="F436" s="24">
        <v>72.0</v>
      </c>
      <c r="G436" s="27">
        <v>128.25</v>
      </c>
      <c r="H436" s="24" t="s">
        <v>715</v>
      </c>
      <c r="I436" s="28" t="s">
        <v>23</v>
      </c>
      <c r="J436" s="28" t="s">
        <v>172</v>
      </c>
      <c r="K436" s="28" t="s">
        <v>49</v>
      </c>
      <c r="M436" s="29"/>
      <c r="N436" s="25"/>
      <c r="O436" s="28" t="s">
        <v>27</v>
      </c>
      <c r="P436" s="24" t="s">
        <v>715</v>
      </c>
      <c r="Q436" s="14" t="b">
        <f t="shared" si="1"/>
        <v>0</v>
      </c>
      <c r="R436" s="15" t="b">
        <f t="shared" si="2"/>
        <v>0</v>
      </c>
      <c r="S436" s="15" t="str">
        <f t="shared" si="3"/>
        <v>PENDING</v>
      </c>
    </row>
    <row r="437" ht="15.75" customHeight="1">
      <c r="A437" s="24" t="s">
        <v>1310</v>
      </c>
      <c r="B437" s="25" t="s">
        <v>1311</v>
      </c>
      <c r="C437" s="26">
        <v>45901.0</v>
      </c>
      <c r="D437" s="26">
        <v>45666.0</v>
      </c>
      <c r="E437" s="24" t="s">
        <v>21</v>
      </c>
      <c r="F437" s="24">
        <v>24.0</v>
      </c>
      <c r="G437" s="27">
        <v>119.0</v>
      </c>
      <c r="H437" s="24" t="s">
        <v>715</v>
      </c>
      <c r="I437" s="28" t="s">
        <v>23</v>
      </c>
      <c r="J437" s="28" t="s">
        <v>172</v>
      </c>
      <c r="K437" s="28" t="s">
        <v>25</v>
      </c>
      <c r="M437" s="29" t="s">
        <v>1312</v>
      </c>
      <c r="N437" s="25"/>
      <c r="O437" s="28" t="s">
        <v>27</v>
      </c>
      <c r="P437" s="24" t="s">
        <v>715</v>
      </c>
      <c r="Q437" s="14" t="b">
        <f t="shared" si="1"/>
        <v>1</v>
      </c>
      <c r="R437" s="15" t="b">
        <f t="shared" si="2"/>
        <v>0</v>
      </c>
      <c r="S437" s="15" t="str">
        <f t="shared" si="3"/>
        <v>APPROVED</v>
      </c>
    </row>
    <row r="438" ht="15.75" customHeight="1">
      <c r="A438" s="24" t="s">
        <v>1313</v>
      </c>
      <c r="B438" s="115" t="s">
        <v>222</v>
      </c>
      <c r="C438" s="26">
        <v>45901.0</v>
      </c>
      <c r="D438" s="26"/>
      <c r="E438" s="24" t="s">
        <v>21</v>
      </c>
      <c r="F438" s="24">
        <v>24.0</v>
      </c>
      <c r="G438" s="27"/>
      <c r="H438" s="24" t="s">
        <v>22</v>
      </c>
      <c r="I438" s="28" t="s">
        <v>23</v>
      </c>
      <c r="J438" s="24"/>
      <c r="K438" s="28" t="s">
        <v>31</v>
      </c>
      <c r="M438" s="29"/>
      <c r="N438" s="115" t="s">
        <v>32</v>
      </c>
      <c r="O438" s="68" t="s">
        <v>417</v>
      </c>
      <c r="P438" s="24" t="s">
        <v>22</v>
      </c>
      <c r="Q438" s="14" t="b">
        <f t="shared" si="1"/>
        <v>0</v>
      </c>
      <c r="R438" s="15" t="b">
        <f t="shared" si="2"/>
        <v>0</v>
      </c>
      <c r="S438" s="15" t="str">
        <f t="shared" si="3"/>
        <v>PENDING</v>
      </c>
    </row>
    <row r="439" ht="15.75" customHeight="1">
      <c r="A439" s="7" t="s">
        <v>1314</v>
      </c>
      <c r="B439" s="13" t="s">
        <v>1027</v>
      </c>
      <c r="C439" s="9">
        <v>45903.0</v>
      </c>
      <c r="D439" s="9">
        <v>45756.0</v>
      </c>
      <c r="E439" s="7" t="s">
        <v>21</v>
      </c>
      <c r="F439" s="7">
        <v>240.0</v>
      </c>
      <c r="G439" s="10">
        <v>100.0</v>
      </c>
      <c r="H439" s="7" t="s">
        <v>22</v>
      </c>
      <c r="I439" s="11" t="s">
        <v>23</v>
      </c>
      <c r="J439" s="11" t="s">
        <v>30</v>
      </c>
      <c r="K439" s="11" t="s">
        <v>25</v>
      </c>
      <c r="L439" s="16"/>
      <c r="M439" s="12" t="s">
        <v>1029</v>
      </c>
      <c r="N439" s="13"/>
      <c r="O439" s="11" t="s">
        <v>27</v>
      </c>
      <c r="P439" s="7" t="s">
        <v>22</v>
      </c>
      <c r="Q439" s="14" t="b">
        <f t="shared" si="1"/>
        <v>1</v>
      </c>
      <c r="R439" s="15" t="b">
        <f t="shared" si="2"/>
        <v>0</v>
      </c>
      <c r="S439" s="15" t="str">
        <f t="shared" si="3"/>
        <v>APPROVED</v>
      </c>
    </row>
    <row r="440" ht="15.75" customHeight="1">
      <c r="A440" s="24" t="s">
        <v>1315</v>
      </c>
      <c r="B440" s="115" t="s">
        <v>1316</v>
      </c>
      <c r="C440" s="26">
        <v>45904.0</v>
      </c>
      <c r="D440" s="26">
        <v>45756.0</v>
      </c>
      <c r="E440" s="24" t="s">
        <v>21</v>
      </c>
      <c r="F440" s="24">
        <v>24.0</v>
      </c>
      <c r="G440" s="27"/>
      <c r="H440" s="24" t="s">
        <v>744</v>
      </c>
      <c r="I440" s="28" t="s">
        <v>23</v>
      </c>
      <c r="J440" s="24"/>
      <c r="K440" s="28" t="s">
        <v>31</v>
      </c>
      <c r="M440" s="29"/>
      <c r="N440" s="115" t="s">
        <v>914</v>
      </c>
      <c r="O440" s="28" t="s">
        <v>27</v>
      </c>
      <c r="P440" s="24" t="s">
        <v>744</v>
      </c>
      <c r="Q440" s="14" t="b">
        <f t="shared" si="1"/>
        <v>0</v>
      </c>
      <c r="R440" s="15" t="b">
        <f t="shared" si="2"/>
        <v>0</v>
      </c>
      <c r="S440" s="15" t="str">
        <f t="shared" si="3"/>
        <v>PENDING</v>
      </c>
    </row>
    <row r="441" ht="15.75" customHeight="1">
      <c r="A441" s="24" t="s">
        <v>1317</v>
      </c>
      <c r="B441" s="25" t="s">
        <v>1318</v>
      </c>
      <c r="C441" s="26">
        <v>45905.0</v>
      </c>
      <c r="D441" s="26">
        <v>45786.0</v>
      </c>
      <c r="E441" s="24" t="s">
        <v>21</v>
      </c>
      <c r="F441" s="24">
        <v>120.0</v>
      </c>
      <c r="G441" s="27">
        <v>105.0</v>
      </c>
      <c r="H441" s="24" t="s">
        <v>744</v>
      </c>
      <c r="I441" s="28" t="s">
        <v>23</v>
      </c>
      <c r="J441" s="28" t="s">
        <v>172</v>
      </c>
      <c r="K441" s="28" t="s">
        <v>482</v>
      </c>
      <c r="M441" s="29"/>
      <c r="N441" s="29" t="s">
        <v>1319</v>
      </c>
      <c r="O441" s="28" t="s">
        <v>27</v>
      </c>
      <c r="P441" s="24" t="s">
        <v>744</v>
      </c>
      <c r="Q441" s="14" t="b">
        <f t="shared" si="1"/>
        <v>0</v>
      </c>
      <c r="R441" s="15" t="b">
        <f t="shared" si="2"/>
        <v>0</v>
      </c>
      <c r="S441" s="15" t="str">
        <f t="shared" si="3"/>
        <v>PENDING</v>
      </c>
    </row>
    <row r="442" ht="15.75" customHeight="1">
      <c r="A442" s="24" t="s">
        <v>1320</v>
      </c>
      <c r="B442" s="25" t="s">
        <v>906</v>
      </c>
      <c r="C442" s="26">
        <v>45906.0</v>
      </c>
      <c r="D442" s="26">
        <v>45817.0</v>
      </c>
      <c r="E442" s="24" t="s">
        <v>21</v>
      </c>
      <c r="F442" s="24">
        <v>96.0</v>
      </c>
      <c r="G442" s="27">
        <v>119.0</v>
      </c>
      <c r="H442" s="24" t="s">
        <v>715</v>
      </c>
      <c r="I442" s="28" t="s">
        <v>23</v>
      </c>
      <c r="J442" s="28" t="s">
        <v>172</v>
      </c>
      <c r="K442" s="28" t="s">
        <v>482</v>
      </c>
      <c r="M442" s="29"/>
      <c r="N442" s="25"/>
      <c r="O442" s="28" t="s">
        <v>27</v>
      </c>
      <c r="P442" s="24" t="s">
        <v>715</v>
      </c>
      <c r="Q442" s="14" t="b">
        <f t="shared" si="1"/>
        <v>0</v>
      </c>
      <c r="R442" s="15" t="b">
        <f t="shared" si="2"/>
        <v>0</v>
      </c>
      <c r="S442" s="15" t="str">
        <f t="shared" si="3"/>
        <v>PENDING</v>
      </c>
    </row>
    <row r="443" ht="15.75" customHeight="1">
      <c r="A443" s="24" t="s">
        <v>1321</v>
      </c>
      <c r="B443" s="115" t="s">
        <v>714</v>
      </c>
      <c r="C443" s="26">
        <v>45906.0</v>
      </c>
      <c r="D443" s="26">
        <v>45817.0</v>
      </c>
      <c r="E443" s="24" t="s">
        <v>21</v>
      </c>
      <c r="F443" s="24">
        <v>240.0</v>
      </c>
      <c r="G443" s="27"/>
      <c r="H443" s="24" t="s">
        <v>715</v>
      </c>
      <c r="I443" s="28" t="s">
        <v>23</v>
      </c>
      <c r="J443" s="24"/>
      <c r="K443" s="28" t="s">
        <v>31</v>
      </c>
      <c r="M443" s="29"/>
      <c r="N443" s="25"/>
      <c r="O443" s="28" t="s">
        <v>27</v>
      </c>
      <c r="P443" s="24" t="s">
        <v>715</v>
      </c>
      <c r="Q443" s="14" t="b">
        <f t="shared" si="1"/>
        <v>0</v>
      </c>
      <c r="R443" s="15" t="b">
        <f t="shared" si="2"/>
        <v>0</v>
      </c>
      <c r="S443" s="15" t="str">
        <f t="shared" si="3"/>
        <v>PENDING</v>
      </c>
    </row>
    <row r="444" ht="15.75" customHeight="1">
      <c r="A444" s="7" t="s">
        <v>1322</v>
      </c>
      <c r="B444" s="8" t="s">
        <v>1323</v>
      </c>
      <c r="C444" s="9">
        <v>45908.0</v>
      </c>
      <c r="D444" s="9">
        <v>45878.0</v>
      </c>
      <c r="E444" s="7" t="s">
        <v>21</v>
      </c>
      <c r="F444" s="7">
        <v>480.0</v>
      </c>
      <c r="G444" s="10">
        <v>95.0</v>
      </c>
      <c r="H444" s="7" t="s">
        <v>177</v>
      </c>
      <c r="I444" s="11" t="s">
        <v>23</v>
      </c>
      <c r="J444" s="11" t="s">
        <v>30</v>
      </c>
      <c r="K444" s="11" t="s">
        <v>25</v>
      </c>
      <c r="L444" s="16"/>
      <c r="M444" s="12" t="s">
        <v>1324</v>
      </c>
      <c r="N444" s="13"/>
      <c r="O444" s="11" t="s">
        <v>27</v>
      </c>
      <c r="P444" s="7" t="s">
        <v>177</v>
      </c>
      <c r="Q444" s="14" t="b">
        <f t="shared" si="1"/>
        <v>1</v>
      </c>
      <c r="R444" s="15" t="b">
        <f t="shared" si="2"/>
        <v>0</v>
      </c>
      <c r="S444" s="15" t="str">
        <f t="shared" si="3"/>
        <v>APPROVED</v>
      </c>
    </row>
    <row r="445" ht="15.75" customHeight="1">
      <c r="A445" s="24" t="s">
        <v>1325</v>
      </c>
      <c r="B445" s="25" t="s">
        <v>919</v>
      </c>
      <c r="C445" s="26">
        <v>45903.0</v>
      </c>
      <c r="D445" s="26">
        <v>45725.0</v>
      </c>
      <c r="E445" s="24" t="s">
        <v>21</v>
      </c>
      <c r="F445" s="24">
        <v>24.0</v>
      </c>
      <c r="G445" s="27">
        <v>121.84</v>
      </c>
      <c r="H445" s="24" t="s">
        <v>744</v>
      </c>
      <c r="I445" s="28" t="s">
        <v>23</v>
      </c>
      <c r="J445" s="28" t="s">
        <v>172</v>
      </c>
      <c r="K445" s="28" t="s">
        <v>482</v>
      </c>
      <c r="M445" s="29"/>
      <c r="N445" s="25"/>
      <c r="O445" s="28" t="s">
        <v>27</v>
      </c>
      <c r="P445" s="24" t="s">
        <v>744</v>
      </c>
      <c r="Q445" s="14" t="b">
        <f t="shared" si="1"/>
        <v>0</v>
      </c>
      <c r="R445" s="15" t="b">
        <f t="shared" si="2"/>
        <v>0</v>
      </c>
      <c r="S445" s="15" t="str">
        <f t="shared" si="3"/>
        <v>PENDING</v>
      </c>
    </row>
    <row r="446" ht="15.75" customHeight="1">
      <c r="A446" s="24" t="s">
        <v>1326</v>
      </c>
      <c r="B446" s="25" t="s">
        <v>515</v>
      </c>
      <c r="C446" s="26">
        <v>45908.0</v>
      </c>
      <c r="D446" s="26">
        <v>45878.0</v>
      </c>
      <c r="E446" s="24" t="s">
        <v>21</v>
      </c>
      <c r="F446" s="24">
        <v>24.0</v>
      </c>
      <c r="G446" s="27">
        <v>119.0</v>
      </c>
      <c r="H446" s="24" t="s">
        <v>177</v>
      </c>
      <c r="I446" s="28" t="s">
        <v>23</v>
      </c>
      <c r="J446" s="28" t="s">
        <v>172</v>
      </c>
      <c r="K446" s="28" t="s">
        <v>482</v>
      </c>
      <c r="M446" s="29"/>
      <c r="N446" s="25"/>
      <c r="O446" s="28" t="s">
        <v>27</v>
      </c>
      <c r="P446" s="24" t="s">
        <v>177</v>
      </c>
      <c r="Q446" s="14" t="b">
        <f t="shared" si="1"/>
        <v>0</v>
      </c>
      <c r="R446" s="15" t="b">
        <f t="shared" si="2"/>
        <v>0</v>
      </c>
      <c r="S446" s="15" t="str">
        <f t="shared" si="3"/>
        <v>PENDING</v>
      </c>
    </row>
    <row r="447" ht="15.75" customHeight="1">
      <c r="A447" s="24" t="s">
        <v>1327</v>
      </c>
      <c r="B447" s="25" t="s">
        <v>1328</v>
      </c>
      <c r="C447" s="26">
        <v>45908.0</v>
      </c>
      <c r="D447" s="26">
        <v>45878.0</v>
      </c>
      <c r="E447" s="24" t="s">
        <v>21</v>
      </c>
      <c r="F447" s="24">
        <v>24.0</v>
      </c>
      <c r="G447" s="27">
        <v>118.18</v>
      </c>
      <c r="H447" s="24" t="s">
        <v>177</v>
      </c>
      <c r="I447" s="28" t="s">
        <v>23</v>
      </c>
      <c r="J447" s="28" t="s">
        <v>172</v>
      </c>
      <c r="K447" s="28" t="s">
        <v>84</v>
      </c>
      <c r="M447" s="29" t="s">
        <v>1329</v>
      </c>
      <c r="N447" s="25"/>
      <c r="O447" s="28" t="s">
        <v>27</v>
      </c>
      <c r="P447" s="24" t="s">
        <v>177</v>
      </c>
      <c r="Q447" s="14" t="b">
        <f t="shared" si="1"/>
        <v>0</v>
      </c>
      <c r="R447" s="15" t="b">
        <f t="shared" si="2"/>
        <v>0</v>
      </c>
      <c r="S447" s="15" t="str">
        <f t="shared" si="3"/>
        <v>PENDING</v>
      </c>
    </row>
    <row r="448" ht="15.75" customHeight="1">
      <c r="A448" s="24" t="s">
        <v>1330</v>
      </c>
      <c r="B448" s="25" t="s">
        <v>1255</v>
      </c>
      <c r="C448" s="26">
        <v>45908.0</v>
      </c>
      <c r="D448" s="26">
        <v>45878.0</v>
      </c>
      <c r="E448" s="24" t="s">
        <v>21</v>
      </c>
      <c r="F448" s="24">
        <v>48.0</v>
      </c>
      <c r="G448" s="27">
        <v>118.18</v>
      </c>
      <c r="H448" s="24" t="s">
        <v>177</v>
      </c>
      <c r="I448" s="28" t="s">
        <v>23</v>
      </c>
      <c r="J448" s="28" t="s">
        <v>172</v>
      </c>
      <c r="K448" s="28" t="s">
        <v>482</v>
      </c>
      <c r="M448" s="29"/>
      <c r="N448" s="25"/>
      <c r="O448" s="28" t="s">
        <v>27</v>
      </c>
      <c r="P448" s="24" t="s">
        <v>177</v>
      </c>
      <c r="Q448" s="14" t="b">
        <f t="shared" si="1"/>
        <v>0</v>
      </c>
      <c r="R448" s="15" t="b">
        <f t="shared" si="2"/>
        <v>0</v>
      </c>
      <c r="S448" s="15" t="str">
        <f t="shared" si="3"/>
        <v>PENDING</v>
      </c>
    </row>
    <row r="449" ht="15.75" customHeight="1">
      <c r="A449" s="24" t="s">
        <v>1331</v>
      </c>
      <c r="B449" s="115" t="s">
        <v>643</v>
      </c>
      <c r="C449" s="26">
        <v>45909.0</v>
      </c>
      <c r="D449" s="26">
        <v>45909.0</v>
      </c>
      <c r="E449" s="24" t="s">
        <v>21</v>
      </c>
      <c r="F449" s="24">
        <v>24.0</v>
      </c>
      <c r="G449" s="27">
        <v>119.0</v>
      </c>
      <c r="H449" s="24" t="s">
        <v>177</v>
      </c>
      <c r="I449" s="28" t="s">
        <v>23</v>
      </c>
      <c r="J449" s="28" t="s">
        <v>172</v>
      </c>
      <c r="K449" s="28" t="s">
        <v>49</v>
      </c>
      <c r="M449" s="29"/>
      <c r="N449" s="25"/>
      <c r="O449" s="28" t="s">
        <v>27</v>
      </c>
      <c r="P449" s="24" t="s">
        <v>177</v>
      </c>
      <c r="Q449" s="14" t="b">
        <f t="shared" si="1"/>
        <v>0</v>
      </c>
      <c r="R449" s="15" t="b">
        <f t="shared" si="2"/>
        <v>0</v>
      </c>
      <c r="S449" s="15" t="str">
        <f t="shared" si="3"/>
        <v>PENDING</v>
      </c>
    </row>
    <row r="450" ht="15.75" customHeight="1">
      <c r="A450" s="24" t="s">
        <v>1332</v>
      </c>
      <c r="B450" s="25" t="s">
        <v>574</v>
      </c>
      <c r="C450" s="26">
        <v>45902.0</v>
      </c>
      <c r="D450" s="26">
        <v>45909.0</v>
      </c>
      <c r="E450" s="24" t="s">
        <v>21</v>
      </c>
      <c r="F450" s="24">
        <v>48.0</v>
      </c>
      <c r="G450" s="27">
        <v>118.0</v>
      </c>
      <c r="H450" s="24" t="s">
        <v>1182</v>
      </c>
      <c r="I450" s="28" t="s">
        <v>23</v>
      </c>
      <c r="J450" s="28" t="s">
        <v>24</v>
      </c>
      <c r="K450" s="28" t="s">
        <v>49</v>
      </c>
      <c r="M450" s="29" t="s">
        <v>1274</v>
      </c>
      <c r="N450" s="25"/>
      <c r="O450" s="28" t="s">
        <v>27</v>
      </c>
      <c r="P450" s="24" t="s">
        <v>1182</v>
      </c>
      <c r="Q450" s="14" t="b">
        <f t="shared" si="1"/>
        <v>0</v>
      </c>
      <c r="R450" s="15" t="b">
        <f t="shared" si="2"/>
        <v>0</v>
      </c>
      <c r="S450" s="15" t="str">
        <f t="shared" si="3"/>
        <v>PENDING</v>
      </c>
    </row>
    <row r="451" ht="15.75" customHeight="1">
      <c r="A451" s="24" t="s">
        <v>1333</v>
      </c>
      <c r="B451" s="115" t="s">
        <v>1334</v>
      </c>
      <c r="C451" s="26">
        <v>45903.0</v>
      </c>
      <c r="D451" s="26">
        <v>45909.0</v>
      </c>
      <c r="E451" s="24" t="s">
        <v>21</v>
      </c>
      <c r="F451" s="24">
        <v>24.0</v>
      </c>
      <c r="G451" s="27">
        <v>118.0</v>
      </c>
      <c r="H451" s="24" t="s">
        <v>1182</v>
      </c>
      <c r="I451" s="28" t="s">
        <v>23</v>
      </c>
      <c r="J451" s="28" t="s">
        <v>24</v>
      </c>
      <c r="K451" s="28" t="s">
        <v>49</v>
      </c>
      <c r="M451" s="29" t="s">
        <v>1274</v>
      </c>
      <c r="N451" s="25"/>
      <c r="O451" s="28" t="s">
        <v>27</v>
      </c>
      <c r="P451" s="24" t="s">
        <v>1182</v>
      </c>
      <c r="Q451" s="14" t="b">
        <f t="shared" si="1"/>
        <v>0</v>
      </c>
      <c r="R451" s="15" t="b">
        <f t="shared" si="2"/>
        <v>0</v>
      </c>
      <c r="S451" s="15" t="str">
        <f t="shared" si="3"/>
        <v>PENDING</v>
      </c>
    </row>
    <row r="452" ht="15.75" customHeight="1">
      <c r="A452" s="24" t="s">
        <v>1335</v>
      </c>
      <c r="B452" s="25" t="s">
        <v>574</v>
      </c>
      <c r="C452" s="26">
        <v>45904.0</v>
      </c>
      <c r="D452" s="26">
        <v>45909.0</v>
      </c>
      <c r="E452" s="24" t="s">
        <v>21</v>
      </c>
      <c r="F452" s="24">
        <v>24.0</v>
      </c>
      <c r="G452" s="27">
        <v>118.0</v>
      </c>
      <c r="H452" s="24" t="s">
        <v>1182</v>
      </c>
      <c r="I452" s="28" t="s">
        <v>23</v>
      </c>
      <c r="J452" s="28" t="s">
        <v>24</v>
      </c>
      <c r="K452" s="28" t="s">
        <v>49</v>
      </c>
      <c r="M452" s="29" t="s">
        <v>1274</v>
      </c>
      <c r="N452" s="25"/>
      <c r="O452" s="28" t="s">
        <v>27</v>
      </c>
      <c r="P452" s="24" t="s">
        <v>1182</v>
      </c>
      <c r="Q452" s="14" t="b">
        <f t="shared" si="1"/>
        <v>0</v>
      </c>
      <c r="R452" s="15" t="b">
        <f t="shared" si="2"/>
        <v>0</v>
      </c>
      <c r="S452" s="15" t="str">
        <f t="shared" si="3"/>
        <v>PENDING</v>
      </c>
    </row>
    <row r="453" ht="15.75" customHeight="1">
      <c r="A453" s="24" t="s">
        <v>1336</v>
      </c>
      <c r="B453" s="115" t="s">
        <v>1337</v>
      </c>
      <c r="C453" s="26">
        <v>45905.0</v>
      </c>
      <c r="D453" s="26">
        <v>45909.0</v>
      </c>
      <c r="E453" s="24" t="s">
        <v>21</v>
      </c>
      <c r="F453" s="24">
        <v>24.0</v>
      </c>
      <c r="G453" s="27">
        <v>118.0</v>
      </c>
      <c r="H453" s="24" t="s">
        <v>1182</v>
      </c>
      <c r="I453" s="28" t="s">
        <v>23</v>
      </c>
      <c r="J453" s="28" t="s">
        <v>35</v>
      </c>
      <c r="K453" s="28" t="s">
        <v>49</v>
      </c>
      <c r="M453" s="29" t="s">
        <v>1274</v>
      </c>
      <c r="N453" s="25"/>
      <c r="O453" s="28" t="s">
        <v>27</v>
      </c>
      <c r="P453" s="24" t="s">
        <v>1182</v>
      </c>
      <c r="Q453" s="14" t="b">
        <f t="shared" si="1"/>
        <v>0</v>
      </c>
      <c r="R453" s="15" t="b">
        <f t="shared" si="2"/>
        <v>0</v>
      </c>
      <c r="S453" s="15" t="str">
        <f t="shared" si="3"/>
        <v>PENDING</v>
      </c>
    </row>
    <row r="454" ht="15.75" customHeight="1">
      <c r="A454" s="24" t="s">
        <v>1338</v>
      </c>
      <c r="B454" s="25" t="s">
        <v>1339</v>
      </c>
      <c r="C454" s="26">
        <v>45906.0</v>
      </c>
      <c r="D454" s="26">
        <v>45909.0</v>
      </c>
      <c r="E454" s="24" t="s">
        <v>21</v>
      </c>
      <c r="F454" s="24">
        <v>24.0</v>
      </c>
      <c r="G454" s="27">
        <v>118.0</v>
      </c>
      <c r="H454" s="24" t="s">
        <v>1182</v>
      </c>
      <c r="I454" s="28" t="s">
        <v>23</v>
      </c>
      <c r="J454" s="28" t="s">
        <v>24</v>
      </c>
      <c r="K454" s="28" t="s">
        <v>49</v>
      </c>
      <c r="M454" s="29" t="s">
        <v>1274</v>
      </c>
      <c r="N454" s="25"/>
      <c r="O454" s="28" t="s">
        <v>27</v>
      </c>
      <c r="P454" s="24" t="s">
        <v>1182</v>
      </c>
      <c r="Q454" s="14" t="b">
        <f t="shared" si="1"/>
        <v>0</v>
      </c>
      <c r="R454" s="15" t="b">
        <f t="shared" si="2"/>
        <v>0</v>
      </c>
      <c r="S454" s="15" t="str">
        <f t="shared" si="3"/>
        <v>PENDING</v>
      </c>
    </row>
    <row r="455" ht="15.75" customHeight="1">
      <c r="A455" s="24" t="s">
        <v>1340</v>
      </c>
      <c r="B455" s="115" t="s">
        <v>1283</v>
      </c>
      <c r="C455" s="26">
        <v>45908.0</v>
      </c>
      <c r="D455" s="26">
        <v>45909.0</v>
      </c>
      <c r="E455" s="24" t="s">
        <v>21</v>
      </c>
      <c r="F455" s="24">
        <v>48.0</v>
      </c>
      <c r="G455" s="27">
        <v>118.0</v>
      </c>
      <c r="H455" s="24" t="s">
        <v>1182</v>
      </c>
      <c r="I455" s="28" t="s">
        <v>23</v>
      </c>
      <c r="J455" s="28" t="s">
        <v>24</v>
      </c>
      <c r="K455" s="28" t="s">
        <v>49</v>
      </c>
      <c r="M455" s="29" t="s">
        <v>1274</v>
      </c>
      <c r="N455" s="25"/>
      <c r="O455" s="28" t="s">
        <v>27</v>
      </c>
      <c r="P455" s="24" t="s">
        <v>1182</v>
      </c>
      <c r="Q455" s="14" t="b">
        <f t="shared" si="1"/>
        <v>0</v>
      </c>
      <c r="R455" s="15" t="b">
        <f t="shared" si="2"/>
        <v>0</v>
      </c>
      <c r="S455" s="15" t="str">
        <f t="shared" si="3"/>
        <v>PENDING</v>
      </c>
    </row>
    <row r="456" ht="15.75" customHeight="1">
      <c r="A456" s="24" t="s">
        <v>1341</v>
      </c>
      <c r="B456" s="115" t="s">
        <v>29</v>
      </c>
      <c r="C456" s="26">
        <v>45909.0</v>
      </c>
      <c r="D456" s="26">
        <v>45909.0</v>
      </c>
      <c r="E456" s="24" t="s">
        <v>1287</v>
      </c>
      <c r="F456" s="24">
        <v>40.0</v>
      </c>
      <c r="G456" s="27"/>
      <c r="H456" s="24" t="s">
        <v>22</v>
      </c>
      <c r="I456" s="28" t="s">
        <v>23</v>
      </c>
      <c r="J456" s="24"/>
      <c r="K456" s="28" t="s">
        <v>31</v>
      </c>
      <c r="M456" s="29"/>
      <c r="N456" s="115" t="s">
        <v>914</v>
      </c>
      <c r="O456" s="28" t="s">
        <v>27</v>
      </c>
      <c r="P456" s="24" t="s">
        <v>22</v>
      </c>
      <c r="Q456" s="14" t="b">
        <f t="shared" si="1"/>
        <v>0</v>
      </c>
      <c r="R456" s="15" t="b">
        <f t="shared" si="2"/>
        <v>0</v>
      </c>
      <c r="S456" s="15" t="str">
        <f t="shared" si="3"/>
        <v>PENDING</v>
      </c>
    </row>
    <row r="457" ht="15.75" customHeight="1">
      <c r="A457" s="24" t="s">
        <v>1342</v>
      </c>
      <c r="B457" s="115" t="s">
        <v>1343</v>
      </c>
      <c r="C457" s="26">
        <v>45909.0</v>
      </c>
      <c r="D457" s="26">
        <v>45939.0</v>
      </c>
      <c r="E457" s="24" t="s">
        <v>21</v>
      </c>
      <c r="F457" s="24">
        <v>48.0</v>
      </c>
      <c r="G457" s="27">
        <v>118.0</v>
      </c>
      <c r="H457" s="24" t="s">
        <v>1182</v>
      </c>
      <c r="I457" s="28" t="s">
        <v>23</v>
      </c>
      <c r="J457" s="28" t="s">
        <v>24</v>
      </c>
      <c r="K457" s="28" t="s">
        <v>49</v>
      </c>
      <c r="M457" s="29" t="s">
        <v>1274</v>
      </c>
      <c r="N457" s="25"/>
      <c r="O457" s="28" t="s">
        <v>27</v>
      </c>
      <c r="P457" s="24" t="s">
        <v>1182</v>
      </c>
      <c r="Q457" s="14" t="b">
        <f t="shared" si="1"/>
        <v>0</v>
      </c>
      <c r="R457" s="15" t="b">
        <f t="shared" si="2"/>
        <v>0</v>
      </c>
      <c r="S457" s="15" t="str">
        <f t="shared" si="3"/>
        <v>PENDING</v>
      </c>
    </row>
    <row r="458" ht="15.75" customHeight="1">
      <c r="A458" s="7" t="s">
        <v>1344</v>
      </c>
      <c r="B458" s="8" t="s">
        <v>554</v>
      </c>
      <c r="C458" s="9">
        <v>45910.0</v>
      </c>
      <c r="D458" s="9">
        <v>45939.0</v>
      </c>
      <c r="E458" s="7" t="s">
        <v>1287</v>
      </c>
      <c r="F458" s="7">
        <v>40.0</v>
      </c>
      <c r="G458" s="10">
        <v>47.15</v>
      </c>
      <c r="H458" s="7" t="s">
        <v>177</v>
      </c>
      <c r="I458" s="11" t="s">
        <v>23</v>
      </c>
      <c r="J458" s="11" t="s">
        <v>30</v>
      </c>
      <c r="K458" s="11" t="s">
        <v>25</v>
      </c>
      <c r="L458" s="16"/>
      <c r="M458" s="12"/>
      <c r="N458" s="13"/>
      <c r="O458" s="11" t="s">
        <v>27</v>
      </c>
      <c r="P458" s="7" t="s">
        <v>177</v>
      </c>
      <c r="Q458" s="14" t="b">
        <f t="shared" si="1"/>
        <v>1</v>
      </c>
      <c r="R458" s="15" t="b">
        <f t="shared" si="2"/>
        <v>0</v>
      </c>
      <c r="S458" s="15" t="str">
        <f t="shared" si="3"/>
        <v>APPROVED</v>
      </c>
    </row>
    <row r="459" ht="15.75" customHeight="1">
      <c r="A459" s="24" t="s">
        <v>1345</v>
      </c>
      <c r="B459" s="25" t="s">
        <v>1346</v>
      </c>
      <c r="C459" s="26">
        <v>45910.0</v>
      </c>
      <c r="D459" s="26">
        <v>45939.0</v>
      </c>
      <c r="E459" s="24" t="s">
        <v>1287</v>
      </c>
      <c r="F459" s="24">
        <v>40.0</v>
      </c>
      <c r="G459" s="27">
        <v>49.64</v>
      </c>
      <c r="H459" s="24" t="s">
        <v>177</v>
      </c>
      <c r="I459" s="28" t="s">
        <v>23</v>
      </c>
      <c r="J459" s="28" t="s">
        <v>172</v>
      </c>
      <c r="K459" s="28" t="s">
        <v>84</v>
      </c>
      <c r="M459" s="29" t="s">
        <v>1347</v>
      </c>
      <c r="N459" s="25"/>
      <c r="O459" s="28" t="s">
        <v>27</v>
      </c>
      <c r="P459" s="24" t="s">
        <v>177</v>
      </c>
      <c r="Q459" s="14" t="b">
        <f t="shared" si="1"/>
        <v>0</v>
      </c>
      <c r="R459" s="15" t="b">
        <f t="shared" si="2"/>
        <v>0</v>
      </c>
      <c r="S459" s="15" t="str">
        <f t="shared" si="3"/>
        <v>PENDING</v>
      </c>
    </row>
    <row r="460" ht="15.75" customHeight="1">
      <c r="A460" s="24" t="s">
        <v>1348</v>
      </c>
      <c r="B460" s="25" t="s">
        <v>730</v>
      </c>
      <c r="C460" s="26">
        <v>45910.0</v>
      </c>
      <c r="D460" s="26">
        <v>45939.0</v>
      </c>
      <c r="E460" s="24" t="s">
        <v>1287</v>
      </c>
      <c r="F460" s="24">
        <v>40.0</v>
      </c>
      <c r="G460" s="27">
        <v>49.64</v>
      </c>
      <c r="H460" s="24" t="s">
        <v>177</v>
      </c>
      <c r="I460" s="28" t="s">
        <v>23</v>
      </c>
      <c r="J460" s="28" t="s">
        <v>172</v>
      </c>
      <c r="K460" s="28" t="s">
        <v>482</v>
      </c>
      <c r="M460" s="29"/>
      <c r="N460" s="25"/>
      <c r="O460" s="28" t="s">
        <v>27</v>
      </c>
      <c r="P460" s="24" t="s">
        <v>177</v>
      </c>
      <c r="Q460" s="14" t="b">
        <f t="shared" si="1"/>
        <v>0</v>
      </c>
      <c r="R460" s="15" t="b">
        <f t="shared" si="2"/>
        <v>0</v>
      </c>
      <c r="S460" s="15" t="str">
        <f t="shared" si="3"/>
        <v>PENDING</v>
      </c>
    </row>
    <row r="461" ht="15.75" customHeight="1">
      <c r="A461" s="7" t="s">
        <v>1349</v>
      </c>
      <c r="B461" s="13" t="s">
        <v>461</v>
      </c>
      <c r="C461" s="9">
        <v>45911.0</v>
      </c>
      <c r="D461" s="9">
        <v>45970.0</v>
      </c>
      <c r="E461" s="7" t="s">
        <v>21</v>
      </c>
      <c r="F461" s="7">
        <v>24.0</v>
      </c>
      <c r="G461" s="10">
        <v>119.0</v>
      </c>
      <c r="H461" s="7" t="s">
        <v>177</v>
      </c>
      <c r="I461" s="11" t="s">
        <v>23</v>
      </c>
      <c r="J461" s="11" t="s">
        <v>172</v>
      </c>
      <c r="K461" s="11" t="s">
        <v>25</v>
      </c>
      <c r="L461" s="16"/>
      <c r="M461" s="12" t="s">
        <v>1350</v>
      </c>
      <c r="N461" s="13"/>
      <c r="O461" s="11" t="s">
        <v>27</v>
      </c>
      <c r="P461" s="7" t="s">
        <v>177</v>
      </c>
      <c r="Q461" s="14" t="b">
        <f t="shared" si="1"/>
        <v>1</v>
      </c>
      <c r="R461" s="15" t="b">
        <f t="shared" si="2"/>
        <v>0</v>
      </c>
      <c r="S461" s="15" t="str">
        <f t="shared" si="3"/>
        <v>APPROVED</v>
      </c>
    </row>
    <row r="462" ht="15.75" customHeight="1">
      <c r="A462" s="24" t="s">
        <v>1351</v>
      </c>
      <c r="B462" s="115" t="s">
        <v>117</v>
      </c>
      <c r="C462" s="26">
        <v>45911.0</v>
      </c>
      <c r="D462" s="26">
        <v>45970.0</v>
      </c>
      <c r="E462" s="24" t="s">
        <v>1287</v>
      </c>
      <c r="F462" s="24">
        <v>40.0</v>
      </c>
      <c r="G462" s="27"/>
      <c r="H462" s="24" t="s">
        <v>22</v>
      </c>
      <c r="I462" s="28" t="s">
        <v>23</v>
      </c>
      <c r="J462" s="24"/>
      <c r="K462" s="28" t="s">
        <v>31</v>
      </c>
      <c r="M462" s="29"/>
      <c r="N462" s="115" t="s">
        <v>914</v>
      </c>
      <c r="O462" s="28" t="s">
        <v>27</v>
      </c>
      <c r="P462" s="24" t="s">
        <v>22</v>
      </c>
      <c r="Q462" s="14" t="b">
        <f t="shared" si="1"/>
        <v>0</v>
      </c>
      <c r="R462" s="15" t="b">
        <f t="shared" si="2"/>
        <v>0</v>
      </c>
      <c r="S462" s="15" t="str">
        <f t="shared" si="3"/>
        <v>PENDING</v>
      </c>
    </row>
    <row r="463" ht="15.75" customHeight="1">
      <c r="A463" s="24" t="s">
        <v>1352</v>
      </c>
      <c r="B463" s="25" t="s">
        <v>1353</v>
      </c>
      <c r="C463" s="26">
        <v>45911.0</v>
      </c>
      <c r="D463" s="26">
        <v>45970.0</v>
      </c>
      <c r="E463" s="24" t="s">
        <v>21</v>
      </c>
      <c r="F463" s="24">
        <v>48.0</v>
      </c>
      <c r="G463" s="27">
        <v>118.0</v>
      </c>
      <c r="H463" s="24" t="s">
        <v>177</v>
      </c>
      <c r="I463" s="28" t="s">
        <v>23</v>
      </c>
      <c r="J463" s="28" t="s">
        <v>172</v>
      </c>
      <c r="K463" s="28" t="s">
        <v>84</v>
      </c>
      <c r="M463" s="29" t="s">
        <v>1354</v>
      </c>
      <c r="N463" s="25"/>
      <c r="O463" s="28" t="s">
        <v>27</v>
      </c>
      <c r="P463" s="24" t="s">
        <v>177</v>
      </c>
      <c r="Q463" s="14" t="b">
        <f t="shared" si="1"/>
        <v>0</v>
      </c>
      <c r="R463" s="15" t="b">
        <f t="shared" si="2"/>
        <v>0</v>
      </c>
      <c r="S463" s="15" t="str">
        <f t="shared" si="3"/>
        <v>PENDING</v>
      </c>
    </row>
    <row r="464" ht="15.75" customHeight="1">
      <c r="A464" s="24" t="s">
        <v>1355</v>
      </c>
      <c r="B464" s="25" t="s">
        <v>1353</v>
      </c>
      <c r="C464" s="26">
        <v>45911.0</v>
      </c>
      <c r="D464" s="26">
        <v>45970.0</v>
      </c>
      <c r="E464" s="24" t="s">
        <v>1287</v>
      </c>
      <c r="F464" s="24">
        <v>40.0</v>
      </c>
      <c r="G464" s="27">
        <v>49.64</v>
      </c>
      <c r="H464" s="24" t="s">
        <v>177</v>
      </c>
      <c r="I464" s="28" t="s">
        <v>23</v>
      </c>
      <c r="J464" s="28" t="s">
        <v>172</v>
      </c>
      <c r="K464" s="28" t="s">
        <v>84</v>
      </c>
      <c r="M464" s="29" t="s">
        <v>1354</v>
      </c>
      <c r="N464" s="25"/>
      <c r="O464" s="28" t="s">
        <v>27</v>
      </c>
      <c r="P464" s="24" t="s">
        <v>177</v>
      </c>
      <c r="Q464" s="14" t="b">
        <f t="shared" si="1"/>
        <v>0</v>
      </c>
      <c r="R464" s="15" t="b">
        <f t="shared" si="2"/>
        <v>0</v>
      </c>
      <c r="S464" s="15" t="str">
        <f t="shared" si="3"/>
        <v>PENDING</v>
      </c>
    </row>
    <row r="465" ht="15.75" customHeight="1">
      <c r="A465" s="24" t="s">
        <v>1356</v>
      </c>
      <c r="B465" s="25" t="s">
        <v>302</v>
      </c>
      <c r="C465" s="26">
        <v>45911.0</v>
      </c>
      <c r="D465" s="26">
        <v>45970.0</v>
      </c>
      <c r="E465" s="24" t="s">
        <v>1287</v>
      </c>
      <c r="F465" s="24">
        <v>80.0</v>
      </c>
      <c r="G465" s="27">
        <v>49.64</v>
      </c>
      <c r="H465" s="24" t="s">
        <v>177</v>
      </c>
      <c r="I465" s="28" t="s">
        <v>23</v>
      </c>
      <c r="J465" s="28" t="s">
        <v>172</v>
      </c>
      <c r="K465" s="28" t="s">
        <v>84</v>
      </c>
      <c r="M465" s="29" t="s">
        <v>1357</v>
      </c>
      <c r="N465" s="25"/>
      <c r="O465" s="28" t="s">
        <v>27</v>
      </c>
      <c r="P465" s="24" t="s">
        <v>177</v>
      </c>
      <c r="Q465" s="14" t="b">
        <f t="shared" si="1"/>
        <v>0</v>
      </c>
      <c r="R465" s="15" t="b">
        <f t="shared" si="2"/>
        <v>0</v>
      </c>
      <c r="S465" s="15" t="str">
        <f t="shared" si="3"/>
        <v>PENDING</v>
      </c>
    </row>
    <row r="466" ht="15.75" customHeight="1">
      <c r="A466" s="24" t="s">
        <v>1358</v>
      </c>
      <c r="B466" s="25" t="s">
        <v>737</v>
      </c>
      <c r="C466" s="26">
        <v>45911.0</v>
      </c>
      <c r="D466" s="26">
        <v>45970.0</v>
      </c>
      <c r="E466" s="24" t="s">
        <v>1287</v>
      </c>
      <c r="F466" s="24">
        <v>40.0</v>
      </c>
      <c r="G466" s="27">
        <v>49.64</v>
      </c>
      <c r="H466" s="24" t="s">
        <v>177</v>
      </c>
      <c r="I466" s="28" t="s">
        <v>23</v>
      </c>
      <c r="J466" s="28" t="s">
        <v>172</v>
      </c>
      <c r="K466" s="28" t="s">
        <v>84</v>
      </c>
      <c r="M466" s="29" t="s">
        <v>1359</v>
      </c>
      <c r="N466" s="25"/>
      <c r="O466" s="28" t="s">
        <v>27</v>
      </c>
      <c r="P466" s="24" t="s">
        <v>177</v>
      </c>
      <c r="Q466" s="14" t="b">
        <f t="shared" si="1"/>
        <v>0</v>
      </c>
      <c r="R466" s="15" t="b">
        <f t="shared" si="2"/>
        <v>0</v>
      </c>
      <c r="S466" s="15" t="str">
        <f t="shared" si="3"/>
        <v>PENDING</v>
      </c>
    </row>
    <row r="467" ht="15.75" customHeight="1">
      <c r="A467" s="24" t="s">
        <v>1360</v>
      </c>
      <c r="B467" s="25" t="s">
        <v>1007</v>
      </c>
      <c r="C467" s="26">
        <v>45911.0</v>
      </c>
      <c r="D467" s="26">
        <v>45970.0</v>
      </c>
      <c r="E467" s="24" t="s">
        <v>1287</v>
      </c>
      <c r="F467" s="24">
        <v>40.0</v>
      </c>
      <c r="G467" s="27">
        <v>45.0</v>
      </c>
      <c r="H467" s="24" t="s">
        <v>177</v>
      </c>
      <c r="I467" s="28" t="s">
        <v>23</v>
      </c>
      <c r="J467" s="28" t="s">
        <v>30</v>
      </c>
      <c r="K467" s="28" t="s">
        <v>84</v>
      </c>
      <c r="M467" s="29"/>
      <c r="N467" s="25"/>
      <c r="O467" s="28" t="s">
        <v>27</v>
      </c>
      <c r="P467" s="24" t="s">
        <v>177</v>
      </c>
      <c r="Q467" s="14" t="b">
        <f t="shared" si="1"/>
        <v>0</v>
      </c>
      <c r="R467" s="15" t="b">
        <f t="shared" si="2"/>
        <v>0</v>
      </c>
      <c r="S467" s="15" t="str">
        <f t="shared" si="3"/>
        <v>PENDING</v>
      </c>
    </row>
    <row r="468" ht="15.75" customHeight="1">
      <c r="A468" s="7" t="s">
        <v>1361</v>
      </c>
      <c r="B468" s="8" t="s">
        <v>1079</v>
      </c>
      <c r="C468" s="9">
        <v>45911.0</v>
      </c>
      <c r="D468" s="9">
        <v>45970.0</v>
      </c>
      <c r="E468" s="7" t="s">
        <v>21</v>
      </c>
      <c r="F468" s="7">
        <v>48.0</v>
      </c>
      <c r="G468" s="10">
        <v>127.6</v>
      </c>
      <c r="H468" s="7" t="s">
        <v>715</v>
      </c>
      <c r="I468" s="11" t="s">
        <v>23</v>
      </c>
      <c r="J468" s="11" t="s">
        <v>35</v>
      </c>
      <c r="K468" s="11" t="s">
        <v>25</v>
      </c>
      <c r="L468" s="16"/>
      <c r="M468" s="12" t="s">
        <v>1081</v>
      </c>
      <c r="N468" s="13"/>
      <c r="O468" s="11" t="s">
        <v>27</v>
      </c>
      <c r="P468" s="7" t="s">
        <v>715</v>
      </c>
      <c r="Q468" s="14" t="b">
        <f t="shared" si="1"/>
        <v>1</v>
      </c>
      <c r="R468" s="15" t="b">
        <f t="shared" si="2"/>
        <v>0</v>
      </c>
      <c r="S468" s="15" t="str">
        <f t="shared" si="3"/>
        <v>APPROVED</v>
      </c>
    </row>
    <row r="469" ht="15.75" customHeight="1">
      <c r="A469" s="7" t="s">
        <v>1362</v>
      </c>
      <c r="B469" s="8" t="s">
        <v>764</v>
      </c>
      <c r="C469" s="9">
        <v>45912.0</v>
      </c>
      <c r="D469" s="9">
        <v>46000.0</v>
      </c>
      <c r="E469" s="7" t="s">
        <v>21</v>
      </c>
      <c r="F469" s="7">
        <v>24.0</v>
      </c>
      <c r="G469" s="10">
        <v>119.0</v>
      </c>
      <c r="H469" s="7" t="s">
        <v>177</v>
      </c>
      <c r="I469" s="11" t="s">
        <v>23</v>
      </c>
      <c r="J469" s="11" t="s">
        <v>172</v>
      </c>
      <c r="K469" s="11" t="s">
        <v>25</v>
      </c>
      <c r="L469" s="16"/>
      <c r="M469" s="12" t="s">
        <v>781</v>
      </c>
      <c r="N469" s="13"/>
      <c r="O469" s="11" t="s">
        <v>27</v>
      </c>
      <c r="P469" s="7" t="s">
        <v>177</v>
      </c>
      <c r="Q469" s="14" t="b">
        <f t="shared" si="1"/>
        <v>1</v>
      </c>
      <c r="R469" s="15" t="b">
        <f t="shared" si="2"/>
        <v>0</v>
      </c>
      <c r="S469" s="15" t="str">
        <f t="shared" si="3"/>
        <v>APPROVED</v>
      </c>
    </row>
    <row r="470" ht="15.75" customHeight="1">
      <c r="A470" s="24" t="s">
        <v>1363</v>
      </c>
      <c r="B470" s="25" t="s">
        <v>1364</v>
      </c>
      <c r="C470" s="26">
        <v>45912.0</v>
      </c>
      <c r="D470" s="26">
        <v>46000.0</v>
      </c>
      <c r="E470" s="24" t="s">
        <v>21</v>
      </c>
      <c r="F470" s="24">
        <v>192.0</v>
      </c>
      <c r="G470" s="27">
        <v>119.0</v>
      </c>
      <c r="H470" s="24" t="s">
        <v>715</v>
      </c>
      <c r="I470" s="28" t="s">
        <v>23</v>
      </c>
      <c r="J470" s="28" t="s">
        <v>172</v>
      </c>
      <c r="K470" s="28" t="s">
        <v>49</v>
      </c>
      <c r="M470" s="29"/>
      <c r="N470" s="25"/>
      <c r="O470" s="28" t="s">
        <v>27</v>
      </c>
      <c r="P470" s="24" t="s">
        <v>715</v>
      </c>
      <c r="Q470" s="14" t="b">
        <f t="shared" si="1"/>
        <v>0</v>
      </c>
      <c r="R470" s="15" t="b">
        <f t="shared" si="2"/>
        <v>0</v>
      </c>
      <c r="S470" s="15" t="str">
        <f t="shared" si="3"/>
        <v>PENDING</v>
      </c>
    </row>
    <row r="471" ht="15.75" customHeight="1">
      <c r="A471" s="24" t="s">
        <v>1365</v>
      </c>
      <c r="B471" s="115" t="s">
        <v>117</v>
      </c>
      <c r="C471" s="26">
        <v>45912.0</v>
      </c>
      <c r="D471" s="26">
        <v>46000.0</v>
      </c>
      <c r="E471" s="24" t="s">
        <v>21</v>
      </c>
      <c r="F471" s="24">
        <v>24.0</v>
      </c>
      <c r="G471" s="27"/>
      <c r="H471" s="24" t="s">
        <v>22</v>
      </c>
      <c r="I471" s="28" t="s">
        <v>23</v>
      </c>
      <c r="J471" s="24"/>
      <c r="K471" s="28" t="s">
        <v>31</v>
      </c>
      <c r="M471" s="29"/>
      <c r="N471" s="115" t="s">
        <v>914</v>
      </c>
      <c r="O471" s="28" t="s">
        <v>27</v>
      </c>
      <c r="P471" s="24" t="s">
        <v>22</v>
      </c>
      <c r="Q471" s="14" t="b">
        <f t="shared" si="1"/>
        <v>0</v>
      </c>
      <c r="R471" s="15" t="b">
        <f t="shared" si="2"/>
        <v>0</v>
      </c>
      <c r="S471" s="15" t="str">
        <f t="shared" si="3"/>
        <v>PENDING</v>
      </c>
    </row>
    <row r="472" ht="15.75" customHeight="1">
      <c r="A472" s="24" t="s">
        <v>1366</v>
      </c>
      <c r="B472" s="25" t="s">
        <v>457</v>
      </c>
      <c r="C472" s="26">
        <v>45912.0</v>
      </c>
      <c r="D472" s="26">
        <v>46000.0</v>
      </c>
      <c r="E472" s="24" t="s">
        <v>21</v>
      </c>
      <c r="F472" s="24">
        <v>24.0</v>
      </c>
      <c r="G472" s="27">
        <v>118.18</v>
      </c>
      <c r="H472" s="24" t="s">
        <v>177</v>
      </c>
      <c r="I472" s="28" t="s">
        <v>23</v>
      </c>
      <c r="J472" s="28" t="s">
        <v>172</v>
      </c>
      <c r="K472" s="28" t="s">
        <v>84</v>
      </c>
      <c r="M472" s="29" t="s">
        <v>1367</v>
      </c>
      <c r="N472" s="25"/>
      <c r="O472" s="28" t="s">
        <v>27</v>
      </c>
      <c r="P472" s="24" t="s">
        <v>177</v>
      </c>
      <c r="Q472" s="14" t="b">
        <f t="shared" si="1"/>
        <v>0</v>
      </c>
      <c r="R472" s="15" t="b">
        <f t="shared" si="2"/>
        <v>0</v>
      </c>
      <c r="S472" s="15" t="str">
        <f t="shared" si="3"/>
        <v>PENDING</v>
      </c>
    </row>
    <row r="473" ht="15.75" customHeight="1">
      <c r="A473" s="24" t="s">
        <v>1368</v>
      </c>
      <c r="B473" s="115" t="s">
        <v>722</v>
      </c>
      <c r="C473" s="26">
        <v>45912.0</v>
      </c>
      <c r="D473" s="26">
        <v>46000.0</v>
      </c>
      <c r="E473" s="24" t="s">
        <v>21</v>
      </c>
      <c r="F473" s="24">
        <v>24.0</v>
      </c>
      <c r="G473" s="27">
        <v>118.18</v>
      </c>
      <c r="H473" s="24" t="s">
        <v>177</v>
      </c>
      <c r="I473" s="28" t="s">
        <v>23</v>
      </c>
      <c r="J473" s="28" t="s">
        <v>172</v>
      </c>
      <c r="K473" s="28" t="s">
        <v>482</v>
      </c>
      <c r="M473" s="29"/>
      <c r="N473" s="25"/>
      <c r="O473" s="28" t="s">
        <v>27</v>
      </c>
      <c r="P473" s="24" t="s">
        <v>177</v>
      </c>
      <c r="Q473" s="14" t="b">
        <f t="shared" si="1"/>
        <v>0</v>
      </c>
      <c r="R473" s="15" t="b">
        <f t="shared" si="2"/>
        <v>0</v>
      </c>
      <c r="S473" s="15" t="str">
        <f t="shared" si="3"/>
        <v>PENDING</v>
      </c>
    </row>
    <row r="474" ht="15.75" customHeight="1">
      <c r="A474" s="24" t="s">
        <v>1368</v>
      </c>
      <c r="B474" s="115" t="s">
        <v>722</v>
      </c>
      <c r="C474" s="26">
        <v>45912.0</v>
      </c>
      <c r="D474" s="26">
        <v>46000.0</v>
      </c>
      <c r="E474" s="24" t="s">
        <v>1287</v>
      </c>
      <c r="F474" s="24">
        <v>40.0</v>
      </c>
      <c r="G474" s="27">
        <v>49.64</v>
      </c>
      <c r="H474" s="24" t="s">
        <v>177</v>
      </c>
      <c r="I474" s="28" t="s">
        <v>23</v>
      </c>
      <c r="J474" s="28" t="s">
        <v>172</v>
      </c>
      <c r="K474" s="28" t="s">
        <v>482</v>
      </c>
      <c r="M474" s="29"/>
      <c r="N474" s="25"/>
      <c r="O474" s="28" t="s">
        <v>27</v>
      </c>
      <c r="P474" s="24" t="s">
        <v>177</v>
      </c>
      <c r="Q474" s="14" t="b">
        <f t="shared" si="1"/>
        <v>0</v>
      </c>
      <c r="R474" s="15" t="b">
        <f t="shared" si="2"/>
        <v>0</v>
      </c>
      <c r="S474" s="15" t="str">
        <f t="shared" si="3"/>
        <v>PENDING</v>
      </c>
    </row>
    <row r="475" ht="15.75" customHeight="1">
      <c r="A475" s="24" t="s">
        <v>1369</v>
      </c>
      <c r="B475" s="115" t="s">
        <v>189</v>
      </c>
      <c r="C475" s="26">
        <v>45912.0</v>
      </c>
      <c r="D475" s="26">
        <v>46000.0</v>
      </c>
      <c r="E475" s="24" t="s">
        <v>21</v>
      </c>
      <c r="F475" s="24">
        <v>48.0</v>
      </c>
      <c r="G475" s="27">
        <v>118.18</v>
      </c>
      <c r="H475" s="24" t="s">
        <v>177</v>
      </c>
      <c r="I475" s="28" t="s">
        <v>23</v>
      </c>
      <c r="J475" s="28" t="s">
        <v>172</v>
      </c>
      <c r="K475" s="28" t="s">
        <v>84</v>
      </c>
      <c r="M475" s="29" t="s">
        <v>1370</v>
      </c>
      <c r="N475" s="25"/>
      <c r="O475" s="28" t="s">
        <v>27</v>
      </c>
      <c r="P475" s="24" t="s">
        <v>177</v>
      </c>
      <c r="Q475" s="14" t="b">
        <f t="shared" si="1"/>
        <v>0</v>
      </c>
      <c r="R475" s="15" t="b">
        <f t="shared" si="2"/>
        <v>0</v>
      </c>
      <c r="S475" s="15" t="str">
        <f t="shared" si="3"/>
        <v>PENDING</v>
      </c>
    </row>
    <row r="476" ht="15.75" customHeight="1">
      <c r="A476" s="24" t="s">
        <v>1369</v>
      </c>
      <c r="B476" s="115" t="s">
        <v>189</v>
      </c>
      <c r="C476" s="26">
        <v>45912.0</v>
      </c>
      <c r="D476" s="26">
        <v>46000.0</v>
      </c>
      <c r="E476" s="24" t="s">
        <v>1287</v>
      </c>
      <c r="F476" s="24">
        <v>40.0</v>
      </c>
      <c r="G476" s="27">
        <v>49.64</v>
      </c>
      <c r="H476" s="24" t="s">
        <v>177</v>
      </c>
      <c r="I476" s="28" t="s">
        <v>23</v>
      </c>
      <c r="J476" s="28" t="s">
        <v>172</v>
      </c>
      <c r="K476" s="28" t="s">
        <v>84</v>
      </c>
      <c r="M476" s="29" t="s">
        <v>1370</v>
      </c>
      <c r="N476" s="25"/>
      <c r="O476" s="28" t="s">
        <v>27</v>
      </c>
      <c r="P476" s="24" t="s">
        <v>177</v>
      </c>
      <c r="Q476" s="14" t="b">
        <f t="shared" si="1"/>
        <v>0</v>
      </c>
      <c r="R476" s="15" t="b">
        <f t="shared" si="2"/>
        <v>0</v>
      </c>
      <c r="S476" s="15" t="str">
        <f t="shared" si="3"/>
        <v>PENDING</v>
      </c>
    </row>
    <row r="477" ht="15.75" customHeight="1">
      <c r="A477" s="7" t="s">
        <v>1371</v>
      </c>
      <c r="B477" s="8" t="s">
        <v>495</v>
      </c>
      <c r="C477" s="9">
        <v>45912.0</v>
      </c>
      <c r="D477" s="9">
        <v>46000.0</v>
      </c>
      <c r="E477" s="7" t="s">
        <v>1287</v>
      </c>
      <c r="F477" s="7">
        <v>40.0</v>
      </c>
      <c r="G477" s="10">
        <v>49.64</v>
      </c>
      <c r="H477" s="7" t="s">
        <v>177</v>
      </c>
      <c r="I477" s="11" t="s">
        <v>23</v>
      </c>
      <c r="J477" s="11" t="s">
        <v>172</v>
      </c>
      <c r="K477" s="11" t="s">
        <v>25</v>
      </c>
      <c r="L477" s="16"/>
      <c r="M477" s="12"/>
      <c r="N477" s="13"/>
      <c r="O477" s="11" t="s">
        <v>27</v>
      </c>
      <c r="P477" s="7" t="s">
        <v>177</v>
      </c>
      <c r="Q477" s="14" t="b">
        <f t="shared" si="1"/>
        <v>1</v>
      </c>
      <c r="R477" s="15" t="b">
        <f t="shared" si="2"/>
        <v>0</v>
      </c>
      <c r="S477" s="15" t="str">
        <f t="shared" si="3"/>
        <v>APPROVED</v>
      </c>
    </row>
    <row r="478" ht="15.75" customHeight="1">
      <c r="A478" s="24" t="s">
        <v>1372</v>
      </c>
      <c r="B478" s="25" t="s">
        <v>1373</v>
      </c>
      <c r="C478" s="26">
        <v>45912.0</v>
      </c>
      <c r="D478" s="26">
        <v>46000.0</v>
      </c>
      <c r="E478" s="24" t="s">
        <v>21</v>
      </c>
      <c r="F478" s="24">
        <v>24.0</v>
      </c>
      <c r="G478" s="27">
        <v>118.18</v>
      </c>
      <c r="H478" s="24" t="s">
        <v>177</v>
      </c>
      <c r="I478" s="28" t="s">
        <v>23</v>
      </c>
      <c r="J478" s="28" t="s">
        <v>172</v>
      </c>
      <c r="K478" s="28" t="s">
        <v>482</v>
      </c>
      <c r="M478" s="29"/>
      <c r="N478" s="25"/>
      <c r="O478" s="28" t="s">
        <v>27</v>
      </c>
      <c r="P478" s="24" t="s">
        <v>177</v>
      </c>
      <c r="Q478" s="14" t="b">
        <f t="shared" si="1"/>
        <v>0</v>
      </c>
      <c r="R478" s="15" t="b">
        <f t="shared" si="2"/>
        <v>0</v>
      </c>
      <c r="S478" s="15" t="str">
        <f t="shared" si="3"/>
        <v>PENDING</v>
      </c>
    </row>
    <row r="479" ht="15.75" customHeight="1">
      <c r="A479" s="24" t="s">
        <v>1374</v>
      </c>
      <c r="B479" s="25" t="s">
        <v>1375</v>
      </c>
      <c r="C479" s="26">
        <v>45913.0</v>
      </c>
      <c r="D479" s="26">
        <v>45913.0</v>
      </c>
      <c r="E479" s="24" t="s">
        <v>1287</v>
      </c>
      <c r="F479" s="24">
        <v>40.0</v>
      </c>
      <c r="G479" s="27">
        <v>49.64</v>
      </c>
      <c r="H479" s="24" t="s">
        <v>1376</v>
      </c>
      <c r="I479" s="28" t="s">
        <v>23</v>
      </c>
      <c r="J479" s="28" t="s">
        <v>35</v>
      </c>
      <c r="K479" s="28" t="s">
        <v>84</v>
      </c>
      <c r="M479" s="29" t="s">
        <v>1377</v>
      </c>
      <c r="N479" s="25"/>
      <c r="O479" s="28" t="s">
        <v>27</v>
      </c>
      <c r="P479" s="24" t="s">
        <v>1376</v>
      </c>
      <c r="Q479" s="14" t="b">
        <f t="shared" si="1"/>
        <v>0</v>
      </c>
      <c r="R479" s="15" t="b">
        <f t="shared" si="2"/>
        <v>0</v>
      </c>
      <c r="S479" s="15" t="str">
        <f t="shared" si="3"/>
        <v>PENDING</v>
      </c>
    </row>
    <row r="480" ht="15.75" customHeight="1">
      <c r="A480" s="24" t="s">
        <v>1378</v>
      </c>
      <c r="B480" s="25" t="s">
        <v>1379</v>
      </c>
      <c r="C480" s="26">
        <v>45913.0</v>
      </c>
      <c r="D480" s="26">
        <v>45913.0</v>
      </c>
      <c r="E480" s="24" t="s">
        <v>1287</v>
      </c>
      <c r="F480" s="24">
        <v>40.0</v>
      </c>
      <c r="G480" s="27">
        <v>49.64</v>
      </c>
      <c r="H480" s="24" t="s">
        <v>1376</v>
      </c>
      <c r="I480" s="28" t="s">
        <v>23</v>
      </c>
      <c r="J480" s="28" t="s">
        <v>35</v>
      </c>
      <c r="K480" s="28" t="s">
        <v>482</v>
      </c>
      <c r="M480" s="29"/>
      <c r="N480" s="25"/>
      <c r="O480" s="28" t="s">
        <v>27</v>
      </c>
      <c r="P480" s="24" t="s">
        <v>1376</v>
      </c>
      <c r="Q480" s="14" t="b">
        <f t="shared" si="1"/>
        <v>0</v>
      </c>
      <c r="R480" s="15" t="b">
        <f t="shared" si="2"/>
        <v>0</v>
      </c>
      <c r="S480" s="15" t="str">
        <f t="shared" si="3"/>
        <v>PENDING</v>
      </c>
    </row>
    <row r="481" ht="15.75" customHeight="1">
      <c r="A481" s="24" t="s">
        <v>1380</v>
      </c>
      <c r="B481" s="25" t="s">
        <v>1379</v>
      </c>
      <c r="C481" s="26">
        <v>45913.0</v>
      </c>
      <c r="D481" s="26">
        <v>45913.0</v>
      </c>
      <c r="E481" s="24" t="s">
        <v>21</v>
      </c>
      <c r="F481" s="24">
        <v>24.0</v>
      </c>
      <c r="G481" s="27">
        <v>118.0</v>
      </c>
      <c r="H481" s="24" t="s">
        <v>1376</v>
      </c>
      <c r="I481" s="28" t="s">
        <v>23</v>
      </c>
      <c r="J481" s="28" t="s">
        <v>35</v>
      </c>
      <c r="K481" s="28" t="s">
        <v>84</v>
      </c>
      <c r="M481" s="29" t="s">
        <v>1381</v>
      </c>
      <c r="N481" s="25"/>
      <c r="O481" s="28" t="s">
        <v>27</v>
      </c>
      <c r="P481" s="24" t="s">
        <v>1376</v>
      </c>
      <c r="Q481" s="14" t="b">
        <f t="shared" si="1"/>
        <v>0</v>
      </c>
      <c r="R481" s="15" t="b">
        <f t="shared" si="2"/>
        <v>0</v>
      </c>
      <c r="S481" s="15" t="str">
        <f t="shared" si="3"/>
        <v>PENDING</v>
      </c>
    </row>
    <row r="482" ht="15.75" customHeight="1">
      <c r="A482" s="24" t="s">
        <v>1382</v>
      </c>
      <c r="B482" s="25" t="s">
        <v>1383</v>
      </c>
      <c r="C482" s="26">
        <v>45913.0</v>
      </c>
      <c r="D482" s="26">
        <v>45913.0</v>
      </c>
      <c r="E482" s="24" t="s">
        <v>1287</v>
      </c>
      <c r="F482" s="24">
        <v>40.0</v>
      </c>
      <c r="G482" s="27">
        <v>49.64</v>
      </c>
      <c r="H482" s="24" t="s">
        <v>1376</v>
      </c>
      <c r="I482" s="28" t="s">
        <v>23</v>
      </c>
      <c r="J482" s="28" t="s">
        <v>35</v>
      </c>
      <c r="K482" s="28" t="s">
        <v>84</v>
      </c>
      <c r="M482" s="29" t="s">
        <v>1384</v>
      </c>
      <c r="N482" s="25"/>
      <c r="O482" s="28" t="s">
        <v>27</v>
      </c>
      <c r="P482" s="24" t="s">
        <v>1376</v>
      </c>
      <c r="Q482" s="14" t="b">
        <f t="shared" si="1"/>
        <v>0</v>
      </c>
      <c r="R482" s="15" t="b">
        <f t="shared" si="2"/>
        <v>0</v>
      </c>
      <c r="S482" s="15" t="str">
        <f t="shared" si="3"/>
        <v>PENDING</v>
      </c>
    </row>
    <row r="483" ht="15.75" customHeight="1">
      <c r="A483" s="24" t="s">
        <v>1385</v>
      </c>
      <c r="B483" s="25" t="s">
        <v>1386</v>
      </c>
      <c r="C483" s="26">
        <v>45913.0</v>
      </c>
      <c r="D483" s="26">
        <v>45913.0</v>
      </c>
      <c r="E483" s="24" t="s">
        <v>21</v>
      </c>
      <c r="F483" s="24">
        <v>24.0</v>
      </c>
      <c r="G483" s="27">
        <v>118.18</v>
      </c>
      <c r="H483" s="24" t="s">
        <v>1387</v>
      </c>
      <c r="I483" s="28" t="s">
        <v>23</v>
      </c>
      <c r="J483" s="28" t="s">
        <v>172</v>
      </c>
      <c r="K483" s="28" t="s">
        <v>482</v>
      </c>
      <c r="M483" s="29"/>
      <c r="N483" s="25"/>
      <c r="O483" s="28" t="s">
        <v>27</v>
      </c>
      <c r="P483" s="24" t="s">
        <v>1387</v>
      </c>
      <c r="Q483" s="14" t="b">
        <f t="shared" si="1"/>
        <v>0</v>
      </c>
      <c r="R483" s="15" t="b">
        <f t="shared" si="2"/>
        <v>0</v>
      </c>
      <c r="S483" s="15" t="str">
        <f t="shared" si="3"/>
        <v>PENDING</v>
      </c>
    </row>
    <row r="484" ht="15.75" customHeight="1">
      <c r="A484" s="24" t="s">
        <v>1388</v>
      </c>
      <c r="B484" s="25" t="s">
        <v>1389</v>
      </c>
      <c r="C484" s="26">
        <v>45913.0</v>
      </c>
      <c r="D484" s="26">
        <v>45913.0</v>
      </c>
      <c r="E484" s="24" t="s">
        <v>1287</v>
      </c>
      <c r="F484" s="24">
        <v>40.0</v>
      </c>
      <c r="G484" s="27">
        <v>49.64</v>
      </c>
      <c r="H484" s="24" t="s">
        <v>1376</v>
      </c>
      <c r="I484" s="28" t="s">
        <v>23</v>
      </c>
      <c r="J484" s="28" t="s">
        <v>48</v>
      </c>
      <c r="K484" s="28" t="s">
        <v>84</v>
      </c>
      <c r="M484" s="29" t="s">
        <v>1390</v>
      </c>
      <c r="N484" s="25"/>
      <c r="O484" s="28" t="s">
        <v>27</v>
      </c>
      <c r="P484" s="24" t="s">
        <v>1376</v>
      </c>
      <c r="Q484" s="14" t="b">
        <f t="shared" si="1"/>
        <v>0</v>
      </c>
      <c r="R484" s="15" t="b">
        <f t="shared" si="2"/>
        <v>0</v>
      </c>
      <c r="S484" s="15" t="str">
        <f t="shared" si="3"/>
        <v>PENDING</v>
      </c>
    </row>
    <row r="485" ht="15.75" customHeight="1">
      <c r="A485" s="24" t="s">
        <v>1391</v>
      </c>
      <c r="B485" s="25" t="s">
        <v>1392</v>
      </c>
      <c r="C485" s="26">
        <v>45913.0</v>
      </c>
      <c r="D485" s="26">
        <v>45913.0</v>
      </c>
      <c r="E485" s="24" t="s">
        <v>1287</v>
      </c>
      <c r="F485" s="24">
        <v>40.0</v>
      </c>
      <c r="G485" s="27">
        <v>49.64</v>
      </c>
      <c r="H485" s="24" t="s">
        <v>1376</v>
      </c>
      <c r="I485" s="28" t="s">
        <v>23</v>
      </c>
      <c r="J485" s="28" t="s">
        <v>48</v>
      </c>
      <c r="K485" s="28" t="s">
        <v>84</v>
      </c>
      <c r="M485" s="29" t="s">
        <v>1393</v>
      </c>
      <c r="N485" s="25"/>
      <c r="O485" s="28" t="s">
        <v>27</v>
      </c>
      <c r="P485" s="24" t="s">
        <v>1376</v>
      </c>
      <c r="Q485" s="14" t="b">
        <f t="shared" si="1"/>
        <v>0</v>
      </c>
      <c r="R485" s="15" t="b">
        <f t="shared" si="2"/>
        <v>0</v>
      </c>
      <c r="S485" s="15" t="str">
        <f t="shared" si="3"/>
        <v>PENDING</v>
      </c>
    </row>
    <row r="486" ht="15.75" customHeight="1">
      <c r="A486" s="24" t="s">
        <v>1391</v>
      </c>
      <c r="B486" s="25" t="s">
        <v>1392</v>
      </c>
      <c r="C486" s="26">
        <v>45913.0</v>
      </c>
      <c r="D486" s="26">
        <v>45913.0</v>
      </c>
      <c r="E486" s="24" t="s">
        <v>21</v>
      </c>
      <c r="F486" s="24">
        <v>24.0</v>
      </c>
      <c r="G486" s="27">
        <v>125.0</v>
      </c>
      <c r="H486" s="24" t="s">
        <v>1376</v>
      </c>
      <c r="I486" s="28" t="s">
        <v>23</v>
      </c>
      <c r="J486" s="28" t="s">
        <v>48</v>
      </c>
      <c r="K486" s="28" t="s">
        <v>84</v>
      </c>
      <c r="M486" s="29" t="s">
        <v>1393</v>
      </c>
      <c r="N486" s="25"/>
      <c r="O486" s="28" t="s">
        <v>27</v>
      </c>
      <c r="P486" s="24" t="s">
        <v>1376</v>
      </c>
      <c r="Q486" s="14" t="b">
        <f t="shared" si="1"/>
        <v>0</v>
      </c>
      <c r="R486" s="15" t="b">
        <f t="shared" si="2"/>
        <v>0</v>
      </c>
      <c r="S486" s="15" t="str">
        <f t="shared" si="3"/>
        <v>PENDING</v>
      </c>
    </row>
    <row r="487" ht="15.75" customHeight="1">
      <c r="A487" s="24" t="s">
        <v>1394</v>
      </c>
      <c r="B487" s="25" t="s">
        <v>1395</v>
      </c>
      <c r="C487" s="26">
        <v>45913.0</v>
      </c>
      <c r="D487" s="26">
        <v>45913.0</v>
      </c>
      <c r="E487" s="24" t="s">
        <v>1287</v>
      </c>
      <c r="F487" s="24">
        <v>40.0</v>
      </c>
      <c r="G487" s="27">
        <v>49.64</v>
      </c>
      <c r="H487" s="24" t="s">
        <v>177</v>
      </c>
      <c r="I487" s="28" t="s">
        <v>23</v>
      </c>
      <c r="J487" s="28" t="s">
        <v>172</v>
      </c>
      <c r="K487" s="28" t="s">
        <v>482</v>
      </c>
      <c r="M487" s="29"/>
      <c r="N487" s="25"/>
      <c r="O487" s="28" t="s">
        <v>27</v>
      </c>
      <c r="P487" s="24" t="s">
        <v>177</v>
      </c>
      <c r="Q487" s="14" t="b">
        <f t="shared" si="1"/>
        <v>0</v>
      </c>
      <c r="R487" s="15" t="b">
        <f t="shared" si="2"/>
        <v>0</v>
      </c>
      <c r="S487" s="15" t="str">
        <f t="shared" si="3"/>
        <v>PENDING</v>
      </c>
    </row>
    <row r="488" ht="15.75" customHeight="1">
      <c r="A488" s="24" t="s">
        <v>1396</v>
      </c>
      <c r="B488" s="25" t="s">
        <v>1142</v>
      </c>
      <c r="C488" s="26">
        <v>45913.0</v>
      </c>
      <c r="D488" s="26">
        <v>45913.0</v>
      </c>
      <c r="E488" s="24" t="s">
        <v>1287</v>
      </c>
      <c r="F488" s="24">
        <v>120.0</v>
      </c>
      <c r="G488" s="27">
        <v>49.64</v>
      </c>
      <c r="H488" s="24" t="s">
        <v>177</v>
      </c>
      <c r="I488" s="28" t="s">
        <v>23</v>
      </c>
      <c r="J488" s="28" t="s">
        <v>35</v>
      </c>
      <c r="K488" s="28" t="s">
        <v>25</v>
      </c>
      <c r="M488" s="29" t="s">
        <v>1143</v>
      </c>
      <c r="N488" s="57" t="s">
        <v>1144</v>
      </c>
      <c r="O488" s="28" t="s">
        <v>27</v>
      </c>
      <c r="P488" s="24" t="s">
        <v>177</v>
      </c>
      <c r="Q488" s="14" t="b">
        <f t="shared" si="1"/>
        <v>1</v>
      </c>
      <c r="R488" s="15" t="b">
        <f t="shared" si="2"/>
        <v>0</v>
      </c>
      <c r="S488" s="15" t="str">
        <f t="shared" si="3"/>
        <v>APPROVED</v>
      </c>
    </row>
    <row r="489" ht="15.75" customHeight="1">
      <c r="A489" s="24" t="s">
        <v>1397</v>
      </c>
      <c r="B489" s="115" t="s">
        <v>789</v>
      </c>
      <c r="C489" s="26">
        <v>45913.0</v>
      </c>
      <c r="D489" s="26">
        <v>45913.0</v>
      </c>
      <c r="E489" s="24" t="s">
        <v>1287</v>
      </c>
      <c r="F489" s="24">
        <v>520.0</v>
      </c>
      <c r="G489" s="27"/>
      <c r="H489" s="24" t="s">
        <v>22</v>
      </c>
      <c r="I489" s="28" t="s">
        <v>23</v>
      </c>
      <c r="J489" s="24"/>
      <c r="K489" s="28" t="s">
        <v>31</v>
      </c>
      <c r="M489" s="29"/>
      <c r="N489" s="25"/>
      <c r="O489" s="28" t="s">
        <v>27</v>
      </c>
      <c r="P489" s="24" t="s">
        <v>22</v>
      </c>
      <c r="Q489" s="14" t="b">
        <f t="shared" si="1"/>
        <v>0</v>
      </c>
      <c r="R489" s="15" t="b">
        <f t="shared" si="2"/>
        <v>0</v>
      </c>
      <c r="S489" s="15" t="str">
        <f t="shared" si="3"/>
        <v>PENDING</v>
      </c>
    </row>
    <row r="490" ht="15.75" customHeight="1">
      <c r="A490" s="24" t="s">
        <v>1398</v>
      </c>
      <c r="B490" s="115" t="s">
        <v>338</v>
      </c>
      <c r="C490" s="26">
        <v>45913.0</v>
      </c>
      <c r="D490" s="26">
        <v>45913.0</v>
      </c>
      <c r="E490" s="24" t="s">
        <v>1287</v>
      </c>
      <c r="F490" s="24">
        <v>40.0</v>
      </c>
      <c r="G490" s="27">
        <v>55.0</v>
      </c>
      <c r="H490" s="24" t="s">
        <v>744</v>
      </c>
      <c r="I490" s="28" t="s">
        <v>23</v>
      </c>
      <c r="J490" s="28" t="s">
        <v>172</v>
      </c>
      <c r="K490" s="28" t="s">
        <v>84</v>
      </c>
      <c r="M490" s="29" t="s">
        <v>1399</v>
      </c>
      <c r="N490" s="25"/>
      <c r="O490" s="28" t="s">
        <v>27</v>
      </c>
      <c r="P490" s="24" t="s">
        <v>744</v>
      </c>
      <c r="Q490" s="14" t="b">
        <f t="shared" si="1"/>
        <v>0</v>
      </c>
      <c r="R490" s="15" t="b">
        <f t="shared" si="2"/>
        <v>0</v>
      </c>
      <c r="S490" s="15" t="str">
        <f t="shared" si="3"/>
        <v>PENDING</v>
      </c>
    </row>
    <row r="491" ht="15.75" customHeight="1">
      <c r="A491" s="24" t="s">
        <v>1400</v>
      </c>
      <c r="B491" s="25" t="s">
        <v>919</v>
      </c>
      <c r="C491" s="26">
        <v>45913.0</v>
      </c>
      <c r="D491" s="26">
        <v>45913.0</v>
      </c>
      <c r="E491" s="24" t="s">
        <v>1287</v>
      </c>
      <c r="F491" s="24">
        <v>160.0</v>
      </c>
      <c r="G491" s="27">
        <v>55.0</v>
      </c>
      <c r="H491" s="24" t="s">
        <v>744</v>
      </c>
      <c r="I491" s="28" t="s">
        <v>23</v>
      </c>
      <c r="J491" s="28" t="s">
        <v>172</v>
      </c>
      <c r="K491" s="28" t="s">
        <v>482</v>
      </c>
      <c r="M491" s="29"/>
      <c r="N491" s="25"/>
      <c r="O491" s="28" t="s">
        <v>27</v>
      </c>
      <c r="P491" s="24" t="s">
        <v>744</v>
      </c>
      <c r="Q491" s="14" t="b">
        <f t="shared" si="1"/>
        <v>0</v>
      </c>
      <c r="R491" s="15" t="b">
        <f t="shared" si="2"/>
        <v>0</v>
      </c>
      <c r="S491" s="15" t="str">
        <f t="shared" si="3"/>
        <v>PENDING</v>
      </c>
    </row>
    <row r="492" ht="15.75" customHeight="1">
      <c r="A492" s="24" t="s">
        <v>1401</v>
      </c>
      <c r="B492" s="115" t="s">
        <v>1087</v>
      </c>
      <c r="C492" s="26">
        <v>45913.0</v>
      </c>
      <c r="D492" s="26">
        <v>45913.0</v>
      </c>
      <c r="E492" s="24" t="s">
        <v>1287</v>
      </c>
      <c r="F492" s="24">
        <v>80.0</v>
      </c>
      <c r="G492" s="27">
        <v>55.0</v>
      </c>
      <c r="H492" s="24" t="s">
        <v>744</v>
      </c>
      <c r="I492" s="28" t="s">
        <v>23</v>
      </c>
      <c r="J492" s="28" t="s">
        <v>172</v>
      </c>
      <c r="K492" s="28" t="s">
        <v>482</v>
      </c>
      <c r="M492" s="29"/>
      <c r="N492" s="25"/>
      <c r="O492" s="28" t="s">
        <v>27</v>
      </c>
      <c r="P492" s="24" t="s">
        <v>744</v>
      </c>
      <c r="Q492" s="14" t="b">
        <f t="shared" si="1"/>
        <v>0</v>
      </c>
      <c r="R492" s="15" t="b">
        <f t="shared" si="2"/>
        <v>0</v>
      </c>
      <c r="S492" s="15" t="str">
        <f t="shared" si="3"/>
        <v>PENDING</v>
      </c>
    </row>
    <row r="493" ht="15.75" customHeight="1">
      <c r="A493" s="24" t="s">
        <v>1402</v>
      </c>
      <c r="B493" s="115" t="s">
        <v>785</v>
      </c>
      <c r="C493" s="26">
        <v>45913.0</v>
      </c>
      <c r="D493" s="26">
        <v>45913.0</v>
      </c>
      <c r="E493" s="24" t="s">
        <v>1287</v>
      </c>
      <c r="F493" s="24">
        <v>80.0</v>
      </c>
      <c r="G493" s="27">
        <v>55.0</v>
      </c>
      <c r="H493" s="24" t="s">
        <v>744</v>
      </c>
      <c r="I493" s="28" t="s">
        <v>23</v>
      </c>
      <c r="J493" s="28" t="s">
        <v>172</v>
      </c>
      <c r="K493" s="28" t="s">
        <v>482</v>
      </c>
      <c r="M493" s="29"/>
      <c r="N493" s="25"/>
      <c r="O493" s="28" t="s">
        <v>27</v>
      </c>
      <c r="P493" s="24" t="s">
        <v>744</v>
      </c>
      <c r="Q493" s="14" t="b">
        <f t="shared" si="1"/>
        <v>0</v>
      </c>
      <c r="R493" s="15" t="b">
        <f t="shared" si="2"/>
        <v>0</v>
      </c>
      <c r="S493" s="15" t="str">
        <f t="shared" si="3"/>
        <v>PENDING</v>
      </c>
    </row>
    <row r="494" ht="15.75" customHeight="1">
      <c r="A494" s="24" t="s">
        <v>1403</v>
      </c>
      <c r="B494" s="115" t="s">
        <v>779</v>
      </c>
      <c r="C494" s="26">
        <v>45913.0</v>
      </c>
      <c r="D494" s="26">
        <v>45913.0</v>
      </c>
      <c r="E494" s="24" t="s">
        <v>1287</v>
      </c>
      <c r="F494" s="24">
        <v>160.0</v>
      </c>
      <c r="G494" s="27">
        <v>55.0</v>
      </c>
      <c r="H494" s="24" t="s">
        <v>744</v>
      </c>
      <c r="I494" s="28" t="s">
        <v>23</v>
      </c>
      <c r="J494" s="28" t="s">
        <v>172</v>
      </c>
      <c r="K494" s="28" t="s">
        <v>84</v>
      </c>
      <c r="M494" s="29" t="s">
        <v>1404</v>
      </c>
      <c r="N494" s="25"/>
      <c r="O494" s="28" t="s">
        <v>27</v>
      </c>
      <c r="P494" s="24" t="s">
        <v>744</v>
      </c>
      <c r="Q494" s="14" t="b">
        <f t="shared" si="1"/>
        <v>0</v>
      </c>
      <c r="R494" s="15" t="b">
        <f t="shared" si="2"/>
        <v>0</v>
      </c>
      <c r="S494" s="15" t="str">
        <f t="shared" si="3"/>
        <v>PENDING</v>
      </c>
    </row>
    <row r="495" ht="15.75" customHeight="1">
      <c r="A495" s="24" t="s">
        <v>1405</v>
      </c>
      <c r="B495" s="115" t="s">
        <v>117</v>
      </c>
      <c r="C495" s="26">
        <v>45908.0</v>
      </c>
      <c r="D495" s="26">
        <v>45878.0</v>
      </c>
      <c r="E495" s="24" t="s">
        <v>21</v>
      </c>
      <c r="F495" s="24">
        <v>24.0</v>
      </c>
      <c r="G495" s="27"/>
      <c r="H495" s="24" t="s">
        <v>22</v>
      </c>
      <c r="I495" s="28" t="s">
        <v>23</v>
      </c>
      <c r="J495" s="28" t="s">
        <v>30</v>
      </c>
      <c r="K495" s="24" t="s">
        <v>31</v>
      </c>
      <c r="M495" s="29"/>
      <c r="N495" s="115" t="s">
        <v>1406</v>
      </c>
      <c r="O495" s="28" t="s">
        <v>27</v>
      </c>
      <c r="P495" s="24" t="s">
        <v>22</v>
      </c>
      <c r="Q495" s="14" t="b">
        <f t="shared" si="1"/>
        <v>0</v>
      </c>
      <c r="R495" s="15" t="b">
        <f t="shared" si="2"/>
        <v>0</v>
      </c>
      <c r="S495" s="15" t="str">
        <f t="shared" si="3"/>
        <v>PENDING</v>
      </c>
    </row>
    <row r="496" ht="15.75" customHeight="1">
      <c r="A496" s="24" t="s">
        <v>1407</v>
      </c>
      <c r="B496" s="25" t="s">
        <v>1395</v>
      </c>
      <c r="C496" s="26">
        <v>45915.0</v>
      </c>
      <c r="D496" s="26">
        <v>45915.0</v>
      </c>
      <c r="E496" s="24" t="s">
        <v>21</v>
      </c>
      <c r="F496" s="24">
        <v>24.0</v>
      </c>
      <c r="G496" s="27">
        <v>125.0</v>
      </c>
      <c r="H496" s="24" t="s">
        <v>1376</v>
      </c>
      <c r="I496" s="28" t="s">
        <v>23</v>
      </c>
      <c r="J496" s="28" t="s">
        <v>172</v>
      </c>
      <c r="K496" s="28" t="s">
        <v>482</v>
      </c>
      <c r="M496" s="29"/>
      <c r="N496" s="25"/>
      <c r="O496" s="28" t="s">
        <v>27</v>
      </c>
      <c r="P496" s="24" t="s">
        <v>1376</v>
      </c>
      <c r="Q496" s="14" t="b">
        <f t="shared" si="1"/>
        <v>0</v>
      </c>
      <c r="R496" s="15" t="b">
        <f t="shared" si="2"/>
        <v>0</v>
      </c>
      <c r="S496" s="15" t="str">
        <f t="shared" si="3"/>
        <v>PENDING</v>
      </c>
    </row>
    <row r="497" ht="15.75" customHeight="1">
      <c r="A497" s="24" t="s">
        <v>1408</v>
      </c>
      <c r="B497" s="115" t="s">
        <v>1409</v>
      </c>
      <c r="C497" s="26">
        <v>45915.0</v>
      </c>
      <c r="D497" s="26">
        <v>45915.0</v>
      </c>
      <c r="E497" s="24" t="s">
        <v>21</v>
      </c>
      <c r="F497" s="24">
        <v>2.0</v>
      </c>
      <c r="G497" s="27">
        <v>125.0</v>
      </c>
      <c r="H497" s="24" t="s">
        <v>1376</v>
      </c>
      <c r="I497" s="28" t="s">
        <v>23</v>
      </c>
      <c r="J497" s="28" t="s">
        <v>35</v>
      </c>
      <c r="K497" s="28" t="s">
        <v>49</v>
      </c>
      <c r="M497" s="29"/>
      <c r="N497" s="29" t="s">
        <v>1410</v>
      </c>
      <c r="O497" s="28" t="s">
        <v>27</v>
      </c>
      <c r="P497" s="24" t="s">
        <v>1376</v>
      </c>
      <c r="Q497" s="14" t="b">
        <f t="shared" si="1"/>
        <v>0</v>
      </c>
      <c r="R497" s="15" t="b">
        <f t="shared" si="2"/>
        <v>0</v>
      </c>
      <c r="S497" s="15" t="str">
        <f t="shared" si="3"/>
        <v>PENDING</v>
      </c>
    </row>
    <row r="498" ht="15.75" customHeight="1">
      <c r="A498" s="24" t="s">
        <v>1411</v>
      </c>
      <c r="B498" s="115" t="s">
        <v>1409</v>
      </c>
      <c r="C498" s="26">
        <v>45915.0</v>
      </c>
      <c r="D498" s="26">
        <v>45915.0</v>
      </c>
      <c r="E498" s="24" t="s">
        <v>1287</v>
      </c>
      <c r="F498" s="24">
        <v>8.0</v>
      </c>
      <c r="G498" s="27">
        <v>49.66</v>
      </c>
      <c r="H498" s="24" t="s">
        <v>1376</v>
      </c>
      <c r="I498" s="28" t="s">
        <v>23</v>
      </c>
      <c r="J498" s="28" t="s">
        <v>35</v>
      </c>
      <c r="K498" s="28" t="s">
        <v>49</v>
      </c>
      <c r="M498" s="29"/>
      <c r="N498" s="29" t="s">
        <v>1410</v>
      </c>
      <c r="O498" s="28" t="s">
        <v>27</v>
      </c>
      <c r="P498" s="24" t="s">
        <v>1376</v>
      </c>
      <c r="Q498" s="14" t="b">
        <f t="shared" si="1"/>
        <v>0</v>
      </c>
      <c r="R498" s="15" t="b">
        <f t="shared" si="2"/>
        <v>0</v>
      </c>
      <c r="S498" s="15" t="str">
        <f t="shared" si="3"/>
        <v>PENDING</v>
      </c>
    </row>
    <row r="499" ht="15.75" customHeight="1">
      <c r="A499" s="7" t="s">
        <v>1412</v>
      </c>
      <c r="B499" s="13" t="s">
        <v>1413</v>
      </c>
      <c r="C499" s="9">
        <v>45915.0</v>
      </c>
      <c r="D499" s="9">
        <v>45915.0</v>
      </c>
      <c r="E499" s="7" t="s">
        <v>1287</v>
      </c>
      <c r="F499" s="7">
        <v>20.0</v>
      </c>
      <c r="G499" s="10">
        <v>49.66</v>
      </c>
      <c r="H499" s="7" t="s">
        <v>1376</v>
      </c>
      <c r="I499" s="11" t="s">
        <v>23</v>
      </c>
      <c r="J499" s="11" t="s">
        <v>30</v>
      </c>
      <c r="K499" s="11" t="s">
        <v>25</v>
      </c>
      <c r="L499" s="16"/>
      <c r="M499" s="12"/>
      <c r="N499" s="13"/>
      <c r="O499" s="11" t="s">
        <v>27</v>
      </c>
      <c r="P499" s="7" t="s">
        <v>1376</v>
      </c>
      <c r="Q499" s="14" t="b">
        <f t="shared" si="1"/>
        <v>1</v>
      </c>
      <c r="R499" s="15" t="b">
        <f t="shared" si="2"/>
        <v>0</v>
      </c>
      <c r="S499" s="15" t="str">
        <f t="shared" si="3"/>
        <v>APPROVED</v>
      </c>
    </row>
    <row r="500" ht="15.75" customHeight="1">
      <c r="A500" s="24" t="s">
        <v>1414</v>
      </c>
      <c r="B500" s="25" t="s">
        <v>1413</v>
      </c>
      <c r="C500" s="26">
        <v>45915.0</v>
      </c>
      <c r="D500" s="26">
        <v>45915.0</v>
      </c>
      <c r="E500" s="24" t="s">
        <v>21</v>
      </c>
      <c r="F500" s="24">
        <v>12.0</v>
      </c>
      <c r="G500" s="27">
        <v>125.0</v>
      </c>
      <c r="H500" s="24" t="s">
        <v>1376</v>
      </c>
      <c r="I500" s="28" t="s">
        <v>23</v>
      </c>
      <c r="J500" s="28" t="s">
        <v>172</v>
      </c>
      <c r="K500" s="28" t="s">
        <v>49</v>
      </c>
      <c r="M500" s="29"/>
      <c r="N500" s="25"/>
      <c r="O500" s="28" t="s">
        <v>27</v>
      </c>
      <c r="P500" s="24" t="s">
        <v>1376</v>
      </c>
      <c r="Q500" s="14" t="b">
        <f t="shared" si="1"/>
        <v>0</v>
      </c>
      <c r="R500" s="15" t="b">
        <f t="shared" si="2"/>
        <v>0</v>
      </c>
      <c r="S500" s="15" t="str">
        <f t="shared" si="3"/>
        <v>PENDING</v>
      </c>
    </row>
    <row r="501" ht="15.75" customHeight="1">
      <c r="A501" s="24" t="s">
        <v>1415</v>
      </c>
      <c r="B501" s="115" t="s">
        <v>714</v>
      </c>
      <c r="C501" s="26">
        <v>45915.0</v>
      </c>
      <c r="D501" s="26">
        <v>45915.0</v>
      </c>
      <c r="E501" s="24" t="s">
        <v>21</v>
      </c>
      <c r="F501" s="24">
        <v>24.0</v>
      </c>
      <c r="G501" s="27"/>
      <c r="H501" s="24" t="s">
        <v>22</v>
      </c>
      <c r="I501" s="28" t="s">
        <v>23</v>
      </c>
      <c r="J501" s="28" t="s">
        <v>172</v>
      </c>
      <c r="K501" s="28" t="s">
        <v>49</v>
      </c>
      <c r="M501" s="29"/>
      <c r="N501" s="115" t="s">
        <v>914</v>
      </c>
      <c r="O501" s="28" t="s">
        <v>27</v>
      </c>
      <c r="P501" s="24" t="s">
        <v>22</v>
      </c>
      <c r="Q501" s="14" t="b">
        <f t="shared" si="1"/>
        <v>0</v>
      </c>
      <c r="R501" s="15" t="b">
        <f t="shared" si="2"/>
        <v>0</v>
      </c>
      <c r="S501" s="15" t="str">
        <f t="shared" si="3"/>
        <v>PENDING</v>
      </c>
    </row>
    <row r="502" ht="15.75" customHeight="1">
      <c r="A502" s="24" t="s">
        <v>1416</v>
      </c>
      <c r="B502" s="25" t="s">
        <v>1417</v>
      </c>
      <c r="C502" s="26">
        <v>45915.0</v>
      </c>
      <c r="D502" s="26" t="s">
        <v>1418</v>
      </c>
      <c r="E502" s="24" t="s">
        <v>21</v>
      </c>
      <c r="F502" s="24">
        <v>24.0</v>
      </c>
      <c r="G502" s="27">
        <v>110.0</v>
      </c>
      <c r="H502" s="24" t="s">
        <v>715</v>
      </c>
      <c r="I502" s="28" t="s">
        <v>23</v>
      </c>
      <c r="J502" s="28" t="s">
        <v>172</v>
      </c>
      <c r="K502" s="28" t="s">
        <v>49</v>
      </c>
      <c r="M502" s="29"/>
      <c r="N502" s="25"/>
      <c r="O502" s="28" t="s">
        <v>27</v>
      </c>
      <c r="P502" s="24" t="s">
        <v>715</v>
      </c>
      <c r="Q502" s="14" t="b">
        <f t="shared" si="1"/>
        <v>0</v>
      </c>
      <c r="R502" s="15" t="b">
        <f t="shared" si="2"/>
        <v>0</v>
      </c>
      <c r="S502" s="15" t="str">
        <f t="shared" si="3"/>
        <v>PENDING</v>
      </c>
    </row>
    <row r="503" ht="15.75" customHeight="1">
      <c r="A503" s="7" t="s">
        <v>1419</v>
      </c>
      <c r="B503" s="13" t="s">
        <v>1420</v>
      </c>
      <c r="C503" s="9">
        <v>45915.0</v>
      </c>
      <c r="D503" s="9">
        <v>45915.0</v>
      </c>
      <c r="E503" s="7" t="s">
        <v>21</v>
      </c>
      <c r="F503" s="7">
        <v>24.0</v>
      </c>
      <c r="G503" s="10">
        <v>119.0</v>
      </c>
      <c r="H503" s="7" t="s">
        <v>715</v>
      </c>
      <c r="I503" s="11" t="s">
        <v>23</v>
      </c>
      <c r="J503" s="11" t="s">
        <v>172</v>
      </c>
      <c r="K503" s="11" t="s">
        <v>25</v>
      </c>
      <c r="L503" s="16"/>
      <c r="M503" s="12" t="s">
        <v>274</v>
      </c>
      <c r="N503" s="13"/>
      <c r="O503" s="11" t="s">
        <v>27</v>
      </c>
      <c r="P503" s="7" t="s">
        <v>715</v>
      </c>
      <c r="Q503" s="14" t="b">
        <f t="shared" si="1"/>
        <v>1</v>
      </c>
      <c r="R503" s="15" t="b">
        <f t="shared" si="2"/>
        <v>0</v>
      </c>
      <c r="S503" s="15" t="str">
        <f t="shared" si="3"/>
        <v>APPROVED</v>
      </c>
    </row>
    <row r="504" ht="15.75" customHeight="1">
      <c r="A504" s="7" t="s">
        <v>1421</v>
      </c>
      <c r="B504" s="13" t="s">
        <v>1422</v>
      </c>
      <c r="C504" s="9">
        <v>45915.0</v>
      </c>
      <c r="D504" s="9">
        <v>45915.0</v>
      </c>
      <c r="E504" s="7" t="s">
        <v>21</v>
      </c>
      <c r="F504" s="7">
        <v>24.0</v>
      </c>
      <c r="G504" s="10">
        <v>119.0</v>
      </c>
      <c r="H504" s="7" t="s">
        <v>715</v>
      </c>
      <c r="I504" s="11" t="s">
        <v>23</v>
      </c>
      <c r="J504" s="11" t="s">
        <v>172</v>
      </c>
      <c r="K504" s="11" t="s">
        <v>25</v>
      </c>
      <c r="L504" s="16"/>
      <c r="M504" s="12" t="s">
        <v>1329</v>
      </c>
      <c r="N504" s="13"/>
      <c r="O504" s="11" t="s">
        <v>27</v>
      </c>
      <c r="P504" s="7" t="s">
        <v>715</v>
      </c>
      <c r="Q504" s="14" t="b">
        <f t="shared" si="1"/>
        <v>1</v>
      </c>
      <c r="R504" s="15" t="b">
        <f t="shared" si="2"/>
        <v>0</v>
      </c>
      <c r="S504" s="15" t="str">
        <f t="shared" si="3"/>
        <v>APPROVED</v>
      </c>
    </row>
    <row r="505" ht="15.75" customHeight="1">
      <c r="A505" s="24" t="s">
        <v>1423</v>
      </c>
      <c r="B505" s="25" t="s">
        <v>1364</v>
      </c>
      <c r="C505" s="26">
        <v>45915.0</v>
      </c>
      <c r="D505" s="26">
        <v>45915.0</v>
      </c>
      <c r="E505" s="24" t="s">
        <v>21</v>
      </c>
      <c r="F505" s="24">
        <v>48.0</v>
      </c>
      <c r="G505" s="27">
        <v>105.0</v>
      </c>
      <c r="H505" s="24" t="s">
        <v>715</v>
      </c>
      <c r="I505" s="28" t="s">
        <v>23</v>
      </c>
      <c r="J505" s="28" t="s">
        <v>172</v>
      </c>
      <c r="K505" s="28" t="s">
        <v>49</v>
      </c>
      <c r="M505" s="29"/>
      <c r="N505" s="25"/>
      <c r="O505" s="28" t="s">
        <v>27</v>
      </c>
      <c r="P505" s="24" t="s">
        <v>715</v>
      </c>
      <c r="Q505" s="14" t="b">
        <f t="shared" si="1"/>
        <v>0</v>
      </c>
      <c r="R505" s="15" t="b">
        <f t="shared" si="2"/>
        <v>0</v>
      </c>
      <c r="S505" s="15" t="str">
        <f t="shared" si="3"/>
        <v>PENDING</v>
      </c>
    </row>
    <row r="506" ht="16.5" customHeight="1">
      <c r="A506" s="24" t="s">
        <v>1424</v>
      </c>
      <c r="B506" s="115" t="s">
        <v>714</v>
      </c>
      <c r="C506" s="26">
        <v>45915.0</v>
      </c>
      <c r="D506" s="26">
        <v>45915.0</v>
      </c>
      <c r="E506" s="24" t="s">
        <v>1287</v>
      </c>
      <c r="F506" s="24">
        <v>200.0</v>
      </c>
      <c r="G506" s="27"/>
      <c r="H506" s="24" t="s">
        <v>715</v>
      </c>
      <c r="I506" s="28" t="s">
        <v>23</v>
      </c>
      <c r="J506" s="24"/>
      <c r="K506" s="28" t="s">
        <v>31</v>
      </c>
      <c r="M506" s="29"/>
      <c r="N506" s="25"/>
      <c r="O506" s="28" t="s">
        <v>27</v>
      </c>
      <c r="P506" s="24" t="s">
        <v>715</v>
      </c>
      <c r="Q506" s="14" t="b">
        <f t="shared" si="1"/>
        <v>0</v>
      </c>
      <c r="R506" s="15" t="b">
        <f t="shared" si="2"/>
        <v>0</v>
      </c>
      <c r="S506" s="15" t="str">
        <f t="shared" si="3"/>
        <v>PENDING</v>
      </c>
    </row>
    <row r="507" ht="15.75" customHeight="1">
      <c r="A507" s="24" t="s">
        <v>1425</v>
      </c>
      <c r="B507" s="115" t="s">
        <v>714</v>
      </c>
      <c r="C507" s="26">
        <v>45915.0</v>
      </c>
      <c r="D507" s="26">
        <v>45915.0</v>
      </c>
      <c r="E507" s="24" t="s">
        <v>21</v>
      </c>
      <c r="F507" s="24">
        <v>192.0</v>
      </c>
      <c r="G507" s="27"/>
      <c r="H507" s="24" t="s">
        <v>715</v>
      </c>
      <c r="I507" s="28" t="s">
        <v>23</v>
      </c>
      <c r="J507" s="24"/>
      <c r="K507" s="28" t="s">
        <v>31</v>
      </c>
      <c r="M507" s="29"/>
      <c r="N507" s="25"/>
      <c r="O507" s="28" t="s">
        <v>27</v>
      </c>
      <c r="P507" s="24" t="s">
        <v>715</v>
      </c>
      <c r="Q507" s="14" t="b">
        <f t="shared" si="1"/>
        <v>0</v>
      </c>
      <c r="R507" s="15" t="b">
        <f t="shared" si="2"/>
        <v>0</v>
      </c>
      <c r="S507" s="15" t="str">
        <f t="shared" si="3"/>
        <v>PENDING</v>
      </c>
    </row>
    <row r="508" ht="15.75" customHeight="1">
      <c r="A508" s="24" t="s">
        <v>1426</v>
      </c>
      <c r="B508" s="115" t="s">
        <v>1031</v>
      </c>
      <c r="C508" s="26">
        <v>45915.0</v>
      </c>
      <c r="D508" s="26">
        <v>45915.0</v>
      </c>
      <c r="E508" s="24" t="s">
        <v>1287</v>
      </c>
      <c r="F508" s="24">
        <v>80.0</v>
      </c>
      <c r="G508" s="27">
        <v>50.0</v>
      </c>
      <c r="H508" s="24" t="s">
        <v>744</v>
      </c>
      <c r="I508" s="28" t="s">
        <v>23</v>
      </c>
      <c r="J508" s="28" t="s">
        <v>172</v>
      </c>
      <c r="K508" s="28" t="s">
        <v>482</v>
      </c>
      <c r="M508" s="29"/>
      <c r="N508" s="25"/>
      <c r="O508" s="28" t="s">
        <v>27</v>
      </c>
      <c r="P508" s="24" t="s">
        <v>744</v>
      </c>
      <c r="Q508" s="14" t="b">
        <f t="shared" si="1"/>
        <v>0</v>
      </c>
      <c r="R508" s="15" t="b">
        <f t="shared" si="2"/>
        <v>0</v>
      </c>
      <c r="S508" s="15" t="str">
        <f t="shared" si="3"/>
        <v>PENDING</v>
      </c>
    </row>
    <row r="509" ht="15.75" customHeight="1">
      <c r="A509" s="24" t="s">
        <v>1427</v>
      </c>
      <c r="B509" s="25" t="s">
        <v>1428</v>
      </c>
      <c r="C509" s="26">
        <v>45915.0</v>
      </c>
      <c r="D509" s="26">
        <v>45915.0</v>
      </c>
      <c r="E509" s="24" t="s">
        <v>1287</v>
      </c>
      <c r="F509" s="24">
        <v>40.0</v>
      </c>
      <c r="G509" s="27">
        <v>55.0</v>
      </c>
      <c r="H509" s="24" t="s">
        <v>744</v>
      </c>
      <c r="I509" s="28" t="s">
        <v>23</v>
      </c>
      <c r="J509" s="28" t="s">
        <v>172</v>
      </c>
      <c r="K509" s="28" t="s">
        <v>482</v>
      </c>
      <c r="M509" s="29"/>
      <c r="N509" s="25"/>
      <c r="O509" s="28" t="s">
        <v>27</v>
      </c>
      <c r="P509" s="24" t="s">
        <v>744</v>
      </c>
      <c r="Q509" s="14" t="b">
        <f t="shared" si="1"/>
        <v>0</v>
      </c>
      <c r="R509" s="15" t="b">
        <f t="shared" si="2"/>
        <v>0</v>
      </c>
      <c r="S509" s="15" t="str">
        <f t="shared" si="3"/>
        <v>PENDING</v>
      </c>
    </row>
    <row r="510" ht="15.75" customHeight="1">
      <c r="A510" s="24" t="s">
        <v>1427</v>
      </c>
      <c r="B510" s="25" t="s">
        <v>1428</v>
      </c>
      <c r="C510" s="26">
        <v>45915.0</v>
      </c>
      <c r="D510" s="26">
        <v>45915.0</v>
      </c>
      <c r="E510" s="24" t="s">
        <v>21</v>
      </c>
      <c r="F510" s="24">
        <v>24.0</v>
      </c>
      <c r="G510" s="27">
        <v>119.0</v>
      </c>
      <c r="H510" s="24" t="s">
        <v>744</v>
      </c>
      <c r="I510" s="28" t="s">
        <v>23</v>
      </c>
      <c r="J510" s="28" t="s">
        <v>172</v>
      </c>
      <c r="K510" s="28" t="s">
        <v>482</v>
      </c>
      <c r="M510" s="29"/>
      <c r="N510" s="25"/>
      <c r="O510" s="28" t="s">
        <v>27</v>
      </c>
      <c r="P510" s="24" t="s">
        <v>744</v>
      </c>
      <c r="Q510" s="14" t="b">
        <f t="shared" si="1"/>
        <v>0</v>
      </c>
      <c r="R510" s="15" t="b">
        <f t="shared" si="2"/>
        <v>0</v>
      </c>
      <c r="S510" s="15" t="str">
        <f t="shared" si="3"/>
        <v>PENDING</v>
      </c>
    </row>
    <row r="511" ht="15.75" customHeight="1">
      <c r="A511" s="24" t="s">
        <v>1429</v>
      </c>
      <c r="B511" s="25" t="s">
        <v>743</v>
      </c>
      <c r="C511" s="26">
        <v>45915.0</v>
      </c>
      <c r="D511" s="26">
        <v>45915.0</v>
      </c>
      <c r="E511" s="24" t="s">
        <v>1287</v>
      </c>
      <c r="F511" s="24">
        <v>80.0</v>
      </c>
      <c r="G511" s="27">
        <v>55.0</v>
      </c>
      <c r="H511" s="24" t="s">
        <v>744</v>
      </c>
      <c r="I511" s="28" t="s">
        <v>23</v>
      </c>
      <c r="J511" s="28" t="s">
        <v>172</v>
      </c>
      <c r="K511" s="28" t="s">
        <v>84</v>
      </c>
      <c r="M511" s="29" t="s">
        <v>1430</v>
      </c>
      <c r="N511" s="25"/>
      <c r="O511" s="28" t="s">
        <v>27</v>
      </c>
      <c r="P511" s="24" t="s">
        <v>744</v>
      </c>
      <c r="Q511" s="14" t="b">
        <f t="shared" si="1"/>
        <v>0</v>
      </c>
      <c r="R511" s="15" t="b">
        <f t="shared" si="2"/>
        <v>0</v>
      </c>
      <c r="S511" s="15" t="str">
        <f t="shared" si="3"/>
        <v>PENDING</v>
      </c>
    </row>
    <row r="512" ht="15.75" customHeight="1">
      <c r="A512" s="24" t="s">
        <v>1431</v>
      </c>
      <c r="B512" s="25" t="s">
        <v>992</v>
      </c>
      <c r="C512" s="26">
        <v>45915.0</v>
      </c>
      <c r="D512" s="26">
        <v>45915.0</v>
      </c>
      <c r="E512" s="24" t="s">
        <v>1287</v>
      </c>
      <c r="F512" s="24">
        <v>40.0</v>
      </c>
      <c r="G512" s="27">
        <v>50.0</v>
      </c>
      <c r="H512" s="24" t="s">
        <v>744</v>
      </c>
      <c r="I512" s="28" t="s">
        <v>23</v>
      </c>
      <c r="J512" s="28" t="s">
        <v>172</v>
      </c>
      <c r="K512" s="28" t="s">
        <v>482</v>
      </c>
      <c r="M512" s="29"/>
      <c r="N512" s="25"/>
      <c r="O512" s="28" t="s">
        <v>27</v>
      </c>
      <c r="P512" s="24" t="s">
        <v>744</v>
      </c>
      <c r="Q512" s="14" t="b">
        <f t="shared" si="1"/>
        <v>0</v>
      </c>
      <c r="R512" s="15" t="b">
        <f t="shared" si="2"/>
        <v>0</v>
      </c>
      <c r="S512" s="15" t="str">
        <f t="shared" si="3"/>
        <v>PENDING</v>
      </c>
    </row>
    <row r="513" ht="15.75" customHeight="1">
      <c r="A513" s="7" t="s">
        <v>1432</v>
      </c>
      <c r="B513" s="8" t="s">
        <v>29</v>
      </c>
      <c r="C513" s="9">
        <v>45916.0</v>
      </c>
      <c r="D513" s="9">
        <v>45916.0</v>
      </c>
      <c r="E513" s="7" t="s">
        <v>21</v>
      </c>
      <c r="F513" s="7">
        <v>360.0</v>
      </c>
      <c r="G513" s="10">
        <v>100.0</v>
      </c>
      <c r="H513" s="7" t="s">
        <v>22</v>
      </c>
      <c r="I513" s="11" t="s">
        <v>23</v>
      </c>
      <c r="J513" s="11" t="s">
        <v>70</v>
      </c>
      <c r="K513" s="11" t="s">
        <v>25</v>
      </c>
      <c r="L513" s="16"/>
      <c r="M513" s="12" t="s">
        <v>1433</v>
      </c>
      <c r="N513" s="36" t="s">
        <v>1434</v>
      </c>
      <c r="O513" s="11" t="s">
        <v>27</v>
      </c>
      <c r="P513" s="7" t="s">
        <v>22</v>
      </c>
      <c r="Q513" s="14" t="b">
        <f t="shared" si="1"/>
        <v>1</v>
      </c>
      <c r="R513" s="15" t="b">
        <f t="shared" si="2"/>
        <v>0</v>
      </c>
      <c r="S513" s="15" t="str">
        <f t="shared" si="3"/>
        <v>APPROVED</v>
      </c>
    </row>
    <row r="514" ht="15.75" customHeight="1">
      <c r="A514" s="7" t="s">
        <v>1432</v>
      </c>
      <c r="B514" s="8" t="s">
        <v>29</v>
      </c>
      <c r="C514" s="9">
        <v>45916.0</v>
      </c>
      <c r="D514" s="9">
        <v>45916.0</v>
      </c>
      <c r="E514" s="7" t="s">
        <v>1287</v>
      </c>
      <c r="F514" s="7">
        <v>40.0</v>
      </c>
      <c r="G514" s="10">
        <v>45.0</v>
      </c>
      <c r="H514" s="7" t="s">
        <v>22</v>
      </c>
      <c r="I514" s="11" t="s">
        <v>23</v>
      </c>
      <c r="J514" s="11" t="s">
        <v>70</v>
      </c>
      <c r="K514" s="11" t="s">
        <v>25</v>
      </c>
      <c r="L514" s="16"/>
      <c r="M514" s="12" t="s">
        <v>1433</v>
      </c>
      <c r="N514" s="36" t="s">
        <v>1435</v>
      </c>
      <c r="O514" s="11" t="s">
        <v>27</v>
      </c>
      <c r="P514" s="7" t="s">
        <v>22</v>
      </c>
      <c r="Q514" s="14" t="b">
        <f t="shared" si="1"/>
        <v>1</v>
      </c>
      <c r="R514" s="15" t="b">
        <f t="shared" si="2"/>
        <v>0</v>
      </c>
      <c r="S514" s="15" t="str">
        <f t="shared" si="3"/>
        <v>APPROVED</v>
      </c>
    </row>
    <row r="515" ht="15.75" customHeight="1">
      <c r="A515" s="24" t="s">
        <v>1436</v>
      </c>
      <c r="B515" s="25" t="s">
        <v>1437</v>
      </c>
      <c r="C515" s="26">
        <v>45917.0</v>
      </c>
      <c r="D515" s="26">
        <v>45917.0</v>
      </c>
      <c r="E515" s="24" t="s">
        <v>1287</v>
      </c>
      <c r="F515" s="24">
        <v>20.0</v>
      </c>
      <c r="G515" s="27">
        <v>49.66</v>
      </c>
      <c r="H515" s="24" t="s">
        <v>1376</v>
      </c>
      <c r="I515" s="28" t="s">
        <v>23</v>
      </c>
      <c r="J515" s="28" t="s">
        <v>35</v>
      </c>
      <c r="K515" s="28" t="s">
        <v>84</v>
      </c>
      <c r="M515" s="29" t="s">
        <v>1438</v>
      </c>
      <c r="N515" s="25"/>
      <c r="O515" s="28" t="s">
        <v>27</v>
      </c>
      <c r="P515" s="24" t="s">
        <v>1376</v>
      </c>
      <c r="Q515" s="14" t="b">
        <f t="shared" si="1"/>
        <v>0</v>
      </c>
      <c r="R515" s="15" t="b">
        <f t="shared" si="2"/>
        <v>0</v>
      </c>
      <c r="S515" s="15" t="str">
        <f t="shared" si="3"/>
        <v>PENDING</v>
      </c>
    </row>
    <row r="516" ht="15.75" customHeight="1">
      <c r="A516" s="24" t="s">
        <v>1436</v>
      </c>
      <c r="B516" s="25" t="s">
        <v>1437</v>
      </c>
      <c r="C516" s="26">
        <v>45917.0</v>
      </c>
      <c r="D516" s="26">
        <v>45917.0</v>
      </c>
      <c r="E516" s="24" t="s">
        <v>21</v>
      </c>
      <c r="F516" s="24">
        <v>24.0</v>
      </c>
      <c r="G516" s="27">
        <v>118.0</v>
      </c>
      <c r="H516" s="24" t="s">
        <v>1376</v>
      </c>
      <c r="I516" s="28" t="s">
        <v>23</v>
      </c>
      <c r="J516" s="28" t="s">
        <v>35</v>
      </c>
      <c r="K516" s="28" t="s">
        <v>84</v>
      </c>
      <c r="M516" s="29" t="s">
        <v>1438</v>
      </c>
      <c r="N516" s="25"/>
      <c r="O516" s="28" t="s">
        <v>27</v>
      </c>
      <c r="P516" s="24" t="s">
        <v>1376</v>
      </c>
      <c r="Q516" s="14" t="b">
        <f t="shared" si="1"/>
        <v>0</v>
      </c>
      <c r="R516" s="15" t="b">
        <f t="shared" si="2"/>
        <v>0</v>
      </c>
      <c r="S516" s="15" t="str">
        <f t="shared" si="3"/>
        <v>PENDING</v>
      </c>
    </row>
    <row r="517" ht="15.75" customHeight="1">
      <c r="A517" s="24" t="s">
        <v>1439</v>
      </c>
      <c r="B517" s="25" t="s">
        <v>1440</v>
      </c>
      <c r="C517" s="26">
        <v>45917.0</v>
      </c>
      <c r="D517" s="26">
        <v>45917.0</v>
      </c>
      <c r="E517" s="24" t="s">
        <v>1287</v>
      </c>
      <c r="F517" s="24">
        <v>80.0</v>
      </c>
      <c r="G517" s="27">
        <v>49.66</v>
      </c>
      <c r="H517" s="24" t="s">
        <v>1376</v>
      </c>
      <c r="I517" s="28" t="s">
        <v>23</v>
      </c>
      <c r="J517" s="28" t="s">
        <v>35</v>
      </c>
      <c r="K517" s="28" t="s">
        <v>84</v>
      </c>
      <c r="M517" s="29" t="s">
        <v>1441</v>
      </c>
      <c r="N517" s="25"/>
      <c r="O517" s="28" t="s">
        <v>27</v>
      </c>
      <c r="P517" s="24" t="s">
        <v>1376</v>
      </c>
      <c r="Q517" s="14" t="b">
        <f t="shared" si="1"/>
        <v>0</v>
      </c>
      <c r="R517" s="15" t="b">
        <f t="shared" si="2"/>
        <v>0</v>
      </c>
      <c r="S517" s="15" t="str">
        <f t="shared" si="3"/>
        <v>PENDING</v>
      </c>
    </row>
    <row r="518" ht="15.75" customHeight="1">
      <c r="A518" s="24" t="s">
        <v>1442</v>
      </c>
      <c r="B518" s="115" t="s">
        <v>876</v>
      </c>
      <c r="C518" s="26">
        <v>45917.0</v>
      </c>
      <c r="D518" s="26">
        <v>45918.0</v>
      </c>
      <c r="E518" s="24" t="s">
        <v>1287</v>
      </c>
      <c r="F518" s="24">
        <v>40.0</v>
      </c>
      <c r="G518" s="27">
        <v>49.64</v>
      </c>
      <c r="H518" s="24" t="s">
        <v>177</v>
      </c>
      <c r="I518" s="28" t="s">
        <v>23</v>
      </c>
      <c r="J518" s="28" t="s">
        <v>172</v>
      </c>
      <c r="K518" s="28" t="s">
        <v>482</v>
      </c>
      <c r="M518" s="29"/>
      <c r="N518" s="25"/>
      <c r="O518" s="28" t="s">
        <v>27</v>
      </c>
      <c r="P518" s="24" t="s">
        <v>177</v>
      </c>
      <c r="Q518" s="14" t="b">
        <f t="shared" si="1"/>
        <v>0</v>
      </c>
      <c r="R518" s="15" t="b">
        <f t="shared" si="2"/>
        <v>0</v>
      </c>
      <c r="S518" s="15" t="str">
        <f t="shared" si="3"/>
        <v>PENDING</v>
      </c>
    </row>
    <row r="519" ht="15.75" customHeight="1">
      <c r="A519" s="24" t="s">
        <v>1442</v>
      </c>
      <c r="B519" s="115" t="s">
        <v>876</v>
      </c>
      <c r="C519" s="26">
        <v>45917.0</v>
      </c>
      <c r="D519" s="26">
        <v>45918.0</v>
      </c>
      <c r="E519" s="24" t="s">
        <v>21</v>
      </c>
      <c r="F519" s="24">
        <v>24.0</v>
      </c>
      <c r="G519" s="27">
        <v>118.18</v>
      </c>
      <c r="H519" s="24" t="s">
        <v>177</v>
      </c>
      <c r="I519" s="28" t="s">
        <v>23</v>
      </c>
      <c r="J519" s="28" t="s">
        <v>172</v>
      </c>
      <c r="K519" s="28" t="s">
        <v>482</v>
      </c>
      <c r="M519" s="29"/>
      <c r="N519" s="25"/>
      <c r="O519" s="28" t="s">
        <v>27</v>
      </c>
      <c r="P519" s="24" t="s">
        <v>177</v>
      </c>
      <c r="Q519" s="14" t="b">
        <f t="shared" si="1"/>
        <v>0</v>
      </c>
      <c r="R519" s="15" t="b">
        <f t="shared" si="2"/>
        <v>0</v>
      </c>
      <c r="S519" s="15" t="str">
        <f t="shared" si="3"/>
        <v>PENDING</v>
      </c>
    </row>
    <row r="520" ht="15.75" customHeight="1">
      <c r="A520" s="24" t="s">
        <v>1443</v>
      </c>
      <c r="B520" s="25" t="s">
        <v>1444</v>
      </c>
      <c r="C520" s="26">
        <v>45917.0</v>
      </c>
      <c r="D520" s="26">
        <v>45918.0</v>
      </c>
      <c r="E520" s="24" t="s">
        <v>1287</v>
      </c>
      <c r="F520" s="24">
        <v>40.0</v>
      </c>
      <c r="G520" s="27">
        <v>49.64</v>
      </c>
      <c r="H520" s="24" t="s">
        <v>177</v>
      </c>
      <c r="I520" s="28" t="s">
        <v>23</v>
      </c>
      <c r="J520" s="28" t="s">
        <v>172</v>
      </c>
      <c r="K520" s="28" t="s">
        <v>84</v>
      </c>
      <c r="M520" s="29" t="s">
        <v>1445</v>
      </c>
      <c r="N520" s="25"/>
      <c r="O520" s="28" t="s">
        <v>27</v>
      </c>
      <c r="P520" s="24" t="s">
        <v>177</v>
      </c>
      <c r="Q520" s="14" t="b">
        <f t="shared" si="1"/>
        <v>0</v>
      </c>
      <c r="R520" s="15" t="b">
        <f t="shared" si="2"/>
        <v>0</v>
      </c>
      <c r="S520" s="15" t="str">
        <f t="shared" si="3"/>
        <v>PENDING</v>
      </c>
    </row>
    <row r="521" ht="15.75" customHeight="1">
      <c r="A521" s="24" t="s">
        <v>1446</v>
      </c>
      <c r="B521" s="25" t="s">
        <v>369</v>
      </c>
      <c r="C521" s="26">
        <v>45917.0</v>
      </c>
      <c r="D521" s="26">
        <v>45918.0</v>
      </c>
      <c r="E521" s="24" t="s">
        <v>1287</v>
      </c>
      <c r="F521" s="24">
        <v>40.0</v>
      </c>
      <c r="G521" s="27">
        <v>49.64</v>
      </c>
      <c r="H521" s="24" t="s">
        <v>177</v>
      </c>
      <c r="I521" s="28" t="s">
        <v>23</v>
      </c>
      <c r="J521" s="28" t="s">
        <v>172</v>
      </c>
      <c r="K521" s="28" t="s">
        <v>84</v>
      </c>
      <c r="M521" s="29" t="s">
        <v>1447</v>
      </c>
      <c r="N521" s="25"/>
      <c r="O521" s="28" t="s">
        <v>27</v>
      </c>
      <c r="P521" s="24" t="s">
        <v>177</v>
      </c>
      <c r="Q521" s="14" t="b">
        <f t="shared" si="1"/>
        <v>0</v>
      </c>
      <c r="R521" s="15" t="b">
        <f t="shared" si="2"/>
        <v>0</v>
      </c>
      <c r="S521" s="15" t="str">
        <f t="shared" si="3"/>
        <v>PENDING</v>
      </c>
    </row>
    <row r="522" ht="18.0" customHeight="1">
      <c r="A522" s="24" t="s">
        <v>1448</v>
      </c>
      <c r="B522" s="25" t="s">
        <v>1449</v>
      </c>
      <c r="C522" s="26">
        <v>45917.0</v>
      </c>
      <c r="D522" s="26">
        <v>45917.0</v>
      </c>
      <c r="E522" s="24" t="s">
        <v>1287</v>
      </c>
      <c r="F522" s="24">
        <v>80.0</v>
      </c>
      <c r="G522" s="27">
        <v>55.0</v>
      </c>
      <c r="H522" s="24" t="s">
        <v>744</v>
      </c>
      <c r="I522" s="28" t="s">
        <v>23</v>
      </c>
      <c r="J522" s="28" t="s">
        <v>172</v>
      </c>
      <c r="K522" s="28" t="s">
        <v>25</v>
      </c>
      <c r="M522" s="29" t="s">
        <v>923</v>
      </c>
      <c r="N522" s="25"/>
      <c r="O522" s="28" t="s">
        <v>27</v>
      </c>
      <c r="P522" s="24" t="s">
        <v>744</v>
      </c>
      <c r="Q522" s="14" t="b">
        <f t="shared" si="1"/>
        <v>1</v>
      </c>
      <c r="R522" s="15" t="b">
        <f t="shared" si="2"/>
        <v>0</v>
      </c>
      <c r="S522" s="15" t="str">
        <f t="shared" si="3"/>
        <v>APPROVED</v>
      </c>
    </row>
    <row r="523" ht="15.75" customHeight="1">
      <c r="A523" s="24" t="s">
        <v>1450</v>
      </c>
      <c r="B523" s="115" t="s">
        <v>253</v>
      </c>
      <c r="C523" s="26">
        <v>45917.0</v>
      </c>
      <c r="D523" s="26">
        <v>45917.0</v>
      </c>
      <c r="E523" s="24" t="s">
        <v>1287</v>
      </c>
      <c r="F523" s="24">
        <v>80.0</v>
      </c>
      <c r="G523" s="27">
        <v>55.0</v>
      </c>
      <c r="H523" s="24" t="s">
        <v>744</v>
      </c>
      <c r="I523" s="28" t="s">
        <v>23</v>
      </c>
      <c r="J523" s="28" t="s">
        <v>172</v>
      </c>
      <c r="K523" s="28" t="s">
        <v>84</v>
      </c>
      <c r="M523" s="29" t="s">
        <v>1451</v>
      </c>
      <c r="N523" s="25"/>
      <c r="O523" s="28" t="s">
        <v>27</v>
      </c>
      <c r="P523" s="24" t="s">
        <v>744</v>
      </c>
      <c r="Q523" s="14" t="b">
        <f t="shared" si="1"/>
        <v>0</v>
      </c>
      <c r="R523" s="15" t="b">
        <f t="shared" si="2"/>
        <v>0</v>
      </c>
      <c r="S523" s="15" t="str">
        <f t="shared" si="3"/>
        <v>PENDING</v>
      </c>
    </row>
    <row r="524" ht="15.75" customHeight="1">
      <c r="A524" s="24" t="s">
        <v>1450</v>
      </c>
      <c r="B524" s="115" t="s">
        <v>253</v>
      </c>
      <c r="C524" s="26">
        <v>45917.0</v>
      </c>
      <c r="D524" s="26">
        <v>45917.0</v>
      </c>
      <c r="E524" s="24" t="s">
        <v>21</v>
      </c>
      <c r="F524" s="24">
        <v>48.0</v>
      </c>
      <c r="G524" s="27">
        <v>119.0</v>
      </c>
      <c r="H524" s="24" t="s">
        <v>744</v>
      </c>
      <c r="I524" s="28" t="s">
        <v>23</v>
      </c>
      <c r="J524" s="28" t="s">
        <v>172</v>
      </c>
      <c r="K524" s="28" t="s">
        <v>84</v>
      </c>
      <c r="M524" s="29" t="s">
        <v>1451</v>
      </c>
      <c r="N524" s="25"/>
      <c r="O524" s="28" t="s">
        <v>27</v>
      </c>
      <c r="P524" s="24" t="s">
        <v>744</v>
      </c>
      <c r="Q524" s="14" t="b">
        <f t="shared" si="1"/>
        <v>0</v>
      </c>
      <c r="R524" s="15" t="b">
        <f t="shared" si="2"/>
        <v>0</v>
      </c>
      <c r="S524" s="15" t="str">
        <f t="shared" si="3"/>
        <v>PENDING</v>
      </c>
    </row>
    <row r="525" ht="15.75" customHeight="1">
      <c r="A525" s="24" t="s">
        <v>1452</v>
      </c>
      <c r="B525" s="1" t="s">
        <v>1181</v>
      </c>
      <c r="C525" s="26">
        <v>45918.0</v>
      </c>
      <c r="D525" s="26">
        <v>45918.0</v>
      </c>
      <c r="E525" s="24" t="s">
        <v>1287</v>
      </c>
      <c r="F525" s="24">
        <v>1200.0</v>
      </c>
      <c r="G525" s="27"/>
      <c r="H525" s="24" t="s">
        <v>1182</v>
      </c>
      <c r="I525" s="28" t="s">
        <v>23</v>
      </c>
      <c r="J525" s="24"/>
      <c r="K525" s="28" t="s">
        <v>31</v>
      </c>
      <c r="M525" s="29"/>
      <c r="N525" s="25"/>
      <c r="O525" s="28" t="s">
        <v>27</v>
      </c>
      <c r="P525" s="24" t="s">
        <v>1182</v>
      </c>
      <c r="Q525" s="14" t="b">
        <f t="shared" si="1"/>
        <v>0</v>
      </c>
      <c r="R525" s="15" t="b">
        <f t="shared" si="2"/>
        <v>0</v>
      </c>
      <c r="S525" s="15" t="str">
        <f t="shared" si="3"/>
        <v>PENDING</v>
      </c>
    </row>
    <row r="526" ht="15.75" customHeight="1">
      <c r="A526" s="24" t="s">
        <v>1453</v>
      </c>
      <c r="B526" s="115" t="s">
        <v>1454</v>
      </c>
      <c r="C526" s="26">
        <v>45918.0</v>
      </c>
      <c r="D526" s="26">
        <v>45919.0</v>
      </c>
      <c r="E526" s="24" t="s">
        <v>21</v>
      </c>
      <c r="F526" s="24">
        <v>24.0</v>
      </c>
      <c r="G526" s="27">
        <v>118.18</v>
      </c>
      <c r="H526" s="24" t="s">
        <v>1387</v>
      </c>
      <c r="I526" s="28" t="s">
        <v>23</v>
      </c>
      <c r="J526" s="28" t="s">
        <v>172</v>
      </c>
      <c r="K526" s="28" t="s">
        <v>84</v>
      </c>
      <c r="M526" s="29" t="s">
        <v>1455</v>
      </c>
      <c r="N526" s="25"/>
      <c r="O526" s="28" t="s">
        <v>27</v>
      </c>
      <c r="P526" s="24" t="s">
        <v>1387</v>
      </c>
      <c r="Q526" s="14" t="b">
        <f t="shared" si="1"/>
        <v>0</v>
      </c>
      <c r="R526" s="15" t="b">
        <f t="shared" si="2"/>
        <v>0</v>
      </c>
      <c r="S526" s="15" t="str">
        <f t="shared" si="3"/>
        <v>PENDING</v>
      </c>
    </row>
    <row r="527" ht="15.75" customHeight="1">
      <c r="A527" s="24" t="s">
        <v>1453</v>
      </c>
      <c r="B527" s="115" t="s">
        <v>1454</v>
      </c>
      <c r="C527" s="26">
        <v>45918.0</v>
      </c>
      <c r="D527" s="26">
        <v>45919.0</v>
      </c>
      <c r="E527" s="24" t="s">
        <v>1287</v>
      </c>
      <c r="F527" s="24">
        <v>40.0</v>
      </c>
      <c r="G527" s="27">
        <v>48.0</v>
      </c>
      <c r="H527" s="24" t="s">
        <v>1387</v>
      </c>
      <c r="I527" s="28" t="s">
        <v>23</v>
      </c>
      <c r="J527" s="28" t="s">
        <v>172</v>
      </c>
      <c r="K527" s="28" t="s">
        <v>84</v>
      </c>
      <c r="M527" s="29" t="s">
        <v>1455</v>
      </c>
      <c r="N527" s="25"/>
      <c r="O527" s="28" t="s">
        <v>27</v>
      </c>
      <c r="P527" s="24" t="s">
        <v>1387</v>
      </c>
      <c r="Q527" s="14" t="b">
        <f t="shared" si="1"/>
        <v>0</v>
      </c>
      <c r="R527" s="15" t="b">
        <f t="shared" si="2"/>
        <v>0</v>
      </c>
      <c r="S527" s="15" t="str">
        <f t="shared" si="3"/>
        <v>PENDING</v>
      </c>
    </row>
    <row r="528" ht="15.75" customHeight="1">
      <c r="A528" s="24" t="s">
        <v>1456</v>
      </c>
      <c r="B528" s="25" t="s">
        <v>1457</v>
      </c>
      <c r="C528" s="26">
        <v>45918.0</v>
      </c>
      <c r="D528" s="26">
        <v>45919.0</v>
      </c>
      <c r="E528" s="24" t="s">
        <v>21</v>
      </c>
      <c r="F528" s="24">
        <v>24.0</v>
      </c>
      <c r="G528" s="27">
        <v>118.18</v>
      </c>
      <c r="H528" s="24" t="s">
        <v>1387</v>
      </c>
      <c r="I528" s="28" t="s">
        <v>23</v>
      </c>
      <c r="J528" s="28" t="s">
        <v>172</v>
      </c>
      <c r="K528" s="28" t="s">
        <v>84</v>
      </c>
      <c r="M528" s="29" t="s">
        <v>1458</v>
      </c>
      <c r="N528" s="25"/>
      <c r="O528" s="28" t="s">
        <v>27</v>
      </c>
      <c r="P528" s="24" t="s">
        <v>1387</v>
      </c>
      <c r="Q528" s="14" t="b">
        <f t="shared" si="1"/>
        <v>0</v>
      </c>
      <c r="R528" s="15" t="b">
        <f t="shared" si="2"/>
        <v>0</v>
      </c>
      <c r="S528" s="15" t="str">
        <f t="shared" si="3"/>
        <v>PENDING</v>
      </c>
    </row>
    <row r="529" ht="15.75" customHeight="1">
      <c r="A529" s="24" t="s">
        <v>1456</v>
      </c>
      <c r="B529" s="25" t="s">
        <v>1457</v>
      </c>
      <c r="C529" s="26">
        <v>45918.0</v>
      </c>
      <c r="D529" s="26">
        <v>45919.0</v>
      </c>
      <c r="E529" s="24" t="s">
        <v>1287</v>
      </c>
      <c r="F529" s="24">
        <v>40.0</v>
      </c>
      <c r="G529" s="27">
        <v>48.0</v>
      </c>
      <c r="H529" s="24" t="s">
        <v>1387</v>
      </c>
      <c r="I529" s="28" t="s">
        <v>23</v>
      </c>
      <c r="J529" s="28" t="s">
        <v>172</v>
      </c>
      <c r="K529" s="28" t="s">
        <v>84</v>
      </c>
      <c r="M529" s="29" t="s">
        <v>1458</v>
      </c>
      <c r="N529" s="25"/>
      <c r="O529" s="28" t="s">
        <v>27</v>
      </c>
      <c r="P529" s="24" t="s">
        <v>1387</v>
      </c>
      <c r="Q529" s="14" t="b">
        <f t="shared" si="1"/>
        <v>0</v>
      </c>
      <c r="R529" s="15" t="b">
        <f t="shared" si="2"/>
        <v>0</v>
      </c>
      <c r="S529" s="15" t="str">
        <f t="shared" si="3"/>
        <v>PENDING</v>
      </c>
    </row>
    <row r="530" ht="15.75" customHeight="1">
      <c r="A530" s="24" t="s">
        <v>1459</v>
      </c>
      <c r="B530" s="25" t="s">
        <v>1395</v>
      </c>
      <c r="C530" s="26">
        <v>45918.0</v>
      </c>
      <c r="D530" s="26">
        <v>45919.0</v>
      </c>
      <c r="E530" s="24" t="s">
        <v>21</v>
      </c>
      <c r="F530" s="24">
        <v>48.0</v>
      </c>
      <c r="G530" s="27">
        <v>125.0</v>
      </c>
      <c r="H530" s="24" t="s">
        <v>1376</v>
      </c>
      <c r="I530" s="28" t="s">
        <v>23</v>
      </c>
      <c r="J530" s="28" t="s">
        <v>35</v>
      </c>
      <c r="K530" s="28" t="s">
        <v>482</v>
      </c>
      <c r="M530" s="29"/>
      <c r="N530" s="25"/>
      <c r="O530" s="28" t="s">
        <v>27</v>
      </c>
      <c r="P530" s="24" t="s">
        <v>1376</v>
      </c>
      <c r="Q530" s="14" t="b">
        <f t="shared" si="1"/>
        <v>0</v>
      </c>
      <c r="R530" s="15" t="b">
        <f t="shared" si="2"/>
        <v>0</v>
      </c>
      <c r="S530" s="15" t="str">
        <f t="shared" si="3"/>
        <v>PENDING</v>
      </c>
    </row>
    <row r="531" ht="15.75" customHeight="1">
      <c r="A531" s="24" t="s">
        <v>1460</v>
      </c>
      <c r="B531" s="25" t="s">
        <v>1461</v>
      </c>
      <c r="C531" s="26">
        <v>45918.0</v>
      </c>
      <c r="D531" s="26">
        <v>45919.0</v>
      </c>
      <c r="E531" s="24" t="s">
        <v>21</v>
      </c>
      <c r="F531" s="24">
        <v>24.0</v>
      </c>
      <c r="G531" s="27">
        <v>118.0</v>
      </c>
      <c r="H531" s="24" t="s">
        <v>1376</v>
      </c>
      <c r="I531" s="28" t="s">
        <v>23</v>
      </c>
      <c r="J531" s="28" t="s">
        <v>35</v>
      </c>
      <c r="K531" s="28" t="s">
        <v>25</v>
      </c>
      <c r="M531" s="29"/>
      <c r="N531" s="25"/>
      <c r="O531" s="28" t="s">
        <v>27</v>
      </c>
      <c r="P531" s="24" t="s">
        <v>1376</v>
      </c>
      <c r="Q531" s="14" t="b">
        <f t="shared" si="1"/>
        <v>1</v>
      </c>
      <c r="R531" s="15" t="b">
        <f t="shared" si="2"/>
        <v>0</v>
      </c>
      <c r="S531" s="15" t="str">
        <f t="shared" si="3"/>
        <v>APPROVED</v>
      </c>
    </row>
    <row r="532" ht="18.0" customHeight="1">
      <c r="A532" s="24" t="s">
        <v>1460</v>
      </c>
      <c r="B532" s="25" t="s">
        <v>1461</v>
      </c>
      <c r="C532" s="26">
        <v>45918.0</v>
      </c>
      <c r="D532" s="26">
        <v>45919.0</v>
      </c>
      <c r="E532" s="24" t="s">
        <v>1287</v>
      </c>
      <c r="F532" s="24">
        <v>40.0</v>
      </c>
      <c r="G532" s="27">
        <v>49.66</v>
      </c>
      <c r="H532" s="24" t="s">
        <v>1376</v>
      </c>
      <c r="I532" s="28" t="s">
        <v>23</v>
      </c>
      <c r="J532" s="28" t="s">
        <v>35</v>
      </c>
      <c r="K532" s="28" t="s">
        <v>25</v>
      </c>
      <c r="M532" s="29"/>
      <c r="N532" s="25"/>
      <c r="O532" s="28" t="s">
        <v>27</v>
      </c>
      <c r="P532" s="24" t="s">
        <v>1376</v>
      </c>
      <c r="Q532" s="14" t="b">
        <f t="shared" si="1"/>
        <v>1</v>
      </c>
      <c r="R532" s="15" t="b">
        <f t="shared" si="2"/>
        <v>0</v>
      </c>
      <c r="S532" s="15" t="str">
        <f t="shared" si="3"/>
        <v>APPROVED</v>
      </c>
    </row>
    <row r="533" ht="15.75" customHeight="1">
      <c r="A533" s="24" t="s">
        <v>1462</v>
      </c>
      <c r="B533" s="25" t="s">
        <v>1463</v>
      </c>
      <c r="C533" s="26">
        <v>45918.0</v>
      </c>
      <c r="D533" s="26">
        <v>45919.0</v>
      </c>
      <c r="E533" s="24" t="s">
        <v>21</v>
      </c>
      <c r="F533" s="24">
        <v>24.0</v>
      </c>
      <c r="G533" s="27">
        <v>118.0</v>
      </c>
      <c r="H533" s="24" t="s">
        <v>1376</v>
      </c>
      <c r="I533" s="28" t="s">
        <v>23</v>
      </c>
      <c r="J533" s="28" t="s">
        <v>35</v>
      </c>
      <c r="K533" s="28" t="s">
        <v>482</v>
      </c>
      <c r="M533" s="29"/>
      <c r="N533" s="25"/>
      <c r="O533" s="28" t="s">
        <v>27</v>
      </c>
      <c r="P533" s="24" t="s">
        <v>1376</v>
      </c>
      <c r="Q533" s="14" t="b">
        <f t="shared" si="1"/>
        <v>0</v>
      </c>
      <c r="R533" s="15" t="b">
        <f t="shared" si="2"/>
        <v>0</v>
      </c>
      <c r="S533" s="15" t="str">
        <f t="shared" si="3"/>
        <v>PENDING</v>
      </c>
    </row>
    <row r="534" ht="15.75" customHeight="1">
      <c r="A534" s="24" t="s">
        <v>1462</v>
      </c>
      <c r="B534" s="25" t="s">
        <v>1463</v>
      </c>
      <c r="C534" s="26">
        <v>45918.0</v>
      </c>
      <c r="D534" s="26">
        <v>45919.0</v>
      </c>
      <c r="E534" s="24" t="s">
        <v>1287</v>
      </c>
      <c r="F534" s="24">
        <v>40.0</v>
      </c>
      <c r="G534" s="27">
        <v>49.66</v>
      </c>
      <c r="H534" s="24" t="s">
        <v>1376</v>
      </c>
      <c r="I534" s="28" t="s">
        <v>23</v>
      </c>
      <c r="J534" s="28" t="s">
        <v>35</v>
      </c>
      <c r="K534" s="28" t="s">
        <v>482</v>
      </c>
      <c r="M534" s="29"/>
      <c r="N534" s="25"/>
      <c r="O534" s="28" t="s">
        <v>27</v>
      </c>
      <c r="P534" s="24" t="s">
        <v>1376</v>
      </c>
      <c r="Q534" s="14" t="b">
        <f t="shared" si="1"/>
        <v>0</v>
      </c>
      <c r="R534" s="15" t="b">
        <f t="shared" si="2"/>
        <v>0</v>
      </c>
      <c r="S534" s="15" t="str">
        <f t="shared" si="3"/>
        <v>PENDING</v>
      </c>
    </row>
    <row r="535" ht="15.75" customHeight="1">
      <c r="A535" s="24" t="s">
        <v>1464</v>
      </c>
      <c r="B535" s="25" t="s">
        <v>1465</v>
      </c>
      <c r="C535" s="26">
        <v>45918.0</v>
      </c>
      <c r="D535" s="26">
        <v>45919.0</v>
      </c>
      <c r="E535" s="24" t="s">
        <v>21</v>
      </c>
      <c r="F535" s="24">
        <v>24.0</v>
      </c>
      <c r="G535" s="27">
        <v>118.18</v>
      </c>
      <c r="H535" s="24" t="s">
        <v>1387</v>
      </c>
      <c r="I535" s="28" t="s">
        <v>23</v>
      </c>
      <c r="J535" s="28" t="s">
        <v>172</v>
      </c>
      <c r="K535" s="28" t="s">
        <v>482</v>
      </c>
      <c r="M535" s="29"/>
      <c r="N535" s="25"/>
      <c r="O535" s="28" t="s">
        <v>27</v>
      </c>
      <c r="P535" s="24" t="s">
        <v>1387</v>
      </c>
      <c r="Q535" s="14" t="b">
        <f t="shared" si="1"/>
        <v>0</v>
      </c>
      <c r="R535" s="15" t="b">
        <f t="shared" si="2"/>
        <v>0</v>
      </c>
      <c r="S535" s="15" t="str">
        <f t="shared" si="3"/>
        <v>PENDING</v>
      </c>
    </row>
    <row r="536" ht="15.75" customHeight="1">
      <c r="A536" s="24" t="s">
        <v>1464</v>
      </c>
      <c r="B536" s="25" t="s">
        <v>1465</v>
      </c>
      <c r="C536" s="26">
        <v>45918.0</v>
      </c>
      <c r="D536" s="26">
        <v>45919.0</v>
      </c>
      <c r="E536" s="24" t="s">
        <v>1287</v>
      </c>
      <c r="F536" s="24">
        <v>40.0</v>
      </c>
      <c r="G536" s="27">
        <v>48.0</v>
      </c>
      <c r="H536" s="24" t="s">
        <v>1387</v>
      </c>
      <c r="I536" s="28" t="s">
        <v>23</v>
      </c>
      <c r="J536" s="28" t="s">
        <v>172</v>
      </c>
      <c r="K536" s="28" t="s">
        <v>482</v>
      </c>
      <c r="M536" s="29"/>
      <c r="N536" s="25"/>
      <c r="O536" s="28" t="s">
        <v>27</v>
      </c>
      <c r="P536" s="24" t="s">
        <v>1387</v>
      </c>
      <c r="Q536" s="14" t="b">
        <f t="shared" si="1"/>
        <v>0</v>
      </c>
      <c r="R536" s="15" t="b">
        <f t="shared" si="2"/>
        <v>0</v>
      </c>
      <c r="S536" s="15" t="str">
        <f t="shared" si="3"/>
        <v>PENDING</v>
      </c>
    </row>
    <row r="537" ht="15.75" customHeight="1">
      <c r="A537" s="24" t="s">
        <v>1466</v>
      </c>
      <c r="B537" s="25" t="s">
        <v>1467</v>
      </c>
      <c r="C537" s="26">
        <v>45918.0</v>
      </c>
      <c r="D537" s="26">
        <v>45919.0</v>
      </c>
      <c r="E537" s="24" t="s">
        <v>1287</v>
      </c>
      <c r="F537" s="24">
        <v>40.0</v>
      </c>
      <c r="G537" s="27">
        <v>49.64</v>
      </c>
      <c r="H537" s="24" t="s">
        <v>1387</v>
      </c>
      <c r="I537" s="28" t="s">
        <v>23</v>
      </c>
      <c r="J537" s="28" t="s">
        <v>172</v>
      </c>
      <c r="K537" s="28" t="s">
        <v>482</v>
      </c>
      <c r="M537" s="29"/>
      <c r="N537" s="25"/>
      <c r="O537" s="28" t="s">
        <v>27</v>
      </c>
      <c r="P537" s="24" t="s">
        <v>1387</v>
      </c>
      <c r="Q537" s="14" t="b">
        <f t="shared" si="1"/>
        <v>0</v>
      </c>
      <c r="R537" s="15" t="b">
        <f t="shared" si="2"/>
        <v>0</v>
      </c>
      <c r="S537" s="15" t="str">
        <f t="shared" si="3"/>
        <v>PENDING</v>
      </c>
    </row>
    <row r="538" ht="15.75" customHeight="1">
      <c r="A538" s="24" t="s">
        <v>1468</v>
      </c>
      <c r="B538" s="115" t="s">
        <v>511</v>
      </c>
      <c r="C538" s="26">
        <v>45918.0</v>
      </c>
      <c r="D538" s="26">
        <v>45918.0</v>
      </c>
      <c r="E538" s="24" t="s">
        <v>1287</v>
      </c>
      <c r="F538" s="24">
        <v>40.0</v>
      </c>
      <c r="G538" s="27">
        <v>49.64</v>
      </c>
      <c r="H538" s="24" t="s">
        <v>177</v>
      </c>
      <c r="I538" s="28" t="s">
        <v>23</v>
      </c>
      <c r="J538" s="28" t="s">
        <v>172</v>
      </c>
      <c r="K538" s="28" t="s">
        <v>482</v>
      </c>
      <c r="M538" s="29"/>
      <c r="N538" s="25"/>
      <c r="O538" s="28" t="s">
        <v>27</v>
      </c>
      <c r="P538" s="24" t="s">
        <v>177</v>
      </c>
      <c r="Q538" s="14" t="b">
        <f t="shared" si="1"/>
        <v>0</v>
      </c>
      <c r="R538" s="15" t="b">
        <f t="shared" si="2"/>
        <v>0</v>
      </c>
      <c r="S538" s="15" t="str">
        <f t="shared" si="3"/>
        <v>PENDING</v>
      </c>
    </row>
    <row r="539" ht="15.75" customHeight="1">
      <c r="A539" s="24" t="s">
        <v>1469</v>
      </c>
      <c r="B539" s="25" t="s">
        <v>515</v>
      </c>
      <c r="C539" s="26">
        <v>45918.0</v>
      </c>
      <c r="D539" s="26">
        <v>45918.0</v>
      </c>
      <c r="E539" s="24" t="s">
        <v>1287</v>
      </c>
      <c r="F539" s="24">
        <v>40.0</v>
      </c>
      <c r="G539" s="27">
        <v>49.64</v>
      </c>
      <c r="H539" s="24" t="s">
        <v>177</v>
      </c>
      <c r="I539" s="28" t="s">
        <v>23</v>
      </c>
      <c r="J539" s="28" t="s">
        <v>172</v>
      </c>
      <c r="K539" s="28" t="s">
        <v>482</v>
      </c>
      <c r="M539" s="29"/>
      <c r="N539" s="25"/>
      <c r="O539" s="28" t="s">
        <v>27</v>
      </c>
      <c r="P539" s="24" t="s">
        <v>177</v>
      </c>
      <c r="Q539" s="14" t="b">
        <f t="shared" si="1"/>
        <v>0</v>
      </c>
      <c r="R539" s="15" t="b">
        <f t="shared" si="2"/>
        <v>0</v>
      </c>
      <c r="S539" s="15" t="str">
        <f t="shared" si="3"/>
        <v>PENDING</v>
      </c>
    </row>
    <row r="540" ht="15.75" customHeight="1">
      <c r="A540" s="24" t="s">
        <v>1470</v>
      </c>
      <c r="B540" s="115" t="s">
        <v>791</v>
      </c>
      <c r="C540" s="26">
        <v>45918.0</v>
      </c>
      <c r="D540" s="26">
        <v>45918.0</v>
      </c>
      <c r="E540" s="24" t="s">
        <v>1287</v>
      </c>
      <c r="F540" s="24">
        <v>40.0</v>
      </c>
      <c r="G540" s="27">
        <v>49.64</v>
      </c>
      <c r="H540" s="24" t="s">
        <v>177</v>
      </c>
      <c r="I540" s="28" t="s">
        <v>23</v>
      </c>
      <c r="J540" s="28" t="s">
        <v>172</v>
      </c>
      <c r="K540" s="28" t="s">
        <v>482</v>
      </c>
      <c r="M540" s="29"/>
      <c r="N540" s="25"/>
      <c r="O540" s="28" t="s">
        <v>27</v>
      </c>
      <c r="P540" s="24" t="s">
        <v>177</v>
      </c>
      <c r="Q540" s="14" t="b">
        <f t="shared" si="1"/>
        <v>0</v>
      </c>
      <c r="R540" s="15" t="b">
        <f t="shared" si="2"/>
        <v>0</v>
      </c>
      <c r="S540" s="15" t="str">
        <f t="shared" si="3"/>
        <v>PENDING</v>
      </c>
    </row>
    <row r="541" ht="15.75" customHeight="1">
      <c r="A541" s="24" t="s">
        <v>1470</v>
      </c>
      <c r="B541" s="115" t="s">
        <v>791</v>
      </c>
      <c r="C541" s="26">
        <v>45918.0</v>
      </c>
      <c r="D541" s="26">
        <v>45918.0</v>
      </c>
      <c r="E541" s="24" t="s">
        <v>21</v>
      </c>
      <c r="F541" s="24">
        <v>24.0</v>
      </c>
      <c r="G541" s="27">
        <v>118.18</v>
      </c>
      <c r="H541" s="24" t="s">
        <v>177</v>
      </c>
      <c r="I541" s="28" t="s">
        <v>23</v>
      </c>
      <c r="J541" s="28" t="s">
        <v>172</v>
      </c>
      <c r="K541" s="28" t="s">
        <v>482</v>
      </c>
      <c r="M541" s="29"/>
      <c r="N541" s="25"/>
      <c r="O541" s="28" t="s">
        <v>27</v>
      </c>
      <c r="P541" s="24" t="s">
        <v>177</v>
      </c>
      <c r="Q541" s="14" t="b">
        <f t="shared" si="1"/>
        <v>0</v>
      </c>
      <c r="R541" s="15" t="b">
        <f t="shared" si="2"/>
        <v>0</v>
      </c>
      <c r="S541" s="15" t="str">
        <f t="shared" si="3"/>
        <v>PENDING</v>
      </c>
    </row>
    <row r="542" ht="15.75" customHeight="1">
      <c r="A542" s="24" t="s">
        <v>1471</v>
      </c>
      <c r="B542" s="25" t="s">
        <v>357</v>
      </c>
      <c r="C542" s="26">
        <v>45918.0</v>
      </c>
      <c r="D542" s="26">
        <v>45918.0</v>
      </c>
      <c r="E542" s="24" t="s">
        <v>21</v>
      </c>
      <c r="F542" s="24">
        <v>24.0</v>
      </c>
      <c r="G542" s="27">
        <v>118.18</v>
      </c>
      <c r="H542" s="24" t="s">
        <v>177</v>
      </c>
      <c r="I542" s="28" t="s">
        <v>23</v>
      </c>
      <c r="J542" s="28" t="s">
        <v>172</v>
      </c>
      <c r="K542" s="28" t="s">
        <v>482</v>
      </c>
      <c r="M542" s="29"/>
      <c r="N542" s="25"/>
      <c r="O542" s="28" t="s">
        <v>27</v>
      </c>
      <c r="P542" s="24" t="s">
        <v>177</v>
      </c>
      <c r="Q542" s="14" t="b">
        <f t="shared" si="1"/>
        <v>0</v>
      </c>
      <c r="R542" s="15" t="b">
        <f t="shared" si="2"/>
        <v>0</v>
      </c>
      <c r="S542" s="15" t="str">
        <f t="shared" si="3"/>
        <v>PENDING</v>
      </c>
    </row>
    <row r="543" ht="15.75" customHeight="1">
      <c r="A543" s="24" t="s">
        <v>1471</v>
      </c>
      <c r="B543" s="25" t="s">
        <v>357</v>
      </c>
      <c r="C543" s="26">
        <v>45918.0</v>
      </c>
      <c r="D543" s="26">
        <v>45918.0</v>
      </c>
      <c r="E543" s="24" t="s">
        <v>1287</v>
      </c>
      <c r="F543" s="24">
        <v>40.0</v>
      </c>
      <c r="G543" s="27">
        <v>49.64</v>
      </c>
      <c r="H543" s="24" t="s">
        <v>177</v>
      </c>
      <c r="I543" s="28" t="s">
        <v>23</v>
      </c>
      <c r="J543" s="28" t="s">
        <v>172</v>
      </c>
      <c r="K543" s="28" t="s">
        <v>482</v>
      </c>
      <c r="M543" s="29"/>
      <c r="N543" s="25"/>
      <c r="O543" s="28" t="s">
        <v>27</v>
      </c>
      <c r="P543" s="24" t="s">
        <v>177</v>
      </c>
      <c r="Q543" s="14" t="b">
        <f t="shared" si="1"/>
        <v>0</v>
      </c>
      <c r="R543" s="15" t="b">
        <f t="shared" si="2"/>
        <v>0</v>
      </c>
      <c r="S543" s="15" t="str">
        <f t="shared" si="3"/>
        <v>PENDING</v>
      </c>
    </row>
    <row r="544" ht="15.75" customHeight="1">
      <c r="A544" s="7" t="s">
        <v>1472</v>
      </c>
      <c r="B544" s="13" t="s">
        <v>473</v>
      </c>
      <c r="C544" s="9">
        <v>45918.0</v>
      </c>
      <c r="D544" s="9">
        <v>45918.0</v>
      </c>
      <c r="E544" s="7" t="s">
        <v>1287</v>
      </c>
      <c r="F544" s="7">
        <v>40.0</v>
      </c>
      <c r="G544" s="10">
        <v>47.16</v>
      </c>
      <c r="H544" s="7" t="s">
        <v>177</v>
      </c>
      <c r="I544" s="11" t="s">
        <v>23</v>
      </c>
      <c r="J544" s="11" t="s">
        <v>30</v>
      </c>
      <c r="K544" s="11" t="s">
        <v>25</v>
      </c>
      <c r="L544" s="16"/>
      <c r="M544" s="12" t="s">
        <v>1473</v>
      </c>
      <c r="N544" s="13"/>
      <c r="O544" s="11" t="s">
        <v>27</v>
      </c>
      <c r="P544" s="7" t="s">
        <v>177</v>
      </c>
      <c r="Q544" s="14" t="b">
        <f t="shared" si="1"/>
        <v>1</v>
      </c>
      <c r="R544" s="15" t="b">
        <f t="shared" si="2"/>
        <v>0</v>
      </c>
      <c r="S544" s="15" t="str">
        <f t="shared" si="3"/>
        <v>APPROVED</v>
      </c>
    </row>
    <row r="545" ht="15.75" customHeight="1">
      <c r="A545" s="24" t="s">
        <v>1474</v>
      </c>
      <c r="B545" s="25" t="s">
        <v>38</v>
      </c>
      <c r="C545" s="26">
        <v>45919.0</v>
      </c>
      <c r="D545" s="26">
        <v>45919.0</v>
      </c>
      <c r="E545" s="24" t="s">
        <v>1287</v>
      </c>
      <c r="F545" s="24">
        <v>40.0</v>
      </c>
      <c r="G545" s="27"/>
      <c r="H545" s="24" t="s">
        <v>22</v>
      </c>
      <c r="I545" s="28" t="s">
        <v>23</v>
      </c>
      <c r="J545" s="28" t="s">
        <v>30</v>
      </c>
      <c r="K545" s="24" t="s">
        <v>31</v>
      </c>
      <c r="L545" s="24"/>
      <c r="M545" s="29"/>
      <c r="N545" s="25"/>
      <c r="O545" s="28" t="s">
        <v>27</v>
      </c>
      <c r="P545" s="24" t="s">
        <v>22</v>
      </c>
      <c r="Q545" s="14" t="b">
        <f t="shared" si="1"/>
        <v>0</v>
      </c>
      <c r="R545" s="15" t="b">
        <f t="shared" si="2"/>
        <v>0</v>
      </c>
      <c r="S545" s="15" t="str">
        <f t="shared" si="3"/>
        <v>PENDING</v>
      </c>
    </row>
    <row r="546" ht="15.75" customHeight="1">
      <c r="A546" s="24" t="s">
        <v>1475</v>
      </c>
      <c r="B546" s="25" t="s">
        <v>1476</v>
      </c>
      <c r="C546" s="26">
        <v>45919.0</v>
      </c>
      <c r="D546" s="26">
        <v>45920.0</v>
      </c>
      <c r="E546" s="24" t="s">
        <v>21</v>
      </c>
      <c r="F546" s="24">
        <v>24.0</v>
      </c>
      <c r="G546" s="27">
        <v>118.0</v>
      </c>
      <c r="H546" s="24" t="s">
        <v>1376</v>
      </c>
      <c r="I546" s="28" t="s">
        <v>23</v>
      </c>
      <c r="J546" s="28" t="s">
        <v>172</v>
      </c>
      <c r="K546" s="28" t="s">
        <v>482</v>
      </c>
      <c r="M546" s="29"/>
      <c r="N546" s="25"/>
      <c r="O546" s="28" t="s">
        <v>27</v>
      </c>
      <c r="P546" s="24" t="s">
        <v>1376</v>
      </c>
      <c r="Q546" s="14" t="b">
        <f t="shared" si="1"/>
        <v>0</v>
      </c>
      <c r="R546" s="15" t="b">
        <f t="shared" si="2"/>
        <v>0</v>
      </c>
      <c r="S546" s="15" t="str">
        <f t="shared" si="3"/>
        <v>PENDING</v>
      </c>
    </row>
    <row r="547" ht="15.75" customHeight="1">
      <c r="A547" s="24" t="s">
        <v>1475</v>
      </c>
      <c r="B547" s="25" t="s">
        <v>1476</v>
      </c>
      <c r="C547" s="26">
        <v>45919.0</v>
      </c>
      <c r="D547" s="26">
        <v>45920.0</v>
      </c>
      <c r="E547" s="24" t="s">
        <v>1287</v>
      </c>
      <c r="F547" s="24">
        <v>40.0</v>
      </c>
      <c r="G547" s="27">
        <v>49.66</v>
      </c>
      <c r="H547" s="24" t="s">
        <v>1376</v>
      </c>
      <c r="I547" s="28" t="s">
        <v>23</v>
      </c>
      <c r="J547" s="28" t="s">
        <v>172</v>
      </c>
      <c r="K547" s="28" t="s">
        <v>482</v>
      </c>
      <c r="M547" s="29"/>
      <c r="N547" s="25"/>
      <c r="O547" s="28" t="s">
        <v>27</v>
      </c>
      <c r="P547" s="24" t="s">
        <v>1376</v>
      </c>
      <c r="Q547" s="14" t="b">
        <f t="shared" si="1"/>
        <v>0</v>
      </c>
      <c r="R547" s="15" t="b">
        <f t="shared" si="2"/>
        <v>0</v>
      </c>
      <c r="S547" s="15" t="str">
        <f t="shared" si="3"/>
        <v>PENDING</v>
      </c>
    </row>
    <row r="548" ht="15.75" customHeight="1">
      <c r="A548" s="24" t="s">
        <v>1477</v>
      </c>
      <c r="B548" s="25" t="s">
        <v>1478</v>
      </c>
      <c r="C548" s="26">
        <v>45919.0</v>
      </c>
      <c r="D548" s="26">
        <v>45922.0</v>
      </c>
      <c r="E548" s="24" t="s">
        <v>1287</v>
      </c>
      <c r="F548" s="24">
        <v>40.0</v>
      </c>
      <c r="G548" s="27">
        <v>49.64</v>
      </c>
      <c r="H548" s="24" t="s">
        <v>1387</v>
      </c>
      <c r="I548" s="28" t="s">
        <v>23</v>
      </c>
      <c r="J548" s="28" t="s">
        <v>172</v>
      </c>
      <c r="K548" s="28" t="s">
        <v>482</v>
      </c>
      <c r="M548" s="29"/>
      <c r="N548" s="25"/>
      <c r="O548" s="28" t="s">
        <v>27</v>
      </c>
      <c r="P548" s="24" t="s">
        <v>1387</v>
      </c>
      <c r="Q548" s="14" t="b">
        <f t="shared" si="1"/>
        <v>0</v>
      </c>
      <c r="R548" s="15" t="b">
        <f t="shared" si="2"/>
        <v>0</v>
      </c>
      <c r="S548" s="15" t="str">
        <f t="shared" si="3"/>
        <v>PENDING</v>
      </c>
    </row>
    <row r="549" ht="15.75" customHeight="1">
      <c r="A549" s="24" t="s">
        <v>1479</v>
      </c>
      <c r="B549" s="115" t="s">
        <v>117</v>
      </c>
      <c r="C549" s="26">
        <v>45919.0</v>
      </c>
      <c r="D549" s="26">
        <v>45919.0</v>
      </c>
      <c r="E549" s="24" t="s">
        <v>21</v>
      </c>
      <c r="F549" s="24">
        <v>12.0</v>
      </c>
      <c r="G549" s="27"/>
      <c r="H549" s="24" t="s">
        <v>22</v>
      </c>
      <c r="I549" s="28" t="s">
        <v>23</v>
      </c>
      <c r="J549" s="24"/>
      <c r="K549" s="28" t="s">
        <v>31</v>
      </c>
      <c r="M549" s="29"/>
      <c r="N549" s="115" t="s">
        <v>914</v>
      </c>
      <c r="O549" s="28" t="s">
        <v>27</v>
      </c>
      <c r="P549" s="24" t="s">
        <v>22</v>
      </c>
      <c r="Q549" s="14" t="b">
        <f t="shared" si="1"/>
        <v>0</v>
      </c>
      <c r="R549" s="15" t="b">
        <f t="shared" si="2"/>
        <v>0</v>
      </c>
      <c r="S549" s="15" t="str">
        <f t="shared" si="3"/>
        <v>PENDING</v>
      </c>
    </row>
    <row r="550" ht="15.75" customHeight="1">
      <c r="A550" s="24" t="s">
        <v>1480</v>
      </c>
      <c r="B550" s="115" t="s">
        <v>117</v>
      </c>
      <c r="C550" s="26">
        <v>45919.0</v>
      </c>
      <c r="D550" s="26">
        <v>45919.0</v>
      </c>
      <c r="E550" s="24" t="s">
        <v>1287</v>
      </c>
      <c r="F550" s="24">
        <v>40.0</v>
      </c>
      <c r="G550" s="27"/>
      <c r="H550" s="24" t="s">
        <v>22</v>
      </c>
      <c r="I550" s="28" t="s">
        <v>23</v>
      </c>
      <c r="J550" s="24"/>
      <c r="K550" s="28" t="s">
        <v>31</v>
      </c>
      <c r="M550" s="29"/>
      <c r="N550" s="115" t="s">
        <v>914</v>
      </c>
      <c r="O550" s="28" t="s">
        <v>27</v>
      </c>
      <c r="P550" s="24" t="s">
        <v>22</v>
      </c>
      <c r="Q550" s="14" t="b">
        <f t="shared" si="1"/>
        <v>0</v>
      </c>
      <c r="R550" s="15" t="b">
        <f t="shared" si="2"/>
        <v>0</v>
      </c>
      <c r="S550" s="15" t="str">
        <f t="shared" si="3"/>
        <v>PENDING</v>
      </c>
    </row>
    <row r="551" ht="15.75" customHeight="1">
      <c r="A551" s="7" t="s">
        <v>1481</v>
      </c>
      <c r="B551" s="13" t="s">
        <v>1482</v>
      </c>
      <c r="C551" s="9">
        <v>45919.0</v>
      </c>
      <c r="D551" s="9">
        <v>45919.0</v>
      </c>
      <c r="E551" s="7" t="s">
        <v>1287</v>
      </c>
      <c r="F551" s="7">
        <v>40.0</v>
      </c>
      <c r="G551" s="10">
        <v>49.66</v>
      </c>
      <c r="H551" s="7" t="s">
        <v>1376</v>
      </c>
      <c r="I551" s="11" t="s">
        <v>23</v>
      </c>
      <c r="J551" s="11" t="s">
        <v>172</v>
      </c>
      <c r="K551" s="11" t="s">
        <v>25</v>
      </c>
      <c r="L551" s="16"/>
      <c r="M551" s="12" t="s">
        <v>1483</v>
      </c>
      <c r="N551" s="13"/>
      <c r="O551" s="11" t="s">
        <v>27</v>
      </c>
      <c r="P551" s="7" t="s">
        <v>1376</v>
      </c>
      <c r="Q551" s="14" t="b">
        <f t="shared" si="1"/>
        <v>1</v>
      </c>
      <c r="R551" s="15" t="b">
        <f t="shared" si="2"/>
        <v>0</v>
      </c>
      <c r="S551" s="15" t="str">
        <f t="shared" si="3"/>
        <v>APPROVED</v>
      </c>
    </row>
    <row r="552" ht="15.75" customHeight="1">
      <c r="A552" s="24" t="s">
        <v>1484</v>
      </c>
      <c r="B552" s="25" t="s">
        <v>1485</v>
      </c>
      <c r="C552" s="26">
        <v>45919.0</v>
      </c>
      <c r="D552" s="26">
        <v>45919.0</v>
      </c>
      <c r="E552" s="24" t="s">
        <v>1287</v>
      </c>
      <c r="F552" s="24">
        <v>160.0</v>
      </c>
      <c r="G552" s="27">
        <v>49.66</v>
      </c>
      <c r="H552" s="24" t="s">
        <v>1376</v>
      </c>
      <c r="I552" s="28" t="s">
        <v>23</v>
      </c>
      <c r="J552" s="28" t="s">
        <v>172</v>
      </c>
      <c r="K552" s="28" t="s">
        <v>84</v>
      </c>
      <c r="M552" s="29" t="s">
        <v>1486</v>
      </c>
      <c r="N552" s="135" t="s">
        <v>1487</v>
      </c>
      <c r="O552" s="28" t="s">
        <v>27</v>
      </c>
      <c r="P552" s="24" t="s">
        <v>1376</v>
      </c>
      <c r="Q552" s="14" t="b">
        <f t="shared" si="1"/>
        <v>0</v>
      </c>
      <c r="R552" s="15" t="b">
        <f t="shared" si="2"/>
        <v>0</v>
      </c>
      <c r="S552" s="15" t="str">
        <f t="shared" si="3"/>
        <v>PENDING</v>
      </c>
    </row>
    <row r="553" ht="15.75" customHeight="1">
      <c r="A553" s="24" t="s">
        <v>1484</v>
      </c>
      <c r="B553" s="25" t="s">
        <v>1485</v>
      </c>
      <c r="C553" s="26">
        <v>45919.0</v>
      </c>
      <c r="D553" s="26">
        <v>45919.0</v>
      </c>
      <c r="E553" s="24" t="s">
        <v>21</v>
      </c>
      <c r="F553" s="24">
        <v>72.0</v>
      </c>
      <c r="G553" s="27">
        <v>118.0</v>
      </c>
      <c r="H553" s="24" t="s">
        <v>1376</v>
      </c>
      <c r="I553" s="28" t="s">
        <v>23</v>
      </c>
      <c r="J553" s="28" t="s">
        <v>172</v>
      </c>
      <c r="K553" s="28" t="s">
        <v>84</v>
      </c>
      <c r="M553" s="29" t="s">
        <v>1486</v>
      </c>
      <c r="N553" s="135" t="s">
        <v>1487</v>
      </c>
      <c r="O553" s="28" t="s">
        <v>27</v>
      </c>
      <c r="P553" s="24" t="s">
        <v>1376</v>
      </c>
      <c r="Q553" s="14" t="b">
        <f t="shared" si="1"/>
        <v>0</v>
      </c>
      <c r="R553" s="15" t="b">
        <f t="shared" si="2"/>
        <v>0</v>
      </c>
      <c r="S553" s="15" t="str">
        <f t="shared" si="3"/>
        <v>PENDING</v>
      </c>
    </row>
    <row r="554" ht="15.75" customHeight="1">
      <c r="A554" s="24" t="s">
        <v>1488</v>
      </c>
      <c r="B554" s="25" t="s">
        <v>1489</v>
      </c>
      <c r="C554" s="26">
        <v>45920.0</v>
      </c>
      <c r="D554" s="26">
        <v>45922.0</v>
      </c>
      <c r="E554" s="24" t="s">
        <v>1287</v>
      </c>
      <c r="F554" s="24">
        <v>40.0</v>
      </c>
      <c r="G554" s="27">
        <v>49.64</v>
      </c>
      <c r="H554" s="24" t="s">
        <v>1387</v>
      </c>
      <c r="I554" s="28" t="s">
        <v>23</v>
      </c>
      <c r="J554" s="28" t="s">
        <v>172</v>
      </c>
      <c r="K554" s="28" t="s">
        <v>482</v>
      </c>
      <c r="M554" s="29"/>
      <c r="N554" s="25"/>
      <c r="O554" s="28" t="s">
        <v>27</v>
      </c>
      <c r="P554" s="24" t="s">
        <v>1387</v>
      </c>
      <c r="Q554" s="14" t="b">
        <f t="shared" si="1"/>
        <v>0</v>
      </c>
      <c r="R554" s="15" t="b">
        <f t="shared" si="2"/>
        <v>0</v>
      </c>
      <c r="S554" s="15" t="str">
        <f t="shared" si="3"/>
        <v>PENDING</v>
      </c>
    </row>
    <row r="555" ht="15.75" customHeight="1">
      <c r="A555" s="24" t="s">
        <v>1490</v>
      </c>
      <c r="B555" s="115" t="s">
        <v>1491</v>
      </c>
      <c r="C555" s="26">
        <v>45920.0</v>
      </c>
      <c r="D555" s="26">
        <v>45922.0</v>
      </c>
      <c r="E555" s="24" t="s">
        <v>1287</v>
      </c>
      <c r="F555" s="24">
        <v>40.0</v>
      </c>
      <c r="G555" s="27">
        <v>49.64</v>
      </c>
      <c r="H555" s="24" t="s">
        <v>1387</v>
      </c>
      <c r="I555" s="28" t="s">
        <v>23</v>
      </c>
      <c r="J555" s="28" t="s">
        <v>172</v>
      </c>
      <c r="K555" s="28" t="s">
        <v>84</v>
      </c>
      <c r="M555" s="29" t="s">
        <v>1492</v>
      </c>
      <c r="N555" s="25"/>
      <c r="O555" s="28" t="s">
        <v>27</v>
      </c>
      <c r="P555" s="24" t="s">
        <v>1387</v>
      </c>
      <c r="Q555" s="14" t="b">
        <f t="shared" si="1"/>
        <v>0</v>
      </c>
      <c r="R555" s="15" t="b">
        <f t="shared" si="2"/>
        <v>0</v>
      </c>
      <c r="S555" s="15" t="str">
        <f t="shared" si="3"/>
        <v>PENDING</v>
      </c>
    </row>
    <row r="556" ht="15.75" customHeight="1">
      <c r="A556" s="7" t="s">
        <v>1493</v>
      </c>
      <c r="B556" s="13" t="s">
        <v>1494</v>
      </c>
      <c r="C556" s="9">
        <v>45920.0</v>
      </c>
      <c r="D556" s="9">
        <v>45922.0</v>
      </c>
      <c r="E556" s="7" t="s">
        <v>1287</v>
      </c>
      <c r="F556" s="7">
        <v>40.0</v>
      </c>
      <c r="G556" s="10">
        <v>49.64</v>
      </c>
      <c r="H556" s="7" t="s">
        <v>1387</v>
      </c>
      <c r="I556" s="11" t="s">
        <v>23</v>
      </c>
      <c r="J556" s="11" t="s">
        <v>172</v>
      </c>
      <c r="K556" s="11" t="s">
        <v>25</v>
      </c>
      <c r="L556" s="16"/>
      <c r="M556" s="12" t="s">
        <v>1495</v>
      </c>
      <c r="N556" s="13"/>
      <c r="O556" s="11" t="s">
        <v>27</v>
      </c>
      <c r="P556" s="7" t="s">
        <v>1387</v>
      </c>
      <c r="Q556" s="14" t="b">
        <f t="shared" si="1"/>
        <v>1</v>
      </c>
      <c r="R556" s="15" t="b">
        <f t="shared" si="2"/>
        <v>0</v>
      </c>
      <c r="S556" s="15" t="str">
        <f t="shared" si="3"/>
        <v>APPROVED</v>
      </c>
    </row>
    <row r="557" ht="15.75" customHeight="1">
      <c r="A557" s="7" t="s">
        <v>1496</v>
      </c>
      <c r="B557" s="13" t="s">
        <v>1494</v>
      </c>
      <c r="C557" s="9">
        <v>45920.0</v>
      </c>
      <c r="D557" s="9">
        <v>45922.0</v>
      </c>
      <c r="E557" s="7" t="s">
        <v>21</v>
      </c>
      <c r="F557" s="7">
        <v>24.0</v>
      </c>
      <c r="G557" s="10">
        <v>118.18</v>
      </c>
      <c r="H557" s="7" t="s">
        <v>1387</v>
      </c>
      <c r="I557" s="11" t="s">
        <v>23</v>
      </c>
      <c r="J557" s="11" t="s">
        <v>172</v>
      </c>
      <c r="K557" s="11" t="s">
        <v>25</v>
      </c>
      <c r="L557" s="16"/>
      <c r="M557" s="12" t="s">
        <v>1495</v>
      </c>
      <c r="N557" s="13"/>
      <c r="O557" s="11" t="s">
        <v>27</v>
      </c>
      <c r="P557" s="7" t="s">
        <v>1387</v>
      </c>
      <c r="Q557" s="14" t="b">
        <f t="shared" si="1"/>
        <v>1</v>
      </c>
      <c r="R557" s="15" t="b">
        <f t="shared" si="2"/>
        <v>0</v>
      </c>
      <c r="S557" s="15" t="str">
        <f t="shared" si="3"/>
        <v>APPROVED</v>
      </c>
    </row>
    <row r="558" ht="15.75" customHeight="1">
      <c r="A558" s="24" t="s">
        <v>1497</v>
      </c>
      <c r="B558" s="25" t="s">
        <v>1498</v>
      </c>
      <c r="C558" s="26">
        <v>45920.0</v>
      </c>
      <c r="D558" s="26">
        <v>45925.0</v>
      </c>
      <c r="E558" s="24" t="s">
        <v>1287</v>
      </c>
      <c r="F558" s="24">
        <v>40.0</v>
      </c>
      <c r="G558" s="27">
        <v>49.66</v>
      </c>
      <c r="H558" s="24" t="s">
        <v>1376</v>
      </c>
      <c r="I558" s="28" t="s">
        <v>23</v>
      </c>
      <c r="J558" s="28" t="s">
        <v>35</v>
      </c>
      <c r="K558" s="28" t="s">
        <v>84</v>
      </c>
      <c r="M558" s="29" t="s">
        <v>1499</v>
      </c>
      <c r="N558" s="25"/>
      <c r="O558" s="28" t="s">
        <v>27</v>
      </c>
      <c r="P558" s="24" t="s">
        <v>1376</v>
      </c>
      <c r="Q558" s="14" t="b">
        <f t="shared" si="1"/>
        <v>0</v>
      </c>
      <c r="R558" s="15" t="b">
        <f t="shared" si="2"/>
        <v>0</v>
      </c>
      <c r="S558" s="15" t="str">
        <f t="shared" si="3"/>
        <v>PENDING</v>
      </c>
    </row>
    <row r="559" ht="15.75" customHeight="1">
      <c r="A559" s="24" t="s">
        <v>1500</v>
      </c>
      <c r="B559" s="143" t="s">
        <v>1501</v>
      </c>
      <c r="C559" s="26">
        <v>45920.0</v>
      </c>
      <c r="D559" s="26">
        <v>45920.0</v>
      </c>
      <c r="E559" s="24" t="s">
        <v>1287</v>
      </c>
      <c r="F559" s="24">
        <v>40.0</v>
      </c>
      <c r="G559" s="27">
        <v>49.66</v>
      </c>
      <c r="H559" s="24" t="s">
        <v>177</v>
      </c>
      <c r="I559" s="28" t="s">
        <v>23</v>
      </c>
      <c r="J559" s="28" t="s">
        <v>172</v>
      </c>
      <c r="K559" s="28" t="s">
        <v>482</v>
      </c>
      <c r="M559" s="29"/>
      <c r="N559" s="25"/>
      <c r="O559" s="28" t="s">
        <v>27</v>
      </c>
      <c r="P559" s="24" t="s">
        <v>177</v>
      </c>
      <c r="Q559" s="14" t="b">
        <f t="shared" si="1"/>
        <v>0</v>
      </c>
      <c r="R559" s="15" t="b">
        <f t="shared" si="2"/>
        <v>0</v>
      </c>
      <c r="S559" s="15" t="str">
        <f t="shared" si="3"/>
        <v>PENDING</v>
      </c>
    </row>
    <row r="560" ht="15.75" customHeight="1">
      <c r="A560" s="24" t="s">
        <v>1500</v>
      </c>
      <c r="B560" s="143" t="s">
        <v>1501</v>
      </c>
      <c r="C560" s="26">
        <v>45920.0</v>
      </c>
      <c r="D560" s="26">
        <v>45920.0</v>
      </c>
      <c r="E560" s="24" t="s">
        <v>21</v>
      </c>
      <c r="F560" s="24">
        <v>24.0</v>
      </c>
      <c r="G560" s="27">
        <v>118.0</v>
      </c>
      <c r="H560" s="24" t="s">
        <v>177</v>
      </c>
      <c r="I560" s="28" t="s">
        <v>23</v>
      </c>
      <c r="J560" s="28" t="s">
        <v>172</v>
      </c>
      <c r="K560" s="28" t="s">
        <v>482</v>
      </c>
      <c r="M560" s="29"/>
      <c r="N560" s="25"/>
      <c r="O560" s="28" t="s">
        <v>27</v>
      </c>
      <c r="P560" s="24" t="s">
        <v>177</v>
      </c>
      <c r="Q560" s="14" t="b">
        <f t="shared" si="1"/>
        <v>0</v>
      </c>
      <c r="R560" s="15" t="b">
        <f t="shared" si="2"/>
        <v>0</v>
      </c>
      <c r="S560" s="15" t="str">
        <f t="shared" si="3"/>
        <v>PENDING</v>
      </c>
    </row>
    <row r="561" ht="15.75" customHeight="1">
      <c r="A561" s="24" t="s">
        <v>1502</v>
      </c>
      <c r="B561" s="115" t="s">
        <v>73</v>
      </c>
      <c r="C561" s="26">
        <v>45920.0</v>
      </c>
      <c r="D561" s="26">
        <v>45920.0</v>
      </c>
      <c r="E561" s="24" t="s">
        <v>1287</v>
      </c>
      <c r="F561" s="24">
        <v>40.0</v>
      </c>
      <c r="G561" s="27">
        <v>49.64</v>
      </c>
      <c r="H561" s="24" t="s">
        <v>177</v>
      </c>
      <c r="I561" s="28" t="s">
        <v>23</v>
      </c>
      <c r="J561" s="28" t="s">
        <v>172</v>
      </c>
      <c r="K561" s="28" t="s">
        <v>84</v>
      </c>
      <c r="M561" s="29" t="s">
        <v>1503</v>
      </c>
      <c r="N561" s="25"/>
      <c r="O561" s="28" t="s">
        <v>27</v>
      </c>
      <c r="P561" s="24" t="s">
        <v>177</v>
      </c>
      <c r="Q561" s="14" t="b">
        <f t="shared" si="1"/>
        <v>0</v>
      </c>
      <c r="R561" s="15" t="b">
        <f t="shared" si="2"/>
        <v>0</v>
      </c>
      <c r="S561" s="15" t="str">
        <f t="shared" si="3"/>
        <v>PENDING</v>
      </c>
    </row>
    <row r="562" ht="15.75" customHeight="1">
      <c r="A562" s="24" t="s">
        <v>1504</v>
      </c>
      <c r="B562" s="25" t="s">
        <v>1505</v>
      </c>
      <c r="C562" s="26">
        <v>45920.0</v>
      </c>
      <c r="D562" s="26">
        <v>45920.0</v>
      </c>
      <c r="E562" s="24" t="s">
        <v>21</v>
      </c>
      <c r="F562" s="24">
        <v>24.0</v>
      </c>
      <c r="G562" s="27">
        <v>118.0</v>
      </c>
      <c r="H562" s="24" t="s">
        <v>177</v>
      </c>
      <c r="I562" s="28" t="s">
        <v>23</v>
      </c>
      <c r="J562" s="28" t="s">
        <v>172</v>
      </c>
      <c r="K562" s="28" t="s">
        <v>482</v>
      </c>
      <c r="M562" s="29"/>
      <c r="N562" s="25"/>
      <c r="O562" s="28" t="s">
        <v>27</v>
      </c>
      <c r="P562" s="24" t="s">
        <v>177</v>
      </c>
      <c r="Q562" s="14" t="b">
        <f t="shared" si="1"/>
        <v>0</v>
      </c>
      <c r="R562" s="15" t="b">
        <f t="shared" si="2"/>
        <v>0</v>
      </c>
      <c r="S562" s="15" t="str">
        <f t="shared" si="3"/>
        <v>PENDING</v>
      </c>
    </row>
    <row r="563" ht="15.75" customHeight="1">
      <c r="A563" s="24" t="s">
        <v>1504</v>
      </c>
      <c r="B563" s="25" t="s">
        <v>1505</v>
      </c>
      <c r="C563" s="26">
        <v>45920.0</v>
      </c>
      <c r="D563" s="26">
        <v>45920.0</v>
      </c>
      <c r="E563" s="24" t="s">
        <v>1287</v>
      </c>
      <c r="F563" s="24">
        <v>40.0</v>
      </c>
      <c r="G563" s="27">
        <v>49.64</v>
      </c>
      <c r="H563" s="24" t="s">
        <v>177</v>
      </c>
      <c r="I563" s="28" t="s">
        <v>23</v>
      </c>
      <c r="J563" s="28" t="s">
        <v>172</v>
      </c>
      <c r="K563" s="28" t="s">
        <v>482</v>
      </c>
      <c r="M563" s="29"/>
      <c r="N563" s="25"/>
      <c r="O563" s="28" t="s">
        <v>27</v>
      </c>
      <c r="P563" s="24" t="s">
        <v>177</v>
      </c>
      <c r="Q563" s="14" t="b">
        <f t="shared" si="1"/>
        <v>0</v>
      </c>
      <c r="R563" s="15" t="b">
        <f t="shared" si="2"/>
        <v>0</v>
      </c>
      <c r="S563" s="15" t="str">
        <f t="shared" si="3"/>
        <v>PENDING</v>
      </c>
    </row>
    <row r="564" ht="15.75" customHeight="1">
      <c r="A564" s="24" t="s">
        <v>1506</v>
      </c>
      <c r="B564" s="25" t="s">
        <v>20</v>
      </c>
      <c r="C564" s="26">
        <v>45919.0</v>
      </c>
      <c r="D564" s="26">
        <v>45922.0</v>
      </c>
      <c r="E564" s="24" t="s">
        <v>1287</v>
      </c>
      <c r="F564" s="24">
        <v>40.0</v>
      </c>
      <c r="G564" s="27">
        <v>49.64</v>
      </c>
      <c r="H564" s="24" t="s">
        <v>715</v>
      </c>
      <c r="I564" s="28" t="s">
        <v>23</v>
      </c>
      <c r="J564" s="28" t="s">
        <v>24</v>
      </c>
      <c r="K564" s="28" t="s">
        <v>482</v>
      </c>
      <c r="M564" s="29"/>
      <c r="N564" s="25"/>
      <c r="O564" s="28" t="s">
        <v>27</v>
      </c>
      <c r="P564" s="24" t="s">
        <v>715</v>
      </c>
      <c r="Q564" s="14" t="b">
        <f t="shared" si="1"/>
        <v>0</v>
      </c>
      <c r="R564" s="15" t="b">
        <f t="shared" si="2"/>
        <v>0</v>
      </c>
      <c r="S564" s="15" t="str">
        <f t="shared" si="3"/>
        <v>PENDING</v>
      </c>
    </row>
    <row r="565" ht="15.75" customHeight="1">
      <c r="A565" s="24" t="s">
        <v>1507</v>
      </c>
      <c r="B565" s="115" t="s">
        <v>714</v>
      </c>
      <c r="C565" s="26">
        <v>45922.0</v>
      </c>
      <c r="D565" s="26"/>
      <c r="E565" s="24" t="s">
        <v>1287</v>
      </c>
      <c r="F565" s="24">
        <v>120.0</v>
      </c>
      <c r="G565" s="27"/>
      <c r="H565" s="24" t="s">
        <v>715</v>
      </c>
      <c r="I565" s="28" t="s">
        <v>23</v>
      </c>
      <c r="J565" s="24"/>
      <c r="K565" s="28" t="s">
        <v>49</v>
      </c>
      <c r="M565" s="29"/>
      <c r="N565" s="25"/>
      <c r="O565" s="28" t="s">
        <v>27</v>
      </c>
      <c r="P565" s="24" t="s">
        <v>715</v>
      </c>
      <c r="Q565" s="14" t="b">
        <f t="shared" si="1"/>
        <v>0</v>
      </c>
      <c r="R565" s="15" t="b">
        <f t="shared" si="2"/>
        <v>0</v>
      </c>
      <c r="S565" s="15" t="str">
        <f t="shared" si="3"/>
        <v>PENDING</v>
      </c>
    </row>
    <row r="566" ht="15.75" customHeight="1">
      <c r="A566" s="24" t="s">
        <v>1508</v>
      </c>
      <c r="B566" s="25" t="s">
        <v>1509</v>
      </c>
      <c r="C566" s="26">
        <v>45919.0</v>
      </c>
      <c r="D566" s="26">
        <v>45919.0</v>
      </c>
      <c r="E566" s="24" t="s">
        <v>1287</v>
      </c>
      <c r="F566" s="24">
        <v>40.0</v>
      </c>
      <c r="G566" s="27">
        <v>58.0</v>
      </c>
      <c r="H566" s="24" t="s">
        <v>715</v>
      </c>
      <c r="I566" s="28" t="s">
        <v>23</v>
      </c>
      <c r="J566" s="28" t="s">
        <v>172</v>
      </c>
      <c r="K566" s="28" t="s">
        <v>49</v>
      </c>
      <c r="M566" s="29"/>
      <c r="N566" s="25"/>
      <c r="O566" s="28" t="s">
        <v>27</v>
      </c>
      <c r="P566" s="24" t="s">
        <v>715</v>
      </c>
      <c r="Q566" s="14" t="b">
        <f t="shared" si="1"/>
        <v>0</v>
      </c>
      <c r="R566" s="15" t="b">
        <f t="shared" si="2"/>
        <v>0</v>
      </c>
      <c r="S566" s="15" t="str">
        <f t="shared" si="3"/>
        <v>PENDING</v>
      </c>
    </row>
    <row r="567" ht="15.75" customHeight="1">
      <c r="A567" s="24" t="s">
        <v>1508</v>
      </c>
      <c r="B567" s="25" t="s">
        <v>1509</v>
      </c>
      <c r="C567" s="26">
        <v>45919.0</v>
      </c>
      <c r="D567" s="26">
        <v>45919.0</v>
      </c>
      <c r="E567" s="24" t="s">
        <v>21</v>
      </c>
      <c r="F567" s="24">
        <v>24.0</v>
      </c>
      <c r="G567" s="27">
        <v>119.0</v>
      </c>
      <c r="H567" s="24" t="s">
        <v>715</v>
      </c>
      <c r="I567" s="28" t="s">
        <v>23</v>
      </c>
      <c r="J567" s="28" t="s">
        <v>172</v>
      </c>
      <c r="K567" s="28" t="s">
        <v>49</v>
      </c>
      <c r="M567" s="29"/>
      <c r="N567" s="25"/>
      <c r="O567" s="28" t="s">
        <v>27</v>
      </c>
      <c r="P567" s="24" t="s">
        <v>715</v>
      </c>
      <c r="Q567" s="14" t="b">
        <f t="shared" si="1"/>
        <v>0</v>
      </c>
      <c r="R567" s="15" t="b">
        <f t="shared" si="2"/>
        <v>0</v>
      </c>
      <c r="S567" s="15" t="str">
        <f t="shared" si="3"/>
        <v>PENDING</v>
      </c>
    </row>
    <row r="568" ht="15.75" customHeight="1">
      <c r="A568" s="7" t="s">
        <v>1510</v>
      </c>
      <c r="B568" s="13" t="s">
        <v>1511</v>
      </c>
      <c r="C568" s="9">
        <v>45920.0</v>
      </c>
      <c r="D568" s="9">
        <v>45920.0</v>
      </c>
      <c r="E568" s="7" t="s">
        <v>21</v>
      </c>
      <c r="F568" s="7">
        <v>6.0</v>
      </c>
      <c r="G568" s="10">
        <v>119.0</v>
      </c>
      <c r="H568" s="7" t="s">
        <v>715</v>
      </c>
      <c r="I568" s="11" t="s">
        <v>23</v>
      </c>
      <c r="J568" s="11" t="s">
        <v>30</v>
      </c>
      <c r="K568" s="11" t="s">
        <v>25</v>
      </c>
      <c r="L568" s="16"/>
      <c r="M568" s="12"/>
      <c r="N568" s="13"/>
      <c r="O568" s="11" t="s">
        <v>27</v>
      </c>
      <c r="P568" s="7" t="s">
        <v>715</v>
      </c>
      <c r="Q568" s="14" t="b">
        <f t="shared" si="1"/>
        <v>1</v>
      </c>
      <c r="R568" s="15" t="b">
        <f t="shared" si="2"/>
        <v>0</v>
      </c>
      <c r="S568" s="15" t="str">
        <f t="shared" si="3"/>
        <v>APPROVED</v>
      </c>
    </row>
    <row r="569" ht="15.75" customHeight="1">
      <c r="A569" s="7" t="s">
        <v>1510</v>
      </c>
      <c r="B569" s="13" t="s">
        <v>1511</v>
      </c>
      <c r="C569" s="9">
        <v>45920.0</v>
      </c>
      <c r="D569" s="9">
        <v>45920.0</v>
      </c>
      <c r="E569" s="7" t="s">
        <v>1287</v>
      </c>
      <c r="F569" s="7">
        <v>12.0</v>
      </c>
      <c r="G569" s="10">
        <v>60.0</v>
      </c>
      <c r="H569" s="7" t="s">
        <v>715</v>
      </c>
      <c r="I569" s="11" t="s">
        <v>23</v>
      </c>
      <c r="J569" s="11" t="s">
        <v>30</v>
      </c>
      <c r="K569" s="11" t="s">
        <v>25</v>
      </c>
      <c r="L569" s="16"/>
      <c r="M569" s="12"/>
      <c r="N569" s="13"/>
      <c r="O569" s="11" t="s">
        <v>27</v>
      </c>
      <c r="P569" s="7" t="s">
        <v>715</v>
      </c>
      <c r="Q569" s="14" t="b">
        <f t="shared" si="1"/>
        <v>1</v>
      </c>
      <c r="R569" s="15" t="b">
        <f t="shared" si="2"/>
        <v>0</v>
      </c>
      <c r="S569" s="15" t="str">
        <f t="shared" si="3"/>
        <v>APPROVED</v>
      </c>
    </row>
    <row r="570" ht="15.75" customHeight="1">
      <c r="A570" s="24" t="s">
        <v>1512</v>
      </c>
      <c r="B570" s="25" t="s">
        <v>1195</v>
      </c>
      <c r="C570" s="26">
        <v>45916.0</v>
      </c>
      <c r="D570" s="26">
        <v>45916.0</v>
      </c>
      <c r="E570" s="24" t="s">
        <v>21</v>
      </c>
      <c r="F570" s="24">
        <v>24.0</v>
      </c>
      <c r="G570" s="27">
        <v>125.0</v>
      </c>
      <c r="H570" s="24" t="s">
        <v>715</v>
      </c>
      <c r="I570" s="28" t="s">
        <v>23</v>
      </c>
      <c r="J570" s="28" t="s">
        <v>48</v>
      </c>
      <c r="K570" s="28" t="s">
        <v>49</v>
      </c>
      <c r="M570" s="29"/>
      <c r="N570" s="25"/>
      <c r="O570" s="28" t="s">
        <v>27</v>
      </c>
      <c r="P570" s="24" t="s">
        <v>715</v>
      </c>
      <c r="Q570" s="14" t="b">
        <f t="shared" si="1"/>
        <v>0</v>
      </c>
      <c r="R570" s="15" t="b">
        <f t="shared" si="2"/>
        <v>0</v>
      </c>
      <c r="S570" s="15" t="str">
        <f t="shared" si="3"/>
        <v>PENDING</v>
      </c>
    </row>
    <row r="571" ht="15.75" customHeight="1">
      <c r="A571" s="24" t="s">
        <v>1513</v>
      </c>
      <c r="B571" s="115" t="s">
        <v>999</v>
      </c>
      <c r="C571" s="26">
        <v>45916.0</v>
      </c>
      <c r="D571" s="26">
        <v>45916.0</v>
      </c>
      <c r="E571" s="24" t="s">
        <v>21</v>
      </c>
      <c r="F571" s="24">
        <v>72.0</v>
      </c>
      <c r="G571" s="27">
        <v>115.0</v>
      </c>
      <c r="H571" s="24" t="s">
        <v>715</v>
      </c>
      <c r="I571" s="28" t="s">
        <v>23</v>
      </c>
      <c r="J571" s="28" t="s">
        <v>30</v>
      </c>
      <c r="K571" s="28" t="s">
        <v>49</v>
      </c>
      <c r="M571" s="29"/>
      <c r="N571" s="25"/>
      <c r="O571" s="28" t="s">
        <v>27</v>
      </c>
      <c r="P571" s="24" t="s">
        <v>715</v>
      </c>
      <c r="Q571" s="14" t="b">
        <f t="shared" si="1"/>
        <v>0</v>
      </c>
      <c r="R571" s="15" t="b">
        <f t="shared" si="2"/>
        <v>0</v>
      </c>
      <c r="S571" s="15" t="str">
        <f t="shared" si="3"/>
        <v>PENDING</v>
      </c>
    </row>
    <row r="572" ht="15.75" customHeight="1">
      <c r="A572" s="24" t="s">
        <v>1514</v>
      </c>
      <c r="B572" s="25" t="s">
        <v>1013</v>
      </c>
      <c r="C572" s="26">
        <v>45922.0</v>
      </c>
      <c r="D572" s="26">
        <v>45922.0</v>
      </c>
      <c r="E572" s="24" t="s">
        <v>1287</v>
      </c>
      <c r="F572" s="24">
        <v>40.0</v>
      </c>
      <c r="G572" s="27">
        <v>49.64</v>
      </c>
      <c r="H572" s="24" t="s">
        <v>177</v>
      </c>
      <c r="I572" s="28" t="s">
        <v>23</v>
      </c>
      <c r="J572" s="28" t="s">
        <v>172</v>
      </c>
      <c r="K572" s="28" t="s">
        <v>482</v>
      </c>
      <c r="M572" s="29"/>
      <c r="N572" s="25"/>
      <c r="O572" s="28" t="s">
        <v>27</v>
      </c>
      <c r="P572" s="24" t="s">
        <v>177</v>
      </c>
      <c r="Q572" s="14" t="b">
        <f t="shared" si="1"/>
        <v>0</v>
      </c>
      <c r="R572" s="15" t="b">
        <f t="shared" si="2"/>
        <v>0</v>
      </c>
      <c r="S572" s="15" t="str">
        <f t="shared" si="3"/>
        <v>PENDING</v>
      </c>
    </row>
    <row r="573" ht="15.75" customHeight="1">
      <c r="A573" s="24" t="s">
        <v>1515</v>
      </c>
      <c r="B573" s="25" t="s">
        <v>398</v>
      </c>
      <c r="C573" s="26">
        <v>45922.0</v>
      </c>
      <c r="D573" s="26">
        <v>45922.0</v>
      </c>
      <c r="E573" s="24" t="s">
        <v>1287</v>
      </c>
      <c r="F573" s="24">
        <v>40.0</v>
      </c>
      <c r="G573" s="27">
        <v>49.64</v>
      </c>
      <c r="H573" s="24" t="s">
        <v>177</v>
      </c>
      <c r="I573" s="28" t="s">
        <v>23</v>
      </c>
      <c r="J573" s="28" t="s">
        <v>172</v>
      </c>
      <c r="K573" s="28" t="s">
        <v>84</v>
      </c>
      <c r="M573" s="29" t="s">
        <v>1109</v>
      </c>
      <c r="N573" s="25"/>
      <c r="O573" s="28" t="s">
        <v>27</v>
      </c>
      <c r="P573" s="24" t="s">
        <v>177</v>
      </c>
      <c r="Q573" s="14" t="b">
        <f t="shared" si="1"/>
        <v>0</v>
      </c>
      <c r="R573" s="15" t="b">
        <f t="shared" si="2"/>
        <v>0</v>
      </c>
      <c r="S573" s="15" t="str">
        <f t="shared" si="3"/>
        <v>PENDING</v>
      </c>
    </row>
    <row r="574" ht="15.75" customHeight="1">
      <c r="A574" s="24" t="s">
        <v>1516</v>
      </c>
      <c r="B574" s="25" t="s">
        <v>1517</v>
      </c>
      <c r="C574" s="26">
        <v>45922.0</v>
      </c>
      <c r="D574" s="26">
        <v>45922.0</v>
      </c>
      <c r="E574" s="24" t="s">
        <v>1287</v>
      </c>
      <c r="F574" s="24">
        <v>40.0</v>
      </c>
      <c r="G574" s="27">
        <v>49.64</v>
      </c>
      <c r="H574" s="24" t="s">
        <v>177</v>
      </c>
      <c r="I574" s="28" t="s">
        <v>23</v>
      </c>
      <c r="J574" s="28" t="s">
        <v>172</v>
      </c>
      <c r="K574" s="28" t="s">
        <v>84</v>
      </c>
      <c r="M574" s="29" t="s">
        <v>1455</v>
      </c>
      <c r="N574" s="25"/>
      <c r="O574" s="28" t="s">
        <v>27</v>
      </c>
      <c r="P574" s="24" t="s">
        <v>177</v>
      </c>
      <c r="Q574" s="14" t="b">
        <f t="shared" si="1"/>
        <v>0</v>
      </c>
      <c r="R574" s="15" t="b">
        <f t="shared" si="2"/>
        <v>0</v>
      </c>
      <c r="S574" s="15" t="str">
        <f t="shared" si="3"/>
        <v>PENDING</v>
      </c>
    </row>
    <row r="575" ht="15.75" customHeight="1">
      <c r="A575" s="24" t="s">
        <v>1518</v>
      </c>
      <c r="B575" s="25" t="s">
        <v>1519</v>
      </c>
      <c r="C575" s="26">
        <v>45923.0</v>
      </c>
      <c r="D575" s="26">
        <v>45923.0</v>
      </c>
      <c r="E575" s="24" t="s">
        <v>1287</v>
      </c>
      <c r="F575" s="24">
        <v>40.0</v>
      </c>
      <c r="G575" s="27">
        <v>49.64</v>
      </c>
      <c r="H575" s="24" t="s">
        <v>177</v>
      </c>
      <c r="I575" s="28" t="s">
        <v>23</v>
      </c>
      <c r="J575" s="28" t="s">
        <v>172</v>
      </c>
      <c r="K575" s="28" t="s">
        <v>84</v>
      </c>
      <c r="M575" s="29" t="s">
        <v>1520</v>
      </c>
      <c r="N575" s="25"/>
      <c r="O575" s="28" t="s">
        <v>27</v>
      </c>
      <c r="P575" s="24" t="s">
        <v>177</v>
      </c>
      <c r="Q575" s="14" t="b">
        <f t="shared" si="1"/>
        <v>0</v>
      </c>
      <c r="R575" s="15" t="b">
        <f t="shared" si="2"/>
        <v>0</v>
      </c>
      <c r="S575" s="15" t="str">
        <f t="shared" si="3"/>
        <v>PENDING</v>
      </c>
    </row>
    <row r="576" ht="15.75" customHeight="1">
      <c r="A576" s="24" t="s">
        <v>1521</v>
      </c>
      <c r="B576" s="115" t="s">
        <v>202</v>
      </c>
      <c r="C576" s="26">
        <v>45924.0</v>
      </c>
      <c r="D576" s="26">
        <v>45924.0</v>
      </c>
      <c r="E576" s="24" t="s">
        <v>21</v>
      </c>
      <c r="F576" s="24">
        <v>480.0</v>
      </c>
      <c r="G576" s="27">
        <v>115.0</v>
      </c>
      <c r="H576" s="24" t="s">
        <v>177</v>
      </c>
      <c r="I576" s="28" t="s">
        <v>23</v>
      </c>
      <c r="J576" s="28" t="s">
        <v>172</v>
      </c>
      <c r="K576" s="28" t="s">
        <v>482</v>
      </c>
      <c r="M576" s="29"/>
      <c r="N576" s="135" t="s">
        <v>1522</v>
      </c>
      <c r="O576" s="28" t="s">
        <v>27</v>
      </c>
      <c r="P576" s="24" t="s">
        <v>177</v>
      </c>
      <c r="Q576" s="14" t="b">
        <f t="shared" si="1"/>
        <v>0</v>
      </c>
      <c r="R576" s="15" t="b">
        <f t="shared" si="2"/>
        <v>0</v>
      </c>
      <c r="S576" s="15" t="str">
        <f t="shared" si="3"/>
        <v>PENDING</v>
      </c>
    </row>
    <row r="577" ht="15.75" customHeight="1">
      <c r="A577" s="24" t="s">
        <v>1521</v>
      </c>
      <c r="B577" s="115" t="s">
        <v>202</v>
      </c>
      <c r="C577" s="26">
        <v>45924.0</v>
      </c>
      <c r="D577" s="26">
        <v>45924.0</v>
      </c>
      <c r="E577" s="24" t="s">
        <v>1287</v>
      </c>
      <c r="F577" s="24">
        <v>160.0</v>
      </c>
      <c r="G577" s="27">
        <v>45.0</v>
      </c>
      <c r="H577" s="24" t="s">
        <v>177</v>
      </c>
      <c r="I577" s="28" t="s">
        <v>23</v>
      </c>
      <c r="J577" s="28" t="s">
        <v>172</v>
      </c>
      <c r="K577" s="28" t="s">
        <v>482</v>
      </c>
      <c r="M577" s="29"/>
      <c r="N577" s="135" t="s">
        <v>1522</v>
      </c>
      <c r="O577" s="28" t="s">
        <v>27</v>
      </c>
      <c r="P577" s="24" t="s">
        <v>177</v>
      </c>
      <c r="Q577" s="14" t="b">
        <f t="shared" si="1"/>
        <v>0</v>
      </c>
      <c r="R577" s="15" t="b">
        <f t="shared" si="2"/>
        <v>0</v>
      </c>
      <c r="S577" s="15" t="str">
        <f t="shared" si="3"/>
        <v>PENDING</v>
      </c>
    </row>
    <row r="578" ht="15.75" customHeight="1">
      <c r="A578" s="24" t="s">
        <v>1523</v>
      </c>
      <c r="B578" s="25" t="s">
        <v>1519</v>
      </c>
      <c r="C578" s="26">
        <v>45924.0</v>
      </c>
      <c r="D578" s="26">
        <v>45924.0</v>
      </c>
      <c r="E578" s="24" t="s">
        <v>21</v>
      </c>
      <c r="F578" s="24">
        <v>24.0</v>
      </c>
      <c r="G578" s="27">
        <v>118.18</v>
      </c>
      <c r="H578" s="24" t="s">
        <v>177</v>
      </c>
      <c r="I578" s="28" t="s">
        <v>23</v>
      </c>
      <c r="J578" s="28" t="s">
        <v>172</v>
      </c>
      <c r="K578" s="28" t="s">
        <v>84</v>
      </c>
      <c r="M578" s="29" t="s">
        <v>1520</v>
      </c>
      <c r="N578" s="25"/>
      <c r="O578" s="28" t="s">
        <v>27</v>
      </c>
      <c r="P578" s="24" t="s">
        <v>177</v>
      </c>
      <c r="Q578" s="14" t="b">
        <f t="shared" si="1"/>
        <v>0</v>
      </c>
      <c r="R578" s="15" t="b">
        <f t="shared" si="2"/>
        <v>0</v>
      </c>
      <c r="S578" s="15" t="str">
        <f t="shared" si="3"/>
        <v>PENDING</v>
      </c>
    </row>
    <row r="579" ht="15.75" customHeight="1">
      <c r="A579" s="24" t="s">
        <v>1524</v>
      </c>
      <c r="B579" s="25" t="s">
        <v>276</v>
      </c>
      <c r="C579" s="26">
        <v>45924.0</v>
      </c>
      <c r="D579" s="26">
        <v>45924.0</v>
      </c>
      <c r="E579" s="24" t="s">
        <v>21</v>
      </c>
      <c r="F579" s="24">
        <v>48.0</v>
      </c>
      <c r="G579" s="27">
        <v>119.0</v>
      </c>
      <c r="H579" s="24" t="s">
        <v>177</v>
      </c>
      <c r="I579" s="28" t="s">
        <v>23</v>
      </c>
      <c r="J579" s="28" t="s">
        <v>172</v>
      </c>
      <c r="K579" s="28" t="s">
        <v>84</v>
      </c>
      <c r="M579" s="29" t="s">
        <v>1525</v>
      </c>
      <c r="N579" s="29" t="s">
        <v>1526</v>
      </c>
      <c r="O579" s="28" t="s">
        <v>27</v>
      </c>
      <c r="P579" s="24" t="s">
        <v>177</v>
      </c>
      <c r="Q579" s="14" t="b">
        <f t="shared" si="1"/>
        <v>0</v>
      </c>
      <c r="R579" s="15" t="b">
        <f t="shared" si="2"/>
        <v>0</v>
      </c>
      <c r="S579" s="15" t="str">
        <f t="shared" si="3"/>
        <v>PENDING</v>
      </c>
    </row>
    <row r="580" ht="15.75" customHeight="1">
      <c r="A580" s="24" t="s">
        <v>1524</v>
      </c>
      <c r="B580" s="25" t="s">
        <v>276</v>
      </c>
      <c r="C580" s="26">
        <v>45924.0</v>
      </c>
      <c r="D580" s="26">
        <v>45924.0</v>
      </c>
      <c r="E580" s="24" t="s">
        <v>1287</v>
      </c>
      <c r="F580" s="24">
        <v>200.0</v>
      </c>
      <c r="G580" s="27">
        <v>49.64</v>
      </c>
      <c r="H580" s="24" t="s">
        <v>177</v>
      </c>
      <c r="I580" s="28" t="s">
        <v>23</v>
      </c>
      <c r="J580" s="28" t="s">
        <v>172</v>
      </c>
      <c r="K580" s="28" t="s">
        <v>84</v>
      </c>
      <c r="M580" s="29" t="s">
        <v>1525</v>
      </c>
      <c r="N580" s="29" t="s">
        <v>1526</v>
      </c>
      <c r="O580" s="28" t="s">
        <v>27</v>
      </c>
      <c r="P580" s="24" t="s">
        <v>177</v>
      </c>
      <c r="Q580" s="14" t="b">
        <f t="shared" si="1"/>
        <v>0</v>
      </c>
      <c r="R580" s="15" t="b">
        <f t="shared" si="2"/>
        <v>0</v>
      </c>
      <c r="S580" s="15" t="str">
        <f t="shared" si="3"/>
        <v>PENDING</v>
      </c>
    </row>
    <row r="581" ht="15.75" customHeight="1">
      <c r="A581" s="24" t="s">
        <v>1527</v>
      </c>
      <c r="B581" s="144" t="s">
        <v>378</v>
      </c>
      <c r="C581" s="26">
        <v>45924.0</v>
      </c>
      <c r="D581" s="26">
        <v>45924.0</v>
      </c>
      <c r="E581" s="24" t="s">
        <v>1287</v>
      </c>
      <c r="F581" s="24">
        <v>200.0</v>
      </c>
      <c r="G581" s="27">
        <v>49.64</v>
      </c>
      <c r="H581" s="24" t="s">
        <v>177</v>
      </c>
      <c r="I581" s="28" t="s">
        <v>23</v>
      </c>
      <c r="J581" s="28" t="s">
        <v>172</v>
      </c>
      <c r="K581" s="28" t="s">
        <v>482</v>
      </c>
      <c r="M581" s="29"/>
      <c r="N581" s="29" t="s">
        <v>1526</v>
      </c>
      <c r="O581" s="28" t="s">
        <v>27</v>
      </c>
      <c r="P581" s="24" t="s">
        <v>177</v>
      </c>
      <c r="Q581" s="14" t="b">
        <f t="shared" si="1"/>
        <v>0</v>
      </c>
      <c r="R581" s="15" t="b">
        <f t="shared" si="2"/>
        <v>0</v>
      </c>
      <c r="S581" s="15" t="str">
        <f t="shared" si="3"/>
        <v>PENDING</v>
      </c>
    </row>
    <row r="582" ht="15.75" customHeight="1">
      <c r="A582" s="24" t="s">
        <v>1527</v>
      </c>
      <c r="B582" s="144" t="s">
        <v>378</v>
      </c>
      <c r="C582" s="26">
        <v>45924.0</v>
      </c>
      <c r="D582" s="26">
        <v>45924.0</v>
      </c>
      <c r="E582" s="24" t="s">
        <v>21</v>
      </c>
      <c r="F582" s="24">
        <v>48.0</v>
      </c>
      <c r="G582" s="27">
        <v>118.18</v>
      </c>
      <c r="H582" s="24" t="s">
        <v>177</v>
      </c>
      <c r="I582" s="28" t="s">
        <v>23</v>
      </c>
      <c r="J582" s="28" t="s">
        <v>172</v>
      </c>
      <c r="K582" s="28" t="s">
        <v>482</v>
      </c>
      <c r="M582" s="29"/>
      <c r="N582" s="29" t="s">
        <v>1526</v>
      </c>
      <c r="O582" s="28" t="s">
        <v>27</v>
      </c>
      <c r="P582" s="24" t="s">
        <v>177</v>
      </c>
      <c r="Q582" s="14" t="b">
        <f t="shared" si="1"/>
        <v>0</v>
      </c>
      <c r="R582" s="15" t="b">
        <f t="shared" si="2"/>
        <v>0</v>
      </c>
      <c r="S582" s="15" t="str">
        <f t="shared" si="3"/>
        <v>PENDING</v>
      </c>
    </row>
    <row r="583" ht="15.75" customHeight="1">
      <c r="A583" s="24" t="s">
        <v>1528</v>
      </c>
      <c r="B583" s="25" t="s">
        <v>176</v>
      </c>
      <c r="C583" s="26">
        <v>45924.0</v>
      </c>
      <c r="D583" s="26">
        <v>45924.0</v>
      </c>
      <c r="E583" s="24" t="s">
        <v>21</v>
      </c>
      <c r="F583" s="24">
        <v>240.0</v>
      </c>
      <c r="G583" s="27">
        <v>115.0</v>
      </c>
      <c r="H583" s="24" t="s">
        <v>177</v>
      </c>
      <c r="I583" s="28" t="s">
        <v>23</v>
      </c>
      <c r="J583" s="28" t="s">
        <v>172</v>
      </c>
      <c r="K583" s="28" t="s">
        <v>84</v>
      </c>
      <c r="M583" s="29" t="s">
        <v>1529</v>
      </c>
      <c r="N583" s="135" t="s">
        <v>1530</v>
      </c>
      <c r="O583" s="28" t="s">
        <v>27</v>
      </c>
      <c r="P583" s="24" t="s">
        <v>177</v>
      </c>
      <c r="Q583" s="14" t="b">
        <f t="shared" si="1"/>
        <v>0</v>
      </c>
      <c r="R583" s="15" t="b">
        <f t="shared" si="2"/>
        <v>0</v>
      </c>
      <c r="S583" s="15" t="str">
        <f t="shared" si="3"/>
        <v>PENDING</v>
      </c>
    </row>
    <row r="584" ht="15.75" customHeight="1">
      <c r="A584" s="24" t="s">
        <v>1528</v>
      </c>
      <c r="B584" s="25" t="s">
        <v>176</v>
      </c>
      <c r="C584" s="26">
        <v>45924.0</v>
      </c>
      <c r="D584" s="26">
        <v>45924.0</v>
      </c>
      <c r="E584" s="24" t="s">
        <v>1287</v>
      </c>
      <c r="F584" s="24">
        <v>80.0</v>
      </c>
      <c r="G584" s="27">
        <v>49.64</v>
      </c>
      <c r="H584" s="24" t="s">
        <v>177</v>
      </c>
      <c r="I584" s="28" t="s">
        <v>23</v>
      </c>
      <c r="J584" s="28" t="s">
        <v>172</v>
      </c>
      <c r="K584" s="28" t="s">
        <v>84</v>
      </c>
      <c r="M584" s="29" t="s">
        <v>1529</v>
      </c>
      <c r="N584" s="135" t="s">
        <v>1530</v>
      </c>
      <c r="O584" s="28" t="s">
        <v>27</v>
      </c>
      <c r="P584" s="24" t="s">
        <v>177</v>
      </c>
      <c r="Q584" s="14" t="b">
        <f t="shared" si="1"/>
        <v>0</v>
      </c>
      <c r="R584" s="15" t="b">
        <f t="shared" si="2"/>
        <v>0</v>
      </c>
      <c r="S584" s="15" t="str">
        <f t="shared" si="3"/>
        <v>PENDING</v>
      </c>
    </row>
    <row r="585" ht="15.75" customHeight="1">
      <c r="A585" s="24" t="s">
        <v>1531</v>
      </c>
      <c r="B585" s="25" t="s">
        <v>1532</v>
      </c>
      <c r="C585" s="26">
        <v>45923.0</v>
      </c>
      <c r="D585" s="26">
        <v>45925.0</v>
      </c>
      <c r="E585" s="24" t="s">
        <v>1287</v>
      </c>
      <c r="F585" s="24">
        <v>40.0</v>
      </c>
      <c r="G585" s="27">
        <v>49.64</v>
      </c>
      <c r="H585" s="24" t="s">
        <v>1376</v>
      </c>
      <c r="I585" s="28" t="s">
        <v>23</v>
      </c>
      <c r="J585" s="28" t="s">
        <v>35</v>
      </c>
      <c r="K585" s="28" t="s">
        <v>84</v>
      </c>
      <c r="M585" s="29" t="s">
        <v>1533</v>
      </c>
      <c r="N585" s="25"/>
      <c r="O585" s="28" t="s">
        <v>27</v>
      </c>
      <c r="P585" s="24" t="s">
        <v>1376</v>
      </c>
      <c r="Q585" s="14" t="b">
        <f t="shared" si="1"/>
        <v>0</v>
      </c>
      <c r="R585" s="15" t="b">
        <f t="shared" si="2"/>
        <v>0</v>
      </c>
      <c r="S585" s="15" t="str">
        <f t="shared" si="3"/>
        <v>PENDING</v>
      </c>
    </row>
    <row r="586" ht="15.75" customHeight="1">
      <c r="A586" s="24" t="s">
        <v>1534</v>
      </c>
      <c r="B586" s="25" t="s">
        <v>1535</v>
      </c>
      <c r="C586" s="26">
        <v>45923.0</v>
      </c>
      <c r="D586" s="26">
        <v>45925.0</v>
      </c>
      <c r="E586" s="24" t="s">
        <v>21</v>
      </c>
      <c r="F586" s="24">
        <v>48.0</v>
      </c>
      <c r="G586" s="27">
        <v>118.0</v>
      </c>
      <c r="H586" s="24" t="s">
        <v>1376</v>
      </c>
      <c r="I586" s="28" t="s">
        <v>23</v>
      </c>
      <c r="J586" s="28" t="s">
        <v>35</v>
      </c>
      <c r="K586" s="28" t="s">
        <v>84</v>
      </c>
      <c r="M586" s="29" t="s">
        <v>1536</v>
      </c>
      <c r="N586" s="25"/>
      <c r="O586" s="28" t="s">
        <v>27</v>
      </c>
      <c r="P586" s="24" t="s">
        <v>1376</v>
      </c>
      <c r="Q586" s="14" t="b">
        <f t="shared" si="1"/>
        <v>0</v>
      </c>
      <c r="R586" s="15" t="b">
        <f t="shared" si="2"/>
        <v>0</v>
      </c>
      <c r="S586" s="15" t="str">
        <f t="shared" si="3"/>
        <v>PENDING</v>
      </c>
    </row>
    <row r="587" ht="15.75" customHeight="1">
      <c r="A587" s="24" t="s">
        <v>1534</v>
      </c>
      <c r="B587" s="25" t="s">
        <v>1535</v>
      </c>
      <c r="C587" s="26">
        <v>45923.0</v>
      </c>
      <c r="D587" s="26">
        <v>45925.0</v>
      </c>
      <c r="E587" s="24" t="s">
        <v>1287</v>
      </c>
      <c r="F587" s="24">
        <v>40.0</v>
      </c>
      <c r="G587" s="27">
        <v>49.66</v>
      </c>
      <c r="H587" s="24" t="s">
        <v>1376</v>
      </c>
      <c r="I587" s="28" t="s">
        <v>23</v>
      </c>
      <c r="J587" s="28" t="s">
        <v>35</v>
      </c>
      <c r="K587" s="28" t="s">
        <v>84</v>
      </c>
      <c r="M587" s="29" t="s">
        <v>1536</v>
      </c>
      <c r="N587" s="25"/>
      <c r="O587" s="28" t="s">
        <v>27</v>
      </c>
      <c r="P587" s="24" t="s">
        <v>1376</v>
      </c>
      <c r="Q587" s="14" t="b">
        <f t="shared" si="1"/>
        <v>0</v>
      </c>
      <c r="R587" s="15" t="b">
        <f t="shared" si="2"/>
        <v>0</v>
      </c>
      <c r="S587" s="15" t="str">
        <f t="shared" si="3"/>
        <v>PENDING</v>
      </c>
    </row>
    <row r="588" ht="15.75" customHeight="1">
      <c r="A588" s="24" t="s">
        <v>1537</v>
      </c>
      <c r="B588" s="25" t="s">
        <v>1538</v>
      </c>
      <c r="C588" s="26">
        <v>45923.0</v>
      </c>
      <c r="D588" s="26">
        <v>45925.0</v>
      </c>
      <c r="E588" s="24" t="s">
        <v>1287</v>
      </c>
      <c r="F588" s="24">
        <v>40.0</v>
      </c>
      <c r="G588" s="27">
        <v>49.66</v>
      </c>
      <c r="H588" s="24" t="s">
        <v>1376</v>
      </c>
      <c r="I588" s="28" t="s">
        <v>23</v>
      </c>
      <c r="J588" s="28" t="s">
        <v>172</v>
      </c>
      <c r="K588" s="28" t="s">
        <v>84</v>
      </c>
      <c r="M588" s="29" t="s">
        <v>1539</v>
      </c>
      <c r="N588" s="25"/>
      <c r="O588" s="28" t="s">
        <v>27</v>
      </c>
      <c r="P588" s="24" t="s">
        <v>1376</v>
      </c>
      <c r="Q588" s="14" t="b">
        <f t="shared" si="1"/>
        <v>0</v>
      </c>
      <c r="R588" s="15" t="b">
        <f t="shared" si="2"/>
        <v>0</v>
      </c>
      <c r="S588" s="15" t="str">
        <f t="shared" si="3"/>
        <v>PENDING</v>
      </c>
    </row>
    <row r="589" ht="15.75" customHeight="1">
      <c r="A589" s="24" t="s">
        <v>1537</v>
      </c>
      <c r="B589" s="25" t="s">
        <v>1538</v>
      </c>
      <c r="C589" s="26">
        <v>45923.0</v>
      </c>
      <c r="D589" s="26">
        <v>45925.0</v>
      </c>
      <c r="E589" s="24" t="s">
        <v>21</v>
      </c>
      <c r="F589" s="24">
        <v>24.0</v>
      </c>
      <c r="G589" s="27">
        <v>118.0</v>
      </c>
      <c r="H589" s="24" t="s">
        <v>1376</v>
      </c>
      <c r="I589" s="28" t="s">
        <v>23</v>
      </c>
      <c r="J589" s="28" t="s">
        <v>172</v>
      </c>
      <c r="K589" s="28" t="s">
        <v>84</v>
      </c>
      <c r="M589" s="29" t="s">
        <v>1539</v>
      </c>
      <c r="N589" s="25"/>
      <c r="O589" s="28" t="s">
        <v>27</v>
      </c>
      <c r="P589" s="24" t="s">
        <v>1376</v>
      </c>
      <c r="Q589" s="14" t="b">
        <f t="shared" si="1"/>
        <v>0</v>
      </c>
      <c r="R589" s="15" t="b">
        <f t="shared" si="2"/>
        <v>0</v>
      </c>
      <c r="S589" s="15" t="str">
        <f t="shared" si="3"/>
        <v>PENDING</v>
      </c>
    </row>
    <row r="590" ht="15.75" customHeight="1">
      <c r="A590" s="24" t="s">
        <v>1540</v>
      </c>
      <c r="B590" s="25" t="s">
        <v>1541</v>
      </c>
      <c r="C590" s="26">
        <v>45923.0</v>
      </c>
      <c r="D590" s="26">
        <v>45925.0</v>
      </c>
      <c r="E590" s="24" t="s">
        <v>21</v>
      </c>
      <c r="F590" s="24">
        <v>24.0</v>
      </c>
      <c r="G590" s="27">
        <v>118.0</v>
      </c>
      <c r="H590" s="24" t="s">
        <v>1376</v>
      </c>
      <c r="I590" s="28" t="s">
        <v>23</v>
      </c>
      <c r="J590" s="28" t="s">
        <v>172</v>
      </c>
      <c r="K590" s="28" t="s">
        <v>482</v>
      </c>
      <c r="M590" s="29"/>
      <c r="N590" s="25"/>
      <c r="O590" s="28" t="s">
        <v>27</v>
      </c>
      <c r="P590" s="24" t="s">
        <v>1376</v>
      </c>
      <c r="Q590" s="14" t="b">
        <f t="shared" si="1"/>
        <v>0</v>
      </c>
      <c r="R590" s="15" t="b">
        <f t="shared" si="2"/>
        <v>0</v>
      </c>
      <c r="S590" s="15" t="str">
        <f t="shared" si="3"/>
        <v>PENDING</v>
      </c>
    </row>
    <row r="591" ht="15.75" customHeight="1">
      <c r="A591" s="24" t="s">
        <v>1540</v>
      </c>
      <c r="B591" s="25" t="s">
        <v>1541</v>
      </c>
      <c r="C591" s="26">
        <v>45923.0</v>
      </c>
      <c r="D591" s="26">
        <v>45925.0</v>
      </c>
      <c r="E591" s="24" t="s">
        <v>1287</v>
      </c>
      <c r="F591" s="24">
        <v>40.0</v>
      </c>
      <c r="G591" s="27">
        <v>49.66</v>
      </c>
      <c r="H591" s="24" t="s">
        <v>1376</v>
      </c>
      <c r="I591" s="28" t="s">
        <v>23</v>
      </c>
      <c r="J591" s="28" t="s">
        <v>172</v>
      </c>
      <c r="K591" s="28" t="s">
        <v>482</v>
      </c>
      <c r="M591" s="29"/>
      <c r="N591" s="25"/>
      <c r="O591" s="28" t="s">
        <v>27</v>
      </c>
      <c r="P591" s="24" t="s">
        <v>1376</v>
      </c>
      <c r="Q591" s="14" t="b">
        <f t="shared" si="1"/>
        <v>0</v>
      </c>
      <c r="R591" s="15" t="b">
        <f t="shared" si="2"/>
        <v>0</v>
      </c>
      <c r="S591" s="15" t="str">
        <f t="shared" si="3"/>
        <v>PENDING</v>
      </c>
    </row>
    <row r="592" ht="15.75" customHeight="1">
      <c r="A592" s="24" t="s">
        <v>1542</v>
      </c>
      <c r="B592" s="115" t="s">
        <v>916</v>
      </c>
      <c r="C592" s="26">
        <v>45925.0</v>
      </c>
      <c r="D592" s="26"/>
      <c r="E592" s="24" t="s">
        <v>1287</v>
      </c>
      <c r="F592" s="24">
        <v>80.0</v>
      </c>
      <c r="G592" s="27">
        <v>55.0</v>
      </c>
      <c r="H592" s="24" t="s">
        <v>744</v>
      </c>
      <c r="I592" s="28" t="s">
        <v>23</v>
      </c>
      <c r="J592" s="28" t="s">
        <v>172</v>
      </c>
      <c r="K592" s="28" t="s">
        <v>84</v>
      </c>
      <c r="M592" s="29" t="s">
        <v>1543</v>
      </c>
      <c r="N592" s="25"/>
      <c r="O592" s="28" t="s">
        <v>27</v>
      </c>
      <c r="P592" s="24" t="s">
        <v>744</v>
      </c>
      <c r="Q592" s="14" t="b">
        <f t="shared" si="1"/>
        <v>0</v>
      </c>
      <c r="R592" s="15" t="b">
        <f t="shared" si="2"/>
        <v>0</v>
      </c>
      <c r="S592" s="15" t="str">
        <f t="shared" si="3"/>
        <v>PENDING</v>
      </c>
    </row>
    <row r="593" ht="15.75" customHeight="1">
      <c r="A593" s="24" t="s">
        <v>1544</v>
      </c>
      <c r="B593" s="115" t="s">
        <v>1121</v>
      </c>
      <c r="C593" s="26">
        <v>45925.0</v>
      </c>
      <c r="D593" s="26"/>
      <c r="E593" s="24" t="s">
        <v>21</v>
      </c>
      <c r="F593" s="24">
        <v>120.0</v>
      </c>
      <c r="G593" s="27">
        <v>119.0</v>
      </c>
      <c r="H593" s="24" t="s">
        <v>744</v>
      </c>
      <c r="I593" s="28" t="s">
        <v>23</v>
      </c>
      <c r="J593" s="28" t="s">
        <v>48</v>
      </c>
      <c r="K593" s="28" t="s">
        <v>482</v>
      </c>
      <c r="M593" s="29"/>
      <c r="N593" s="25"/>
      <c r="O593" s="28" t="s">
        <v>27</v>
      </c>
      <c r="P593" s="24" t="s">
        <v>744</v>
      </c>
      <c r="Q593" s="14" t="b">
        <f t="shared" si="1"/>
        <v>0</v>
      </c>
      <c r="R593" s="15" t="b">
        <f t="shared" si="2"/>
        <v>0</v>
      </c>
      <c r="S593" s="15" t="str">
        <f t="shared" si="3"/>
        <v>PENDING</v>
      </c>
    </row>
    <row r="594" ht="15.75" customHeight="1">
      <c r="A594" s="24" t="s">
        <v>1545</v>
      </c>
      <c r="B594" s="115" t="s">
        <v>815</v>
      </c>
      <c r="C594" s="26">
        <v>45925.0</v>
      </c>
      <c r="D594" s="26"/>
      <c r="E594" s="24" t="s">
        <v>1287</v>
      </c>
      <c r="F594" s="24">
        <v>80.0</v>
      </c>
      <c r="G594" s="27">
        <v>55.0</v>
      </c>
      <c r="H594" s="24" t="s">
        <v>744</v>
      </c>
      <c r="I594" s="28" t="s">
        <v>23</v>
      </c>
      <c r="J594" s="28" t="s">
        <v>172</v>
      </c>
      <c r="K594" s="28" t="s">
        <v>482</v>
      </c>
      <c r="M594" s="29"/>
      <c r="N594" s="25"/>
      <c r="O594" s="28" t="s">
        <v>27</v>
      </c>
      <c r="P594" s="24" t="s">
        <v>744</v>
      </c>
      <c r="Q594" s="14" t="b">
        <f t="shared" si="1"/>
        <v>0</v>
      </c>
      <c r="R594" s="15" t="b">
        <f t="shared" si="2"/>
        <v>0</v>
      </c>
      <c r="S594" s="15" t="str">
        <f t="shared" si="3"/>
        <v>PENDING</v>
      </c>
    </row>
    <row r="595" ht="15.75" customHeight="1">
      <c r="A595" s="24" t="s">
        <v>1546</v>
      </c>
      <c r="B595" s="115" t="s">
        <v>1547</v>
      </c>
      <c r="C595" s="26">
        <v>45925.0</v>
      </c>
      <c r="D595" s="26">
        <v>45925.0</v>
      </c>
      <c r="E595" s="24" t="s">
        <v>21</v>
      </c>
      <c r="F595" s="24">
        <v>48.0</v>
      </c>
      <c r="G595" s="27">
        <v>119.0</v>
      </c>
      <c r="H595" s="24" t="s">
        <v>744</v>
      </c>
      <c r="I595" s="28" t="s">
        <v>23</v>
      </c>
      <c r="J595" s="28" t="s">
        <v>172</v>
      </c>
      <c r="K595" s="28" t="s">
        <v>482</v>
      </c>
      <c r="M595" s="29"/>
      <c r="N595" s="25"/>
      <c r="O595" s="28" t="s">
        <v>27</v>
      </c>
      <c r="P595" s="24" t="s">
        <v>744</v>
      </c>
      <c r="Q595" s="14" t="b">
        <f t="shared" si="1"/>
        <v>0</v>
      </c>
      <c r="R595" s="15" t="b">
        <f t="shared" si="2"/>
        <v>0</v>
      </c>
      <c r="S595" s="15" t="str">
        <f t="shared" si="3"/>
        <v>PENDING</v>
      </c>
    </row>
    <row r="596" ht="15.75" customHeight="1">
      <c r="A596" s="24" t="s">
        <v>1546</v>
      </c>
      <c r="B596" s="115" t="s">
        <v>1547</v>
      </c>
      <c r="C596" s="26">
        <v>45925.0</v>
      </c>
      <c r="D596" s="26">
        <v>45925.0</v>
      </c>
      <c r="E596" s="24" t="s">
        <v>1287</v>
      </c>
      <c r="F596" s="24">
        <v>80.0</v>
      </c>
      <c r="G596" s="27">
        <v>55.0</v>
      </c>
      <c r="H596" s="24" t="s">
        <v>744</v>
      </c>
      <c r="I596" s="28" t="s">
        <v>23</v>
      </c>
      <c r="J596" s="28" t="s">
        <v>172</v>
      </c>
      <c r="K596" s="28" t="s">
        <v>482</v>
      </c>
      <c r="M596" s="29"/>
      <c r="N596" s="25"/>
      <c r="O596" s="28" t="s">
        <v>27</v>
      </c>
      <c r="P596" s="24" t="s">
        <v>744</v>
      </c>
      <c r="Q596" s="14" t="b">
        <f t="shared" si="1"/>
        <v>0</v>
      </c>
      <c r="R596" s="15" t="b">
        <f t="shared" si="2"/>
        <v>0</v>
      </c>
      <c r="S596" s="15" t="str">
        <f t="shared" si="3"/>
        <v>PENDING</v>
      </c>
    </row>
    <row r="597" ht="15.75" customHeight="1">
      <c r="A597" s="24" t="s">
        <v>1548</v>
      </c>
      <c r="B597" s="115" t="s">
        <v>353</v>
      </c>
      <c r="C597" s="26">
        <v>45925.0</v>
      </c>
      <c r="D597" s="26"/>
      <c r="E597" s="24" t="s">
        <v>1287</v>
      </c>
      <c r="F597" s="24">
        <v>80.0</v>
      </c>
      <c r="G597" s="27">
        <v>55.0</v>
      </c>
      <c r="H597" s="24" t="s">
        <v>744</v>
      </c>
      <c r="I597" s="28" t="s">
        <v>23</v>
      </c>
      <c r="J597" s="28" t="s">
        <v>172</v>
      </c>
      <c r="K597" s="28" t="s">
        <v>482</v>
      </c>
      <c r="M597" s="29"/>
      <c r="N597" s="25"/>
      <c r="O597" s="28" t="s">
        <v>27</v>
      </c>
      <c r="P597" s="24" t="s">
        <v>744</v>
      </c>
      <c r="Q597" s="14" t="b">
        <f t="shared" si="1"/>
        <v>0</v>
      </c>
      <c r="R597" s="15" t="b">
        <f t="shared" si="2"/>
        <v>0</v>
      </c>
      <c r="S597" s="15" t="str">
        <f t="shared" si="3"/>
        <v>PENDING</v>
      </c>
    </row>
    <row r="598" ht="15.75" customHeight="1">
      <c r="A598" s="24" t="s">
        <v>1549</v>
      </c>
      <c r="B598" s="25" t="s">
        <v>811</v>
      </c>
      <c r="C598" s="26">
        <v>45925.0</v>
      </c>
      <c r="D598" s="26">
        <v>45925.0</v>
      </c>
      <c r="E598" s="24" t="s">
        <v>21</v>
      </c>
      <c r="F598" s="24">
        <v>72.0</v>
      </c>
      <c r="G598" s="27">
        <v>119.0</v>
      </c>
      <c r="H598" s="24" t="s">
        <v>744</v>
      </c>
      <c r="I598" s="28" t="s">
        <v>23</v>
      </c>
      <c r="J598" s="28" t="s">
        <v>172</v>
      </c>
      <c r="K598" s="28" t="s">
        <v>482</v>
      </c>
      <c r="M598" s="29"/>
      <c r="N598" s="25"/>
      <c r="O598" s="28" t="s">
        <v>27</v>
      </c>
      <c r="P598" s="24" t="s">
        <v>744</v>
      </c>
      <c r="Q598" s="14" t="b">
        <f t="shared" si="1"/>
        <v>0</v>
      </c>
      <c r="R598" s="15" t="b">
        <f t="shared" si="2"/>
        <v>0</v>
      </c>
      <c r="S598" s="15" t="str">
        <f t="shared" si="3"/>
        <v>PENDING</v>
      </c>
    </row>
    <row r="599" ht="15.75" customHeight="1">
      <c r="A599" s="24" t="s">
        <v>1549</v>
      </c>
      <c r="B599" s="25" t="s">
        <v>811</v>
      </c>
      <c r="C599" s="26">
        <v>45925.0</v>
      </c>
      <c r="D599" s="26">
        <v>45925.0</v>
      </c>
      <c r="E599" s="24" t="s">
        <v>1287</v>
      </c>
      <c r="F599" s="24">
        <v>80.0</v>
      </c>
      <c r="G599" s="27">
        <v>55.0</v>
      </c>
      <c r="H599" s="24" t="s">
        <v>744</v>
      </c>
      <c r="I599" s="28" t="s">
        <v>23</v>
      </c>
      <c r="J599" s="28" t="s">
        <v>172</v>
      </c>
      <c r="K599" s="28" t="s">
        <v>482</v>
      </c>
      <c r="M599" s="29"/>
      <c r="N599" s="25"/>
      <c r="O599" s="28" t="s">
        <v>27</v>
      </c>
      <c r="P599" s="24" t="s">
        <v>744</v>
      </c>
      <c r="Q599" s="14" t="b">
        <f t="shared" si="1"/>
        <v>0</v>
      </c>
      <c r="R599" s="15" t="b">
        <f t="shared" si="2"/>
        <v>0</v>
      </c>
      <c r="S599" s="15" t="str">
        <f t="shared" si="3"/>
        <v>PENDING</v>
      </c>
    </row>
    <row r="600" ht="15.75" customHeight="1">
      <c r="A600" s="24" t="s">
        <v>1550</v>
      </c>
      <c r="B600" s="25" t="s">
        <v>1551</v>
      </c>
      <c r="C600" s="26">
        <v>45925.0</v>
      </c>
      <c r="D600" s="26">
        <v>45667.0</v>
      </c>
      <c r="E600" s="24" t="s">
        <v>21</v>
      </c>
      <c r="F600" s="24">
        <v>24.0</v>
      </c>
      <c r="G600" s="27">
        <v>118.18</v>
      </c>
      <c r="H600" s="24" t="s">
        <v>1387</v>
      </c>
      <c r="I600" s="28" t="s">
        <v>23</v>
      </c>
      <c r="J600" s="28" t="s">
        <v>172</v>
      </c>
      <c r="K600" s="28" t="s">
        <v>482</v>
      </c>
      <c r="M600" s="29"/>
      <c r="N600" s="25"/>
      <c r="O600" s="28" t="s">
        <v>27</v>
      </c>
      <c r="P600" s="24" t="s">
        <v>1387</v>
      </c>
      <c r="Q600" s="14" t="b">
        <f t="shared" si="1"/>
        <v>0</v>
      </c>
      <c r="R600" s="15" t="b">
        <f t="shared" si="2"/>
        <v>0</v>
      </c>
      <c r="S600" s="15" t="str">
        <f t="shared" si="3"/>
        <v>PENDING</v>
      </c>
    </row>
    <row r="601" ht="15.75" customHeight="1">
      <c r="A601" s="24" t="s">
        <v>1550</v>
      </c>
      <c r="B601" s="25" t="s">
        <v>1551</v>
      </c>
      <c r="C601" s="26">
        <v>45925.0</v>
      </c>
      <c r="D601" s="26">
        <v>45667.0</v>
      </c>
      <c r="E601" s="24" t="s">
        <v>1287</v>
      </c>
      <c r="F601" s="24">
        <v>40.0</v>
      </c>
      <c r="G601" s="27">
        <v>49.64</v>
      </c>
      <c r="H601" s="24" t="s">
        <v>1387</v>
      </c>
      <c r="I601" s="28" t="s">
        <v>23</v>
      </c>
      <c r="J601" s="28" t="s">
        <v>172</v>
      </c>
      <c r="K601" s="28" t="s">
        <v>482</v>
      </c>
      <c r="M601" s="29"/>
      <c r="N601" s="25"/>
      <c r="O601" s="28" t="s">
        <v>27</v>
      </c>
      <c r="P601" s="24" t="s">
        <v>1387</v>
      </c>
      <c r="Q601" s="14" t="b">
        <f t="shared" si="1"/>
        <v>0</v>
      </c>
      <c r="R601" s="15" t="b">
        <f t="shared" si="2"/>
        <v>0</v>
      </c>
      <c r="S601" s="15" t="str">
        <f t="shared" si="3"/>
        <v>PENDING</v>
      </c>
    </row>
    <row r="602" ht="15.75" customHeight="1">
      <c r="A602" s="24" t="s">
        <v>1552</v>
      </c>
      <c r="B602" s="25" t="s">
        <v>1553</v>
      </c>
      <c r="C602" s="26">
        <v>45926.0</v>
      </c>
      <c r="D602" s="26">
        <v>45667.0</v>
      </c>
      <c r="E602" s="24" t="s">
        <v>21</v>
      </c>
      <c r="F602" s="24">
        <v>24.0</v>
      </c>
      <c r="G602" s="27">
        <v>118.18</v>
      </c>
      <c r="H602" s="24" t="s">
        <v>1387</v>
      </c>
      <c r="I602" s="28" t="s">
        <v>23</v>
      </c>
      <c r="J602" s="28" t="s">
        <v>172</v>
      </c>
      <c r="K602" s="28" t="s">
        <v>25</v>
      </c>
      <c r="M602" s="29" t="s">
        <v>1554</v>
      </c>
      <c r="N602" s="25"/>
      <c r="O602" s="28" t="s">
        <v>27</v>
      </c>
      <c r="P602" s="24" t="s">
        <v>1387</v>
      </c>
      <c r="Q602" s="14" t="b">
        <f t="shared" si="1"/>
        <v>1</v>
      </c>
      <c r="R602" s="15" t="b">
        <f t="shared" si="2"/>
        <v>0</v>
      </c>
      <c r="S602" s="15" t="str">
        <f t="shared" si="3"/>
        <v>APPROVED</v>
      </c>
    </row>
    <row r="603" ht="15.75" customHeight="1">
      <c r="A603" s="24" t="s">
        <v>1552</v>
      </c>
      <c r="B603" s="25" t="s">
        <v>1553</v>
      </c>
      <c r="C603" s="26">
        <v>45926.0</v>
      </c>
      <c r="D603" s="26">
        <v>45667.0</v>
      </c>
      <c r="E603" s="24" t="s">
        <v>1287</v>
      </c>
      <c r="F603" s="24">
        <v>12.0</v>
      </c>
      <c r="G603" s="27">
        <v>49.64</v>
      </c>
      <c r="H603" s="24" t="s">
        <v>1387</v>
      </c>
      <c r="I603" s="28" t="s">
        <v>23</v>
      </c>
      <c r="J603" s="28" t="s">
        <v>172</v>
      </c>
      <c r="K603" s="28" t="s">
        <v>25</v>
      </c>
      <c r="M603" s="29" t="s">
        <v>1554</v>
      </c>
      <c r="N603" s="25"/>
      <c r="O603" s="28" t="s">
        <v>27</v>
      </c>
      <c r="P603" s="24" t="s">
        <v>1387</v>
      </c>
      <c r="Q603" s="14" t="b">
        <f t="shared" si="1"/>
        <v>1</v>
      </c>
      <c r="R603" s="15" t="b">
        <f t="shared" si="2"/>
        <v>0</v>
      </c>
      <c r="S603" s="15" t="str">
        <f t="shared" si="3"/>
        <v>APPROVED</v>
      </c>
    </row>
    <row r="604" ht="15.75" customHeight="1">
      <c r="A604" s="24" t="s">
        <v>1555</v>
      </c>
      <c r="B604" s="115" t="s">
        <v>1556</v>
      </c>
      <c r="C604" s="26">
        <v>45926.0</v>
      </c>
      <c r="D604" s="26"/>
      <c r="E604" s="24" t="s">
        <v>21</v>
      </c>
      <c r="F604" s="24">
        <v>72.0</v>
      </c>
      <c r="G604" s="27">
        <v>100.0</v>
      </c>
      <c r="H604" s="24" t="s">
        <v>22</v>
      </c>
      <c r="I604" s="28" t="s">
        <v>23</v>
      </c>
      <c r="J604" s="28" t="s">
        <v>172</v>
      </c>
      <c r="K604" s="28" t="s">
        <v>49</v>
      </c>
      <c r="M604" s="29"/>
      <c r="N604" s="25"/>
      <c r="O604" s="28" t="s">
        <v>27</v>
      </c>
      <c r="P604" s="24" t="s">
        <v>22</v>
      </c>
      <c r="Q604" s="14" t="b">
        <f t="shared" si="1"/>
        <v>0</v>
      </c>
      <c r="R604" s="15" t="b">
        <f t="shared" si="2"/>
        <v>0</v>
      </c>
      <c r="S604" s="15" t="str">
        <f t="shared" si="3"/>
        <v>PENDING</v>
      </c>
    </row>
    <row r="605" ht="15.75" customHeight="1">
      <c r="A605" s="24" t="s">
        <v>1557</v>
      </c>
      <c r="B605" s="25" t="s">
        <v>1558</v>
      </c>
      <c r="C605" s="26">
        <v>45927.0</v>
      </c>
      <c r="D605" s="26">
        <v>45929.0</v>
      </c>
      <c r="E605" s="24" t="s">
        <v>1287</v>
      </c>
      <c r="F605" s="24">
        <v>640.0</v>
      </c>
      <c r="G605" s="27">
        <v>47.0</v>
      </c>
      <c r="H605" s="24" t="s">
        <v>177</v>
      </c>
      <c r="I605" s="28" t="s">
        <v>23</v>
      </c>
      <c r="J605" s="28" t="s">
        <v>172</v>
      </c>
      <c r="K605" s="28" t="s">
        <v>84</v>
      </c>
      <c r="M605" s="29" t="s">
        <v>1559</v>
      </c>
      <c r="N605" s="135" t="s">
        <v>1560</v>
      </c>
      <c r="O605" s="28" t="s">
        <v>27</v>
      </c>
      <c r="P605" s="24" t="s">
        <v>177</v>
      </c>
      <c r="Q605" s="14" t="b">
        <f t="shared" si="1"/>
        <v>0</v>
      </c>
      <c r="R605" s="15" t="b">
        <f t="shared" si="2"/>
        <v>0</v>
      </c>
      <c r="S605" s="15" t="str">
        <f t="shared" si="3"/>
        <v>PENDING</v>
      </c>
    </row>
    <row r="606" ht="15.75" customHeight="1">
      <c r="A606" s="24" t="s">
        <v>1561</v>
      </c>
      <c r="B606" s="115" t="s">
        <v>302</v>
      </c>
      <c r="C606" s="26">
        <v>45927.0</v>
      </c>
      <c r="D606" s="26">
        <v>45929.0</v>
      </c>
      <c r="E606" s="24" t="s">
        <v>21</v>
      </c>
      <c r="F606" s="24">
        <v>240.0</v>
      </c>
      <c r="G606" s="27">
        <v>115.0</v>
      </c>
      <c r="H606" s="24" t="s">
        <v>177</v>
      </c>
      <c r="I606" s="28" t="s">
        <v>23</v>
      </c>
      <c r="J606" s="28" t="s">
        <v>172</v>
      </c>
      <c r="K606" s="28" t="s">
        <v>84</v>
      </c>
      <c r="M606" s="29" t="s">
        <v>1562</v>
      </c>
      <c r="N606" s="135" t="s">
        <v>1563</v>
      </c>
      <c r="O606" s="28" t="s">
        <v>27</v>
      </c>
      <c r="P606" s="24" t="s">
        <v>177</v>
      </c>
      <c r="Q606" s="14" t="b">
        <f t="shared" si="1"/>
        <v>0</v>
      </c>
      <c r="R606" s="15" t="b">
        <f t="shared" si="2"/>
        <v>0</v>
      </c>
      <c r="S606" s="15" t="str">
        <f t="shared" si="3"/>
        <v>PENDING</v>
      </c>
    </row>
    <row r="607" ht="15.75" customHeight="1">
      <c r="A607" s="24" t="s">
        <v>1561</v>
      </c>
      <c r="B607" s="115" t="s">
        <v>302</v>
      </c>
      <c r="C607" s="26">
        <v>45927.0</v>
      </c>
      <c r="D607" s="26">
        <v>45929.0</v>
      </c>
      <c r="E607" s="24" t="s">
        <v>1287</v>
      </c>
      <c r="F607" s="24">
        <v>80.0</v>
      </c>
      <c r="G607" s="27">
        <v>49.64</v>
      </c>
      <c r="H607" s="24" t="s">
        <v>177</v>
      </c>
      <c r="I607" s="28" t="s">
        <v>23</v>
      </c>
      <c r="J607" s="28" t="s">
        <v>172</v>
      </c>
      <c r="K607" s="28" t="s">
        <v>84</v>
      </c>
      <c r="M607" s="29" t="s">
        <v>1562</v>
      </c>
      <c r="N607" s="135" t="s">
        <v>1564</v>
      </c>
      <c r="O607" s="28" t="s">
        <v>27</v>
      </c>
      <c r="P607" s="24" t="s">
        <v>177</v>
      </c>
      <c r="Q607" s="14" t="b">
        <f t="shared" si="1"/>
        <v>0</v>
      </c>
      <c r="R607" s="15" t="b">
        <f t="shared" si="2"/>
        <v>0</v>
      </c>
      <c r="S607" s="15" t="str">
        <f t="shared" si="3"/>
        <v>PENDING</v>
      </c>
    </row>
    <row r="608" ht="15.75" customHeight="1">
      <c r="A608" s="7" t="s">
        <v>1565</v>
      </c>
      <c r="B608" s="13" t="s">
        <v>789</v>
      </c>
      <c r="C608" s="9">
        <v>45927.0</v>
      </c>
      <c r="D608" s="9"/>
      <c r="E608" s="7" t="s">
        <v>1287</v>
      </c>
      <c r="F608" s="7">
        <v>120.0</v>
      </c>
      <c r="G608" s="10"/>
      <c r="H608" s="7" t="s">
        <v>22</v>
      </c>
      <c r="I608" s="11" t="s">
        <v>23</v>
      </c>
      <c r="J608" s="11" t="s">
        <v>30</v>
      </c>
      <c r="K608" s="7" t="s">
        <v>31</v>
      </c>
      <c r="L608" s="16"/>
      <c r="M608" s="12"/>
      <c r="N608" s="13"/>
      <c r="O608" s="11" t="s">
        <v>27</v>
      </c>
      <c r="P608" s="7" t="s">
        <v>22</v>
      </c>
      <c r="Q608" s="14" t="b">
        <f t="shared" si="1"/>
        <v>0</v>
      </c>
      <c r="R608" s="15" t="b">
        <f t="shared" si="2"/>
        <v>0</v>
      </c>
      <c r="S608" s="15" t="str">
        <f t="shared" si="3"/>
        <v>PENDING</v>
      </c>
    </row>
    <row r="609" ht="15.75" customHeight="1">
      <c r="A609" s="24" t="s">
        <v>1566</v>
      </c>
      <c r="B609" s="25" t="s">
        <v>1567</v>
      </c>
      <c r="C609" s="26">
        <v>45927.0</v>
      </c>
      <c r="D609" s="26">
        <v>45927.0</v>
      </c>
      <c r="E609" s="24" t="s">
        <v>21</v>
      </c>
      <c r="F609" s="24">
        <v>24.0</v>
      </c>
      <c r="G609" s="27">
        <v>119.0</v>
      </c>
      <c r="H609" s="24" t="s">
        <v>744</v>
      </c>
      <c r="I609" s="28" t="s">
        <v>23</v>
      </c>
      <c r="J609" s="28" t="s">
        <v>172</v>
      </c>
      <c r="K609" s="28" t="s">
        <v>482</v>
      </c>
      <c r="M609" s="29"/>
      <c r="N609" s="25"/>
      <c r="O609" s="28" t="s">
        <v>27</v>
      </c>
      <c r="P609" s="24" t="s">
        <v>744</v>
      </c>
      <c r="Q609" s="14" t="b">
        <f t="shared" si="1"/>
        <v>0</v>
      </c>
      <c r="R609" s="15" t="b">
        <f t="shared" si="2"/>
        <v>0</v>
      </c>
      <c r="S609" s="15" t="str">
        <f t="shared" si="3"/>
        <v>PENDING</v>
      </c>
    </row>
    <row r="610" ht="15.75" customHeight="1">
      <c r="A610" s="24" t="s">
        <v>1566</v>
      </c>
      <c r="B610" s="25" t="s">
        <v>1567</v>
      </c>
      <c r="C610" s="26">
        <v>45927.0</v>
      </c>
      <c r="D610" s="26">
        <v>45927.0</v>
      </c>
      <c r="E610" s="24" t="s">
        <v>1287</v>
      </c>
      <c r="F610" s="24">
        <v>40.0</v>
      </c>
      <c r="G610" s="27">
        <v>55.0</v>
      </c>
      <c r="H610" s="24" t="s">
        <v>744</v>
      </c>
      <c r="I610" s="28" t="s">
        <v>23</v>
      </c>
      <c r="J610" s="28" t="s">
        <v>172</v>
      </c>
      <c r="K610" s="28" t="s">
        <v>482</v>
      </c>
      <c r="M610" s="29"/>
      <c r="N610" s="25"/>
      <c r="O610" s="28" t="s">
        <v>27</v>
      </c>
      <c r="P610" s="24" t="s">
        <v>744</v>
      </c>
      <c r="Q610" s="14" t="b">
        <f t="shared" si="1"/>
        <v>0</v>
      </c>
      <c r="R610" s="15" t="b">
        <f t="shared" si="2"/>
        <v>0</v>
      </c>
      <c r="S610" s="15" t="str">
        <f t="shared" si="3"/>
        <v>PENDING</v>
      </c>
    </row>
    <row r="611" ht="15.75" customHeight="1">
      <c r="A611" s="24" t="s">
        <v>1568</v>
      </c>
      <c r="B611" s="115" t="s">
        <v>1569</v>
      </c>
      <c r="C611" s="26">
        <v>45927.0</v>
      </c>
      <c r="D611" s="26">
        <v>45667.0</v>
      </c>
      <c r="E611" s="24" t="s">
        <v>21</v>
      </c>
      <c r="F611" s="24">
        <v>192.0</v>
      </c>
      <c r="G611" s="27">
        <v>115.0</v>
      </c>
      <c r="H611" s="24" t="s">
        <v>177</v>
      </c>
      <c r="I611" s="28" t="s">
        <v>23</v>
      </c>
      <c r="J611" s="28" t="s">
        <v>172</v>
      </c>
      <c r="K611" s="28" t="s">
        <v>84</v>
      </c>
      <c r="M611" s="29" t="s">
        <v>1570</v>
      </c>
      <c r="N611" s="135" t="s">
        <v>1571</v>
      </c>
      <c r="O611" s="28" t="s">
        <v>27</v>
      </c>
      <c r="P611" s="24" t="s">
        <v>177</v>
      </c>
      <c r="Q611" s="14" t="b">
        <f t="shared" si="1"/>
        <v>0</v>
      </c>
      <c r="R611" s="15" t="b">
        <f t="shared" si="2"/>
        <v>0</v>
      </c>
      <c r="S611" s="15" t="str">
        <f t="shared" si="3"/>
        <v>PENDING</v>
      </c>
    </row>
    <row r="612" ht="15.75" customHeight="1">
      <c r="A612" s="24" t="s">
        <v>1568</v>
      </c>
      <c r="B612" s="115" t="s">
        <v>1569</v>
      </c>
      <c r="C612" s="26">
        <v>45927.0</v>
      </c>
      <c r="D612" s="26">
        <v>45667.0</v>
      </c>
      <c r="E612" s="24" t="s">
        <v>1287</v>
      </c>
      <c r="F612" s="24">
        <v>160.0</v>
      </c>
      <c r="G612" s="27">
        <v>49.64</v>
      </c>
      <c r="H612" s="24" t="s">
        <v>177</v>
      </c>
      <c r="I612" s="28" t="s">
        <v>23</v>
      </c>
      <c r="J612" s="28" t="s">
        <v>172</v>
      </c>
      <c r="K612" s="28" t="s">
        <v>84</v>
      </c>
      <c r="M612" s="29" t="s">
        <v>1570</v>
      </c>
      <c r="N612" s="135" t="s">
        <v>1571</v>
      </c>
      <c r="O612" s="28" t="s">
        <v>27</v>
      </c>
      <c r="P612" s="24" t="s">
        <v>177</v>
      </c>
      <c r="Q612" s="14" t="b">
        <f t="shared" si="1"/>
        <v>0</v>
      </c>
      <c r="R612" s="15" t="b">
        <f t="shared" si="2"/>
        <v>0</v>
      </c>
      <c r="S612" s="15" t="str">
        <f t="shared" si="3"/>
        <v>PENDING</v>
      </c>
    </row>
    <row r="613" ht="15.75" customHeight="1">
      <c r="A613" s="24" t="s">
        <v>1572</v>
      </c>
      <c r="B613" s="115" t="s">
        <v>581</v>
      </c>
      <c r="C613" s="26">
        <v>45927.0</v>
      </c>
      <c r="D613" s="26">
        <v>45927.0</v>
      </c>
      <c r="E613" s="24" t="s">
        <v>21</v>
      </c>
      <c r="F613" s="24">
        <v>24.0</v>
      </c>
      <c r="G613" s="27">
        <v>118.18</v>
      </c>
      <c r="H613" s="24" t="s">
        <v>177</v>
      </c>
      <c r="I613" s="28" t="s">
        <v>23</v>
      </c>
      <c r="J613" s="28" t="s">
        <v>172</v>
      </c>
      <c r="K613" s="28" t="s">
        <v>49</v>
      </c>
      <c r="M613" s="29"/>
      <c r="N613" s="25"/>
      <c r="O613" s="28" t="s">
        <v>27</v>
      </c>
      <c r="P613" s="24" t="s">
        <v>177</v>
      </c>
      <c r="Q613" s="14" t="b">
        <f t="shared" si="1"/>
        <v>0</v>
      </c>
      <c r="R613" s="15" t="b">
        <f t="shared" si="2"/>
        <v>0</v>
      </c>
      <c r="S613" s="15" t="str">
        <f t="shared" si="3"/>
        <v>PENDING</v>
      </c>
    </row>
    <row r="614" ht="15.75" customHeight="1">
      <c r="A614" s="24" t="s">
        <v>1573</v>
      </c>
      <c r="B614" s="25" t="s">
        <v>1574</v>
      </c>
      <c r="C614" s="26">
        <v>45927.0</v>
      </c>
      <c r="D614" s="26">
        <v>45927.0</v>
      </c>
      <c r="E614" s="24" t="s">
        <v>1287</v>
      </c>
      <c r="F614" s="24">
        <v>40.0</v>
      </c>
      <c r="G614" s="27">
        <v>49.64</v>
      </c>
      <c r="H614" s="24" t="s">
        <v>1376</v>
      </c>
      <c r="I614" s="28" t="s">
        <v>23</v>
      </c>
      <c r="J614" s="28" t="s">
        <v>172</v>
      </c>
      <c r="K614" s="28" t="s">
        <v>482</v>
      </c>
      <c r="M614" s="29"/>
      <c r="N614" s="25"/>
      <c r="O614" s="28" t="s">
        <v>27</v>
      </c>
      <c r="P614" s="24" t="s">
        <v>1376</v>
      </c>
      <c r="Q614" s="14" t="b">
        <f t="shared" si="1"/>
        <v>0</v>
      </c>
      <c r="R614" s="15" t="b">
        <f t="shared" si="2"/>
        <v>0</v>
      </c>
      <c r="S614" s="15" t="str">
        <f t="shared" si="3"/>
        <v>PENDING</v>
      </c>
    </row>
    <row r="615" ht="15.75" customHeight="1">
      <c r="A615" s="24" t="s">
        <v>1575</v>
      </c>
      <c r="B615" s="25" t="s">
        <v>1498</v>
      </c>
      <c r="C615" s="26">
        <v>45927.0</v>
      </c>
      <c r="D615" s="26">
        <v>45927.0</v>
      </c>
      <c r="E615" s="24" t="s">
        <v>21</v>
      </c>
      <c r="F615" s="24">
        <v>24.0</v>
      </c>
      <c r="G615" s="27">
        <v>118.0</v>
      </c>
      <c r="H615" s="24" t="s">
        <v>1376</v>
      </c>
      <c r="I615" s="28" t="s">
        <v>23</v>
      </c>
      <c r="J615" s="28" t="s">
        <v>172</v>
      </c>
      <c r="K615" s="28" t="s">
        <v>84</v>
      </c>
      <c r="M615" s="29" t="s">
        <v>1576</v>
      </c>
      <c r="N615" s="25"/>
      <c r="O615" s="28" t="s">
        <v>27</v>
      </c>
      <c r="P615" s="24" t="s">
        <v>1376</v>
      </c>
      <c r="Q615" s="14" t="b">
        <f t="shared" si="1"/>
        <v>0</v>
      </c>
      <c r="R615" s="15" t="b">
        <f t="shared" si="2"/>
        <v>0</v>
      </c>
      <c r="S615" s="15" t="str">
        <f t="shared" si="3"/>
        <v>PENDING</v>
      </c>
    </row>
    <row r="616" ht="15.75" customHeight="1">
      <c r="A616" s="24" t="s">
        <v>1577</v>
      </c>
      <c r="B616" s="115" t="s">
        <v>680</v>
      </c>
      <c r="C616" s="26">
        <v>45924.0</v>
      </c>
      <c r="D616" s="26">
        <v>45924.0</v>
      </c>
      <c r="E616" s="24" t="s">
        <v>1287</v>
      </c>
      <c r="F616" s="24">
        <v>40.0</v>
      </c>
      <c r="G616" s="27">
        <v>58.0</v>
      </c>
      <c r="H616" s="24" t="s">
        <v>715</v>
      </c>
      <c r="I616" s="28" t="s">
        <v>23</v>
      </c>
      <c r="J616" s="28" t="s">
        <v>172</v>
      </c>
      <c r="K616" s="28" t="s">
        <v>84</v>
      </c>
      <c r="M616" s="29" t="s">
        <v>1201</v>
      </c>
      <c r="N616" s="25"/>
      <c r="O616" s="28" t="s">
        <v>27</v>
      </c>
      <c r="P616" s="24" t="s">
        <v>715</v>
      </c>
      <c r="Q616" s="14" t="b">
        <f t="shared" si="1"/>
        <v>0</v>
      </c>
      <c r="R616" s="15" t="b">
        <f t="shared" si="2"/>
        <v>0</v>
      </c>
      <c r="S616" s="15" t="str">
        <f t="shared" si="3"/>
        <v>PENDING</v>
      </c>
    </row>
    <row r="617" ht="15.75" customHeight="1">
      <c r="A617" s="7" t="s">
        <v>1578</v>
      </c>
      <c r="B617" s="13" t="s">
        <v>1579</v>
      </c>
      <c r="C617" s="9">
        <v>45927.0</v>
      </c>
      <c r="D617" s="9">
        <v>45927.0</v>
      </c>
      <c r="E617" s="7" t="s">
        <v>1287</v>
      </c>
      <c r="F617" s="7">
        <v>40.0</v>
      </c>
      <c r="G617" s="10">
        <v>55.0</v>
      </c>
      <c r="H617" s="7" t="s">
        <v>715</v>
      </c>
      <c r="I617" s="11" t="s">
        <v>23</v>
      </c>
      <c r="J617" s="11" t="s">
        <v>30</v>
      </c>
      <c r="K617" s="11" t="s">
        <v>25</v>
      </c>
      <c r="L617" s="16"/>
      <c r="M617" s="12" t="s">
        <v>30</v>
      </c>
      <c r="N617" s="13"/>
      <c r="O617" s="11" t="s">
        <v>27</v>
      </c>
      <c r="P617" s="7" t="s">
        <v>715</v>
      </c>
      <c r="Q617" s="14" t="b">
        <f t="shared" si="1"/>
        <v>1</v>
      </c>
      <c r="R617" s="15" t="b">
        <f t="shared" si="2"/>
        <v>0</v>
      </c>
      <c r="S617" s="15" t="str">
        <f t="shared" si="3"/>
        <v>APPROVED</v>
      </c>
    </row>
    <row r="618" ht="15.75" customHeight="1">
      <c r="A618" s="7" t="s">
        <v>1580</v>
      </c>
      <c r="B618" s="13" t="s">
        <v>1581</v>
      </c>
      <c r="C618" s="9">
        <v>45926.0</v>
      </c>
      <c r="D618" s="9">
        <v>45926.0</v>
      </c>
      <c r="E618" s="7" t="s">
        <v>21</v>
      </c>
      <c r="F618" s="7">
        <v>48.0</v>
      </c>
      <c r="G618" s="10">
        <v>115.0</v>
      </c>
      <c r="H618" s="7" t="s">
        <v>715</v>
      </c>
      <c r="I618" s="11" t="s">
        <v>23</v>
      </c>
      <c r="J618" s="11" t="s">
        <v>30</v>
      </c>
      <c r="K618" s="11" t="s">
        <v>25</v>
      </c>
      <c r="L618" s="16"/>
      <c r="M618" s="12" t="s">
        <v>30</v>
      </c>
      <c r="N618" s="13"/>
      <c r="O618" s="11" t="s">
        <v>27</v>
      </c>
      <c r="P618" s="7" t="s">
        <v>715</v>
      </c>
      <c r="Q618" s="14" t="b">
        <f t="shared" si="1"/>
        <v>1</v>
      </c>
      <c r="R618" s="15" t="b">
        <f t="shared" si="2"/>
        <v>0</v>
      </c>
      <c r="S618" s="15" t="str">
        <f t="shared" si="3"/>
        <v>APPROVED</v>
      </c>
    </row>
    <row r="619" ht="15.75" customHeight="1">
      <c r="A619" s="145" t="s">
        <v>1582</v>
      </c>
      <c r="B619" s="146" t="s">
        <v>1101</v>
      </c>
      <c r="C619" s="147"/>
      <c r="D619" s="147"/>
      <c r="E619" s="145" t="s">
        <v>21</v>
      </c>
      <c r="F619" s="145"/>
      <c r="G619" s="148"/>
      <c r="H619" s="145" t="s">
        <v>715</v>
      </c>
      <c r="I619" s="149" t="s">
        <v>23</v>
      </c>
      <c r="J619" s="149" t="s">
        <v>30</v>
      </c>
      <c r="K619" s="145" t="s">
        <v>31</v>
      </c>
      <c r="L619" s="150"/>
      <c r="M619" s="151"/>
      <c r="N619" s="152"/>
      <c r="O619" s="145" t="s">
        <v>98</v>
      </c>
      <c r="P619" s="145" t="s">
        <v>715</v>
      </c>
      <c r="Q619" s="14" t="b">
        <f t="shared" si="1"/>
        <v>0</v>
      </c>
      <c r="R619" s="15" t="b">
        <f t="shared" si="2"/>
        <v>1</v>
      </c>
      <c r="S619" s="15" t="str">
        <f t="shared" si="3"/>
        <v>PENDING</v>
      </c>
    </row>
    <row r="620" ht="15.75" customHeight="1">
      <c r="A620" s="7" t="s">
        <v>1583</v>
      </c>
      <c r="B620" s="13" t="s">
        <v>714</v>
      </c>
      <c r="C620" s="9">
        <v>45929.0</v>
      </c>
      <c r="D620" s="9"/>
      <c r="E620" s="7" t="s">
        <v>21</v>
      </c>
      <c r="F620" s="7">
        <v>120.0</v>
      </c>
      <c r="G620" s="10"/>
      <c r="H620" s="7" t="s">
        <v>715</v>
      </c>
      <c r="I620" s="11" t="s">
        <v>23</v>
      </c>
      <c r="J620" s="11" t="s">
        <v>30</v>
      </c>
      <c r="K620" s="7" t="s">
        <v>31</v>
      </c>
      <c r="L620" s="16"/>
      <c r="M620" s="12"/>
      <c r="N620" s="13"/>
      <c r="O620" s="11" t="s">
        <v>27</v>
      </c>
      <c r="P620" s="7" t="s">
        <v>715</v>
      </c>
      <c r="Q620" s="14" t="b">
        <f t="shared" si="1"/>
        <v>0</v>
      </c>
      <c r="R620" s="15" t="b">
        <f t="shared" si="2"/>
        <v>0</v>
      </c>
      <c r="S620" s="15" t="str">
        <f t="shared" si="3"/>
        <v>PENDING</v>
      </c>
    </row>
    <row r="621" ht="15.75" customHeight="1">
      <c r="A621" s="7" t="s">
        <v>1583</v>
      </c>
      <c r="B621" s="13" t="s">
        <v>714</v>
      </c>
      <c r="C621" s="9">
        <v>45929.0</v>
      </c>
      <c r="D621" s="9"/>
      <c r="E621" s="7" t="s">
        <v>1287</v>
      </c>
      <c r="F621" s="7">
        <v>120.0</v>
      </c>
      <c r="G621" s="10"/>
      <c r="H621" s="7" t="s">
        <v>715</v>
      </c>
      <c r="I621" s="11" t="s">
        <v>23</v>
      </c>
      <c r="J621" s="11" t="s">
        <v>30</v>
      </c>
      <c r="K621" s="7" t="s">
        <v>31</v>
      </c>
      <c r="L621" s="16"/>
      <c r="M621" s="12"/>
      <c r="N621" s="13"/>
      <c r="O621" s="11" t="s">
        <v>27</v>
      </c>
      <c r="P621" s="7" t="s">
        <v>715</v>
      </c>
      <c r="Q621" s="14" t="b">
        <f t="shared" si="1"/>
        <v>0</v>
      </c>
      <c r="R621" s="15" t="b">
        <f t="shared" si="2"/>
        <v>0</v>
      </c>
      <c r="S621" s="15" t="str">
        <f t="shared" si="3"/>
        <v>PENDING</v>
      </c>
    </row>
    <row r="622" ht="15.75" customHeight="1">
      <c r="A622" s="7" t="s">
        <v>1584</v>
      </c>
      <c r="B622" s="8" t="s">
        <v>222</v>
      </c>
      <c r="C622" s="9">
        <v>45929.0</v>
      </c>
      <c r="D622" s="9"/>
      <c r="E622" s="7" t="s">
        <v>21</v>
      </c>
      <c r="F622" s="7">
        <v>10.0</v>
      </c>
      <c r="G622" s="10"/>
      <c r="H622" s="7" t="s">
        <v>177</v>
      </c>
      <c r="I622" s="11" t="s">
        <v>23</v>
      </c>
      <c r="J622" s="11" t="s">
        <v>30</v>
      </c>
      <c r="K622" s="7" t="s">
        <v>31</v>
      </c>
      <c r="L622" s="16"/>
      <c r="M622" s="12"/>
      <c r="N622" s="8" t="s">
        <v>914</v>
      </c>
      <c r="O622" s="11" t="s">
        <v>27</v>
      </c>
      <c r="P622" s="7" t="s">
        <v>177</v>
      </c>
      <c r="Q622" s="14" t="b">
        <f t="shared" si="1"/>
        <v>0</v>
      </c>
      <c r="R622" s="15" t="b">
        <f t="shared" si="2"/>
        <v>0</v>
      </c>
      <c r="S622" s="15" t="str">
        <f t="shared" si="3"/>
        <v>PENDING</v>
      </c>
    </row>
    <row r="623" ht="15.75" customHeight="1">
      <c r="A623" s="7" t="s">
        <v>1584</v>
      </c>
      <c r="B623" s="8" t="s">
        <v>222</v>
      </c>
      <c r="C623" s="9">
        <v>45929.0</v>
      </c>
      <c r="D623" s="9"/>
      <c r="E623" s="7" t="s">
        <v>1287</v>
      </c>
      <c r="F623" s="7">
        <v>6.0</v>
      </c>
      <c r="G623" s="10"/>
      <c r="H623" s="7" t="s">
        <v>177</v>
      </c>
      <c r="I623" s="11" t="s">
        <v>23</v>
      </c>
      <c r="J623" s="11" t="s">
        <v>30</v>
      </c>
      <c r="K623" s="7" t="s">
        <v>31</v>
      </c>
      <c r="L623" s="16"/>
      <c r="M623" s="12"/>
      <c r="N623" s="8" t="s">
        <v>914</v>
      </c>
      <c r="O623" s="11" t="s">
        <v>27</v>
      </c>
      <c r="P623" s="7" t="s">
        <v>177</v>
      </c>
      <c r="Q623" s="14" t="b">
        <f t="shared" si="1"/>
        <v>0</v>
      </c>
      <c r="R623" s="15" t="b">
        <f t="shared" si="2"/>
        <v>0</v>
      </c>
      <c r="S623" s="15" t="str">
        <f t="shared" si="3"/>
        <v>PENDING</v>
      </c>
    </row>
    <row r="624" ht="15.75" customHeight="1">
      <c r="A624" s="24" t="s">
        <v>1585</v>
      </c>
      <c r="B624" s="25" t="s">
        <v>1586</v>
      </c>
      <c r="C624" s="26">
        <v>45930.0</v>
      </c>
      <c r="D624" s="26">
        <v>45698.0</v>
      </c>
      <c r="E624" s="24" t="s">
        <v>1287</v>
      </c>
      <c r="F624" s="24">
        <v>20.0</v>
      </c>
      <c r="G624" s="27">
        <v>49.64</v>
      </c>
      <c r="H624" s="24" t="s">
        <v>1376</v>
      </c>
      <c r="I624" s="28" t="s">
        <v>23</v>
      </c>
      <c r="J624" s="28" t="s">
        <v>172</v>
      </c>
      <c r="K624" s="28" t="s">
        <v>84</v>
      </c>
      <c r="M624" s="29" t="s">
        <v>1587</v>
      </c>
      <c r="N624" s="25"/>
      <c r="O624" s="28" t="s">
        <v>27</v>
      </c>
      <c r="P624" s="24" t="s">
        <v>1376</v>
      </c>
      <c r="Q624" s="14" t="b">
        <f t="shared" si="1"/>
        <v>0</v>
      </c>
      <c r="R624" s="15" t="b">
        <f t="shared" si="2"/>
        <v>0</v>
      </c>
      <c r="S624" s="15" t="str">
        <f t="shared" si="3"/>
        <v>PENDING</v>
      </c>
    </row>
    <row r="625" ht="15.75" customHeight="1">
      <c r="A625" s="24" t="s">
        <v>1588</v>
      </c>
      <c r="B625" s="115" t="s">
        <v>1589</v>
      </c>
      <c r="C625" s="26">
        <v>45930.0</v>
      </c>
      <c r="D625" s="26">
        <v>45818.0</v>
      </c>
      <c r="E625" s="24" t="s">
        <v>1287</v>
      </c>
      <c r="F625" s="24">
        <v>20.0</v>
      </c>
      <c r="G625" s="27">
        <v>49.64</v>
      </c>
      <c r="H625" s="24" t="s">
        <v>1376</v>
      </c>
      <c r="I625" s="28" t="s">
        <v>23</v>
      </c>
      <c r="J625" s="28" t="s">
        <v>48</v>
      </c>
      <c r="K625" s="28" t="s">
        <v>84</v>
      </c>
      <c r="M625" s="29" t="s">
        <v>1590</v>
      </c>
      <c r="N625" s="29" t="s">
        <v>1591</v>
      </c>
      <c r="O625" s="28" t="s">
        <v>27</v>
      </c>
      <c r="P625" s="24" t="s">
        <v>1376</v>
      </c>
      <c r="Q625" s="14" t="b">
        <f t="shared" si="1"/>
        <v>0</v>
      </c>
      <c r="R625" s="15" t="b">
        <f t="shared" si="2"/>
        <v>0</v>
      </c>
      <c r="S625" s="15" t="str">
        <f t="shared" si="3"/>
        <v>PENDING</v>
      </c>
    </row>
    <row r="626" ht="15.75" customHeight="1">
      <c r="A626" s="145" t="s">
        <v>1592</v>
      </c>
      <c r="B626" s="146" t="s">
        <v>1593</v>
      </c>
      <c r="C626" s="147">
        <v>45930.0</v>
      </c>
      <c r="D626" s="153"/>
      <c r="E626" s="145" t="s">
        <v>1287</v>
      </c>
      <c r="F626" s="145">
        <v>80.0</v>
      </c>
      <c r="G626" s="148">
        <v>49.64</v>
      </c>
      <c r="H626" s="145" t="s">
        <v>1376</v>
      </c>
      <c r="I626" s="149" t="s">
        <v>23</v>
      </c>
      <c r="J626" s="149" t="s">
        <v>24</v>
      </c>
      <c r="K626" s="149" t="s">
        <v>49</v>
      </c>
      <c r="L626" s="150"/>
      <c r="M626" s="151"/>
      <c r="N626" s="152"/>
      <c r="O626" s="145" t="s">
        <v>98</v>
      </c>
      <c r="P626" s="145" t="s">
        <v>1376</v>
      </c>
      <c r="Q626" s="14" t="b">
        <f t="shared" si="1"/>
        <v>0</v>
      </c>
      <c r="R626" s="15" t="b">
        <f t="shared" si="2"/>
        <v>1</v>
      </c>
      <c r="S626" s="15" t="str">
        <f t="shared" si="3"/>
        <v>PENDING</v>
      </c>
    </row>
    <row r="627" ht="15.75" customHeight="1">
      <c r="A627" s="24" t="s">
        <v>1594</v>
      </c>
      <c r="B627" s="115" t="s">
        <v>1595</v>
      </c>
      <c r="C627" s="26">
        <v>45930.0</v>
      </c>
      <c r="D627" s="26">
        <v>45818.0</v>
      </c>
      <c r="E627" s="24" t="s">
        <v>1287</v>
      </c>
      <c r="F627" s="24">
        <v>40.0</v>
      </c>
      <c r="G627" s="27">
        <v>49.64</v>
      </c>
      <c r="H627" s="24" t="s">
        <v>1376</v>
      </c>
      <c r="I627" s="28" t="s">
        <v>23</v>
      </c>
      <c r="J627" s="28" t="s">
        <v>48</v>
      </c>
      <c r="K627" s="28" t="s">
        <v>482</v>
      </c>
      <c r="M627" s="29"/>
      <c r="N627" s="25"/>
      <c r="O627" s="28" t="s">
        <v>27</v>
      </c>
      <c r="P627" s="24" t="s">
        <v>1376</v>
      </c>
      <c r="Q627" s="14" t="b">
        <f t="shared" si="1"/>
        <v>0</v>
      </c>
      <c r="R627" s="15" t="b">
        <f t="shared" si="2"/>
        <v>0</v>
      </c>
      <c r="S627" s="15" t="str">
        <f t="shared" si="3"/>
        <v>PENDING</v>
      </c>
    </row>
    <row r="628" ht="15.0" customHeight="1">
      <c r="A628" s="24" t="s">
        <v>1596</v>
      </c>
      <c r="B628" s="25" t="s">
        <v>862</v>
      </c>
      <c r="C628" s="26">
        <v>45930.0</v>
      </c>
      <c r="D628" s="26">
        <v>45930.0</v>
      </c>
      <c r="E628" s="24" t="s">
        <v>1287</v>
      </c>
      <c r="F628" s="24">
        <v>40.0</v>
      </c>
      <c r="G628" s="27">
        <v>47.0</v>
      </c>
      <c r="H628" s="24" t="s">
        <v>177</v>
      </c>
      <c r="I628" s="28" t="s">
        <v>23</v>
      </c>
      <c r="J628" s="28" t="s">
        <v>30</v>
      </c>
      <c r="K628" s="28" t="s">
        <v>84</v>
      </c>
      <c r="M628" s="29"/>
      <c r="N628" s="25"/>
      <c r="O628" s="28" t="s">
        <v>27</v>
      </c>
      <c r="P628" s="24" t="s">
        <v>177</v>
      </c>
      <c r="Q628" s="14" t="b">
        <f t="shared" si="1"/>
        <v>0</v>
      </c>
      <c r="R628" s="15" t="b">
        <f t="shared" si="2"/>
        <v>0</v>
      </c>
      <c r="S628" s="15" t="str">
        <f t="shared" si="3"/>
        <v>PENDING</v>
      </c>
    </row>
    <row r="629" ht="15.75" customHeight="1">
      <c r="A629" s="24" t="s">
        <v>1597</v>
      </c>
      <c r="B629" s="115" t="s">
        <v>873</v>
      </c>
      <c r="C629" s="26">
        <v>45930.0</v>
      </c>
      <c r="D629" s="26">
        <v>45930.0</v>
      </c>
      <c r="E629" s="24" t="s">
        <v>1287</v>
      </c>
      <c r="F629" s="24">
        <v>40.0</v>
      </c>
      <c r="G629" s="27">
        <v>49.64</v>
      </c>
      <c r="H629" s="24" t="s">
        <v>177</v>
      </c>
      <c r="I629" s="28" t="s">
        <v>23</v>
      </c>
      <c r="J629" s="28" t="s">
        <v>172</v>
      </c>
      <c r="K629" s="28" t="s">
        <v>482</v>
      </c>
      <c r="M629" s="29"/>
      <c r="N629" s="25"/>
      <c r="O629" s="28" t="s">
        <v>27</v>
      </c>
      <c r="P629" s="24" t="s">
        <v>177</v>
      </c>
      <c r="Q629" s="14" t="b">
        <f t="shared" si="1"/>
        <v>0</v>
      </c>
      <c r="R629" s="15" t="b">
        <f t="shared" si="2"/>
        <v>0</v>
      </c>
      <c r="S629" s="15" t="str">
        <f t="shared" si="3"/>
        <v>PENDING</v>
      </c>
    </row>
    <row r="630" ht="15.75" customHeight="1">
      <c r="A630" s="24" t="s">
        <v>1598</v>
      </c>
      <c r="B630" s="25" t="s">
        <v>708</v>
      </c>
      <c r="C630" s="26">
        <v>45930.0</v>
      </c>
      <c r="D630" s="26">
        <v>45930.0</v>
      </c>
      <c r="E630" s="24" t="s">
        <v>1287</v>
      </c>
      <c r="F630" s="24">
        <v>40.0</v>
      </c>
      <c r="G630" s="27">
        <v>49.64</v>
      </c>
      <c r="H630" s="24" t="s">
        <v>177</v>
      </c>
      <c r="I630" s="28" t="s">
        <v>23</v>
      </c>
      <c r="J630" s="28" t="s">
        <v>172</v>
      </c>
      <c r="K630" s="28" t="s">
        <v>482</v>
      </c>
      <c r="M630" s="29"/>
      <c r="N630" s="25"/>
      <c r="O630" s="28" t="s">
        <v>27</v>
      </c>
      <c r="P630" s="24" t="s">
        <v>177</v>
      </c>
      <c r="Q630" s="14" t="b">
        <f t="shared" si="1"/>
        <v>0</v>
      </c>
      <c r="R630" s="15" t="b">
        <f t="shared" si="2"/>
        <v>0</v>
      </c>
      <c r="S630" s="15" t="str">
        <f t="shared" si="3"/>
        <v>PENDING</v>
      </c>
    </row>
    <row r="631" ht="15.75" customHeight="1">
      <c r="A631" s="24" t="s">
        <v>1599</v>
      </c>
      <c r="B631" s="25" t="s">
        <v>618</v>
      </c>
      <c r="C631" s="26">
        <v>45930.0</v>
      </c>
      <c r="D631" s="26">
        <v>45930.0</v>
      </c>
      <c r="E631" s="24" t="s">
        <v>1287</v>
      </c>
      <c r="F631" s="24">
        <v>40.0</v>
      </c>
      <c r="G631" s="27">
        <v>49.64</v>
      </c>
      <c r="H631" s="24" t="s">
        <v>177</v>
      </c>
      <c r="I631" s="28" t="s">
        <v>23</v>
      </c>
      <c r="J631" s="28" t="s">
        <v>172</v>
      </c>
      <c r="K631" s="28" t="s">
        <v>84</v>
      </c>
      <c r="M631" s="29" t="s">
        <v>1600</v>
      </c>
      <c r="N631" s="25"/>
      <c r="O631" s="28" t="s">
        <v>27</v>
      </c>
      <c r="P631" s="24" t="s">
        <v>177</v>
      </c>
      <c r="Q631" s="14" t="b">
        <f t="shared" si="1"/>
        <v>0</v>
      </c>
      <c r="R631" s="15" t="b">
        <f t="shared" si="2"/>
        <v>0</v>
      </c>
      <c r="S631" s="15" t="str">
        <f t="shared" si="3"/>
        <v>PENDING</v>
      </c>
    </row>
    <row r="632" ht="15.75" customHeight="1">
      <c r="A632" s="24" t="s">
        <v>1601</v>
      </c>
      <c r="B632" s="115" t="s">
        <v>865</v>
      </c>
      <c r="C632" s="26">
        <v>45930.0</v>
      </c>
      <c r="D632" s="26">
        <v>45930.0</v>
      </c>
      <c r="E632" s="24" t="s">
        <v>1287</v>
      </c>
      <c r="F632" s="24">
        <v>40.0</v>
      </c>
      <c r="G632" s="27">
        <v>49.64</v>
      </c>
      <c r="H632" s="24" t="s">
        <v>177</v>
      </c>
      <c r="I632" s="28" t="s">
        <v>23</v>
      </c>
      <c r="J632" s="28" t="s">
        <v>30</v>
      </c>
      <c r="K632" s="28" t="s">
        <v>49</v>
      </c>
      <c r="M632" s="29"/>
      <c r="N632" s="25"/>
      <c r="O632" s="28" t="s">
        <v>27</v>
      </c>
      <c r="P632" s="24" t="s">
        <v>177</v>
      </c>
      <c r="Q632" s="14" t="b">
        <f t="shared" si="1"/>
        <v>0</v>
      </c>
      <c r="R632" s="15" t="b">
        <f t="shared" si="2"/>
        <v>0</v>
      </c>
      <c r="S632" s="15" t="str">
        <f t="shared" si="3"/>
        <v>PENDING</v>
      </c>
    </row>
    <row r="633" ht="15.75" customHeight="1">
      <c r="A633" s="24" t="s">
        <v>1602</v>
      </c>
      <c r="B633" s="115" t="s">
        <v>1334</v>
      </c>
      <c r="C633" s="26">
        <v>45903.0</v>
      </c>
      <c r="D633" s="26">
        <v>45725.0</v>
      </c>
      <c r="E633" s="24" t="s">
        <v>21</v>
      </c>
      <c r="F633" s="24">
        <v>24.0</v>
      </c>
      <c r="G633" s="27">
        <v>118.0</v>
      </c>
      <c r="H633" s="24" t="s">
        <v>1182</v>
      </c>
      <c r="I633" s="28" t="s">
        <v>23</v>
      </c>
      <c r="J633" s="28" t="s">
        <v>172</v>
      </c>
      <c r="K633" s="28" t="s">
        <v>49</v>
      </c>
      <c r="M633" s="29" t="s">
        <v>1603</v>
      </c>
      <c r="N633" s="25"/>
      <c r="O633" s="28" t="s">
        <v>27</v>
      </c>
      <c r="P633" s="24" t="s">
        <v>1182</v>
      </c>
      <c r="Q633" s="14" t="b">
        <f t="shared" si="1"/>
        <v>0</v>
      </c>
      <c r="R633" s="15" t="b">
        <f t="shared" si="2"/>
        <v>0</v>
      </c>
      <c r="S633" s="15" t="str">
        <f t="shared" si="3"/>
        <v>PENDING</v>
      </c>
    </row>
    <row r="634" ht="15.75" customHeight="1">
      <c r="A634" s="24" t="s">
        <v>1604</v>
      </c>
      <c r="B634" s="115" t="s">
        <v>1343</v>
      </c>
      <c r="C634" s="26">
        <v>45909.0</v>
      </c>
      <c r="D634" s="26">
        <v>45909.0</v>
      </c>
      <c r="E634" s="24" t="s">
        <v>21</v>
      </c>
      <c r="F634" s="24">
        <v>48.0</v>
      </c>
      <c r="G634" s="27">
        <v>118.0</v>
      </c>
      <c r="H634" s="24" t="s">
        <v>1182</v>
      </c>
      <c r="I634" s="28" t="s">
        <v>23</v>
      </c>
      <c r="J634" s="28" t="s">
        <v>172</v>
      </c>
      <c r="K634" s="28" t="s">
        <v>49</v>
      </c>
      <c r="M634" s="29" t="s">
        <v>1603</v>
      </c>
      <c r="N634" s="25"/>
      <c r="O634" s="28" t="s">
        <v>27</v>
      </c>
      <c r="P634" s="24" t="s">
        <v>1182</v>
      </c>
      <c r="Q634" s="14" t="b">
        <f t="shared" si="1"/>
        <v>0</v>
      </c>
      <c r="R634" s="15" t="b">
        <f t="shared" si="2"/>
        <v>0</v>
      </c>
      <c r="S634" s="15" t="str">
        <f t="shared" si="3"/>
        <v>PENDING</v>
      </c>
    </row>
    <row r="635" ht="15.75" customHeight="1">
      <c r="A635" s="24" t="s">
        <v>1605</v>
      </c>
      <c r="B635" s="115" t="s">
        <v>1283</v>
      </c>
      <c r="C635" s="26">
        <v>45922.0</v>
      </c>
      <c r="D635" s="26">
        <v>45922.0</v>
      </c>
      <c r="E635" s="24" t="s">
        <v>1287</v>
      </c>
      <c r="F635" s="24">
        <v>80.0</v>
      </c>
      <c r="G635" s="27">
        <v>50.0</v>
      </c>
      <c r="H635" s="24" t="s">
        <v>1182</v>
      </c>
      <c r="I635" s="28" t="s">
        <v>23</v>
      </c>
      <c r="J635" s="28" t="s">
        <v>172</v>
      </c>
      <c r="K635" s="28" t="s">
        <v>49</v>
      </c>
      <c r="M635" s="29" t="s">
        <v>1603</v>
      </c>
      <c r="N635" s="25"/>
      <c r="O635" s="28" t="s">
        <v>27</v>
      </c>
      <c r="P635" s="24" t="s">
        <v>1182</v>
      </c>
      <c r="Q635" s="14" t="b">
        <f t="shared" si="1"/>
        <v>0</v>
      </c>
      <c r="R635" s="15" t="b">
        <f t="shared" si="2"/>
        <v>0</v>
      </c>
      <c r="S635" s="15" t="str">
        <f t="shared" si="3"/>
        <v>PENDING</v>
      </c>
    </row>
    <row r="636" ht="15.75" customHeight="1">
      <c r="A636" s="7" t="s">
        <v>1606</v>
      </c>
      <c r="B636" s="8" t="s">
        <v>685</v>
      </c>
      <c r="C636" s="9">
        <v>45931.0</v>
      </c>
      <c r="D636" s="9">
        <v>45667.0</v>
      </c>
      <c r="E636" s="7" t="s">
        <v>21</v>
      </c>
      <c r="F636" s="7">
        <v>10.0</v>
      </c>
      <c r="G636" s="10">
        <v>112.0</v>
      </c>
      <c r="H636" s="7" t="s">
        <v>22</v>
      </c>
      <c r="I636" s="11" t="s">
        <v>23</v>
      </c>
      <c r="J636" s="11" t="s">
        <v>30</v>
      </c>
      <c r="K636" s="11" t="s">
        <v>25</v>
      </c>
      <c r="L636" s="16"/>
      <c r="M636" s="12"/>
      <c r="N636" s="13"/>
      <c r="O636" s="11" t="s">
        <v>27</v>
      </c>
      <c r="P636" s="7" t="s">
        <v>22</v>
      </c>
      <c r="Q636" s="14" t="b">
        <f t="shared" si="1"/>
        <v>1</v>
      </c>
      <c r="R636" s="15" t="b">
        <f t="shared" si="2"/>
        <v>0</v>
      </c>
      <c r="S636" s="15" t="str">
        <f t="shared" si="3"/>
        <v>APPROVED</v>
      </c>
    </row>
    <row r="637" ht="15.0" customHeight="1">
      <c r="A637" s="24" t="s">
        <v>1607</v>
      </c>
      <c r="B637" s="115" t="s">
        <v>224</v>
      </c>
      <c r="C637" s="26">
        <v>45931.0</v>
      </c>
      <c r="D637" s="26">
        <v>45667.0</v>
      </c>
      <c r="E637" s="24" t="s">
        <v>21</v>
      </c>
      <c r="F637" s="24">
        <v>24.0</v>
      </c>
      <c r="G637" s="27">
        <v>118.18</v>
      </c>
      <c r="H637" s="24" t="s">
        <v>177</v>
      </c>
      <c r="I637" s="28" t="s">
        <v>23</v>
      </c>
      <c r="J637" s="28" t="s">
        <v>172</v>
      </c>
      <c r="K637" s="28" t="s">
        <v>482</v>
      </c>
      <c r="M637" s="29"/>
      <c r="N637" s="25"/>
      <c r="O637" s="28" t="s">
        <v>27</v>
      </c>
      <c r="P637" s="24" t="s">
        <v>177</v>
      </c>
      <c r="Q637" s="14" t="b">
        <f t="shared" si="1"/>
        <v>0</v>
      </c>
      <c r="R637" s="15" t="b">
        <f t="shared" si="2"/>
        <v>0</v>
      </c>
      <c r="S637" s="15" t="str">
        <f t="shared" si="3"/>
        <v>PENDING</v>
      </c>
    </row>
    <row r="638" ht="15.75" customHeight="1">
      <c r="A638" s="24" t="s">
        <v>1607</v>
      </c>
      <c r="B638" s="115" t="s">
        <v>224</v>
      </c>
      <c r="C638" s="26">
        <v>45931.0</v>
      </c>
      <c r="D638" s="26">
        <v>45667.0</v>
      </c>
      <c r="E638" s="24" t="s">
        <v>1287</v>
      </c>
      <c r="F638" s="24">
        <v>40.0</v>
      </c>
      <c r="G638" s="27">
        <v>49.64</v>
      </c>
      <c r="H638" s="24" t="s">
        <v>177</v>
      </c>
      <c r="I638" s="28" t="s">
        <v>23</v>
      </c>
      <c r="J638" s="28" t="s">
        <v>172</v>
      </c>
      <c r="K638" s="28" t="s">
        <v>482</v>
      </c>
      <c r="M638" s="29"/>
      <c r="N638" s="25"/>
      <c r="O638" s="28" t="s">
        <v>27</v>
      </c>
      <c r="P638" s="24" t="s">
        <v>177</v>
      </c>
      <c r="Q638" s="14" t="b">
        <f t="shared" si="1"/>
        <v>0</v>
      </c>
      <c r="R638" s="15" t="b">
        <f t="shared" si="2"/>
        <v>0</v>
      </c>
      <c r="S638" s="15" t="str">
        <f t="shared" si="3"/>
        <v>PENDING</v>
      </c>
    </row>
    <row r="639" ht="15.75" customHeight="1">
      <c r="A639" s="24" t="s">
        <v>1608</v>
      </c>
      <c r="B639" s="25" t="s">
        <v>708</v>
      </c>
      <c r="C639" s="26">
        <v>45931.0</v>
      </c>
      <c r="D639" s="26">
        <v>45667.0</v>
      </c>
      <c r="E639" s="24" t="s">
        <v>21</v>
      </c>
      <c r="F639" s="24">
        <v>24.0</v>
      </c>
      <c r="G639" s="27">
        <v>118.0</v>
      </c>
      <c r="H639" s="24" t="s">
        <v>177</v>
      </c>
      <c r="I639" s="28" t="s">
        <v>23</v>
      </c>
      <c r="J639" s="28" t="s">
        <v>172</v>
      </c>
      <c r="K639" s="28" t="s">
        <v>482</v>
      </c>
      <c r="M639" s="29"/>
      <c r="N639" s="25"/>
      <c r="O639" s="28" t="s">
        <v>27</v>
      </c>
      <c r="P639" s="24" t="s">
        <v>177</v>
      </c>
      <c r="Q639" s="14" t="b">
        <f t="shared" si="1"/>
        <v>0</v>
      </c>
      <c r="R639" s="15" t="b">
        <f t="shared" si="2"/>
        <v>0</v>
      </c>
      <c r="S639" s="15" t="str">
        <f t="shared" si="3"/>
        <v>PENDING</v>
      </c>
    </row>
    <row r="640" ht="13.5" customHeight="1">
      <c r="A640" s="24" t="s">
        <v>1609</v>
      </c>
      <c r="B640" s="115" t="s">
        <v>194</v>
      </c>
      <c r="C640" s="26">
        <v>45931.0</v>
      </c>
      <c r="D640" s="26">
        <v>45667.0</v>
      </c>
      <c r="E640" s="24" t="s">
        <v>1287</v>
      </c>
      <c r="F640" s="24">
        <v>40.0</v>
      </c>
      <c r="G640" s="27">
        <v>49.64</v>
      </c>
      <c r="H640" s="24" t="s">
        <v>177</v>
      </c>
      <c r="I640" s="28" t="s">
        <v>23</v>
      </c>
      <c r="J640" s="28" t="s">
        <v>172</v>
      </c>
      <c r="K640" s="28" t="s">
        <v>482</v>
      </c>
      <c r="M640" s="29"/>
      <c r="N640" s="25"/>
      <c r="O640" s="28" t="s">
        <v>27</v>
      </c>
      <c r="P640" s="24" t="s">
        <v>177</v>
      </c>
      <c r="Q640" s="14" t="b">
        <f t="shared" si="1"/>
        <v>0</v>
      </c>
      <c r="R640" s="15" t="b">
        <f t="shared" si="2"/>
        <v>0</v>
      </c>
      <c r="S640" s="15" t="str">
        <f t="shared" si="3"/>
        <v>PENDING</v>
      </c>
    </row>
    <row r="641" ht="15.75" customHeight="1">
      <c r="A641" s="24" t="s">
        <v>1610</v>
      </c>
      <c r="B641" s="115" t="s">
        <v>789</v>
      </c>
      <c r="C641" s="26">
        <v>45931.0</v>
      </c>
      <c r="D641" s="26">
        <v>45667.0</v>
      </c>
      <c r="E641" s="24" t="s">
        <v>1287</v>
      </c>
      <c r="F641" s="24">
        <v>600.0</v>
      </c>
      <c r="G641" s="27"/>
      <c r="H641" s="24" t="s">
        <v>744</v>
      </c>
      <c r="I641" s="28" t="s">
        <v>23</v>
      </c>
      <c r="J641" s="24"/>
      <c r="K641" s="28" t="s">
        <v>31</v>
      </c>
      <c r="M641" s="29"/>
      <c r="N641" s="25"/>
      <c r="O641" s="28" t="s">
        <v>27</v>
      </c>
      <c r="P641" s="24" t="s">
        <v>744</v>
      </c>
      <c r="Q641" s="14" t="b">
        <f t="shared" si="1"/>
        <v>0</v>
      </c>
      <c r="R641" s="15" t="b">
        <f t="shared" si="2"/>
        <v>0</v>
      </c>
      <c r="S641" s="15" t="str">
        <f t="shared" si="3"/>
        <v>PENDING</v>
      </c>
    </row>
    <row r="642" ht="15.75" customHeight="1">
      <c r="A642" s="24" t="s">
        <v>1610</v>
      </c>
      <c r="B642" s="115" t="s">
        <v>789</v>
      </c>
      <c r="C642" s="26">
        <v>45931.0</v>
      </c>
      <c r="D642" s="26">
        <v>45667.0</v>
      </c>
      <c r="E642" s="24" t="s">
        <v>21</v>
      </c>
      <c r="F642" s="24">
        <v>120.0</v>
      </c>
      <c r="G642" s="27"/>
      <c r="H642" s="24" t="s">
        <v>744</v>
      </c>
      <c r="I642" s="28" t="s">
        <v>23</v>
      </c>
      <c r="J642" s="24"/>
      <c r="K642" s="28" t="s">
        <v>31</v>
      </c>
      <c r="M642" s="29"/>
      <c r="N642" s="25"/>
      <c r="O642" s="28" t="s">
        <v>27</v>
      </c>
      <c r="P642" s="24" t="s">
        <v>744</v>
      </c>
      <c r="Q642" s="14" t="b">
        <f t="shared" si="1"/>
        <v>0</v>
      </c>
      <c r="R642" s="15" t="b">
        <f t="shared" si="2"/>
        <v>0</v>
      </c>
      <c r="S642" s="15" t="str">
        <f t="shared" si="3"/>
        <v>PENDING</v>
      </c>
    </row>
    <row r="643" ht="15.75" customHeight="1">
      <c r="A643" s="24" t="s">
        <v>1611</v>
      </c>
      <c r="B643" s="115" t="s">
        <v>1612</v>
      </c>
      <c r="C643" s="26">
        <v>45931.0</v>
      </c>
      <c r="D643" s="26">
        <v>45667.0</v>
      </c>
      <c r="E643" s="24" t="s">
        <v>1287</v>
      </c>
      <c r="F643" s="24">
        <v>40.0</v>
      </c>
      <c r="G643" s="27">
        <v>55.0</v>
      </c>
      <c r="H643" s="24" t="s">
        <v>744</v>
      </c>
      <c r="I643" s="28" t="s">
        <v>23</v>
      </c>
      <c r="J643" s="28" t="s">
        <v>172</v>
      </c>
      <c r="K643" s="28" t="s">
        <v>482</v>
      </c>
      <c r="M643" s="29"/>
      <c r="N643" s="25"/>
      <c r="O643" s="28" t="s">
        <v>27</v>
      </c>
      <c r="P643" s="24" t="s">
        <v>744</v>
      </c>
      <c r="Q643" s="14" t="b">
        <f t="shared" si="1"/>
        <v>0</v>
      </c>
      <c r="R643" s="15" t="b">
        <f t="shared" si="2"/>
        <v>0</v>
      </c>
      <c r="S643" s="15" t="str">
        <f t="shared" si="3"/>
        <v>PENDING</v>
      </c>
    </row>
    <row r="644" ht="15.75" customHeight="1">
      <c r="A644" s="24" t="s">
        <v>1613</v>
      </c>
      <c r="B644" s="115" t="s">
        <v>1614</v>
      </c>
      <c r="C644" s="26">
        <v>45931.0</v>
      </c>
      <c r="D644" s="26">
        <v>45667.0</v>
      </c>
      <c r="E644" s="24" t="s">
        <v>1287</v>
      </c>
      <c r="F644" s="24">
        <v>79.0</v>
      </c>
      <c r="G644" s="27">
        <v>55.0</v>
      </c>
      <c r="H644" s="24" t="s">
        <v>744</v>
      </c>
      <c r="I644" s="28" t="s">
        <v>23</v>
      </c>
      <c r="J644" s="28" t="s">
        <v>172</v>
      </c>
      <c r="K644" s="28" t="s">
        <v>482</v>
      </c>
      <c r="M644" s="29"/>
      <c r="N644" s="25"/>
      <c r="O644" s="28" t="s">
        <v>27</v>
      </c>
      <c r="P644" s="24" t="s">
        <v>744</v>
      </c>
      <c r="Q644" s="14" t="b">
        <f t="shared" si="1"/>
        <v>0</v>
      </c>
      <c r="R644" s="15" t="b">
        <f t="shared" si="2"/>
        <v>0</v>
      </c>
      <c r="S644" s="15" t="str">
        <f t="shared" si="3"/>
        <v>PENDING</v>
      </c>
    </row>
    <row r="645" ht="15.75" customHeight="1">
      <c r="A645" s="7" t="s">
        <v>1615</v>
      </c>
      <c r="B645" s="8" t="s">
        <v>29</v>
      </c>
      <c r="C645" s="9">
        <v>45932.0</v>
      </c>
      <c r="D645" s="9">
        <v>45698.0</v>
      </c>
      <c r="E645" s="7" t="s">
        <v>21</v>
      </c>
      <c r="F645" s="7">
        <v>120.0</v>
      </c>
      <c r="G645" s="10">
        <v>100.0</v>
      </c>
      <c r="H645" s="7" t="s">
        <v>22</v>
      </c>
      <c r="I645" s="11" t="s">
        <v>23</v>
      </c>
      <c r="J645" s="11" t="s">
        <v>70</v>
      </c>
      <c r="K645" s="11" t="s">
        <v>25</v>
      </c>
      <c r="L645" s="16"/>
      <c r="M645" s="12" t="s">
        <v>1616</v>
      </c>
      <c r="N645" s="36" t="s">
        <v>1617</v>
      </c>
      <c r="O645" s="11" t="s">
        <v>27</v>
      </c>
      <c r="P645" s="7" t="s">
        <v>22</v>
      </c>
      <c r="Q645" s="14" t="b">
        <f t="shared" si="1"/>
        <v>1</v>
      </c>
      <c r="R645" s="15" t="b">
        <f t="shared" si="2"/>
        <v>0</v>
      </c>
      <c r="S645" s="15" t="str">
        <f t="shared" si="3"/>
        <v>APPROVED</v>
      </c>
    </row>
    <row r="646" ht="15.75" customHeight="1">
      <c r="A646" s="7" t="s">
        <v>1615</v>
      </c>
      <c r="B646" s="8" t="s">
        <v>29</v>
      </c>
      <c r="C646" s="9">
        <v>45932.0</v>
      </c>
      <c r="D646" s="9">
        <v>45698.0</v>
      </c>
      <c r="E646" s="7" t="s">
        <v>1287</v>
      </c>
      <c r="F646" s="7">
        <v>400.0</v>
      </c>
      <c r="G646" s="10">
        <v>45.0</v>
      </c>
      <c r="H646" s="7" t="s">
        <v>22</v>
      </c>
      <c r="I646" s="11" t="s">
        <v>23</v>
      </c>
      <c r="J646" s="11" t="s">
        <v>70</v>
      </c>
      <c r="K646" s="11" t="s">
        <v>25</v>
      </c>
      <c r="L646" s="16"/>
      <c r="M646" s="12" t="s">
        <v>1616</v>
      </c>
      <c r="N646" s="36" t="s">
        <v>1618</v>
      </c>
      <c r="O646" s="11" t="s">
        <v>27</v>
      </c>
      <c r="P646" s="7" t="s">
        <v>22</v>
      </c>
      <c r="Q646" s="14" t="b">
        <f t="shared" si="1"/>
        <v>1</v>
      </c>
      <c r="R646" s="15" t="b">
        <f t="shared" si="2"/>
        <v>0</v>
      </c>
      <c r="S646" s="15" t="str">
        <f t="shared" si="3"/>
        <v>APPROVED</v>
      </c>
    </row>
    <row r="647" ht="12.75" customHeight="1">
      <c r="A647" s="24" t="s">
        <v>1619</v>
      </c>
      <c r="B647" s="115" t="s">
        <v>327</v>
      </c>
      <c r="C647" s="26">
        <v>45932.0</v>
      </c>
      <c r="D647" s="26">
        <v>45818.0</v>
      </c>
      <c r="E647" s="24" t="s">
        <v>1287</v>
      </c>
      <c r="F647" s="24">
        <v>40.0</v>
      </c>
      <c r="G647" s="27">
        <v>49.64</v>
      </c>
      <c r="H647" s="24" t="s">
        <v>1387</v>
      </c>
      <c r="I647" s="28" t="s">
        <v>23</v>
      </c>
      <c r="J647" s="28" t="s">
        <v>35</v>
      </c>
      <c r="K647" s="28" t="s">
        <v>482</v>
      </c>
      <c r="M647" s="29"/>
      <c r="N647" s="25"/>
      <c r="O647" s="28" t="s">
        <v>27</v>
      </c>
      <c r="P647" s="24" t="s">
        <v>1387</v>
      </c>
      <c r="Q647" s="14" t="b">
        <f t="shared" si="1"/>
        <v>0</v>
      </c>
      <c r="R647" s="15" t="b">
        <f t="shared" si="2"/>
        <v>0</v>
      </c>
      <c r="S647" s="15" t="str">
        <f t="shared" si="3"/>
        <v>PENDING</v>
      </c>
    </row>
    <row r="648" ht="15.75" customHeight="1">
      <c r="A648" s="24" t="s">
        <v>1620</v>
      </c>
      <c r="B648" s="115" t="s">
        <v>265</v>
      </c>
      <c r="C648" s="26">
        <v>45932.0</v>
      </c>
      <c r="D648" s="26">
        <v>45818.0</v>
      </c>
      <c r="E648" s="24" t="s">
        <v>1287</v>
      </c>
      <c r="F648" s="24">
        <v>40.0</v>
      </c>
      <c r="G648" s="27">
        <v>49.64</v>
      </c>
      <c r="H648" s="24" t="s">
        <v>1387</v>
      </c>
      <c r="I648" s="28" t="s">
        <v>23</v>
      </c>
      <c r="J648" s="28" t="s">
        <v>172</v>
      </c>
      <c r="K648" s="28" t="s">
        <v>482</v>
      </c>
      <c r="M648" s="29"/>
      <c r="N648" s="25"/>
      <c r="O648" s="28" t="s">
        <v>27</v>
      </c>
      <c r="P648" s="24" t="s">
        <v>1387</v>
      </c>
      <c r="Q648" s="14" t="b">
        <f t="shared" si="1"/>
        <v>0</v>
      </c>
      <c r="R648" s="15" t="b">
        <f t="shared" si="2"/>
        <v>0</v>
      </c>
      <c r="S648" s="15" t="str">
        <f t="shared" si="3"/>
        <v>PENDING</v>
      </c>
    </row>
    <row r="649" ht="15.75" customHeight="1">
      <c r="A649" s="30" t="s">
        <v>1621</v>
      </c>
      <c r="B649" s="58" t="s">
        <v>1228</v>
      </c>
      <c r="C649" s="32">
        <v>45932.0</v>
      </c>
      <c r="D649" s="32"/>
      <c r="E649" s="30" t="s">
        <v>21</v>
      </c>
      <c r="F649" s="30">
        <v>95.0</v>
      </c>
      <c r="G649" s="33">
        <v>118.18</v>
      </c>
      <c r="H649" s="30" t="s">
        <v>1387</v>
      </c>
      <c r="I649" s="34" t="s">
        <v>23</v>
      </c>
      <c r="J649" s="34" t="s">
        <v>172</v>
      </c>
      <c r="K649" s="34" t="s">
        <v>49</v>
      </c>
      <c r="L649" s="66"/>
      <c r="M649" s="35"/>
      <c r="N649" s="31"/>
      <c r="O649" s="30" t="s">
        <v>98</v>
      </c>
      <c r="P649" s="30" t="s">
        <v>1387</v>
      </c>
      <c r="Q649" s="14" t="b">
        <f t="shared" si="1"/>
        <v>0</v>
      </c>
      <c r="R649" s="15" t="b">
        <f t="shared" si="2"/>
        <v>1</v>
      </c>
      <c r="S649" s="15" t="str">
        <f t="shared" si="3"/>
        <v>PENDING</v>
      </c>
    </row>
    <row r="650" ht="15.75" customHeight="1">
      <c r="A650" s="30" t="s">
        <v>1621</v>
      </c>
      <c r="B650" s="58" t="s">
        <v>1228</v>
      </c>
      <c r="C650" s="32">
        <v>45932.0</v>
      </c>
      <c r="D650" s="32"/>
      <c r="E650" s="30" t="s">
        <v>1287</v>
      </c>
      <c r="F650" s="30">
        <v>80.0</v>
      </c>
      <c r="G650" s="33">
        <v>47.16</v>
      </c>
      <c r="H650" s="30" t="s">
        <v>1622</v>
      </c>
      <c r="I650" s="34" t="s">
        <v>23</v>
      </c>
      <c r="J650" s="34" t="s">
        <v>172</v>
      </c>
      <c r="K650" s="34" t="s">
        <v>49</v>
      </c>
      <c r="L650" s="66"/>
      <c r="M650" s="35"/>
      <c r="N650" s="31"/>
      <c r="O650" s="30" t="s">
        <v>98</v>
      </c>
      <c r="P650" s="30" t="s">
        <v>1622</v>
      </c>
      <c r="Q650" s="14" t="b">
        <f t="shared" si="1"/>
        <v>0</v>
      </c>
      <c r="R650" s="15" t="b">
        <f t="shared" si="2"/>
        <v>1</v>
      </c>
      <c r="S650" s="15" t="str">
        <f t="shared" si="3"/>
        <v>PENDING</v>
      </c>
    </row>
    <row r="651" ht="15.75" customHeight="1">
      <c r="A651" s="24" t="s">
        <v>1623</v>
      </c>
      <c r="B651" s="115" t="s">
        <v>1624</v>
      </c>
      <c r="C651" s="26">
        <v>45932.0</v>
      </c>
      <c r="D651" s="26">
        <v>45698.0</v>
      </c>
      <c r="E651" s="24" t="s">
        <v>1287</v>
      </c>
      <c r="F651" s="24">
        <v>20.0</v>
      </c>
      <c r="G651" s="27">
        <v>49.66</v>
      </c>
      <c r="H651" s="24" t="s">
        <v>1376</v>
      </c>
      <c r="I651" s="28" t="s">
        <v>23</v>
      </c>
      <c r="J651" s="28" t="s">
        <v>172</v>
      </c>
      <c r="K651" s="28" t="s">
        <v>84</v>
      </c>
      <c r="M651" s="29" t="s">
        <v>1625</v>
      </c>
      <c r="N651" s="25"/>
      <c r="O651" s="28" t="s">
        <v>27</v>
      </c>
      <c r="P651" s="24" t="s">
        <v>1376</v>
      </c>
      <c r="Q651" s="14" t="b">
        <f t="shared" si="1"/>
        <v>0</v>
      </c>
      <c r="R651" s="15" t="b">
        <f t="shared" si="2"/>
        <v>0</v>
      </c>
      <c r="S651" s="15" t="str">
        <f t="shared" si="3"/>
        <v>PENDING</v>
      </c>
    </row>
    <row r="652" ht="15.75" customHeight="1">
      <c r="A652" s="24" t="s">
        <v>1623</v>
      </c>
      <c r="B652" s="115" t="s">
        <v>1624</v>
      </c>
      <c r="C652" s="26">
        <v>45932.0</v>
      </c>
      <c r="D652" s="26">
        <v>45698.0</v>
      </c>
      <c r="E652" s="24" t="s">
        <v>21</v>
      </c>
      <c r="F652" s="24">
        <v>12.0</v>
      </c>
      <c r="G652" s="27">
        <v>118.0</v>
      </c>
      <c r="H652" s="24" t="s">
        <v>1376</v>
      </c>
      <c r="I652" s="28" t="s">
        <v>23</v>
      </c>
      <c r="J652" s="28" t="s">
        <v>172</v>
      </c>
      <c r="K652" s="28" t="s">
        <v>84</v>
      </c>
      <c r="M652" s="29" t="s">
        <v>1625</v>
      </c>
      <c r="N652" s="25"/>
      <c r="O652" s="28" t="s">
        <v>27</v>
      </c>
      <c r="P652" s="24" t="s">
        <v>1376</v>
      </c>
      <c r="Q652" s="14" t="b">
        <f t="shared" si="1"/>
        <v>0</v>
      </c>
      <c r="R652" s="15" t="b">
        <f t="shared" si="2"/>
        <v>0</v>
      </c>
      <c r="S652" s="15" t="str">
        <f t="shared" si="3"/>
        <v>PENDING</v>
      </c>
    </row>
    <row r="653" ht="15.75" customHeight="1">
      <c r="A653" s="24" t="s">
        <v>1626</v>
      </c>
      <c r="B653" s="115" t="s">
        <v>1593</v>
      </c>
      <c r="C653" s="26">
        <v>45932.0</v>
      </c>
      <c r="D653" s="26">
        <v>45698.0</v>
      </c>
      <c r="E653" s="24" t="s">
        <v>21</v>
      </c>
      <c r="F653" s="24">
        <v>48.0</v>
      </c>
      <c r="G653" s="27">
        <v>118.0</v>
      </c>
      <c r="H653" s="24" t="s">
        <v>1376</v>
      </c>
      <c r="I653" s="28" t="s">
        <v>23</v>
      </c>
      <c r="J653" s="28" t="s">
        <v>172</v>
      </c>
      <c r="K653" s="28" t="s">
        <v>84</v>
      </c>
      <c r="M653" s="29" t="s">
        <v>1627</v>
      </c>
      <c r="N653" s="25"/>
      <c r="O653" s="28" t="s">
        <v>27</v>
      </c>
      <c r="P653" s="24" t="s">
        <v>1376</v>
      </c>
      <c r="Q653" s="14" t="b">
        <f t="shared" si="1"/>
        <v>0</v>
      </c>
      <c r="R653" s="15" t="b">
        <f t="shared" si="2"/>
        <v>0</v>
      </c>
      <c r="S653" s="15" t="str">
        <f t="shared" si="3"/>
        <v>PENDING</v>
      </c>
    </row>
    <row r="654" ht="15.75" customHeight="1">
      <c r="A654" s="24" t="s">
        <v>1628</v>
      </c>
      <c r="B654" s="115" t="s">
        <v>1593</v>
      </c>
      <c r="C654" s="26">
        <v>45932.0</v>
      </c>
      <c r="D654" s="26">
        <v>45698.0</v>
      </c>
      <c r="E654" s="24" t="s">
        <v>1287</v>
      </c>
      <c r="F654" s="24">
        <v>80.0</v>
      </c>
      <c r="G654" s="27">
        <v>49.66</v>
      </c>
      <c r="H654" s="24" t="s">
        <v>1376</v>
      </c>
      <c r="I654" s="28" t="s">
        <v>23</v>
      </c>
      <c r="J654" s="28" t="s">
        <v>172</v>
      </c>
      <c r="K654" s="28" t="s">
        <v>84</v>
      </c>
      <c r="M654" s="29" t="s">
        <v>1627</v>
      </c>
      <c r="N654" s="25"/>
      <c r="O654" s="28" t="s">
        <v>27</v>
      </c>
      <c r="P654" s="24" t="s">
        <v>1376</v>
      </c>
      <c r="Q654" s="14" t="b">
        <f t="shared" si="1"/>
        <v>0</v>
      </c>
      <c r="R654" s="15" t="b">
        <f t="shared" si="2"/>
        <v>0</v>
      </c>
      <c r="S654" s="15" t="str">
        <f t="shared" si="3"/>
        <v>PENDING</v>
      </c>
    </row>
    <row r="655" ht="15.75" customHeight="1">
      <c r="A655" s="24" t="s">
        <v>1629</v>
      </c>
      <c r="B655" s="115" t="s">
        <v>113</v>
      </c>
      <c r="C655" s="26">
        <v>45932.0</v>
      </c>
      <c r="D655" s="26">
        <v>45698.0</v>
      </c>
      <c r="E655" s="24" t="s">
        <v>21</v>
      </c>
      <c r="F655" s="24">
        <v>240.0</v>
      </c>
      <c r="G655" s="27">
        <v>118.18</v>
      </c>
      <c r="H655" s="24" t="s">
        <v>177</v>
      </c>
      <c r="I655" s="28" t="s">
        <v>23</v>
      </c>
      <c r="J655" s="28" t="s">
        <v>172</v>
      </c>
      <c r="K655" s="28" t="s">
        <v>482</v>
      </c>
      <c r="M655" s="29"/>
      <c r="N655" s="29" t="s">
        <v>1630</v>
      </c>
      <c r="O655" s="28" t="s">
        <v>27</v>
      </c>
      <c r="P655" s="24" t="s">
        <v>177</v>
      </c>
      <c r="Q655" s="14" t="b">
        <f t="shared" si="1"/>
        <v>0</v>
      </c>
      <c r="R655" s="15" t="b">
        <f t="shared" si="2"/>
        <v>0</v>
      </c>
      <c r="S655" s="15" t="str">
        <f t="shared" si="3"/>
        <v>PENDING</v>
      </c>
    </row>
    <row r="656" ht="15.75" customHeight="1">
      <c r="A656" s="24" t="s">
        <v>1629</v>
      </c>
      <c r="B656" s="115" t="s">
        <v>113</v>
      </c>
      <c r="C656" s="26">
        <v>45932.0</v>
      </c>
      <c r="D656" s="26">
        <v>45698.0</v>
      </c>
      <c r="E656" s="24" t="s">
        <v>1287</v>
      </c>
      <c r="F656" s="24">
        <v>40.0</v>
      </c>
      <c r="G656" s="27">
        <v>49.64</v>
      </c>
      <c r="H656" s="24" t="s">
        <v>177</v>
      </c>
      <c r="I656" s="28" t="s">
        <v>23</v>
      </c>
      <c r="J656" s="28" t="s">
        <v>172</v>
      </c>
      <c r="K656" s="28" t="s">
        <v>482</v>
      </c>
      <c r="M656" s="29"/>
      <c r="N656" s="29" t="s">
        <v>1630</v>
      </c>
      <c r="O656" s="28" t="s">
        <v>27</v>
      </c>
      <c r="P656" s="24" t="s">
        <v>177</v>
      </c>
      <c r="Q656" s="14" t="b">
        <f t="shared" si="1"/>
        <v>0</v>
      </c>
      <c r="R656" s="15" t="b">
        <f t="shared" si="2"/>
        <v>0</v>
      </c>
      <c r="S656" s="15" t="str">
        <f t="shared" si="3"/>
        <v>PENDING</v>
      </c>
    </row>
    <row r="657" ht="15.75" customHeight="1">
      <c r="A657" s="24" t="s">
        <v>1631</v>
      </c>
      <c r="B657" s="25" t="s">
        <v>737</v>
      </c>
      <c r="C657" s="26">
        <v>45933.0</v>
      </c>
      <c r="D657" s="26">
        <v>45726.0</v>
      </c>
      <c r="E657" s="24" t="s">
        <v>21</v>
      </c>
      <c r="F657" s="24">
        <v>144.0</v>
      </c>
      <c r="G657" s="27">
        <v>118.0</v>
      </c>
      <c r="H657" s="24" t="s">
        <v>177</v>
      </c>
      <c r="I657" s="28" t="s">
        <v>23</v>
      </c>
      <c r="J657" s="28" t="s">
        <v>172</v>
      </c>
      <c r="K657" s="28" t="s">
        <v>482</v>
      </c>
      <c r="M657" s="29"/>
      <c r="N657" s="29" t="s">
        <v>1632</v>
      </c>
      <c r="O657" s="28" t="s">
        <v>27</v>
      </c>
      <c r="P657" s="24" t="s">
        <v>177</v>
      </c>
      <c r="Q657" s="14" t="b">
        <f t="shared" si="1"/>
        <v>0</v>
      </c>
      <c r="R657" s="15" t="b">
        <f t="shared" si="2"/>
        <v>0</v>
      </c>
      <c r="S657" s="15" t="str">
        <f t="shared" si="3"/>
        <v>PENDING</v>
      </c>
    </row>
    <row r="658" ht="15.75" customHeight="1">
      <c r="A658" s="24" t="s">
        <v>1633</v>
      </c>
      <c r="B658" s="115" t="s">
        <v>1634</v>
      </c>
      <c r="C658" s="26">
        <v>45932.0</v>
      </c>
      <c r="D658" s="26">
        <v>45698.0</v>
      </c>
      <c r="E658" s="24" t="s">
        <v>21</v>
      </c>
      <c r="F658" s="24">
        <v>120.0</v>
      </c>
      <c r="G658" s="27">
        <v>115.0</v>
      </c>
      <c r="H658" s="24" t="s">
        <v>715</v>
      </c>
      <c r="I658" s="28" t="s">
        <v>23</v>
      </c>
      <c r="J658" s="28" t="s">
        <v>172</v>
      </c>
      <c r="K658" s="28" t="s">
        <v>482</v>
      </c>
      <c r="M658" s="29"/>
      <c r="N658" s="25"/>
      <c r="O658" s="28" t="s">
        <v>27</v>
      </c>
      <c r="P658" s="24" t="s">
        <v>715</v>
      </c>
      <c r="Q658" s="14" t="b">
        <f t="shared" si="1"/>
        <v>0</v>
      </c>
      <c r="R658" s="15" t="b">
        <f t="shared" si="2"/>
        <v>0</v>
      </c>
      <c r="S658" s="15" t="str">
        <f t="shared" si="3"/>
        <v>PENDING</v>
      </c>
    </row>
    <row r="659" ht="15.75" customHeight="1">
      <c r="A659" s="24" t="s">
        <v>1635</v>
      </c>
      <c r="B659" s="115" t="s">
        <v>1161</v>
      </c>
      <c r="C659" s="26">
        <v>45931.0</v>
      </c>
      <c r="D659" s="26">
        <v>45667.0</v>
      </c>
      <c r="E659" s="24" t="s">
        <v>1287</v>
      </c>
      <c r="F659" s="24">
        <v>40.0</v>
      </c>
      <c r="G659" s="27">
        <v>55.0</v>
      </c>
      <c r="H659" s="24" t="s">
        <v>715</v>
      </c>
      <c r="I659" s="28" t="s">
        <v>23</v>
      </c>
      <c r="J659" s="28" t="s">
        <v>172</v>
      </c>
      <c r="K659" s="28" t="s">
        <v>49</v>
      </c>
      <c r="M659" s="29"/>
      <c r="N659" s="25"/>
      <c r="O659" s="28" t="s">
        <v>27</v>
      </c>
      <c r="P659" s="24" t="s">
        <v>715</v>
      </c>
      <c r="Q659" s="14" t="b">
        <f t="shared" si="1"/>
        <v>0</v>
      </c>
      <c r="R659" s="15" t="b">
        <f t="shared" si="2"/>
        <v>0</v>
      </c>
      <c r="S659" s="15" t="str">
        <f t="shared" si="3"/>
        <v>PENDING</v>
      </c>
    </row>
    <row r="660" ht="15.75" customHeight="1">
      <c r="A660" s="24" t="s">
        <v>1636</v>
      </c>
      <c r="B660" s="115" t="s">
        <v>1637</v>
      </c>
      <c r="C660" s="26">
        <v>45932.0</v>
      </c>
      <c r="D660" s="26">
        <v>45698.0</v>
      </c>
      <c r="E660" s="24" t="s">
        <v>21</v>
      </c>
      <c r="F660" s="24">
        <v>40.0</v>
      </c>
      <c r="G660" s="27">
        <v>119.0</v>
      </c>
      <c r="H660" s="24" t="s">
        <v>715</v>
      </c>
      <c r="I660" s="28" t="s">
        <v>23</v>
      </c>
      <c r="J660" s="28" t="s">
        <v>172</v>
      </c>
      <c r="K660" s="28" t="s">
        <v>49</v>
      </c>
      <c r="M660" s="29"/>
      <c r="N660" s="25"/>
      <c r="O660" s="28" t="s">
        <v>27</v>
      </c>
      <c r="P660" s="24" t="s">
        <v>715</v>
      </c>
      <c r="Q660" s="14" t="b">
        <f t="shared" si="1"/>
        <v>0</v>
      </c>
      <c r="R660" s="15" t="b">
        <f t="shared" si="2"/>
        <v>0</v>
      </c>
      <c r="S660" s="15" t="str">
        <f t="shared" si="3"/>
        <v>PENDING</v>
      </c>
    </row>
    <row r="661" ht="15.75" customHeight="1">
      <c r="A661" s="24" t="s">
        <v>1638</v>
      </c>
      <c r="B661" s="115" t="s">
        <v>988</v>
      </c>
      <c r="C661" s="26">
        <v>45932.0</v>
      </c>
      <c r="D661" s="26">
        <v>45698.0</v>
      </c>
      <c r="E661" s="24" t="s">
        <v>1287</v>
      </c>
      <c r="F661" s="24">
        <v>80.0</v>
      </c>
      <c r="G661" s="27">
        <v>50.0</v>
      </c>
      <c r="H661" s="24" t="s">
        <v>744</v>
      </c>
      <c r="I661" s="28" t="s">
        <v>23</v>
      </c>
      <c r="J661" s="28" t="s">
        <v>172</v>
      </c>
      <c r="K661" s="28" t="s">
        <v>482</v>
      </c>
      <c r="M661" s="29"/>
      <c r="N661" s="25"/>
      <c r="O661" s="28" t="s">
        <v>27</v>
      </c>
      <c r="P661" s="24" t="s">
        <v>744</v>
      </c>
      <c r="Q661" s="14" t="b">
        <f t="shared" si="1"/>
        <v>0</v>
      </c>
      <c r="R661" s="15" t="b">
        <f t="shared" si="2"/>
        <v>0</v>
      </c>
      <c r="S661" s="15" t="str">
        <f t="shared" si="3"/>
        <v>PENDING</v>
      </c>
    </row>
    <row r="662" ht="15.75" customHeight="1">
      <c r="A662" s="24" t="s">
        <v>1638</v>
      </c>
      <c r="B662" s="115" t="s">
        <v>988</v>
      </c>
      <c r="C662" s="26">
        <v>45932.0</v>
      </c>
      <c r="D662" s="26">
        <v>45698.0</v>
      </c>
      <c r="E662" s="24" t="s">
        <v>21</v>
      </c>
      <c r="F662" s="24">
        <v>72.0</v>
      </c>
      <c r="G662" s="27">
        <v>118.0</v>
      </c>
      <c r="H662" s="24" t="s">
        <v>744</v>
      </c>
      <c r="I662" s="28" t="s">
        <v>23</v>
      </c>
      <c r="J662" s="28" t="s">
        <v>172</v>
      </c>
      <c r="K662" s="28" t="s">
        <v>482</v>
      </c>
      <c r="M662" s="29"/>
      <c r="N662" s="25"/>
      <c r="O662" s="28" t="s">
        <v>27</v>
      </c>
      <c r="P662" s="24" t="s">
        <v>744</v>
      </c>
      <c r="Q662" s="14" t="b">
        <f t="shared" si="1"/>
        <v>0</v>
      </c>
      <c r="R662" s="15" t="b">
        <f t="shared" si="2"/>
        <v>0</v>
      </c>
      <c r="S662" s="15" t="str">
        <f t="shared" si="3"/>
        <v>PENDING</v>
      </c>
    </row>
    <row r="663" ht="15.75" customHeight="1">
      <c r="A663" s="24" t="s">
        <v>1639</v>
      </c>
      <c r="B663" s="25" t="s">
        <v>1035</v>
      </c>
      <c r="C663" s="26">
        <v>45932.0</v>
      </c>
      <c r="D663" s="26">
        <v>45698.0</v>
      </c>
      <c r="E663" s="24" t="s">
        <v>1287</v>
      </c>
      <c r="F663" s="24">
        <v>120.0</v>
      </c>
      <c r="G663" s="27">
        <v>50.0</v>
      </c>
      <c r="H663" s="24" t="s">
        <v>744</v>
      </c>
      <c r="I663" s="28" t="s">
        <v>23</v>
      </c>
      <c r="J663" s="28" t="s">
        <v>172</v>
      </c>
      <c r="K663" s="28" t="s">
        <v>49</v>
      </c>
      <c r="M663" s="29"/>
      <c r="N663" s="25"/>
      <c r="O663" s="28" t="s">
        <v>27</v>
      </c>
      <c r="P663" s="24" t="s">
        <v>744</v>
      </c>
      <c r="Q663" s="14" t="b">
        <f t="shared" si="1"/>
        <v>0</v>
      </c>
      <c r="R663" s="15" t="b">
        <f t="shared" si="2"/>
        <v>0</v>
      </c>
      <c r="S663" s="15" t="str">
        <f t="shared" si="3"/>
        <v>PENDING</v>
      </c>
    </row>
    <row r="664" ht="15.75" customHeight="1">
      <c r="A664" s="24" t="s">
        <v>1640</v>
      </c>
      <c r="B664" s="115" t="s">
        <v>1641</v>
      </c>
      <c r="C664" s="26">
        <v>45932.0</v>
      </c>
      <c r="D664" s="26">
        <v>45698.0</v>
      </c>
      <c r="E664" s="24" t="s">
        <v>1287</v>
      </c>
      <c r="F664" s="24">
        <v>40.0</v>
      </c>
      <c r="G664" s="27">
        <v>55.0</v>
      </c>
      <c r="H664" s="24" t="s">
        <v>744</v>
      </c>
      <c r="I664" s="28" t="s">
        <v>23</v>
      </c>
      <c r="J664" s="28" t="s">
        <v>172</v>
      </c>
      <c r="K664" s="28" t="s">
        <v>482</v>
      </c>
      <c r="M664" s="29"/>
      <c r="N664" s="25"/>
      <c r="O664" s="28" t="s">
        <v>27</v>
      </c>
      <c r="P664" s="24" t="s">
        <v>744</v>
      </c>
      <c r="Q664" s="14" t="b">
        <f t="shared" si="1"/>
        <v>0</v>
      </c>
      <c r="R664" s="15" t="b">
        <f t="shared" si="2"/>
        <v>0</v>
      </c>
      <c r="S664" s="15" t="str">
        <f t="shared" si="3"/>
        <v>PENDING</v>
      </c>
    </row>
    <row r="665" ht="15.75" customHeight="1">
      <c r="A665" s="24" t="s">
        <v>1642</v>
      </c>
      <c r="B665" s="115" t="s">
        <v>1643</v>
      </c>
      <c r="C665" s="26">
        <v>45933.0</v>
      </c>
      <c r="D665" s="26">
        <v>45726.0</v>
      </c>
      <c r="E665" s="24" t="s">
        <v>1287</v>
      </c>
      <c r="F665" s="24">
        <v>40.0</v>
      </c>
      <c r="G665" s="27">
        <v>50.0</v>
      </c>
      <c r="H665" s="24" t="s">
        <v>744</v>
      </c>
      <c r="I665" s="28" t="s">
        <v>23</v>
      </c>
      <c r="J665" s="28" t="s">
        <v>172</v>
      </c>
      <c r="K665" s="28" t="s">
        <v>482</v>
      </c>
      <c r="M665" s="29"/>
      <c r="N665" s="25"/>
      <c r="O665" s="28" t="s">
        <v>27</v>
      </c>
      <c r="P665" s="24" t="s">
        <v>744</v>
      </c>
      <c r="Q665" s="14" t="b">
        <f t="shared" si="1"/>
        <v>0</v>
      </c>
      <c r="R665" s="15" t="b">
        <f t="shared" si="2"/>
        <v>0</v>
      </c>
      <c r="S665" s="15" t="str">
        <f t="shared" si="3"/>
        <v>PENDING</v>
      </c>
    </row>
    <row r="666" ht="15.75" customHeight="1">
      <c r="A666" s="24" t="s">
        <v>1644</v>
      </c>
      <c r="B666" s="115" t="s">
        <v>785</v>
      </c>
      <c r="C666" s="26">
        <v>45933.0</v>
      </c>
      <c r="D666" s="26">
        <v>45726.0</v>
      </c>
      <c r="E666" s="24" t="s">
        <v>1287</v>
      </c>
      <c r="F666" s="24">
        <v>40.0</v>
      </c>
      <c r="G666" s="27">
        <v>55.0</v>
      </c>
      <c r="H666" s="24" t="s">
        <v>744</v>
      </c>
      <c r="I666" s="28" t="s">
        <v>23</v>
      </c>
      <c r="J666" s="28" t="s">
        <v>172</v>
      </c>
      <c r="K666" s="28" t="s">
        <v>482</v>
      </c>
      <c r="M666" s="29"/>
      <c r="N666" s="25"/>
      <c r="O666" s="28" t="s">
        <v>27</v>
      </c>
      <c r="P666" s="24" t="s">
        <v>744</v>
      </c>
      <c r="Q666" s="14" t="b">
        <f t="shared" si="1"/>
        <v>0</v>
      </c>
      <c r="R666" s="15" t="b">
        <f t="shared" si="2"/>
        <v>0</v>
      </c>
      <c r="S666" s="15" t="str">
        <f t="shared" si="3"/>
        <v>PENDING</v>
      </c>
    </row>
    <row r="667" ht="15.75" customHeight="1">
      <c r="A667" s="24" t="s">
        <v>1644</v>
      </c>
      <c r="B667" s="115" t="s">
        <v>785</v>
      </c>
      <c r="C667" s="26">
        <v>45933.0</v>
      </c>
      <c r="D667" s="26">
        <v>45726.0</v>
      </c>
      <c r="E667" s="24" t="s">
        <v>21</v>
      </c>
      <c r="F667" s="24">
        <v>24.0</v>
      </c>
      <c r="G667" s="27">
        <v>119.0</v>
      </c>
      <c r="H667" s="24" t="s">
        <v>744</v>
      </c>
      <c r="I667" s="28" t="s">
        <v>23</v>
      </c>
      <c r="J667" s="28" t="s">
        <v>172</v>
      </c>
      <c r="K667" s="28" t="s">
        <v>482</v>
      </c>
      <c r="M667" s="29"/>
      <c r="N667" s="25"/>
      <c r="O667" s="28" t="s">
        <v>27</v>
      </c>
      <c r="P667" s="24" t="s">
        <v>744</v>
      </c>
      <c r="Q667" s="14" t="b">
        <f t="shared" si="1"/>
        <v>0</v>
      </c>
      <c r="R667" s="15" t="b">
        <f t="shared" si="2"/>
        <v>0</v>
      </c>
      <c r="S667" s="15" t="str">
        <f t="shared" si="3"/>
        <v>PENDING</v>
      </c>
    </row>
    <row r="668" ht="15.75" customHeight="1">
      <c r="A668" s="24" t="s">
        <v>1645</v>
      </c>
      <c r="B668" s="25" t="s">
        <v>947</v>
      </c>
      <c r="C668" s="26">
        <v>45929.0</v>
      </c>
      <c r="D668" s="26">
        <v>45929.0</v>
      </c>
      <c r="E668" s="24" t="s">
        <v>1287</v>
      </c>
      <c r="F668" s="24">
        <v>40.0</v>
      </c>
      <c r="G668" s="27">
        <v>55.0</v>
      </c>
      <c r="H668" s="24" t="s">
        <v>744</v>
      </c>
      <c r="I668" s="28" t="s">
        <v>23</v>
      </c>
      <c r="J668" s="28" t="s">
        <v>172</v>
      </c>
      <c r="K668" s="28" t="s">
        <v>49</v>
      </c>
      <c r="M668" s="29"/>
      <c r="N668" s="25"/>
      <c r="O668" s="28" t="s">
        <v>27</v>
      </c>
      <c r="P668" s="24" t="s">
        <v>744</v>
      </c>
      <c r="Q668" s="14" t="b">
        <f t="shared" si="1"/>
        <v>0</v>
      </c>
      <c r="R668" s="15" t="b">
        <f t="shared" si="2"/>
        <v>0</v>
      </c>
      <c r="S668" s="15" t="str">
        <f t="shared" si="3"/>
        <v>PENDING</v>
      </c>
    </row>
    <row r="669" ht="15.75" customHeight="1">
      <c r="A669" s="24" t="s">
        <v>1646</v>
      </c>
      <c r="B669" s="25" t="s">
        <v>1647</v>
      </c>
      <c r="C669" s="26">
        <v>45934.0</v>
      </c>
      <c r="D669" s="26">
        <v>45818.0</v>
      </c>
      <c r="E669" s="24" t="s">
        <v>21</v>
      </c>
      <c r="F669" s="24">
        <v>72.0</v>
      </c>
      <c r="G669" s="27">
        <v>118.18</v>
      </c>
      <c r="H669" s="24" t="s">
        <v>1387</v>
      </c>
      <c r="I669" s="28" t="s">
        <v>23</v>
      </c>
      <c r="J669" s="28" t="s">
        <v>172</v>
      </c>
      <c r="K669" s="28" t="s">
        <v>482</v>
      </c>
      <c r="M669" s="29"/>
      <c r="N669" s="25"/>
      <c r="O669" s="28" t="s">
        <v>27</v>
      </c>
      <c r="P669" s="24" t="s">
        <v>1387</v>
      </c>
      <c r="Q669" s="14" t="b">
        <f t="shared" si="1"/>
        <v>0</v>
      </c>
      <c r="R669" s="15" t="b">
        <f t="shared" si="2"/>
        <v>0</v>
      </c>
      <c r="S669" s="15" t="str">
        <f t="shared" si="3"/>
        <v>PENDING</v>
      </c>
    </row>
    <row r="670" ht="15.75" customHeight="1">
      <c r="A670" s="24" t="s">
        <v>1648</v>
      </c>
      <c r="B670" s="115" t="s">
        <v>1649</v>
      </c>
      <c r="C670" s="26">
        <v>45934.0</v>
      </c>
      <c r="D670" s="26">
        <v>45818.0</v>
      </c>
      <c r="E670" s="24" t="s">
        <v>1287</v>
      </c>
      <c r="F670" s="24">
        <v>40.0</v>
      </c>
      <c r="G670" s="27">
        <v>49.64</v>
      </c>
      <c r="H670" s="24" t="s">
        <v>1376</v>
      </c>
      <c r="I670" s="28" t="s">
        <v>23</v>
      </c>
      <c r="J670" s="28" t="s">
        <v>172</v>
      </c>
      <c r="K670" s="28" t="s">
        <v>482</v>
      </c>
      <c r="M670" s="29"/>
      <c r="N670" s="25"/>
      <c r="O670" s="28" t="s">
        <v>27</v>
      </c>
      <c r="P670" s="24" t="s">
        <v>1376</v>
      </c>
      <c r="Q670" s="14" t="b">
        <f t="shared" si="1"/>
        <v>0</v>
      </c>
      <c r="R670" s="15" t="b">
        <f t="shared" si="2"/>
        <v>0</v>
      </c>
      <c r="S670" s="15" t="str">
        <f t="shared" si="3"/>
        <v>PENDING</v>
      </c>
    </row>
    <row r="671" ht="15.75" customHeight="1">
      <c r="A671" s="24" t="s">
        <v>1650</v>
      </c>
      <c r="B671" s="115" t="s">
        <v>1651</v>
      </c>
      <c r="C671" s="26">
        <v>45936.0</v>
      </c>
      <c r="D671" s="26">
        <v>45818.0</v>
      </c>
      <c r="E671" s="24" t="s">
        <v>21</v>
      </c>
      <c r="F671" s="24">
        <v>120.0</v>
      </c>
      <c r="G671" s="27">
        <v>118.0</v>
      </c>
      <c r="H671" s="24" t="s">
        <v>1376</v>
      </c>
      <c r="I671" s="28" t="s">
        <v>23</v>
      </c>
      <c r="J671" s="28" t="s">
        <v>172</v>
      </c>
      <c r="K671" s="28" t="s">
        <v>84</v>
      </c>
      <c r="M671" s="29" t="s">
        <v>1652</v>
      </c>
      <c r="N671" s="29" t="s">
        <v>1653</v>
      </c>
      <c r="O671" s="28" t="s">
        <v>27</v>
      </c>
      <c r="P671" s="24" t="s">
        <v>1376</v>
      </c>
      <c r="Q671" s="14" t="b">
        <f t="shared" si="1"/>
        <v>0</v>
      </c>
      <c r="R671" s="15" t="b">
        <f t="shared" si="2"/>
        <v>0</v>
      </c>
      <c r="S671" s="15" t="str">
        <f t="shared" si="3"/>
        <v>PENDING</v>
      </c>
    </row>
    <row r="672" ht="15.75" customHeight="1">
      <c r="A672" s="24" t="s">
        <v>1650</v>
      </c>
      <c r="B672" s="25" t="s">
        <v>1654</v>
      </c>
      <c r="C672" s="26">
        <v>45936.0</v>
      </c>
      <c r="D672" s="26">
        <v>45818.0</v>
      </c>
      <c r="E672" s="24" t="s">
        <v>1287</v>
      </c>
      <c r="F672" s="24">
        <v>120.0</v>
      </c>
      <c r="G672" s="27">
        <v>49.66</v>
      </c>
      <c r="H672" s="24" t="s">
        <v>1376</v>
      </c>
      <c r="I672" s="28" t="s">
        <v>23</v>
      </c>
      <c r="J672" s="28" t="s">
        <v>172</v>
      </c>
      <c r="K672" s="28" t="s">
        <v>84</v>
      </c>
      <c r="M672" s="29" t="s">
        <v>1652</v>
      </c>
      <c r="N672" s="29" t="s">
        <v>1653</v>
      </c>
      <c r="O672" s="28" t="s">
        <v>27</v>
      </c>
      <c r="P672" s="24" t="s">
        <v>1376</v>
      </c>
      <c r="Q672" s="14" t="b">
        <f t="shared" si="1"/>
        <v>0</v>
      </c>
      <c r="R672" s="15" t="b">
        <f t="shared" si="2"/>
        <v>0</v>
      </c>
      <c r="S672" s="15" t="str">
        <f t="shared" si="3"/>
        <v>PENDING</v>
      </c>
    </row>
    <row r="673" ht="15.75" customHeight="1">
      <c r="A673" s="24" t="s">
        <v>1655</v>
      </c>
      <c r="B673" s="115" t="s">
        <v>789</v>
      </c>
      <c r="C673" s="26">
        <v>45934.0</v>
      </c>
      <c r="D673" s="26">
        <v>45757.0</v>
      </c>
      <c r="E673" s="24" t="s">
        <v>1287</v>
      </c>
      <c r="F673" s="24">
        <v>600.0</v>
      </c>
      <c r="G673" s="27"/>
      <c r="H673" s="24" t="s">
        <v>744</v>
      </c>
      <c r="I673" s="28" t="s">
        <v>23</v>
      </c>
      <c r="J673" s="24"/>
      <c r="K673" s="28" t="s">
        <v>31</v>
      </c>
      <c r="M673" s="29"/>
      <c r="N673" s="25"/>
      <c r="O673" s="28" t="s">
        <v>27</v>
      </c>
      <c r="P673" s="24" t="s">
        <v>744</v>
      </c>
      <c r="Q673" s="14" t="b">
        <f t="shared" si="1"/>
        <v>0</v>
      </c>
      <c r="R673" s="15" t="b">
        <f t="shared" si="2"/>
        <v>0</v>
      </c>
      <c r="S673" s="15" t="str">
        <f t="shared" si="3"/>
        <v>PENDING</v>
      </c>
    </row>
    <row r="674" ht="15.75" customHeight="1">
      <c r="A674" s="30" t="s">
        <v>1656</v>
      </c>
      <c r="B674" s="58" t="s">
        <v>1657</v>
      </c>
      <c r="C674" s="32">
        <v>45937.0</v>
      </c>
      <c r="D674" s="32"/>
      <c r="E674" s="30" t="s">
        <v>21</v>
      </c>
      <c r="F674" s="30"/>
      <c r="G674" s="33"/>
      <c r="H674" s="30" t="s">
        <v>1376</v>
      </c>
      <c r="I674" s="34" t="s">
        <v>23</v>
      </c>
      <c r="J674" s="34" t="s">
        <v>24</v>
      </c>
      <c r="K674" s="34" t="s">
        <v>49</v>
      </c>
      <c r="L674" s="66"/>
      <c r="M674" s="35"/>
      <c r="N674" s="31"/>
      <c r="O674" s="30" t="s">
        <v>98</v>
      </c>
      <c r="P674" s="30" t="s">
        <v>1376</v>
      </c>
      <c r="Q674" s="14" t="b">
        <f t="shared" si="1"/>
        <v>0</v>
      </c>
      <c r="R674" s="15" t="b">
        <f t="shared" si="2"/>
        <v>1</v>
      </c>
      <c r="S674" s="15" t="str">
        <f t="shared" si="3"/>
        <v>PENDING</v>
      </c>
    </row>
    <row r="675" ht="15.75" customHeight="1">
      <c r="A675" s="30" t="s">
        <v>1656</v>
      </c>
      <c r="B675" s="58" t="s">
        <v>1657</v>
      </c>
      <c r="C675" s="32">
        <v>45937.0</v>
      </c>
      <c r="D675" s="32"/>
      <c r="E675" s="30" t="s">
        <v>1287</v>
      </c>
      <c r="F675" s="30"/>
      <c r="G675" s="33"/>
      <c r="H675" s="30" t="s">
        <v>1376</v>
      </c>
      <c r="I675" s="34" t="s">
        <v>23</v>
      </c>
      <c r="J675" s="34" t="s">
        <v>24</v>
      </c>
      <c r="K675" s="34" t="s">
        <v>49</v>
      </c>
      <c r="L675" s="66"/>
      <c r="M675" s="35"/>
      <c r="N675" s="31"/>
      <c r="O675" s="30" t="s">
        <v>98</v>
      </c>
      <c r="P675" s="30" t="s">
        <v>1376</v>
      </c>
      <c r="Q675" s="14" t="b">
        <f t="shared" si="1"/>
        <v>0</v>
      </c>
      <c r="R675" s="15" t="b">
        <f t="shared" si="2"/>
        <v>1</v>
      </c>
      <c r="S675" s="15" t="str">
        <f t="shared" si="3"/>
        <v>PENDING</v>
      </c>
    </row>
    <row r="676" ht="15.75" customHeight="1">
      <c r="A676" s="24" t="s">
        <v>1658</v>
      </c>
      <c r="B676" s="25" t="s">
        <v>942</v>
      </c>
      <c r="C676" s="26">
        <v>45936.0</v>
      </c>
      <c r="D676" s="26">
        <v>45818.0</v>
      </c>
      <c r="E676" s="24" t="s">
        <v>1287</v>
      </c>
      <c r="F676" s="24">
        <v>40.0</v>
      </c>
      <c r="G676" s="27">
        <v>55.0</v>
      </c>
      <c r="H676" s="24" t="s">
        <v>744</v>
      </c>
      <c r="I676" s="28" t="s">
        <v>23</v>
      </c>
      <c r="J676" s="28" t="s">
        <v>172</v>
      </c>
      <c r="K676" s="28" t="s">
        <v>482</v>
      </c>
      <c r="M676" s="29"/>
      <c r="N676" s="25"/>
      <c r="O676" s="28" t="s">
        <v>27</v>
      </c>
      <c r="P676" s="24" t="s">
        <v>744</v>
      </c>
      <c r="Q676" s="14" t="b">
        <f t="shared" si="1"/>
        <v>0</v>
      </c>
      <c r="R676" s="15" t="b">
        <f t="shared" si="2"/>
        <v>0</v>
      </c>
      <c r="S676" s="15" t="str">
        <f t="shared" si="3"/>
        <v>PENDING</v>
      </c>
    </row>
    <row r="677" ht="15.75" customHeight="1">
      <c r="A677" s="24" t="s">
        <v>1659</v>
      </c>
      <c r="B677" s="115" t="s">
        <v>1031</v>
      </c>
      <c r="C677" s="26">
        <v>45936.0</v>
      </c>
      <c r="D677" s="26">
        <v>45818.0</v>
      </c>
      <c r="E677" s="24" t="s">
        <v>21</v>
      </c>
      <c r="F677" s="24">
        <v>24.0</v>
      </c>
      <c r="G677" s="27">
        <v>119.0</v>
      </c>
      <c r="H677" s="24" t="s">
        <v>744</v>
      </c>
      <c r="I677" s="28" t="s">
        <v>23</v>
      </c>
      <c r="J677" s="28" t="s">
        <v>172</v>
      </c>
      <c r="K677" s="28" t="s">
        <v>482</v>
      </c>
      <c r="M677" s="29"/>
      <c r="N677" s="25"/>
      <c r="O677" s="28" t="s">
        <v>27</v>
      </c>
      <c r="P677" s="24" t="s">
        <v>744</v>
      </c>
      <c r="Q677" s="14" t="b">
        <f t="shared" si="1"/>
        <v>0</v>
      </c>
      <c r="R677" s="15" t="b">
        <f t="shared" si="2"/>
        <v>0</v>
      </c>
      <c r="S677" s="15" t="str">
        <f t="shared" si="3"/>
        <v>PENDING</v>
      </c>
    </row>
    <row r="678" ht="15.75" customHeight="1">
      <c r="A678" s="24" t="s">
        <v>1659</v>
      </c>
      <c r="B678" s="115" t="s">
        <v>1031</v>
      </c>
      <c r="C678" s="26">
        <v>45936.0</v>
      </c>
      <c r="D678" s="26">
        <v>45818.0</v>
      </c>
      <c r="E678" s="24" t="s">
        <v>1287</v>
      </c>
      <c r="F678" s="24">
        <v>80.0</v>
      </c>
      <c r="G678" s="27">
        <v>55.0</v>
      </c>
      <c r="H678" s="24" t="s">
        <v>744</v>
      </c>
      <c r="I678" s="28" t="s">
        <v>23</v>
      </c>
      <c r="J678" s="28" t="s">
        <v>172</v>
      </c>
      <c r="K678" s="28" t="s">
        <v>482</v>
      </c>
      <c r="M678" s="29"/>
      <c r="N678" s="25"/>
      <c r="O678" s="28" t="s">
        <v>27</v>
      </c>
      <c r="P678" s="24" t="s">
        <v>744</v>
      </c>
      <c r="Q678" s="14" t="b">
        <f t="shared" si="1"/>
        <v>0</v>
      </c>
      <c r="R678" s="15" t="b">
        <f t="shared" si="2"/>
        <v>0</v>
      </c>
      <c r="S678" s="15" t="str">
        <f t="shared" si="3"/>
        <v>PENDING</v>
      </c>
    </row>
    <row r="679" ht="15.75" customHeight="1">
      <c r="A679" s="24" t="s">
        <v>1660</v>
      </c>
      <c r="B679" s="115" t="s">
        <v>1318</v>
      </c>
      <c r="C679" s="26">
        <v>45932.0</v>
      </c>
      <c r="D679" s="26">
        <v>45698.0</v>
      </c>
      <c r="E679" s="24" t="s">
        <v>1287</v>
      </c>
      <c r="F679" s="24">
        <v>200.0</v>
      </c>
      <c r="G679" s="27">
        <v>49.0</v>
      </c>
      <c r="H679" s="24" t="s">
        <v>744</v>
      </c>
      <c r="I679" s="28" t="s">
        <v>23</v>
      </c>
      <c r="J679" s="28" t="s">
        <v>172</v>
      </c>
      <c r="K679" s="28" t="s">
        <v>482</v>
      </c>
      <c r="M679" s="29"/>
      <c r="N679" s="29" t="s">
        <v>1319</v>
      </c>
      <c r="O679" s="28" t="s">
        <v>27</v>
      </c>
      <c r="P679" s="24" t="s">
        <v>744</v>
      </c>
      <c r="Q679" s="14" t="b">
        <f t="shared" si="1"/>
        <v>0</v>
      </c>
      <c r="R679" s="15" t="b">
        <f t="shared" si="2"/>
        <v>0</v>
      </c>
      <c r="S679" s="15" t="str">
        <f t="shared" si="3"/>
        <v>PENDING</v>
      </c>
    </row>
    <row r="680" ht="15.75" customHeight="1">
      <c r="A680" s="24" t="s">
        <v>1661</v>
      </c>
      <c r="B680" s="115" t="s">
        <v>1662</v>
      </c>
      <c r="C680" s="26">
        <v>45937.0</v>
      </c>
      <c r="D680" s="26">
        <v>45848.0</v>
      </c>
      <c r="E680" s="24" t="s">
        <v>21</v>
      </c>
      <c r="F680" s="24">
        <v>24.0</v>
      </c>
      <c r="G680" s="27">
        <v>110.0</v>
      </c>
      <c r="H680" s="24" t="s">
        <v>715</v>
      </c>
      <c r="I680" s="28" t="s">
        <v>23</v>
      </c>
      <c r="J680" s="28" t="s">
        <v>172</v>
      </c>
      <c r="K680" s="28" t="s">
        <v>49</v>
      </c>
      <c r="M680" s="29"/>
      <c r="N680" s="25"/>
      <c r="O680" s="28" t="s">
        <v>27</v>
      </c>
      <c r="P680" s="24" t="s">
        <v>715</v>
      </c>
      <c r="Q680" s="14" t="b">
        <f t="shared" si="1"/>
        <v>0</v>
      </c>
      <c r="R680" s="15" t="b">
        <f t="shared" si="2"/>
        <v>0</v>
      </c>
      <c r="S680" s="15" t="str">
        <f t="shared" si="3"/>
        <v>PENDING</v>
      </c>
    </row>
    <row r="681" ht="15.75" customHeight="1">
      <c r="A681" s="24" t="s">
        <v>1661</v>
      </c>
      <c r="B681" s="115" t="s">
        <v>1662</v>
      </c>
      <c r="C681" s="26">
        <v>45937.0</v>
      </c>
      <c r="D681" s="26">
        <v>45848.0</v>
      </c>
      <c r="E681" s="24" t="s">
        <v>1287</v>
      </c>
      <c r="F681" s="24">
        <v>40.0</v>
      </c>
      <c r="G681" s="27">
        <v>55.0</v>
      </c>
      <c r="H681" s="24" t="s">
        <v>715</v>
      </c>
      <c r="I681" s="28" t="s">
        <v>23</v>
      </c>
      <c r="J681" s="28" t="s">
        <v>172</v>
      </c>
      <c r="K681" s="28" t="s">
        <v>49</v>
      </c>
      <c r="M681" s="29"/>
      <c r="N681" s="25"/>
      <c r="O681" s="28" t="s">
        <v>27</v>
      </c>
      <c r="P681" s="24" t="s">
        <v>715</v>
      </c>
      <c r="Q681" s="14" t="b">
        <f t="shared" si="1"/>
        <v>0</v>
      </c>
      <c r="R681" s="15" t="b">
        <f t="shared" si="2"/>
        <v>0</v>
      </c>
      <c r="S681" s="15" t="str">
        <f t="shared" si="3"/>
        <v>PENDING</v>
      </c>
    </row>
    <row r="682" ht="15.75" customHeight="1">
      <c r="A682" s="7" t="s">
        <v>1663</v>
      </c>
      <c r="B682" s="8" t="s">
        <v>714</v>
      </c>
      <c r="C682" s="9">
        <v>45937.0</v>
      </c>
      <c r="D682" s="9">
        <v>45848.0</v>
      </c>
      <c r="E682" s="7" t="s">
        <v>21</v>
      </c>
      <c r="F682" s="7">
        <v>480.0</v>
      </c>
      <c r="G682" s="10"/>
      <c r="H682" s="7" t="s">
        <v>715</v>
      </c>
      <c r="I682" s="11" t="s">
        <v>23</v>
      </c>
      <c r="J682" s="11" t="s">
        <v>30</v>
      </c>
      <c r="K682" s="7" t="s">
        <v>31</v>
      </c>
      <c r="L682" s="16"/>
      <c r="M682" s="12"/>
      <c r="N682" s="13"/>
      <c r="O682" s="68" t="s">
        <v>417</v>
      </c>
      <c r="P682" s="7" t="s">
        <v>715</v>
      </c>
      <c r="Q682" s="14" t="b">
        <f t="shared" si="1"/>
        <v>0</v>
      </c>
      <c r="R682" s="15" t="b">
        <f t="shared" si="2"/>
        <v>0</v>
      </c>
      <c r="S682" s="15" t="str">
        <f t="shared" si="3"/>
        <v>PENDING</v>
      </c>
    </row>
    <row r="683" ht="15.75" customHeight="1">
      <c r="A683" s="24" t="s">
        <v>1664</v>
      </c>
      <c r="B683" s="115" t="s">
        <v>106</v>
      </c>
      <c r="C683" s="26">
        <v>45937.0</v>
      </c>
      <c r="D683" s="26">
        <v>45848.0</v>
      </c>
      <c r="E683" s="24" t="s">
        <v>1287</v>
      </c>
      <c r="F683" s="24">
        <v>40.0</v>
      </c>
      <c r="G683" s="27">
        <v>49.64</v>
      </c>
      <c r="H683" s="24" t="s">
        <v>177</v>
      </c>
      <c r="I683" s="28" t="s">
        <v>23</v>
      </c>
      <c r="J683" s="28" t="s">
        <v>172</v>
      </c>
      <c r="K683" s="28" t="s">
        <v>482</v>
      </c>
      <c r="M683" s="29"/>
      <c r="N683" s="25"/>
      <c r="O683" s="28" t="s">
        <v>27</v>
      </c>
      <c r="P683" s="24" t="s">
        <v>177</v>
      </c>
      <c r="Q683" s="14" t="b">
        <f t="shared" si="1"/>
        <v>0</v>
      </c>
      <c r="R683" s="15" t="b">
        <f t="shared" si="2"/>
        <v>0</v>
      </c>
      <c r="S683" s="15" t="str">
        <f t="shared" si="3"/>
        <v>PENDING</v>
      </c>
    </row>
    <row r="684" ht="15.75" customHeight="1">
      <c r="A684" s="24" t="s">
        <v>1665</v>
      </c>
      <c r="B684" s="115" t="s">
        <v>1223</v>
      </c>
      <c r="C684" s="26">
        <v>45937.0</v>
      </c>
      <c r="D684" s="26">
        <v>45848.0</v>
      </c>
      <c r="E684" s="24" t="s">
        <v>21</v>
      </c>
      <c r="F684" s="24">
        <v>96.0</v>
      </c>
      <c r="G684" s="27">
        <v>118.0</v>
      </c>
      <c r="H684" s="24" t="s">
        <v>177</v>
      </c>
      <c r="I684" s="28" t="s">
        <v>23</v>
      </c>
      <c r="J684" s="28" t="s">
        <v>172</v>
      </c>
      <c r="K684" s="28" t="s">
        <v>25</v>
      </c>
      <c r="M684" s="29" t="s">
        <v>1666</v>
      </c>
      <c r="N684" s="29" t="s">
        <v>1632</v>
      </c>
      <c r="O684" s="28" t="s">
        <v>27</v>
      </c>
      <c r="P684" s="24" t="s">
        <v>177</v>
      </c>
      <c r="Q684" s="14" t="b">
        <f t="shared" si="1"/>
        <v>1</v>
      </c>
      <c r="R684" s="15" t="b">
        <f t="shared" si="2"/>
        <v>0</v>
      </c>
      <c r="S684" s="15" t="str">
        <f t="shared" si="3"/>
        <v>APPROVED</v>
      </c>
    </row>
    <row r="685" ht="15.75" customHeight="1">
      <c r="A685" s="24" t="s">
        <v>1665</v>
      </c>
      <c r="B685" s="115" t="s">
        <v>1223</v>
      </c>
      <c r="C685" s="26">
        <v>45937.0</v>
      </c>
      <c r="D685" s="26">
        <v>45848.0</v>
      </c>
      <c r="E685" s="24" t="s">
        <v>1287</v>
      </c>
      <c r="F685" s="24">
        <v>80.0</v>
      </c>
      <c r="G685" s="27">
        <v>47.0</v>
      </c>
      <c r="H685" s="24" t="s">
        <v>177</v>
      </c>
      <c r="I685" s="28" t="s">
        <v>23</v>
      </c>
      <c r="J685" s="28" t="s">
        <v>172</v>
      </c>
      <c r="K685" s="28" t="s">
        <v>25</v>
      </c>
      <c r="M685" s="29" t="s">
        <v>1666</v>
      </c>
      <c r="N685" s="29" t="s">
        <v>1632</v>
      </c>
      <c r="O685" s="28" t="s">
        <v>27</v>
      </c>
      <c r="P685" s="24" t="s">
        <v>177</v>
      </c>
      <c r="Q685" s="14" t="b">
        <f t="shared" si="1"/>
        <v>1</v>
      </c>
      <c r="R685" s="15" t="b">
        <f t="shared" si="2"/>
        <v>0</v>
      </c>
      <c r="S685" s="15" t="str">
        <f t="shared" si="3"/>
        <v>APPROVED</v>
      </c>
    </row>
    <row r="686" ht="15.75" customHeight="1">
      <c r="A686" s="24" t="s">
        <v>1667</v>
      </c>
      <c r="B686" s="115" t="s">
        <v>726</v>
      </c>
      <c r="C686" s="26">
        <v>45937.0</v>
      </c>
      <c r="D686" s="26">
        <v>45848.0</v>
      </c>
      <c r="E686" s="24" t="s">
        <v>21</v>
      </c>
      <c r="F686" s="24">
        <v>48.0</v>
      </c>
      <c r="G686" s="27">
        <v>118.18</v>
      </c>
      <c r="H686" s="24" t="s">
        <v>177</v>
      </c>
      <c r="I686" s="28" t="s">
        <v>23</v>
      </c>
      <c r="J686" s="28" t="s">
        <v>172</v>
      </c>
      <c r="K686" s="28" t="s">
        <v>482</v>
      </c>
      <c r="M686" s="29"/>
      <c r="N686" s="25"/>
      <c r="O686" s="28" t="s">
        <v>27</v>
      </c>
      <c r="P686" s="24" t="s">
        <v>177</v>
      </c>
      <c r="Q686" s="14" t="b">
        <f t="shared" si="1"/>
        <v>0</v>
      </c>
      <c r="R686" s="15" t="b">
        <f t="shared" si="2"/>
        <v>0</v>
      </c>
      <c r="S686" s="15" t="str">
        <f t="shared" si="3"/>
        <v>PENDING</v>
      </c>
    </row>
    <row r="687" ht="15.75" customHeight="1">
      <c r="A687" s="24" t="s">
        <v>1667</v>
      </c>
      <c r="B687" s="115" t="s">
        <v>726</v>
      </c>
      <c r="C687" s="26">
        <v>45937.0</v>
      </c>
      <c r="D687" s="26">
        <v>45848.0</v>
      </c>
      <c r="E687" s="24" t="s">
        <v>1287</v>
      </c>
      <c r="F687" s="24">
        <v>40.0</v>
      </c>
      <c r="G687" s="27">
        <v>48.15</v>
      </c>
      <c r="H687" s="24" t="s">
        <v>177</v>
      </c>
      <c r="I687" s="28" t="s">
        <v>23</v>
      </c>
      <c r="J687" s="28" t="s">
        <v>172</v>
      </c>
      <c r="K687" s="28" t="s">
        <v>482</v>
      </c>
      <c r="M687" s="29"/>
      <c r="N687" s="25"/>
      <c r="O687" s="28" t="s">
        <v>27</v>
      </c>
      <c r="P687" s="24" t="s">
        <v>177</v>
      </c>
      <c r="Q687" s="14" t="b">
        <f t="shared" si="1"/>
        <v>0</v>
      </c>
      <c r="R687" s="15" t="b">
        <f t="shared" si="2"/>
        <v>0</v>
      </c>
      <c r="S687" s="15" t="str">
        <f t="shared" si="3"/>
        <v>PENDING</v>
      </c>
    </row>
    <row r="688" ht="15.75" customHeight="1">
      <c r="A688" s="7" t="s">
        <v>1668</v>
      </c>
      <c r="B688" s="8" t="s">
        <v>262</v>
      </c>
      <c r="C688" s="9">
        <v>45938.0</v>
      </c>
      <c r="D688" s="9">
        <v>45879.0</v>
      </c>
      <c r="E688" s="7" t="s">
        <v>1287</v>
      </c>
      <c r="F688" s="7">
        <v>80.0</v>
      </c>
      <c r="G688" s="10">
        <v>55.0</v>
      </c>
      <c r="H688" s="7" t="s">
        <v>744</v>
      </c>
      <c r="I688" s="11" t="s">
        <v>23</v>
      </c>
      <c r="J688" s="11" t="s">
        <v>172</v>
      </c>
      <c r="K688" s="11" t="s">
        <v>25</v>
      </c>
      <c r="L688" s="16"/>
      <c r="M688" s="12"/>
      <c r="N688" s="13"/>
      <c r="O688" s="11" t="s">
        <v>27</v>
      </c>
      <c r="P688" s="7" t="s">
        <v>744</v>
      </c>
      <c r="Q688" s="14" t="b">
        <f t="shared" si="1"/>
        <v>1</v>
      </c>
      <c r="R688" s="15" t="b">
        <f t="shared" si="2"/>
        <v>0</v>
      </c>
      <c r="S688" s="15" t="str">
        <f t="shared" si="3"/>
        <v>APPROVED</v>
      </c>
    </row>
    <row r="689" ht="15.75" customHeight="1">
      <c r="A689" s="24" t="s">
        <v>1289</v>
      </c>
      <c r="B689" s="25" t="s">
        <v>1276</v>
      </c>
      <c r="C689" s="26">
        <v>45890.0</v>
      </c>
      <c r="D689" s="26">
        <v>45725.0</v>
      </c>
      <c r="E689" s="24" t="s">
        <v>1287</v>
      </c>
      <c r="F689" s="24">
        <v>200.0</v>
      </c>
      <c r="G689" s="27">
        <v>50.0</v>
      </c>
      <c r="H689" s="24" t="s">
        <v>1182</v>
      </c>
      <c r="I689" s="28" t="s">
        <v>23</v>
      </c>
      <c r="J689" s="28" t="s">
        <v>172</v>
      </c>
      <c r="K689" s="28" t="s">
        <v>84</v>
      </c>
      <c r="M689" s="29" t="s">
        <v>1290</v>
      </c>
      <c r="N689" s="135" t="s">
        <v>1291</v>
      </c>
      <c r="O689" s="28" t="s">
        <v>27</v>
      </c>
      <c r="P689" s="24" t="s">
        <v>1182</v>
      </c>
      <c r="Q689" s="14" t="b">
        <f t="shared" si="1"/>
        <v>0</v>
      </c>
      <c r="R689" s="15" t="b">
        <f t="shared" si="2"/>
        <v>0</v>
      </c>
      <c r="S689" s="15" t="str">
        <f t="shared" si="3"/>
        <v>PENDING</v>
      </c>
    </row>
    <row r="690" ht="15.75" customHeight="1">
      <c r="A690" s="24" t="s">
        <v>1289</v>
      </c>
      <c r="B690" s="25" t="s">
        <v>1276</v>
      </c>
      <c r="C690" s="26">
        <v>45890.0</v>
      </c>
      <c r="D690" s="26">
        <v>45725.0</v>
      </c>
      <c r="E690" s="24" t="s">
        <v>1287</v>
      </c>
      <c r="F690" s="24">
        <v>120.0</v>
      </c>
      <c r="G690" s="27">
        <v>50.0</v>
      </c>
      <c r="H690" s="24" t="s">
        <v>1182</v>
      </c>
      <c r="I690" s="28" t="s">
        <v>23</v>
      </c>
      <c r="J690" s="28" t="s">
        <v>172</v>
      </c>
      <c r="K690" s="28" t="s">
        <v>84</v>
      </c>
      <c r="M690" s="29" t="s">
        <v>1290</v>
      </c>
      <c r="N690" s="135" t="s">
        <v>1291</v>
      </c>
      <c r="O690" s="28" t="s">
        <v>27</v>
      </c>
      <c r="P690" s="24" t="s">
        <v>1182</v>
      </c>
      <c r="Q690" s="14" t="b">
        <f t="shared" si="1"/>
        <v>0</v>
      </c>
      <c r="R690" s="15" t="b">
        <f t="shared" si="2"/>
        <v>0</v>
      </c>
      <c r="S690" s="15" t="str">
        <f t="shared" si="3"/>
        <v>PENDING</v>
      </c>
    </row>
    <row r="691" ht="15.75" customHeight="1">
      <c r="A691" s="24" t="s">
        <v>1669</v>
      </c>
      <c r="B691" s="115" t="s">
        <v>1670</v>
      </c>
      <c r="C691" s="26">
        <v>45939.0</v>
      </c>
      <c r="D691" s="26">
        <v>45939.0</v>
      </c>
      <c r="E691" s="24" t="s">
        <v>1287</v>
      </c>
      <c r="F691" s="24">
        <v>80.0</v>
      </c>
      <c r="G691" s="27">
        <v>47.0</v>
      </c>
      <c r="H691" s="24" t="s">
        <v>177</v>
      </c>
      <c r="I691" s="28" t="s">
        <v>23</v>
      </c>
      <c r="J691" s="28" t="s">
        <v>172</v>
      </c>
      <c r="K691" s="28" t="s">
        <v>482</v>
      </c>
      <c r="M691" s="29"/>
      <c r="N691" s="135" t="s">
        <v>1671</v>
      </c>
      <c r="O691" s="28" t="s">
        <v>27</v>
      </c>
      <c r="P691" s="24" t="s">
        <v>177</v>
      </c>
      <c r="Q691" s="14" t="b">
        <f t="shared" si="1"/>
        <v>0</v>
      </c>
      <c r="R691" s="15" t="b">
        <f t="shared" si="2"/>
        <v>0</v>
      </c>
      <c r="S691" s="15" t="str">
        <f t="shared" si="3"/>
        <v>PENDING</v>
      </c>
    </row>
    <row r="692" ht="15.75" customHeight="1">
      <c r="A692" s="24" t="s">
        <v>1669</v>
      </c>
      <c r="B692" s="115" t="s">
        <v>1670</v>
      </c>
      <c r="C692" s="26">
        <v>45939.0</v>
      </c>
      <c r="D692" s="26">
        <v>45939.0</v>
      </c>
      <c r="E692" s="24" t="s">
        <v>21</v>
      </c>
      <c r="F692" s="24">
        <v>240.0</v>
      </c>
      <c r="G692" s="27">
        <v>118.18</v>
      </c>
      <c r="H692" s="24" t="s">
        <v>177</v>
      </c>
      <c r="I692" s="28" t="s">
        <v>23</v>
      </c>
      <c r="J692" s="28" t="s">
        <v>172</v>
      </c>
      <c r="K692" s="28" t="s">
        <v>482</v>
      </c>
      <c r="M692" s="29"/>
      <c r="N692" s="135" t="s">
        <v>1671</v>
      </c>
      <c r="O692" s="28" t="s">
        <v>27</v>
      </c>
      <c r="P692" s="24" t="s">
        <v>177</v>
      </c>
      <c r="Q692" s="14" t="b">
        <f t="shared" si="1"/>
        <v>0</v>
      </c>
      <c r="R692" s="15" t="b">
        <f t="shared" si="2"/>
        <v>0</v>
      </c>
      <c r="S692" s="15" t="str">
        <f t="shared" si="3"/>
        <v>PENDING</v>
      </c>
    </row>
    <row r="693" ht="15.75" customHeight="1">
      <c r="A693" s="24" t="s">
        <v>1672</v>
      </c>
      <c r="B693" s="115" t="s">
        <v>1657</v>
      </c>
      <c r="C693" s="26">
        <v>45938.0</v>
      </c>
      <c r="D693" s="26">
        <v>45938.0</v>
      </c>
      <c r="E693" s="24" t="s">
        <v>21</v>
      </c>
      <c r="F693" s="24">
        <v>24.0</v>
      </c>
      <c r="G693" s="27">
        <v>118.0</v>
      </c>
      <c r="H693" s="24" t="s">
        <v>177</v>
      </c>
      <c r="I693" s="28" t="s">
        <v>23</v>
      </c>
      <c r="J693" s="28" t="s">
        <v>172</v>
      </c>
      <c r="K693" s="28" t="s">
        <v>84</v>
      </c>
      <c r="M693" s="29" t="s">
        <v>1390</v>
      </c>
      <c r="N693" s="25"/>
      <c r="O693" s="28" t="s">
        <v>27</v>
      </c>
      <c r="P693" s="24" t="s">
        <v>177</v>
      </c>
      <c r="Q693" s="14" t="b">
        <f t="shared" si="1"/>
        <v>0</v>
      </c>
      <c r="R693" s="15" t="b">
        <f t="shared" si="2"/>
        <v>0</v>
      </c>
      <c r="S693" s="15" t="str">
        <f t="shared" si="3"/>
        <v>PENDING</v>
      </c>
    </row>
    <row r="694" ht="15.75" customHeight="1">
      <c r="A694" s="24" t="s">
        <v>1672</v>
      </c>
      <c r="B694" s="115" t="s">
        <v>1657</v>
      </c>
      <c r="C694" s="26">
        <v>45938.0</v>
      </c>
      <c r="D694" s="26">
        <v>45939.0</v>
      </c>
      <c r="E694" s="24" t="s">
        <v>1287</v>
      </c>
      <c r="F694" s="24">
        <v>40.0</v>
      </c>
      <c r="G694" s="27">
        <v>49.66</v>
      </c>
      <c r="H694" s="24" t="s">
        <v>177</v>
      </c>
      <c r="I694" s="28" t="s">
        <v>23</v>
      </c>
      <c r="J694" s="28" t="s">
        <v>172</v>
      </c>
      <c r="K694" s="28" t="s">
        <v>84</v>
      </c>
      <c r="M694" s="29" t="s">
        <v>1390</v>
      </c>
      <c r="N694" s="25"/>
      <c r="O694" s="28" t="s">
        <v>27</v>
      </c>
      <c r="P694" s="24" t="s">
        <v>177</v>
      </c>
      <c r="Q694" s="14" t="b">
        <f t="shared" si="1"/>
        <v>0</v>
      </c>
      <c r="R694" s="15" t="b">
        <f t="shared" si="2"/>
        <v>0</v>
      </c>
      <c r="S694" s="15" t="str">
        <f t="shared" si="3"/>
        <v>PENDING</v>
      </c>
    </row>
    <row r="695" ht="15.75" customHeight="1">
      <c r="A695" s="24" t="s">
        <v>1673</v>
      </c>
      <c r="B695" s="25" t="s">
        <v>119</v>
      </c>
      <c r="C695" s="26">
        <v>45938.0</v>
      </c>
      <c r="D695" s="26">
        <v>45879.0</v>
      </c>
      <c r="E695" s="24" t="s">
        <v>21</v>
      </c>
      <c r="F695" s="24">
        <v>120.0</v>
      </c>
      <c r="G695" s="27">
        <v>118.18</v>
      </c>
      <c r="H695" s="24" t="s">
        <v>177</v>
      </c>
      <c r="I695" s="28" t="s">
        <v>23</v>
      </c>
      <c r="J695" s="28" t="s">
        <v>172</v>
      </c>
      <c r="K695" s="28" t="s">
        <v>482</v>
      </c>
      <c r="M695" s="29"/>
      <c r="N695" s="29" t="s">
        <v>1632</v>
      </c>
      <c r="O695" s="28" t="s">
        <v>27</v>
      </c>
      <c r="P695" s="24" t="s">
        <v>177</v>
      </c>
      <c r="Q695" s="14" t="b">
        <f t="shared" si="1"/>
        <v>0</v>
      </c>
      <c r="R695" s="15" t="b">
        <f t="shared" si="2"/>
        <v>0</v>
      </c>
      <c r="S695" s="15" t="str">
        <f t="shared" si="3"/>
        <v>PENDING</v>
      </c>
    </row>
    <row r="696" ht="15.75" customHeight="1">
      <c r="A696" s="24" t="s">
        <v>1673</v>
      </c>
      <c r="B696" s="25" t="s">
        <v>119</v>
      </c>
      <c r="C696" s="26">
        <v>45938.0</v>
      </c>
      <c r="D696" s="26">
        <v>45939.0</v>
      </c>
      <c r="E696" s="24" t="s">
        <v>1287</v>
      </c>
      <c r="F696" s="24">
        <v>40.0</v>
      </c>
      <c r="G696" s="27">
        <v>49.64</v>
      </c>
      <c r="H696" s="24" t="s">
        <v>177</v>
      </c>
      <c r="I696" s="28" t="s">
        <v>23</v>
      </c>
      <c r="J696" s="28" t="s">
        <v>172</v>
      </c>
      <c r="K696" s="28" t="s">
        <v>482</v>
      </c>
      <c r="M696" s="29"/>
      <c r="N696" s="29" t="s">
        <v>1632</v>
      </c>
      <c r="O696" s="28" t="s">
        <v>27</v>
      </c>
      <c r="P696" s="24" t="s">
        <v>177</v>
      </c>
      <c r="Q696" s="14" t="b">
        <f t="shared" si="1"/>
        <v>0</v>
      </c>
      <c r="R696" s="15" t="b">
        <f t="shared" si="2"/>
        <v>0</v>
      </c>
      <c r="S696" s="15" t="str">
        <f t="shared" si="3"/>
        <v>PENDING</v>
      </c>
    </row>
    <row r="697" ht="15.75" customHeight="1">
      <c r="A697" s="7" t="s">
        <v>1674</v>
      </c>
      <c r="B697" s="8" t="s">
        <v>1675</v>
      </c>
      <c r="C697" s="9">
        <v>45939.0</v>
      </c>
      <c r="D697" s="9">
        <v>45939.0</v>
      </c>
      <c r="E697" s="7" t="s">
        <v>1287</v>
      </c>
      <c r="F697" s="7">
        <v>10.0</v>
      </c>
      <c r="G697" s="10"/>
      <c r="H697" s="7" t="s">
        <v>1376</v>
      </c>
      <c r="I697" s="11" t="s">
        <v>23</v>
      </c>
      <c r="J697" s="11" t="s">
        <v>30</v>
      </c>
      <c r="K697" s="7" t="s">
        <v>31</v>
      </c>
      <c r="L697" s="16"/>
      <c r="M697" s="12"/>
      <c r="N697" s="8" t="s">
        <v>32</v>
      </c>
      <c r="O697" s="11" t="s">
        <v>27</v>
      </c>
      <c r="P697" s="7" t="s">
        <v>1376</v>
      </c>
      <c r="Q697" s="14" t="b">
        <f t="shared" si="1"/>
        <v>0</v>
      </c>
      <c r="R697" s="15" t="b">
        <f t="shared" si="2"/>
        <v>0</v>
      </c>
      <c r="S697" s="15" t="str">
        <f t="shared" si="3"/>
        <v>PENDING</v>
      </c>
    </row>
    <row r="698" ht="15.75" customHeight="1">
      <c r="A698" s="24" t="s">
        <v>1676</v>
      </c>
      <c r="B698" s="115" t="s">
        <v>1677</v>
      </c>
      <c r="C698" s="26">
        <v>45939.0</v>
      </c>
      <c r="D698" s="26">
        <v>45940.0</v>
      </c>
      <c r="E698" s="24" t="s">
        <v>1287</v>
      </c>
      <c r="F698" s="24">
        <v>40.0</v>
      </c>
      <c r="G698" s="27">
        <v>49.64</v>
      </c>
      <c r="H698" s="24" t="s">
        <v>1387</v>
      </c>
      <c r="I698" s="28" t="s">
        <v>23</v>
      </c>
      <c r="J698" s="28" t="s">
        <v>172</v>
      </c>
      <c r="K698" s="28" t="s">
        <v>482</v>
      </c>
      <c r="M698" s="29"/>
      <c r="N698" s="25"/>
      <c r="O698" s="28" t="s">
        <v>27</v>
      </c>
      <c r="P698" s="24" t="s">
        <v>1387</v>
      </c>
      <c r="Q698" s="14" t="b">
        <f t="shared" si="1"/>
        <v>0</v>
      </c>
      <c r="R698" s="15" t="b">
        <f t="shared" si="2"/>
        <v>0</v>
      </c>
      <c r="S698" s="15" t="str">
        <f t="shared" si="3"/>
        <v>PENDING</v>
      </c>
    </row>
    <row r="699" ht="15.75" customHeight="1">
      <c r="A699" s="24" t="s">
        <v>1678</v>
      </c>
      <c r="B699" s="115" t="s">
        <v>574</v>
      </c>
      <c r="C699" s="26">
        <v>45939.0</v>
      </c>
      <c r="D699" s="26">
        <v>45940.0</v>
      </c>
      <c r="E699" s="24" t="s">
        <v>1287</v>
      </c>
      <c r="F699" s="24">
        <v>40.0</v>
      </c>
      <c r="G699" s="27">
        <v>49.64</v>
      </c>
      <c r="H699" s="24" t="s">
        <v>1387</v>
      </c>
      <c r="I699" s="28" t="s">
        <v>23</v>
      </c>
      <c r="J699" s="28" t="s">
        <v>172</v>
      </c>
      <c r="K699" s="28" t="s">
        <v>482</v>
      </c>
      <c r="M699" s="29"/>
      <c r="N699" s="25"/>
      <c r="O699" s="28" t="s">
        <v>27</v>
      </c>
      <c r="P699" s="24" t="s">
        <v>1387</v>
      </c>
      <c r="Q699" s="14" t="b">
        <f t="shared" si="1"/>
        <v>0</v>
      </c>
      <c r="R699" s="15" t="b">
        <f t="shared" si="2"/>
        <v>0</v>
      </c>
      <c r="S699" s="15" t="str">
        <f t="shared" si="3"/>
        <v>PENDING</v>
      </c>
    </row>
    <row r="700" ht="15.75" customHeight="1">
      <c r="A700" s="24" t="s">
        <v>1678</v>
      </c>
      <c r="B700" s="115" t="s">
        <v>574</v>
      </c>
      <c r="C700" s="26">
        <v>45939.0</v>
      </c>
      <c r="D700" s="26">
        <v>45940.0</v>
      </c>
      <c r="E700" s="24" t="s">
        <v>21</v>
      </c>
      <c r="F700" s="24">
        <v>48.0</v>
      </c>
      <c r="G700" s="27">
        <v>118.18</v>
      </c>
      <c r="H700" s="24" t="s">
        <v>1387</v>
      </c>
      <c r="I700" s="28" t="s">
        <v>23</v>
      </c>
      <c r="J700" s="28" t="s">
        <v>172</v>
      </c>
      <c r="K700" s="28" t="s">
        <v>482</v>
      </c>
      <c r="M700" s="29"/>
      <c r="N700" s="25"/>
      <c r="O700" s="28" t="s">
        <v>27</v>
      </c>
      <c r="P700" s="24" t="s">
        <v>1387</v>
      </c>
      <c r="Q700" s="14" t="b">
        <f t="shared" si="1"/>
        <v>0</v>
      </c>
      <c r="R700" s="15" t="b">
        <f t="shared" si="2"/>
        <v>0</v>
      </c>
      <c r="S700" s="15" t="str">
        <f t="shared" si="3"/>
        <v>PENDING</v>
      </c>
    </row>
    <row r="701" ht="15.75" customHeight="1">
      <c r="A701" s="24" t="s">
        <v>1679</v>
      </c>
      <c r="B701" s="115" t="s">
        <v>1680</v>
      </c>
      <c r="C701" s="26">
        <v>45939.0</v>
      </c>
      <c r="D701" s="26">
        <v>45940.0</v>
      </c>
      <c r="E701" s="24" t="s">
        <v>21</v>
      </c>
      <c r="F701" s="24">
        <v>24.0</v>
      </c>
      <c r="G701" s="27">
        <v>118.18</v>
      </c>
      <c r="H701" s="24" t="s">
        <v>1387</v>
      </c>
      <c r="I701" s="28" t="s">
        <v>23</v>
      </c>
      <c r="J701" s="28" t="s">
        <v>172</v>
      </c>
      <c r="K701" s="28" t="s">
        <v>49</v>
      </c>
      <c r="M701" s="29"/>
      <c r="N701" s="25"/>
      <c r="O701" s="28" t="s">
        <v>27</v>
      </c>
      <c r="P701" s="24" t="s">
        <v>1387</v>
      </c>
      <c r="Q701" s="14" t="b">
        <f t="shared" si="1"/>
        <v>0</v>
      </c>
      <c r="R701" s="15" t="b">
        <f t="shared" si="2"/>
        <v>0</v>
      </c>
      <c r="S701" s="15" t="str">
        <f t="shared" si="3"/>
        <v>PENDING</v>
      </c>
    </row>
    <row r="702" ht="15.75" customHeight="1">
      <c r="A702" s="24" t="s">
        <v>1681</v>
      </c>
      <c r="B702" s="115" t="s">
        <v>995</v>
      </c>
      <c r="C702" s="26">
        <v>45940.0</v>
      </c>
      <c r="D702" s="26">
        <v>45940.0</v>
      </c>
      <c r="E702" s="24" t="s">
        <v>21</v>
      </c>
      <c r="F702" s="24">
        <v>240.0</v>
      </c>
      <c r="G702" s="27">
        <v>105.0</v>
      </c>
      <c r="H702" s="24" t="s">
        <v>715</v>
      </c>
      <c r="I702" s="28" t="s">
        <v>23</v>
      </c>
      <c r="J702" s="28" t="s">
        <v>172</v>
      </c>
      <c r="K702" s="28" t="s">
        <v>49</v>
      </c>
      <c r="M702" s="29"/>
      <c r="N702" s="25"/>
      <c r="O702" s="28" t="s">
        <v>27</v>
      </c>
      <c r="P702" s="24" t="s">
        <v>715</v>
      </c>
      <c r="Q702" s="14" t="b">
        <f t="shared" si="1"/>
        <v>0</v>
      </c>
      <c r="R702" s="15" t="b">
        <f t="shared" si="2"/>
        <v>0</v>
      </c>
      <c r="S702" s="15" t="str">
        <f t="shared" si="3"/>
        <v>PENDING</v>
      </c>
    </row>
    <row r="703" ht="15.75" customHeight="1">
      <c r="A703" s="24" t="s">
        <v>1681</v>
      </c>
      <c r="B703" s="115" t="s">
        <v>995</v>
      </c>
      <c r="C703" s="26">
        <v>45940.0</v>
      </c>
      <c r="D703" s="26">
        <v>45940.0</v>
      </c>
      <c r="E703" s="24" t="s">
        <v>1287</v>
      </c>
      <c r="F703" s="24">
        <v>200.0</v>
      </c>
      <c r="G703" s="27">
        <v>50.0</v>
      </c>
      <c r="H703" s="24" t="s">
        <v>715</v>
      </c>
      <c r="I703" s="28" t="s">
        <v>23</v>
      </c>
      <c r="J703" s="28" t="s">
        <v>172</v>
      </c>
      <c r="K703" s="28" t="s">
        <v>49</v>
      </c>
      <c r="M703" s="29"/>
      <c r="N703" s="25"/>
      <c r="O703" s="28" t="s">
        <v>27</v>
      </c>
      <c r="P703" s="24" t="s">
        <v>715</v>
      </c>
      <c r="Q703" s="14" t="b">
        <f t="shared" si="1"/>
        <v>0</v>
      </c>
      <c r="R703" s="15" t="b">
        <f t="shared" si="2"/>
        <v>0</v>
      </c>
      <c r="S703" s="15" t="str">
        <f t="shared" si="3"/>
        <v>PENDING</v>
      </c>
    </row>
    <row r="704" ht="15.75" customHeight="1">
      <c r="A704" s="24" t="s">
        <v>1682</v>
      </c>
      <c r="B704" s="128" t="s">
        <v>1683</v>
      </c>
      <c r="C704" s="26">
        <v>45940.0</v>
      </c>
      <c r="D704" s="26">
        <v>45940.0</v>
      </c>
      <c r="E704" s="24" t="s">
        <v>1287</v>
      </c>
      <c r="F704" s="24">
        <v>20.0</v>
      </c>
      <c r="G704" s="27">
        <v>49.64</v>
      </c>
      <c r="H704" s="24" t="s">
        <v>1387</v>
      </c>
      <c r="I704" s="28" t="s">
        <v>23</v>
      </c>
      <c r="J704" s="28" t="s">
        <v>172</v>
      </c>
      <c r="K704" s="28" t="s">
        <v>84</v>
      </c>
      <c r="M704" s="29" t="s">
        <v>1684</v>
      </c>
      <c r="N704" s="25"/>
      <c r="O704" s="28" t="s">
        <v>27</v>
      </c>
      <c r="P704" s="24" t="s">
        <v>1387</v>
      </c>
      <c r="Q704" s="14" t="b">
        <f t="shared" si="1"/>
        <v>0</v>
      </c>
      <c r="R704" s="15" t="b">
        <f t="shared" si="2"/>
        <v>0</v>
      </c>
      <c r="S704" s="15" t="str">
        <f t="shared" si="3"/>
        <v>PENDING</v>
      </c>
    </row>
    <row r="705" ht="15.75" customHeight="1">
      <c r="A705" s="24" t="s">
        <v>1685</v>
      </c>
      <c r="B705" s="115" t="s">
        <v>1686</v>
      </c>
      <c r="C705" s="26">
        <v>45940.0</v>
      </c>
      <c r="D705" s="26">
        <v>45940.0</v>
      </c>
      <c r="E705" s="24" t="s">
        <v>1287</v>
      </c>
      <c r="F705" s="24">
        <v>20.0</v>
      </c>
      <c r="G705" s="27">
        <v>49.64</v>
      </c>
      <c r="H705" s="24" t="s">
        <v>1387</v>
      </c>
      <c r="I705" s="28" t="s">
        <v>23</v>
      </c>
      <c r="J705" s="28" t="s">
        <v>172</v>
      </c>
      <c r="K705" s="28" t="s">
        <v>482</v>
      </c>
      <c r="M705" s="29"/>
      <c r="N705" s="25"/>
      <c r="O705" s="28" t="s">
        <v>27</v>
      </c>
      <c r="P705" s="24" t="s">
        <v>1387</v>
      </c>
      <c r="Q705" s="14" t="b">
        <f t="shared" si="1"/>
        <v>0</v>
      </c>
      <c r="R705" s="15" t="b">
        <f t="shared" si="2"/>
        <v>0</v>
      </c>
      <c r="S705" s="15" t="str">
        <f t="shared" si="3"/>
        <v>PENDING</v>
      </c>
    </row>
    <row r="706" ht="15.75" customHeight="1">
      <c r="A706" s="24" t="s">
        <v>1687</v>
      </c>
      <c r="B706" s="25" t="s">
        <v>1111</v>
      </c>
      <c r="C706" s="26">
        <v>45940.0</v>
      </c>
      <c r="D706" s="26">
        <v>45940.0</v>
      </c>
      <c r="E706" s="24" t="s">
        <v>1287</v>
      </c>
      <c r="F706" s="24">
        <v>40.0</v>
      </c>
      <c r="G706" s="27">
        <v>47.0</v>
      </c>
      <c r="H706" s="24" t="s">
        <v>177</v>
      </c>
      <c r="I706" s="28" t="s">
        <v>23</v>
      </c>
      <c r="J706" s="28" t="s">
        <v>172</v>
      </c>
      <c r="K706" s="28" t="s">
        <v>482</v>
      </c>
      <c r="M706" s="29"/>
      <c r="N706" s="25"/>
      <c r="O706" s="28" t="s">
        <v>27</v>
      </c>
      <c r="P706" s="24" t="s">
        <v>177</v>
      </c>
      <c r="Q706" s="14" t="b">
        <f t="shared" si="1"/>
        <v>0</v>
      </c>
      <c r="R706" s="15" t="b">
        <f t="shared" si="2"/>
        <v>0</v>
      </c>
      <c r="S706" s="15" t="str">
        <f t="shared" si="3"/>
        <v>PENDING</v>
      </c>
    </row>
    <row r="707" ht="15.75" customHeight="1">
      <c r="A707" s="24" t="s">
        <v>1688</v>
      </c>
      <c r="B707" s="115" t="s">
        <v>1689</v>
      </c>
      <c r="C707" s="26">
        <v>45940.0</v>
      </c>
      <c r="D707" s="26">
        <v>45940.0</v>
      </c>
      <c r="E707" s="24" t="s">
        <v>1287</v>
      </c>
      <c r="F707" s="24">
        <v>40.0</v>
      </c>
      <c r="G707" s="27">
        <v>49.64</v>
      </c>
      <c r="H707" s="24" t="s">
        <v>1376</v>
      </c>
      <c r="I707" s="28" t="s">
        <v>23</v>
      </c>
      <c r="J707" s="28" t="s">
        <v>172</v>
      </c>
      <c r="K707" s="28" t="s">
        <v>84</v>
      </c>
      <c r="M707" s="29" t="s">
        <v>1690</v>
      </c>
      <c r="N707" s="25"/>
      <c r="O707" s="28" t="s">
        <v>27</v>
      </c>
      <c r="P707" s="24" t="s">
        <v>1376</v>
      </c>
      <c r="Q707" s="14" t="b">
        <f t="shared" si="1"/>
        <v>0</v>
      </c>
      <c r="R707" s="15" t="b">
        <f t="shared" si="2"/>
        <v>0</v>
      </c>
      <c r="S707" s="15" t="str">
        <f t="shared" si="3"/>
        <v>PENDING</v>
      </c>
    </row>
    <row r="708" ht="15.75" customHeight="1">
      <c r="A708" s="24" t="s">
        <v>1691</v>
      </c>
      <c r="B708" s="115" t="s">
        <v>1692</v>
      </c>
      <c r="C708" s="26">
        <v>45940.0</v>
      </c>
      <c r="D708" s="26">
        <v>45940.0</v>
      </c>
      <c r="E708" s="24" t="s">
        <v>1287</v>
      </c>
      <c r="F708" s="24">
        <v>40.0</v>
      </c>
      <c r="G708" s="27">
        <v>49.64</v>
      </c>
      <c r="H708" s="24" t="s">
        <v>1376</v>
      </c>
      <c r="I708" s="28" t="s">
        <v>23</v>
      </c>
      <c r="J708" s="28" t="s">
        <v>172</v>
      </c>
      <c r="K708" s="28" t="s">
        <v>482</v>
      </c>
      <c r="M708" s="29"/>
      <c r="N708" s="25"/>
      <c r="O708" s="28" t="s">
        <v>27</v>
      </c>
      <c r="P708" s="24" t="s">
        <v>1376</v>
      </c>
      <c r="Q708" s="14" t="b">
        <f t="shared" si="1"/>
        <v>0</v>
      </c>
      <c r="R708" s="15" t="b">
        <f t="shared" si="2"/>
        <v>0</v>
      </c>
      <c r="S708" s="15" t="str">
        <f t="shared" si="3"/>
        <v>PENDING</v>
      </c>
    </row>
    <row r="709" ht="15.75" customHeight="1">
      <c r="A709" s="7" t="s">
        <v>1693</v>
      </c>
      <c r="B709" s="8" t="s">
        <v>1675</v>
      </c>
      <c r="C709" s="9">
        <v>45940.0</v>
      </c>
      <c r="D709" s="9">
        <v>45940.0</v>
      </c>
      <c r="E709" s="7" t="s">
        <v>1287</v>
      </c>
      <c r="F709" s="7">
        <v>10.0</v>
      </c>
      <c r="G709" s="10"/>
      <c r="H709" s="7"/>
      <c r="I709" s="11" t="s">
        <v>23</v>
      </c>
      <c r="J709" s="11" t="s">
        <v>30</v>
      </c>
      <c r="K709" s="7" t="s">
        <v>31</v>
      </c>
      <c r="L709" s="16"/>
      <c r="M709" s="12"/>
      <c r="N709" s="8" t="s">
        <v>914</v>
      </c>
      <c r="O709" s="11" t="s">
        <v>27</v>
      </c>
      <c r="P709" s="7"/>
      <c r="Q709" s="14" t="b">
        <f t="shared" si="1"/>
        <v>0</v>
      </c>
      <c r="R709" s="15" t="b">
        <f t="shared" si="2"/>
        <v>0</v>
      </c>
      <c r="S709" s="15" t="str">
        <f t="shared" si="3"/>
        <v>PENDING</v>
      </c>
    </row>
    <row r="710" ht="15.75" customHeight="1">
      <c r="A710" s="7" t="s">
        <v>1694</v>
      </c>
      <c r="B710" s="8" t="s">
        <v>1695</v>
      </c>
      <c r="C710" s="9">
        <v>45940.0</v>
      </c>
      <c r="D710" s="9">
        <v>45940.0</v>
      </c>
      <c r="E710" s="7" t="s">
        <v>1287</v>
      </c>
      <c r="F710" s="7">
        <v>4.0</v>
      </c>
      <c r="G710" s="10"/>
      <c r="H710" s="7"/>
      <c r="I710" s="11" t="s">
        <v>23</v>
      </c>
      <c r="J710" s="11" t="s">
        <v>30</v>
      </c>
      <c r="K710" s="7" t="s">
        <v>31</v>
      </c>
      <c r="L710" s="16"/>
      <c r="M710" s="12"/>
      <c r="N710" s="8" t="s">
        <v>914</v>
      </c>
      <c r="O710" s="11" t="s">
        <v>27</v>
      </c>
      <c r="P710" s="7"/>
      <c r="Q710" s="14" t="b">
        <f t="shared" si="1"/>
        <v>0</v>
      </c>
      <c r="R710" s="15" t="b">
        <f t="shared" si="2"/>
        <v>0</v>
      </c>
      <c r="S710" s="15" t="str">
        <f t="shared" si="3"/>
        <v>PENDING</v>
      </c>
    </row>
    <row r="711" ht="15.75" customHeight="1">
      <c r="A711" s="24" t="s">
        <v>1696</v>
      </c>
      <c r="B711" s="25" t="s">
        <v>539</v>
      </c>
      <c r="C711" s="26">
        <v>45941.0</v>
      </c>
      <c r="D711" s="26">
        <v>45941.0</v>
      </c>
      <c r="E711" s="24" t="s">
        <v>1287</v>
      </c>
      <c r="F711" s="24">
        <v>40.0</v>
      </c>
      <c r="G711" s="27">
        <v>49.64</v>
      </c>
      <c r="H711" s="24" t="s">
        <v>177</v>
      </c>
      <c r="I711" s="28" t="s">
        <v>23</v>
      </c>
      <c r="J711" s="28" t="s">
        <v>172</v>
      </c>
      <c r="K711" s="28" t="s">
        <v>482</v>
      </c>
      <c r="M711" s="29"/>
      <c r="N711" s="25"/>
      <c r="O711" s="28" t="s">
        <v>27</v>
      </c>
      <c r="P711" s="24" t="s">
        <v>177</v>
      </c>
      <c r="Q711" s="14" t="b">
        <f t="shared" si="1"/>
        <v>0</v>
      </c>
      <c r="R711" s="15" t="b">
        <f t="shared" si="2"/>
        <v>0</v>
      </c>
      <c r="S711" s="15" t="str">
        <f t="shared" si="3"/>
        <v>PENDING</v>
      </c>
    </row>
    <row r="712" ht="15.75" customHeight="1">
      <c r="A712" s="24" t="s">
        <v>1697</v>
      </c>
      <c r="B712" s="115" t="s">
        <v>1328</v>
      </c>
      <c r="C712" s="26">
        <v>45941.0</v>
      </c>
      <c r="D712" s="26">
        <v>45941.0</v>
      </c>
      <c r="E712" s="24" t="s">
        <v>21</v>
      </c>
      <c r="F712" s="24">
        <v>24.0</v>
      </c>
      <c r="G712" s="27">
        <v>118.18</v>
      </c>
      <c r="H712" s="24" t="s">
        <v>177</v>
      </c>
      <c r="I712" s="28" t="s">
        <v>23</v>
      </c>
      <c r="J712" s="28" t="s">
        <v>172</v>
      </c>
      <c r="K712" s="28" t="s">
        <v>482</v>
      </c>
      <c r="M712" s="29"/>
      <c r="N712" s="25"/>
      <c r="O712" s="28" t="s">
        <v>27</v>
      </c>
      <c r="P712" s="24" t="s">
        <v>177</v>
      </c>
      <c r="Q712" s="14" t="b">
        <f t="shared" si="1"/>
        <v>0</v>
      </c>
      <c r="R712" s="15" t="b">
        <f t="shared" si="2"/>
        <v>0</v>
      </c>
      <c r="S712" s="15" t="str">
        <f t="shared" si="3"/>
        <v>PENDING</v>
      </c>
    </row>
    <row r="713" ht="15.75" customHeight="1">
      <c r="A713" s="24" t="s">
        <v>1697</v>
      </c>
      <c r="B713" s="115" t="s">
        <v>1328</v>
      </c>
      <c r="C713" s="26">
        <v>45941.0</v>
      </c>
      <c r="D713" s="26">
        <v>45941.0</v>
      </c>
      <c r="E713" s="24" t="s">
        <v>1287</v>
      </c>
      <c r="F713" s="24">
        <v>40.0</v>
      </c>
      <c r="G713" s="27">
        <v>49.64</v>
      </c>
      <c r="H713" s="24" t="s">
        <v>177</v>
      </c>
      <c r="I713" s="28" t="s">
        <v>23</v>
      </c>
      <c r="J713" s="28" t="s">
        <v>172</v>
      </c>
      <c r="K713" s="28" t="s">
        <v>482</v>
      </c>
      <c r="M713" s="29"/>
      <c r="N713" s="25"/>
      <c r="O713" s="28" t="s">
        <v>27</v>
      </c>
      <c r="P713" s="24" t="s">
        <v>177</v>
      </c>
      <c r="Q713" s="14" t="b">
        <f t="shared" si="1"/>
        <v>0</v>
      </c>
      <c r="R713" s="15" t="b">
        <f t="shared" si="2"/>
        <v>0</v>
      </c>
      <c r="S713" s="15" t="str">
        <f t="shared" si="3"/>
        <v>PENDING</v>
      </c>
    </row>
    <row r="714" ht="15.75" customHeight="1">
      <c r="A714" s="7" t="s">
        <v>1698</v>
      </c>
      <c r="B714" s="8" t="s">
        <v>222</v>
      </c>
      <c r="C714" s="9">
        <v>45941.0</v>
      </c>
      <c r="D714" s="9">
        <v>45941.0</v>
      </c>
      <c r="E714" s="7" t="s">
        <v>21</v>
      </c>
      <c r="F714" s="7">
        <v>12.0</v>
      </c>
      <c r="G714" s="10"/>
      <c r="H714" s="7"/>
      <c r="I714" s="11" t="s">
        <v>23</v>
      </c>
      <c r="J714" s="11" t="s">
        <v>30</v>
      </c>
      <c r="K714" s="7" t="s">
        <v>31</v>
      </c>
      <c r="L714" s="16"/>
      <c r="M714" s="12"/>
      <c r="N714" s="8" t="s">
        <v>914</v>
      </c>
      <c r="O714" s="11" t="s">
        <v>27</v>
      </c>
      <c r="P714" s="7"/>
      <c r="Q714" s="14" t="b">
        <f t="shared" si="1"/>
        <v>0</v>
      </c>
      <c r="R714" s="15" t="b">
        <f t="shared" si="2"/>
        <v>0</v>
      </c>
      <c r="S714" s="15" t="str">
        <f t="shared" si="3"/>
        <v>PENDING</v>
      </c>
    </row>
    <row r="715" ht="15.75" customHeight="1">
      <c r="A715" s="7" t="s">
        <v>1698</v>
      </c>
      <c r="B715" s="8" t="s">
        <v>222</v>
      </c>
      <c r="C715" s="9">
        <v>45941.0</v>
      </c>
      <c r="D715" s="9">
        <v>45941.0</v>
      </c>
      <c r="E715" s="7" t="s">
        <v>1287</v>
      </c>
      <c r="F715" s="7">
        <v>10.0</v>
      </c>
      <c r="G715" s="10"/>
      <c r="H715" s="7"/>
      <c r="I715" s="11" t="s">
        <v>23</v>
      </c>
      <c r="J715" s="11" t="s">
        <v>30</v>
      </c>
      <c r="K715" s="7" t="s">
        <v>31</v>
      </c>
      <c r="L715" s="16"/>
      <c r="M715" s="12"/>
      <c r="N715" s="8" t="s">
        <v>914</v>
      </c>
      <c r="O715" s="11" t="s">
        <v>27</v>
      </c>
      <c r="P715" s="7"/>
      <c r="Q715" s="14" t="b">
        <f t="shared" si="1"/>
        <v>0</v>
      </c>
      <c r="R715" s="15" t="b">
        <f t="shared" si="2"/>
        <v>0</v>
      </c>
      <c r="S715" s="15" t="str">
        <f t="shared" si="3"/>
        <v>PENDING</v>
      </c>
    </row>
    <row r="716" ht="15.75" customHeight="1">
      <c r="A716" s="7" t="s">
        <v>1699</v>
      </c>
      <c r="B716" s="8" t="s">
        <v>38</v>
      </c>
      <c r="C716" s="9">
        <v>45941.0</v>
      </c>
      <c r="D716" s="9">
        <v>45941.0</v>
      </c>
      <c r="E716" s="7" t="s">
        <v>21</v>
      </c>
      <c r="F716" s="7">
        <v>1.0</v>
      </c>
      <c r="G716" s="10"/>
      <c r="H716" s="7"/>
      <c r="I716" s="11" t="s">
        <v>23</v>
      </c>
      <c r="J716" s="11" t="s">
        <v>30</v>
      </c>
      <c r="K716" s="7" t="s">
        <v>31</v>
      </c>
      <c r="L716" s="16"/>
      <c r="M716" s="12"/>
      <c r="N716" s="8" t="s">
        <v>914</v>
      </c>
      <c r="O716" s="11" t="s">
        <v>27</v>
      </c>
      <c r="P716" s="7"/>
      <c r="Q716" s="14" t="b">
        <f t="shared" si="1"/>
        <v>0</v>
      </c>
      <c r="R716" s="15" t="b">
        <f t="shared" si="2"/>
        <v>0</v>
      </c>
      <c r="S716" s="15" t="str">
        <f t="shared" si="3"/>
        <v>PENDING</v>
      </c>
    </row>
    <row r="717" ht="15.75" customHeight="1">
      <c r="A717" s="7" t="s">
        <v>1699</v>
      </c>
      <c r="B717" s="8" t="s">
        <v>38</v>
      </c>
      <c r="C717" s="9">
        <v>45941.0</v>
      </c>
      <c r="D717" s="9">
        <v>45941.0</v>
      </c>
      <c r="E717" s="7" t="s">
        <v>1287</v>
      </c>
      <c r="F717" s="7">
        <v>1.0</v>
      </c>
      <c r="G717" s="10"/>
      <c r="H717" s="7"/>
      <c r="I717" s="11" t="s">
        <v>23</v>
      </c>
      <c r="J717" s="11" t="s">
        <v>30</v>
      </c>
      <c r="K717" s="7" t="s">
        <v>31</v>
      </c>
      <c r="L717" s="16"/>
      <c r="M717" s="12"/>
      <c r="N717" s="8" t="s">
        <v>914</v>
      </c>
      <c r="O717" s="11" t="s">
        <v>27</v>
      </c>
      <c r="P717" s="7"/>
      <c r="Q717" s="14" t="b">
        <f t="shared" si="1"/>
        <v>0</v>
      </c>
      <c r="R717" s="15" t="b">
        <f t="shared" si="2"/>
        <v>0</v>
      </c>
      <c r="S717" s="15" t="str">
        <f t="shared" si="3"/>
        <v>PENDING</v>
      </c>
    </row>
    <row r="718" ht="15.75" customHeight="1">
      <c r="A718" s="7" t="s">
        <v>1700</v>
      </c>
      <c r="B718" s="8" t="s">
        <v>222</v>
      </c>
      <c r="C718" s="9">
        <v>45943.0</v>
      </c>
      <c r="D718" s="9">
        <v>45943.0</v>
      </c>
      <c r="E718" s="7" t="s">
        <v>21</v>
      </c>
      <c r="F718" s="7">
        <v>5.0</v>
      </c>
      <c r="G718" s="10"/>
      <c r="H718" s="7"/>
      <c r="I718" s="11" t="s">
        <v>23</v>
      </c>
      <c r="J718" s="11" t="s">
        <v>30</v>
      </c>
      <c r="K718" s="7" t="s">
        <v>31</v>
      </c>
      <c r="L718" s="16"/>
      <c r="M718" s="12"/>
      <c r="N718" s="8" t="s">
        <v>914</v>
      </c>
      <c r="O718" s="11" t="s">
        <v>27</v>
      </c>
      <c r="P718" s="7"/>
      <c r="Q718" s="14" t="b">
        <f t="shared" si="1"/>
        <v>0</v>
      </c>
      <c r="R718" s="15" t="b">
        <f t="shared" si="2"/>
        <v>0</v>
      </c>
      <c r="S718" s="15" t="str">
        <f t="shared" si="3"/>
        <v>PENDING</v>
      </c>
    </row>
    <row r="719" ht="15.75" customHeight="1">
      <c r="A719" s="7" t="s">
        <v>1700</v>
      </c>
      <c r="B719" s="8" t="s">
        <v>222</v>
      </c>
      <c r="C719" s="9">
        <v>45943.0</v>
      </c>
      <c r="D719" s="9">
        <v>45943.0</v>
      </c>
      <c r="E719" s="7" t="s">
        <v>1287</v>
      </c>
      <c r="F719" s="7">
        <v>5.0</v>
      </c>
      <c r="G719" s="10"/>
      <c r="H719" s="7"/>
      <c r="I719" s="11" t="s">
        <v>23</v>
      </c>
      <c r="J719" s="11" t="s">
        <v>30</v>
      </c>
      <c r="K719" s="7" t="s">
        <v>31</v>
      </c>
      <c r="L719" s="16"/>
      <c r="M719" s="12"/>
      <c r="N719" s="8" t="s">
        <v>914</v>
      </c>
      <c r="O719" s="11" t="s">
        <v>27</v>
      </c>
      <c r="P719" s="7"/>
      <c r="Q719" s="14" t="b">
        <f t="shared" si="1"/>
        <v>0</v>
      </c>
      <c r="R719" s="15" t="b">
        <f t="shared" si="2"/>
        <v>0</v>
      </c>
      <c r="S719" s="15" t="str">
        <f t="shared" si="3"/>
        <v>PENDING</v>
      </c>
    </row>
    <row r="720" ht="15.75" customHeight="1">
      <c r="A720" s="7" t="s">
        <v>1701</v>
      </c>
      <c r="B720" s="8" t="s">
        <v>1556</v>
      </c>
      <c r="C720" s="9">
        <v>45943.0</v>
      </c>
      <c r="D720" s="9">
        <v>45944.0</v>
      </c>
      <c r="E720" s="7" t="s">
        <v>21</v>
      </c>
      <c r="F720" s="7">
        <v>5.0</v>
      </c>
      <c r="G720" s="10">
        <v>155.0</v>
      </c>
      <c r="H720" s="7" t="s">
        <v>22</v>
      </c>
      <c r="I720" s="11" t="s">
        <v>23</v>
      </c>
      <c r="J720" s="11" t="s">
        <v>30</v>
      </c>
      <c r="K720" s="11" t="s">
        <v>25</v>
      </c>
      <c r="L720" s="16"/>
      <c r="M720" s="12" t="s">
        <v>1702</v>
      </c>
      <c r="N720" s="8"/>
      <c r="O720" s="11" t="s">
        <v>27</v>
      </c>
      <c r="P720" s="7" t="s">
        <v>22</v>
      </c>
      <c r="Q720" s="14" t="b">
        <f t="shared" si="1"/>
        <v>1</v>
      </c>
      <c r="R720" s="15" t="b">
        <f t="shared" si="2"/>
        <v>0</v>
      </c>
      <c r="S720" s="15" t="str">
        <f t="shared" si="3"/>
        <v>APPROVED</v>
      </c>
    </row>
    <row r="721" ht="15.75" customHeight="1">
      <c r="A721" s="24" t="s">
        <v>1703</v>
      </c>
      <c r="B721" s="115" t="s">
        <v>1704</v>
      </c>
      <c r="C721" s="26">
        <v>45951.0</v>
      </c>
      <c r="D721" s="26">
        <v>45951.0</v>
      </c>
      <c r="E721" s="24" t="s">
        <v>1287</v>
      </c>
      <c r="F721" s="24">
        <v>40.0</v>
      </c>
      <c r="G721" s="27">
        <v>49.64</v>
      </c>
      <c r="H721" s="24" t="s">
        <v>1376</v>
      </c>
      <c r="I721" s="28" t="s">
        <v>23</v>
      </c>
      <c r="J721" s="28" t="s">
        <v>172</v>
      </c>
      <c r="K721" s="28" t="s">
        <v>84</v>
      </c>
      <c r="M721" s="29" t="s">
        <v>1705</v>
      </c>
      <c r="N721" s="25"/>
      <c r="O721" s="28" t="s">
        <v>27</v>
      </c>
      <c r="P721" s="24" t="s">
        <v>1376</v>
      </c>
      <c r="Q721" s="14" t="b">
        <f t="shared" si="1"/>
        <v>0</v>
      </c>
      <c r="R721" s="15" t="b">
        <f t="shared" si="2"/>
        <v>0</v>
      </c>
      <c r="S721" s="15" t="str">
        <f t="shared" si="3"/>
        <v>PENDING</v>
      </c>
    </row>
    <row r="722" ht="15.75" customHeight="1">
      <c r="A722" s="24" t="s">
        <v>1706</v>
      </c>
      <c r="B722" s="115" t="s">
        <v>1031</v>
      </c>
      <c r="C722" s="26">
        <v>45943.0</v>
      </c>
      <c r="D722" s="26">
        <v>45945.0</v>
      </c>
      <c r="E722" s="24" t="s">
        <v>21</v>
      </c>
      <c r="F722" s="24">
        <v>72.0</v>
      </c>
      <c r="G722" s="27">
        <v>119.0</v>
      </c>
      <c r="H722" s="24" t="s">
        <v>744</v>
      </c>
      <c r="I722" s="28" t="s">
        <v>23</v>
      </c>
      <c r="J722" s="28" t="s">
        <v>172</v>
      </c>
      <c r="K722" s="28" t="s">
        <v>482</v>
      </c>
      <c r="M722" s="29"/>
      <c r="N722" s="25"/>
      <c r="O722" s="28" t="s">
        <v>27</v>
      </c>
      <c r="P722" s="24" t="s">
        <v>744</v>
      </c>
      <c r="Q722" s="14" t="b">
        <f t="shared" si="1"/>
        <v>0</v>
      </c>
      <c r="R722" s="15" t="b">
        <f t="shared" si="2"/>
        <v>0</v>
      </c>
      <c r="S722" s="15" t="str">
        <f t="shared" si="3"/>
        <v>PENDING</v>
      </c>
    </row>
    <row r="723" ht="15.75" customHeight="1">
      <c r="A723" s="24" t="s">
        <v>1707</v>
      </c>
      <c r="B723" s="115" t="s">
        <v>1708</v>
      </c>
      <c r="C723" s="26">
        <v>45951.0</v>
      </c>
      <c r="D723" s="26">
        <v>45951.0</v>
      </c>
      <c r="E723" s="24" t="s">
        <v>21</v>
      </c>
      <c r="F723" s="24">
        <v>24.0</v>
      </c>
      <c r="G723" s="27">
        <v>118.0</v>
      </c>
      <c r="H723" s="24" t="s">
        <v>177</v>
      </c>
      <c r="I723" s="28" t="s">
        <v>23</v>
      </c>
      <c r="J723" s="28" t="s">
        <v>172</v>
      </c>
      <c r="K723" s="28" t="s">
        <v>482</v>
      </c>
      <c r="M723" s="29"/>
      <c r="N723" s="25"/>
      <c r="O723" s="28" t="s">
        <v>27</v>
      </c>
      <c r="P723" s="24" t="s">
        <v>177</v>
      </c>
      <c r="Q723" s="14" t="b">
        <f t="shared" si="1"/>
        <v>0</v>
      </c>
      <c r="R723" s="15" t="b">
        <f t="shared" si="2"/>
        <v>0</v>
      </c>
      <c r="S723" s="15" t="str">
        <f t="shared" si="3"/>
        <v>PENDING</v>
      </c>
    </row>
    <row r="724" ht="15.75" customHeight="1">
      <c r="A724" s="24" t="s">
        <v>1707</v>
      </c>
      <c r="B724" s="115" t="s">
        <v>1708</v>
      </c>
      <c r="C724" s="26">
        <v>45951.0</v>
      </c>
      <c r="D724" s="26">
        <v>45951.0</v>
      </c>
      <c r="E724" s="24" t="s">
        <v>1287</v>
      </c>
      <c r="F724" s="24">
        <v>20.0</v>
      </c>
      <c r="G724" s="27">
        <v>49.64</v>
      </c>
      <c r="H724" s="24" t="s">
        <v>177</v>
      </c>
      <c r="I724" s="28" t="s">
        <v>23</v>
      </c>
      <c r="J724" s="28" t="s">
        <v>172</v>
      </c>
      <c r="K724" s="28" t="s">
        <v>482</v>
      </c>
      <c r="M724" s="29"/>
      <c r="N724" s="25"/>
      <c r="O724" s="28" t="s">
        <v>27</v>
      </c>
      <c r="P724" s="24" t="s">
        <v>177</v>
      </c>
      <c r="Q724" s="14" t="b">
        <f t="shared" si="1"/>
        <v>0</v>
      </c>
      <c r="R724" s="15" t="b">
        <f t="shared" si="2"/>
        <v>0</v>
      </c>
      <c r="S724" s="15" t="str">
        <f t="shared" si="3"/>
        <v>PENDING</v>
      </c>
    </row>
    <row r="725" ht="15.75" customHeight="1">
      <c r="A725" s="24" t="s">
        <v>1709</v>
      </c>
      <c r="B725" s="115" t="s">
        <v>1710</v>
      </c>
      <c r="C725" s="26">
        <v>45943.0</v>
      </c>
      <c r="D725" s="26">
        <v>45945.0</v>
      </c>
      <c r="E725" s="24" t="s">
        <v>21</v>
      </c>
      <c r="F725" s="24">
        <v>24.0</v>
      </c>
      <c r="G725" s="27">
        <v>119.0</v>
      </c>
      <c r="H725" s="24" t="s">
        <v>744</v>
      </c>
      <c r="I725" s="28" t="s">
        <v>23</v>
      </c>
      <c r="J725" s="28" t="s">
        <v>172</v>
      </c>
      <c r="K725" s="28" t="s">
        <v>482</v>
      </c>
      <c r="M725" s="29"/>
      <c r="N725" s="25"/>
      <c r="O725" s="28" t="s">
        <v>27</v>
      </c>
      <c r="P725" s="24" t="s">
        <v>744</v>
      </c>
      <c r="Q725" s="14" t="b">
        <f t="shared" si="1"/>
        <v>0</v>
      </c>
      <c r="R725" s="15" t="b">
        <f t="shared" si="2"/>
        <v>0</v>
      </c>
      <c r="S725" s="15" t="str">
        <f t="shared" si="3"/>
        <v>PENDING</v>
      </c>
    </row>
    <row r="726" ht="15.75" customHeight="1">
      <c r="A726" s="24" t="s">
        <v>1709</v>
      </c>
      <c r="B726" s="115" t="s">
        <v>1710</v>
      </c>
      <c r="C726" s="26">
        <v>45943.0</v>
      </c>
      <c r="D726" s="26">
        <v>45945.0</v>
      </c>
      <c r="E726" s="24" t="s">
        <v>1287</v>
      </c>
      <c r="F726" s="24">
        <v>40.0</v>
      </c>
      <c r="G726" s="27">
        <v>55.0</v>
      </c>
      <c r="H726" s="24" t="s">
        <v>744</v>
      </c>
      <c r="I726" s="28" t="s">
        <v>23</v>
      </c>
      <c r="J726" s="28" t="s">
        <v>172</v>
      </c>
      <c r="K726" s="28" t="s">
        <v>482</v>
      </c>
      <c r="M726" s="29"/>
      <c r="N726" s="25"/>
      <c r="O726" s="28" t="s">
        <v>27</v>
      </c>
      <c r="P726" s="24" t="s">
        <v>744</v>
      </c>
      <c r="Q726" s="14" t="b">
        <f t="shared" si="1"/>
        <v>0</v>
      </c>
      <c r="R726" s="15" t="b">
        <f t="shared" si="2"/>
        <v>0</v>
      </c>
      <c r="S726" s="15" t="str">
        <f t="shared" si="3"/>
        <v>PENDING</v>
      </c>
    </row>
    <row r="727" ht="15.75" customHeight="1">
      <c r="A727" s="24" t="s">
        <v>1707</v>
      </c>
      <c r="B727" s="115" t="s">
        <v>1711</v>
      </c>
      <c r="C727" s="26">
        <v>45943.0</v>
      </c>
      <c r="D727" s="26">
        <v>45945.0</v>
      </c>
      <c r="E727" s="24" t="s">
        <v>1287</v>
      </c>
      <c r="F727" s="24">
        <v>40.0</v>
      </c>
      <c r="G727" s="27">
        <v>55.0</v>
      </c>
      <c r="H727" s="24" t="s">
        <v>744</v>
      </c>
      <c r="I727" s="28" t="s">
        <v>23</v>
      </c>
      <c r="J727" s="28" t="s">
        <v>172</v>
      </c>
      <c r="K727" s="28" t="s">
        <v>482</v>
      </c>
      <c r="M727" s="29"/>
      <c r="N727" s="25"/>
      <c r="O727" s="28" t="s">
        <v>27</v>
      </c>
      <c r="P727" s="24" t="s">
        <v>744</v>
      </c>
      <c r="Q727" s="14" t="b">
        <f t="shared" si="1"/>
        <v>0</v>
      </c>
      <c r="R727" s="15" t="b">
        <f t="shared" si="2"/>
        <v>0</v>
      </c>
      <c r="S727" s="15" t="str">
        <f t="shared" si="3"/>
        <v>PENDING</v>
      </c>
    </row>
    <row r="728" ht="15.75" customHeight="1">
      <c r="A728" s="24" t="s">
        <v>1712</v>
      </c>
      <c r="B728" s="115" t="s">
        <v>29</v>
      </c>
      <c r="C728" s="26">
        <v>45946.0</v>
      </c>
      <c r="D728" s="26">
        <v>45946.0</v>
      </c>
      <c r="E728" s="24" t="s">
        <v>21</v>
      </c>
      <c r="F728" s="24">
        <v>240.0</v>
      </c>
      <c r="G728" s="27">
        <v>100.0</v>
      </c>
      <c r="H728" s="24" t="s">
        <v>22</v>
      </c>
      <c r="I728" s="28" t="s">
        <v>23</v>
      </c>
      <c r="J728" s="28" t="s">
        <v>70</v>
      </c>
      <c r="K728" s="28" t="s">
        <v>49</v>
      </c>
      <c r="M728" s="29"/>
      <c r="N728" s="135" t="s">
        <v>1713</v>
      </c>
      <c r="O728" s="28" t="s">
        <v>27</v>
      </c>
      <c r="P728" s="24" t="s">
        <v>22</v>
      </c>
      <c r="Q728" s="14" t="b">
        <f t="shared" si="1"/>
        <v>0</v>
      </c>
      <c r="R728" s="15" t="b">
        <f t="shared" si="2"/>
        <v>0</v>
      </c>
      <c r="S728" s="15" t="str">
        <f t="shared" si="3"/>
        <v>PENDING</v>
      </c>
    </row>
    <row r="729" ht="15.75" customHeight="1">
      <c r="A729" s="24" t="s">
        <v>1712</v>
      </c>
      <c r="B729" s="115" t="s">
        <v>29</v>
      </c>
      <c r="C729" s="26">
        <v>45946.0</v>
      </c>
      <c r="D729" s="26">
        <v>45946.0</v>
      </c>
      <c r="E729" s="24" t="s">
        <v>1287</v>
      </c>
      <c r="F729" s="24">
        <v>160.0</v>
      </c>
      <c r="G729" s="27">
        <v>45.0</v>
      </c>
      <c r="H729" s="24" t="s">
        <v>22</v>
      </c>
      <c r="I729" s="28" t="s">
        <v>23</v>
      </c>
      <c r="J729" s="28" t="s">
        <v>70</v>
      </c>
      <c r="K729" s="28" t="s">
        <v>49</v>
      </c>
      <c r="M729" s="29"/>
      <c r="N729" s="135" t="s">
        <v>1714</v>
      </c>
      <c r="O729" s="28" t="s">
        <v>27</v>
      </c>
      <c r="P729" s="24" t="s">
        <v>22</v>
      </c>
      <c r="Q729" s="14" t="b">
        <f t="shared" si="1"/>
        <v>0</v>
      </c>
      <c r="R729" s="15" t="b">
        <f t="shared" si="2"/>
        <v>0</v>
      </c>
      <c r="S729" s="15" t="str">
        <f t="shared" si="3"/>
        <v>PENDING</v>
      </c>
    </row>
    <row r="730" ht="15.75" customHeight="1">
      <c r="A730" s="24" t="s">
        <v>1715</v>
      </c>
      <c r="B730" s="115" t="s">
        <v>1716</v>
      </c>
      <c r="C730" s="26">
        <v>45947.0</v>
      </c>
      <c r="D730" s="26">
        <v>45947.0</v>
      </c>
      <c r="E730" s="24" t="s">
        <v>21</v>
      </c>
      <c r="F730" s="24">
        <v>48.0</v>
      </c>
      <c r="G730" s="27">
        <v>118.0</v>
      </c>
      <c r="H730" s="24" t="s">
        <v>1376</v>
      </c>
      <c r="I730" s="28" t="s">
        <v>23</v>
      </c>
      <c r="J730" s="28" t="s">
        <v>172</v>
      </c>
      <c r="K730" s="28" t="s">
        <v>482</v>
      </c>
      <c r="M730" s="29"/>
      <c r="N730" s="25"/>
      <c r="O730" s="28" t="s">
        <v>27</v>
      </c>
      <c r="P730" s="24" t="s">
        <v>1376</v>
      </c>
      <c r="Q730" s="14" t="b">
        <f t="shared" si="1"/>
        <v>0</v>
      </c>
      <c r="R730" s="15" t="b">
        <f t="shared" si="2"/>
        <v>0</v>
      </c>
      <c r="S730" s="15" t="str">
        <f t="shared" si="3"/>
        <v>PENDING</v>
      </c>
    </row>
    <row r="731" ht="15.75" customHeight="1">
      <c r="A731" s="24" t="s">
        <v>1715</v>
      </c>
      <c r="B731" s="115" t="s">
        <v>1716</v>
      </c>
      <c r="C731" s="26">
        <v>45947.0</v>
      </c>
      <c r="D731" s="26">
        <v>45947.0</v>
      </c>
      <c r="E731" s="24" t="s">
        <v>1287</v>
      </c>
      <c r="F731" s="24">
        <v>80.0</v>
      </c>
      <c r="G731" s="27">
        <v>49.66</v>
      </c>
      <c r="H731" s="24" t="s">
        <v>1376</v>
      </c>
      <c r="I731" s="28" t="s">
        <v>23</v>
      </c>
      <c r="J731" s="28" t="s">
        <v>172</v>
      </c>
      <c r="K731" s="28" t="s">
        <v>482</v>
      </c>
      <c r="M731" s="29"/>
      <c r="N731" s="25"/>
      <c r="O731" s="28" t="s">
        <v>27</v>
      </c>
      <c r="P731" s="24" t="s">
        <v>1376</v>
      </c>
      <c r="Q731" s="14" t="b">
        <f t="shared" si="1"/>
        <v>0</v>
      </c>
      <c r="R731" s="15" t="b">
        <f t="shared" si="2"/>
        <v>0</v>
      </c>
      <c r="S731" s="15" t="str">
        <f t="shared" si="3"/>
        <v>PENDING</v>
      </c>
    </row>
    <row r="732" ht="15.75" customHeight="1">
      <c r="A732" s="24" t="s">
        <v>1717</v>
      </c>
      <c r="B732" s="115" t="s">
        <v>1718</v>
      </c>
      <c r="C732" s="26">
        <v>45944.0</v>
      </c>
      <c r="D732" s="26">
        <v>45944.0</v>
      </c>
      <c r="E732" s="24" t="s">
        <v>21</v>
      </c>
      <c r="F732" s="24">
        <v>96.0</v>
      </c>
      <c r="G732" s="27">
        <v>115.0</v>
      </c>
      <c r="H732" s="24" t="s">
        <v>177</v>
      </c>
      <c r="I732" s="28" t="s">
        <v>23</v>
      </c>
      <c r="J732" s="28" t="s">
        <v>172</v>
      </c>
      <c r="K732" s="28" t="s">
        <v>482</v>
      </c>
      <c r="M732" s="29"/>
      <c r="N732" s="25"/>
      <c r="O732" s="28" t="s">
        <v>27</v>
      </c>
      <c r="P732" s="24" t="s">
        <v>177</v>
      </c>
      <c r="Q732" s="14" t="b">
        <f t="shared" si="1"/>
        <v>0</v>
      </c>
      <c r="R732" s="15" t="b">
        <f t="shared" si="2"/>
        <v>0</v>
      </c>
      <c r="S732" s="15" t="str">
        <f t="shared" si="3"/>
        <v>PENDING</v>
      </c>
    </row>
    <row r="733" ht="15.75" customHeight="1">
      <c r="A733" s="24" t="s">
        <v>1717</v>
      </c>
      <c r="B733" s="115" t="s">
        <v>1718</v>
      </c>
      <c r="C733" s="26">
        <v>45944.0</v>
      </c>
      <c r="D733" s="26">
        <v>45944.0</v>
      </c>
      <c r="E733" s="24" t="s">
        <v>1287</v>
      </c>
      <c r="F733" s="24">
        <v>80.0</v>
      </c>
      <c r="G733" s="27">
        <v>49.65</v>
      </c>
      <c r="H733" s="24" t="s">
        <v>177</v>
      </c>
      <c r="I733" s="28" t="s">
        <v>23</v>
      </c>
      <c r="J733" s="28" t="s">
        <v>172</v>
      </c>
      <c r="K733" s="28" t="s">
        <v>482</v>
      </c>
      <c r="M733" s="29"/>
      <c r="N733" s="25"/>
      <c r="O733" s="28" t="s">
        <v>27</v>
      </c>
      <c r="P733" s="24" t="s">
        <v>177</v>
      </c>
      <c r="Q733" s="14" t="b">
        <f t="shared" si="1"/>
        <v>0</v>
      </c>
      <c r="R733" s="15" t="b">
        <f t="shared" si="2"/>
        <v>0</v>
      </c>
      <c r="S733" s="15" t="str">
        <f t="shared" si="3"/>
        <v>PENDING</v>
      </c>
    </row>
    <row r="734" ht="15.75" customHeight="1">
      <c r="A734" s="24" t="s">
        <v>1719</v>
      </c>
      <c r="B734" s="115" t="s">
        <v>381</v>
      </c>
      <c r="C734" s="26">
        <v>45944.0</v>
      </c>
      <c r="D734" s="26">
        <v>45944.0</v>
      </c>
      <c r="E734" s="24" t="s">
        <v>1287</v>
      </c>
      <c r="F734" s="24">
        <v>40.0</v>
      </c>
      <c r="G734" s="27">
        <v>49.65</v>
      </c>
      <c r="H734" s="24" t="s">
        <v>177</v>
      </c>
      <c r="I734" s="28" t="s">
        <v>23</v>
      </c>
      <c r="J734" s="28" t="s">
        <v>172</v>
      </c>
      <c r="K734" s="28" t="s">
        <v>482</v>
      </c>
      <c r="M734" s="29"/>
      <c r="N734" s="25"/>
      <c r="O734" s="28" t="s">
        <v>27</v>
      </c>
      <c r="P734" s="24" t="s">
        <v>177</v>
      </c>
      <c r="Q734" s="14" t="b">
        <f t="shared" si="1"/>
        <v>0</v>
      </c>
      <c r="R734" s="15" t="b">
        <f t="shared" si="2"/>
        <v>0</v>
      </c>
      <c r="S734" s="15" t="str">
        <f t="shared" si="3"/>
        <v>PENDING</v>
      </c>
    </row>
    <row r="735" ht="15.75" customHeight="1">
      <c r="A735" s="24" t="s">
        <v>1720</v>
      </c>
      <c r="B735" s="115" t="s">
        <v>1721</v>
      </c>
      <c r="C735" s="26">
        <v>45944.0</v>
      </c>
      <c r="D735" s="26">
        <v>45944.0</v>
      </c>
      <c r="E735" s="24" t="s">
        <v>21</v>
      </c>
      <c r="F735" s="24">
        <v>24.0</v>
      </c>
      <c r="G735" s="27">
        <v>118.0</v>
      </c>
      <c r="H735" s="24" t="s">
        <v>22</v>
      </c>
      <c r="I735" s="28" t="s">
        <v>23</v>
      </c>
      <c r="J735" s="28" t="s">
        <v>30</v>
      </c>
      <c r="K735" s="28" t="s">
        <v>84</v>
      </c>
      <c r="M735" s="29"/>
      <c r="N735" s="25"/>
      <c r="O735" s="28" t="s">
        <v>27</v>
      </c>
      <c r="P735" s="24" t="s">
        <v>22</v>
      </c>
      <c r="Q735" s="14" t="b">
        <f t="shared" si="1"/>
        <v>0</v>
      </c>
      <c r="R735" s="15" t="b">
        <f t="shared" si="2"/>
        <v>0</v>
      </c>
      <c r="S735" s="15" t="str">
        <f t="shared" si="3"/>
        <v>PENDING</v>
      </c>
    </row>
    <row r="736" ht="15.75" customHeight="1">
      <c r="A736" s="24" t="s">
        <v>1720</v>
      </c>
      <c r="B736" s="115" t="s">
        <v>1721</v>
      </c>
      <c r="C736" s="26">
        <v>45944.0</v>
      </c>
      <c r="D736" s="26">
        <v>45944.0</v>
      </c>
      <c r="E736" s="24" t="s">
        <v>21</v>
      </c>
      <c r="F736" s="24">
        <v>5.0</v>
      </c>
      <c r="G736" s="27"/>
      <c r="H736" s="24" t="s">
        <v>22</v>
      </c>
      <c r="I736" s="28" t="s">
        <v>23</v>
      </c>
      <c r="J736" s="28" t="s">
        <v>30</v>
      </c>
      <c r="K736" s="24" t="s">
        <v>31</v>
      </c>
      <c r="M736" s="29"/>
      <c r="N736" s="25"/>
      <c r="O736" s="28" t="s">
        <v>27</v>
      </c>
      <c r="P736" s="24" t="s">
        <v>22</v>
      </c>
      <c r="Q736" s="14" t="b">
        <f t="shared" si="1"/>
        <v>0</v>
      </c>
      <c r="R736" s="15" t="b">
        <f t="shared" si="2"/>
        <v>0</v>
      </c>
      <c r="S736" s="15" t="str">
        <f t="shared" si="3"/>
        <v>PENDING</v>
      </c>
    </row>
    <row r="737" ht="15.75" customHeight="1">
      <c r="A737" s="24" t="s">
        <v>1720</v>
      </c>
      <c r="B737" s="115" t="s">
        <v>1721</v>
      </c>
      <c r="C737" s="26">
        <v>45944.0</v>
      </c>
      <c r="D737" s="26">
        <v>45944.0</v>
      </c>
      <c r="E737" s="24" t="s">
        <v>1287</v>
      </c>
      <c r="F737" s="24">
        <v>5.0</v>
      </c>
      <c r="G737" s="27"/>
      <c r="H737" s="24" t="s">
        <v>22</v>
      </c>
      <c r="I737" s="28" t="s">
        <v>23</v>
      </c>
      <c r="J737" s="28" t="s">
        <v>30</v>
      </c>
      <c r="K737" s="28" t="s">
        <v>84</v>
      </c>
      <c r="M737" s="29"/>
      <c r="N737" s="25"/>
      <c r="O737" s="28" t="s">
        <v>27</v>
      </c>
      <c r="P737" s="24" t="s">
        <v>22</v>
      </c>
      <c r="Q737" s="14" t="b">
        <f t="shared" si="1"/>
        <v>0</v>
      </c>
      <c r="R737" s="15" t="b">
        <f t="shared" si="2"/>
        <v>0</v>
      </c>
      <c r="S737" s="15" t="str">
        <f t="shared" si="3"/>
        <v>PENDING</v>
      </c>
    </row>
    <row r="738" ht="15.75" customHeight="1">
      <c r="A738" s="24" t="s">
        <v>1722</v>
      </c>
      <c r="B738" s="115" t="s">
        <v>1723</v>
      </c>
      <c r="C738" s="26">
        <v>45944.0</v>
      </c>
      <c r="D738" s="26">
        <v>45944.0</v>
      </c>
      <c r="E738" s="24" t="s">
        <v>21</v>
      </c>
      <c r="F738" s="24">
        <v>10.0</v>
      </c>
      <c r="G738" s="27"/>
      <c r="H738" s="24" t="s">
        <v>1724</v>
      </c>
      <c r="I738" s="28" t="s">
        <v>23</v>
      </c>
      <c r="J738" s="28" t="s">
        <v>30</v>
      </c>
      <c r="K738" s="24" t="s">
        <v>31</v>
      </c>
      <c r="M738" s="29"/>
      <c r="N738" s="115" t="s">
        <v>914</v>
      </c>
      <c r="O738" s="28" t="s">
        <v>27</v>
      </c>
      <c r="P738" s="24" t="s">
        <v>1724</v>
      </c>
      <c r="Q738" s="14" t="b">
        <f t="shared" si="1"/>
        <v>0</v>
      </c>
      <c r="R738" s="15" t="b">
        <f t="shared" si="2"/>
        <v>0</v>
      </c>
      <c r="S738" s="15" t="str">
        <f t="shared" si="3"/>
        <v>PENDING</v>
      </c>
    </row>
    <row r="739" ht="15.75" customHeight="1">
      <c r="A739" s="24" t="s">
        <v>1722</v>
      </c>
      <c r="B739" s="115" t="s">
        <v>1723</v>
      </c>
      <c r="C739" s="26">
        <v>45944.0</v>
      </c>
      <c r="D739" s="26">
        <v>45944.0</v>
      </c>
      <c r="E739" s="24" t="s">
        <v>1287</v>
      </c>
      <c r="F739" s="24">
        <v>10.0</v>
      </c>
      <c r="G739" s="27"/>
      <c r="H739" s="24" t="s">
        <v>1724</v>
      </c>
      <c r="I739" s="28" t="s">
        <v>23</v>
      </c>
      <c r="J739" s="28" t="s">
        <v>30</v>
      </c>
      <c r="K739" s="24" t="s">
        <v>31</v>
      </c>
      <c r="M739" s="29"/>
      <c r="N739" s="115" t="s">
        <v>914</v>
      </c>
      <c r="O739" s="28" t="s">
        <v>27</v>
      </c>
      <c r="P739" s="24" t="s">
        <v>1724</v>
      </c>
      <c r="Q739" s="14" t="b">
        <f t="shared" si="1"/>
        <v>0</v>
      </c>
      <c r="R739" s="15" t="b">
        <f t="shared" si="2"/>
        <v>0</v>
      </c>
      <c r="S739" s="15" t="str">
        <f t="shared" si="3"/>
        <v>PENDING</v>
      </c>
    </row>
    <row r="740" ht="15.75" customHeight="1">
      <c r="A740" s="24" t="s">
        <v>1725</v>
      </c>
      <c r="B740" s="115" t="s">
        <v>302</v>
      </c>
      <c r="C740" s="26">
        <v>45951.0</v>
      </c>
      <c r="D740" s="26">
        <v>45951.0</v>
      </c>
      <c r="E740" s="24" t="s">
        <v>21</v>
      </c>
      <c r="F740" s="24">
        <v>240.0</v>
      </c>
      <c r="G740" s="27">
        <v>115.0</v>
      </c>
      <c r="H740" s="24" t="s">
        <v>177</v>
      </c>
      <c r="I740" s="28" t="s">
        <v>23</v>
      </c>
      <c r="J740" s="28" t="s">
        <v>172</v>
      </c>
      <c r="K740" s="28" t="s">
        <v>84</v>
      </c>
      <c r="M740" s="29" t="s">
        <v>1562</v>
      </c>
      <c r="N740" s="135" t="s">
        <v>1726</v>
      </c>
      <c r="O740" s="28" t="s">
        <v>27</v>
      </c>
      <c r="P740" s="24" t="s">
        <v>177</v>
      </c>
      <c r="Q740" s="14" t="b">
        <f t="shared" si="1"/>
        <v>0</v>
      </c>
      <c r="R740" s="15" t="b">
        <f t="shared" si="2"/>
        <v>0</v>
      </c>
      <c r="S740" s="15" t="str">
        <f t="shared" si="3"/>
        <v>PENDING</v>
      </c>
    </row>
    <row r="741" ht="15.75" customHeight="1">
      <c r="A741" s="24" t="s">
        <v>1725</v>
      </c>
      <c r="B741" s="115" t="s">
        <v>302</v>
      </c>
      <c r="C741" s="26">
        <v>45951.0</v>
      </c>
      <c r="D741" s="26">
        <v>45951.0</v>
      </c>
      <c r="E741" s="24" t="s">
        <v>1287</v>
      </c>
      <c r="F741" s="24">
        <v>80.0</v>
      </c>
      <c r="G741" s="27">
        <v>49.64</v>
      </c>
      <c r="H741" s="24" t="s">
        <v>177</v>
      </c>
      <c r="I741" s="28" t="s">
        <v>23</v>
      </c>
      <c r="J741" s="28" t="s">
        <v>172</v>
      </c>
      <c r="K741" s="28" t="s">
        <v>84</v>
      </c>
      <c r="M741" s="29" t="s">
        <v>1562</v>
      </c>
      <c r="N741" s="135" t="s">
        <v>1727</v>
      </c>
      <c r="O741" s="28" t="s">
        <v>27</v>
      </c>
      <c r="P741" s="24" t="s">
        <v>177</v>
      </c>
      <c r="Q741" s="14" t="b">
        <f t="shared" si="1"/>
        <v>0</v>
      </c>
      <c r="R741" s="15" t="b">
        <f t="shared" si="2"/>
        <v>0</v>
      </c>
      <c r="S741" s="15" t="str">
        <f t="shared" si="3"/>
        <v>PENDING</v>
      </c>
    </row>
    <row r="742" ht="15.75" customHeight="1">
      <c r="A742" s="30" t="s">
        <v>1728</v>
      </c>
      <c r="B742" s="58" t="s">
        <v>1716</v>
      </c>
      <c r="C742" s="32">
        <v>45947.0</v>
      </c>
      <c r="D742" s="32"/>
      <c r="E742" s="30" t="s">
        <v>21</v>
      </c>
      <c r="F742" s="30"/>
      <c r="G742" s="33"/>
      <c r="H742" s="30" t="s">
        <v>1376</v>
      </c>
      <c r="I742" s="34" t="s">
        <v>23</v>
      </c>
      <c r="J742" s="34" t="s">
        <v>30</v>
      </c>
      <c r="K742" s="30" t="s">
        <v>31</v>
      </c>
      <c r="L742" s="66"/>
      <c r="M742" s="35"/>
      <c r="N742" s="31"/>
      <c r="O742" s="30" t="s">
        <v>98</v>
      </c>
      <c r="P742" s="30" t="s">
        <v>1376</v>
      </c>
      <c r="Q742" s="14" t="b">
        <f t="shared" si="1"/>
        <v>0</v>
      </c>
      <c r="R742" s="15" t="b">
        <f t="shared" si="2"/>
        <v>1</v>
      </c>
      <c r="S742" s="15" t="str">
        <f t="shared" si="3"/>
        <v>PENDING</v>
      </c>
    </row>
    <row r="743" ht="15.75" customHeight="1">
      <c r="A743" s="30" t="s">
        <v>1728</v>
      </c>
      <c r="B743" s="58" t="s">
        <v>1716</v>
      </c>
      <c r="C743" s="32">
        <v>45947.0</v>
      </c>
      <c r="D743" s="32"/>
      <c r="E743" s="30" t="s">
        <v>1287</v>
      </c>
      <c r="F743" s="30"/>
      <c r="G743" s="33"/>
      <c r="H743" s="30" t="s">
        <v>1376</v>
      </c>
      <c r="I743" s="34" t="s">
        <v>23</v>
      </c>
      <c r="J743" s="34" t="s">
        <v>30</v>
      </c>
      <c r="K743" s="30" t="s">
        <v>31</v>
      </c>
      <c r="L743" s="66"/>
      <c r="M743" s="35"/>
      <c r="N743" s="31"/>
      <c r="O743" s="30" t="s">
        <v>98</v>
      </c>
      <c r="P743" s="30" t="s">
        <v>1376</v>
      </c>
      <c r="Q743" s="14" t="b">
        <f t="shared" si="1"/>
        <v>0</v>
      </c>
      <c r="R743" s="15" t="b">
        <f t="shared" si="2"/>
        <v>1</v>
      </c>
      <c r="S743" s="15" t="str">
        <f t="shared" si="3"/>
        <v>PENDING</v>
      </c>
    </row>
    <row r="744" ht="15.75" customHeight="1">
      <c r="A744" s="24" t="s">
        <v>1729</v>
      </c>
      <c r="B744" s="115" t="s">
        <v>1375</v>
      </c>
      <c r="C744" s="26">
        <v>45947.0</v>
      </c>
      <c r="D744" s="26">
        <v>45947.0</v>
      </c>
      <c r="E744" s="24" t="s">
        <v>21</v>
      </c>
      <c r="F744" s="24">
        <v>480.0</v>
      </c>
      <c r="G744" s="27">
        <v>118.0</v>
      </c>
      <c r="H744" s="24" t="s">
        <v>1376</v>
      </c>
      <c r="I744" s="28" t="s">
        <v>23</v>
      </c>
      <c r="J744" s="28" t="s">
        <v>172</v>
      </c>
      <c r="K744" s="28" t="s">
        <v>84</v>
      </c>
      <c r="M744" s="29" t="s">
        <v>1730</v>
      </c>
      <c r="N744" s="29" t="s">
        <v>1731</v>
      </c>
      <c r="O744" s="28" t="s">
        <v>27</v>
      </c>
      <c r="P744" s="24" t="s">
        <v>1376</v>
      </c>
      <c r="Q744" s="14" t="b">
        <f t="shared" si="1"/>
        <v>0</v>
      </c>
      <c r="R744" s="15" t="b">
        <f t="shared" si="2"/>
        <v>0</v>
      </c>
      <c r="S744" s="15" t="str">
        <f t="shared" si="3"/>
        <v>PENDING</v>
      </c>
    </row>
    <row r="745" ht="15.75" customHeight="1">
      <c r="A745" s="24" t="s">
        <v>1732</v>
      </c>
      <c r="B745" s="115" t="s">
        <v>1130</v>
      </c>
      <c r="C745" s="26">
        <v>45948.0</v>
      </c>
      <c r="D745" s="26">
        <v>45948.0</v>
      </c>
      <c r="E745" s="24" t="s">
        <v>1287</v>
      </c>
      <c r="F745" s="24">
        <v>40.0</v>
      </c>
      <c r="G745" s="27">
        <v>49.64</v>
      </c>
      <c r="H745" s="24" t="s">
        <v>177</v>
      </c>
      <c r="I745" s="28" t="s">
        <v>23</v>
      </c>
      <c r="J745" s="28" t="s">
        <v>172</v>
      </c>
      <c r="K745" s="28" t="s">
        <v>482</v>
      </c>
      <c r="M745" s="29"/>
      <c r="N745" s="25"/>
      <c r="O745" s="28" t="s">
        <v>27</v>
      </c>
      <c r="P745" s="24" t="s">
        <v>177</v>
      </c>
      <c r="Q745" s="14" t="b">
        <f t="shared" si="1"/>
        <v>0</v>
      </c>
      <c r="R745" s="15" t="b">
        <f t="shared" si="2"/>
        <v>0</v>
      </c>
      <c r="S745" s="15" t="str">
        <f t="shared" si="3"/>
        <v>PENDING</v>
      </c>
    </row>
    <row r="746" ht="15.75" customHeight="1">
      <c r="A746" s="24" t="s">
        <v>1733</v>
      </c>
      <c r="B746" s="115" t="s">
        <v>323</v>
      </c>
      <c r="C746" s="26">
        <v>45947.0</v>
      </c>
      <c r="D746" s="26">
        <v>45947.0</v>
      </c>
      <c r="E746" s="24" t="s">
        <v>21</v>
      </c>
      <c r="F746" s="24">
        <v>24.0</v>
      </c>
      <c r="G746" s="27">
        <v>118.0</v>
      </c>
      <c r="H746" s="24" t="s">
        <v>177</v>
      </c>
      <c r="I746" s="28" t="s">
        <v>23</v>
      </c>
      <c r="J746" s="28" t="s">
        <v>172</v>
      </c>
      <c r="K746" s="28" t="s">
        <v>482</v>
      </c>
      <c r="M746" s="29"/>
      <c r="N746" s="25"/>
      <c r="O746" s="28" t="s">
        <v>27</v>
      </c>
      <c r="P746" s="24" t="s">
        <v>177</v>
      </c>
      <c r="Q746" s="14" t="b">
        <f t="shared" si="1"/>
        <v>0</v>
      </c>
      <c r="R746" s="15" t="b">
        <f t="shared" si="2"/>
        <v>0</v>
      </c>
      <c r="S746" s="15" t="str">
        <f t="shared" si="3"/>
        <v>PENDING</v>
      </c>
    </row>
    <row r="747" ht="15.75" customHeight="1">
      <c r="A747" s="24" t="s">
        <v>1733</v>
      </c>
      <c r="B747" s="115" t="s">
        <v>323</v>
      </c>
      <c r="C747" s="26">
        <v>45947.0</v>
      </c>
      <c r="D747" s="26">
        <v>45947.0</v>
      </c>
      <c r="E747" s="24" t="s">
        <v>1287</v>
      </c>
      <c r="F747" s="24">
        <v>40.0</v>
      </c>
      <c r="G747" s="27">
        <v>49.64</v>
      </c>
      <c r="H747" s="24" t="s">
        <v>177</v>
      </c>
      <c r="I747" s="28" t="s">
        <v>23</v>
      </c>
      <c r="J747" s="28" t="s">
        <v>172</v>
      </c>
      <c r="K747" s="28" t="s">
        <v>482</v>
      </c>
      <c r="M747" s="29"/>
      <c r="N747" s="25"/>
      <c r="O747" s="28" t="s">
        <v>27</v>
      </c>
      <c r="P747" s="24" t="s">
        <v>177</v>
      </c>
      <c r="Q747" s="14" t="b">
        <f t="shared" si="1"/>
        <v>0</v>
      </c>
      <c r="R747" s="15" t="b">
        <f t="shared" si="2"/>
        <v>0</v>
      </c>
      <c r="S747" s="15" t="str">
        <f t="shared" si="3"/>
        <v>PENDING</v>
      </c>
    </row>
    <row r="748" ht="15.75" customHeight="1">
      <c r="A748" s="24" t="s">
        <v>1734</v>
      </c>
      <c r="B748" s="115" t="s">
        <v>1735</v>
      </c>
      <c r="C748" s="26">
        <v>45948.0</v>
      </c>
      <c r="D748" s="26">
        <v>45948.0</v>
      </c>
      <c r="E748" s="24" t="s">
        <v>21</v>
      </c>
      <c r="F748" s="24">
        <v>24.0</v>
      </c>
      <c r="G748" s="27">
        <v>118.18</v>
      </c>
      <c r="H748" s="24" t="s">
        <v>1387</v>
      </c>
      <c r="I748" s="28" t="s">
        <v>23</v>
      </c>
      <c r="J748" s="28" t="s">
        <v>172</v>
      </c>
      <c r="K748" s="28" t="s">
        <v>84</v>
      </c>
      <c r="M748" s="29" t="s">
        <v>1736</v>
      </c>
      <c r="N748" s="25"/>
      <c r="O748" s="28" t="s">
        <v>27</v>
      </c>
      <c r="P748" s="24" t="s">
        <v>1387</v>
      </c>
      <c r="Q748" s="14" t="b">
        <f t="shared" si="1"/>
        <v>0</v>
      </c>
      <c r="R748" s="15" t="b">
        <f t="shared" si="2"/>
        <v>0</v>
      </c>
      <c r="S748" s="15" t="str">
        <f t="shared" si="3"/>
        <v>PENDING</v>
      </c>
    </row>
    <row r="749" ht="15.75" customHeight="1">
      <c r="A749" s="24" t="s">
        <v>1737</v>
      </c>
      <c r="B749" s="115" t="s">
        <v>1738</v>
      </c>
      <c r="C749" s="26">
        <v>45950.0</v>
      </c>
      <c r="D749" s="26">
        <v>45950.0</v>
      </c>
      <c r="E749" s="24" t="s">
        <v>21</v>
      </c>
      <c r="F749" s="24">
        <v>24.0</v>
      </c>
      <c r="G749" s="27">
        <v>118.0</v>
      </c>
      <c r="H749" s="24" t="s">
        <v>1376</v>
      </c>
      <c r="I749" s="28" t="s">
        <v>23</v>
      </c>
      <c r="J749" s="28" t="s">
        <v>24</v>
      </c>
      <c r="K749" s="28" t="s">
        <v>84</v>
      </c>
      <c r="M749" s="29" t="s">
        <v>1739</v>
      </c>
      <c r="N749" s="25"/>
      <c r="O749" s="28" t="s">
        <v>27</v>
      </c>
      <c r="P749" s="24" t="s">
        <v>1376</v>
      </c>
      <c r="Q749" s="14" t="b">
        <f t="shared" si="1"/>
        <v>0</v>
      </c>
      <c r="R749" s="15" t="b">
        <f t="shared" si="2"/>
        <v>0</v>
      </c>
      <c r="S749" s="15" t="str">
        <f t="shared" si="3"/>
        <v>PENDING</v>
      </c>
    </row>
    <row r="750" ht="15.75" customHeight="1">
      <c r="A750" s="24" t="s">
        <v>1737</v>
      </c>
      <c r="B750" s="115" t="s">
        <v>1738</v>
      </c>
      <c r="C750" s="26">
        <v>45950.0</v>
      </c>
      <c r="D750" s="26">
        <v>45950.0</v>
      </c>
      <c r="E750" s="24" t="s">
        <v>1287</v>
      </c>
      <c r="F750" s="24">
        <v>20.0</v>
      </c>
      <c r="G750" s="27">
        <v>49.66</v>
      </c>
      <c r="H750" s="24" t="s">
        <v>1376</v>
      </c>
      <c r="I750" s="28" t="s">
        <v>23</v>
      </c>
      <c r="J750" s="28" t="s">
        <v>24</v>
      </c>
      <c r="K750" s="28" t="s">
        <v>84</v>
      </c>
      <c r="M750" s="29" t="s">
        <v>1739</v>
      </c>
      <c r="N750" s="25"/>
      <c r="O750" s="28" t="s">
        <v>27</v>
      </c>
      <c r="P750" s="24" t="s">
        <v>1376</v>
      </c>
      <c r="Q750" s="14" t="b">
        <f t="shared" si="1"/>
        <v>0</v>
      </c>
      <c r="R750" s="15" t="b">
        <f t="shared" si="2"/>
        <v>0</v>
      </c>
      <c r="S750" s="15" t="str">
        <f t="shared" si="3"/>
        <v>PENDING</v>
      </c>
    </row>
    <row r="751" ht="15.75" customHeight="1">
      <c r="A751" s="24" t="s">
        <v>1740</v>
      </c>
      <c r="B751" s="115" t="s">
        <v>1035</v>
      </c>
      <c r="C751" s="26">
        <v>45948.0</v>
      </c>
      <c r="D751" s="26">
        <v>45948.0</v>
      </c>
      <c r="E751" s="24" t="s">
        <v>21</v>
      </c>
      <c r="F751" s="24">
        <v>144.0</v>
      </c>
      <c r="G751" s="27">
        <v>119.0</v>
      </c>
      <c r="H751" s="24" t="s">
        <v>744</v>
      </c>
      <c r="I751" s="28" t="s">
        <v>23</v>
      </c>
      <c r="J751" s="28" t="s">
        <v>172</v>
      </c>
      <c r="K751" s="28" t="s">
        <v>49</v>
      </c>
      <c r="M751" s="29"/>
      <c r="N751" s="25"/>
      <c r="O751" s="28" t="s">
        <v>27</v>
      </c>
      <c r="P751" s="24" t="s">
        <v>744</v>
      </c>
      <c r="Q751" s="14" t="b">
        <f t="shared" si="1"/>
        <v>0</v>
      </c>
      <c r="R751" s="15" t="b">
        <f t="shared" si="2"/>
        <v>0</v>
      </c>
      <c r="S751" s="15" t="str">
        <f t="shared" si="3"/>
        <v>PENDING</v>
      </c>
    </row>
    <row r="752" ht="15.75" customHeight="1">
      <c r="A752" s="24" t="s">
        <v>1741</v>
      </c>
      <c r="B752" s="115" t="s">
        <v>1742</v>
      </c>
      <c r="C752" s="26">
        <v>45948.0</v>
      </c>
      <c r="D752" s="26">
        <v>45948.0</v>
      </c>
      <c r="E752" s="24" t="s">
        <v>21</v>
      </c>
      <c r="F752" s="24">
        <v>24.0</v>
      </c>
      <c r="G752" s="27">
        <v>118.18</v>
      </c>
      <c r="H752" s="24" t="s">
        <v>177</v>
      </c>
      <c r="I752" s="28" t="s">
        <v>23</v>
      </c>
      <c r="J752" s="28" t="s">
        <v>172</v>
      </c>
      <c r="K752" s="28" t="s">
        <v>482</v>
      </c>
      <c r="M752" s="29"/>
      <c r="N752" s="25"/>
      <c r="O752" s="28" t="s">
        <v>27</v>
      </c>
      <c r="P752" s="24" t="s">
        <v>177</v>
      </c>
      <c r="Q752" s="14" t="b">
        <f t="shared" si="1"/>
        <v>0</v>
      </c>
      <c r="R752" s="15" t="b">
        <f t="shared" si="2"/>
        <v>0</v>
      </c>
      <c r="S752" s="15" t="str">
        <f t="shared" si="3"/>
        <v>PENDING</v>
      </c>
    </row>
    <row r="753" ht="15.75" customHeight="1">
      <c r="A753" s="24" t="s">
        <v>1743</v>
      </c>
      <c r="B753" s="25" t="s">
        <v>643</v>
      </c>
      <c r="C753" s="26">
        <v>45948.0</v>
      </c>
      <c r="D753" s="26">
        <v>45948.0</v>
      </c>
      <c r="E753" s="24" t="s">
        <v>21</v>
      </c>
      <c r="F753" s="24">
        <v>24.0</v>
      </c>
      <c r="G753" s="27">
        <v>118.18</v>
      </c>
      <c r="H753" s="24" t="s">
        <v>177</v>
      </c>
      <c r="I753" s="28" t="s">
        <v>23</v>
      </c>
      <c r="J753" s="28" t="s">
        <v>172</v>
      </c>
      <c r="K753" s="28" t="s">
        <v>49</v>
      </c>
      <c r="M753" s="29"/>
      <c r="N753" s="25"/>
      <c r="O753" s="28" t="s">
        <v>27</v>
      </c>
      <c r="P753" s="24" t="s">
        <v>177</v>
      </c>
      <c r="Q753" s="14" t="b">
        <f t="shared" si="1"/>
        <v>0</v>
      </c>
      <c r="R753" s="15" t="b">
        <f t="shared" si="2"/>
        <v>0</v>
      </c>
      <c r="S753" s="15" t="str">
        <f t="shared" si="3"/>
        <v>PENDING</v>
      </c>
    </row>
    <row r="754" ht="15.75" customHeight="1">
      <c r="A754" s="24" t="s">
        <v>1743</v>
      </c>
      <c r="B754" s="25" t="s">
        <v>643</v>
      </c>
      <c r="C754" s="26">
        <v>45948.0</v>
      </c>
      <c r="D754" s="26">
        <v>45948.0</v>
      </c>
      <c r="E754" s="24" t="s">
        <v>1287</v>
      </c>
      <c r="F754" s="24">
        <v>40.0</v>
      </c>
      <c r="G754" s="27">
        <v>49.64</v>
      </c>
      <c r="H754" s="24" t="s">
        <v>177</v>
      </c>
      <c r="I754" s="28" t="s">
        <v>23</v>
      </c>
      <c r="J754" s="28" t="s">
        <v>172</v>
      </c>
      <c r="K754" s="28" t="s">
        <v>49</v>
      </c>
      <c r="M754" s="29"/>
      <c r="N754" s="25"/>
      <c r="O754" s="28" t="s">
        <v>27</v>
      </c>
      <c r="P754" s="24" t="s">
        <v>177</v>
      </c>
      <c r="Q754" s="14" t="b">
        <f t="shared" si="1"/>
        <v>0</v>
      </c>
      <c r="R754" s="15" t="b">
        <f t="shared" si="2"/>
        <v>0</v>
      </c>
      <c r="S754" s="15" t="str">
        <f t="shared" si="3"/>
        <v>PENDING</v>
      </c>
    </row>
    <row r="755" ht="15.75" customHeight="1">
      <c r="A755" s="24" t="s">
        <v>1744</v>
      </c>
      <c r="B755" s="115" t="s">
        <v>829</v>
      </c>
      <c r="C755" s="26">
        <v>45948.0</v>
      </c>
      <c r="D755" s="26">
        <v>45948.0</v>
      </c>
      <c r="E755" s="24" t="s">
        <v>1287</v>
      </c>
      <c r="F755" s="24">
        <v>40.0</v>
      </c>
      <c r="G755" s="27">
        <v>47.16</v>
      </c>
      <c r="H755" s="24" t="s">
        <v>177</v>
      </c>
      <c r="I755" s="28" t="s">
        <v>23</v>
      </c>
      <c r="J755" s="28" t="s">
        <v>172</v>
      </c>
      <c r="K755" s="28" t="s">
        <v>482</v>
      </c>
      <c r="M755" s="29"/>
      <c r="N755" s="25"/>
      <c r="O755" s="28" t="s">
        <v>27</v>
      </c>
      <c r="P755" s="24" t="s">
        <v>177</v>
      </c>
      <c r="Q755" s="14" t="b">
        <f t="shared" si="1"/>
        <v>0</v>
      </c>
      <c r="R755" s="15" t="b">
        <f t="shared" si="2"/>
        <v>0</v>
      </c>
      <c r="S755" s="15" t="str">
        <f t="shared" si="3"/>
        <v>PENDING</v>
      </c>
    </row>
    <row r="756" ht="15.75" customHeight="1">
      <c r="A756" s="24" t="s">
        <v>1745</v>
      </c>
      <c r="B756" s="115" t="s">
        <v>1746</v>
      </c>
      <c r="C756" s="26">
        <v>45950.0</v>
      </c>
      <c r="D756" s="26">
        <v>45950.0</v>
      </c>
      <c r="E756" s="24" t="s">
        <v>21</v>
      </c>
      <c r="F756" s="24">
        <v>24.0</v>
      </c>
      <c r="G756" s="27">
        <v>118.0</v>
      </c>
      <c r="H756" s="24" t="s">
        <v>177</v>
      </c>
      <c r="I756" s="28" t="s">
        <v>23</v>
      </c>
      <c r="J756" s="28" t="s">
        <v>172</v>
      </c>
      <c r="K756" s="28" t="s">
        <v>482</v>
      </c>
      <c r="M756" s="29"/>
      <c r="N756" s="25"/>
      <c r="O756" s="28" t="s">
        <v>27</v>
      </c>
      <c r="P756" s="24" t="s">
        <v>177</v>
      </c>
      <c r="Q756" s="14" t="b">
        <f t="shared" si="1"/>
        <v>0</v>
      </c>
      <c r="R756" s="15" t="b">
        <f t="shared" si="2"/>
        <v>0</v>
      </c>
      <c r="S756" s="15" t="str">
        <f t="shared" si="3"/>
        <v>PENDING</v>
      </c>
    </row>
    <row r="757" ht="15.75" customHeight="1">
      <c r="A757" s="24" t="s">
        <v>1745</v>
      </c>
      <c r="B757" s="115" t="s">
        <v>1746</v>
      </c>
      <c r="C757" s="26">
        <v>45950.0</v>
      </c>
      <c r="D757" s="26">
        <v>45950.0</v>
      </c>
      <c r="E757" s="24" t="s">
        <v>1287</v>
      </c>
      <c r="F757" s="24">
        <v>40.0</v>
      </c>
      <c r="G757" s="27">
        <v>49.64</v>
      </c>
      <c r="H757" s="24" t="s">
        <v>177</v>
      </c>
      <c r="I757" s="28" t="s">
        <v>23</v>
      </c>
      <c r="J757" s="28" t="s">
        <v>172</v>
      </c>
      <c r="K757" s="28" t="s">
        <v>482</v>
      </c>
      <c r="M757" s="29"/>
      <c r="N757" s="25"/>
      <c r="O757" s="28" t="s">
        <v>27</v>
      </c>
      <c r="P757" s="24" t="s">
        <v>177</v>
      </c>
      <c r="Q757" s="14" t="b">
        <f t="shared" si="1"/>
        <v>0</v>
      </c>
      <c r="R757" s="15" t="b">
        <f t="shared" si="2"/>
        <v>0</v>
      </c>
      <c r="S757" s="15" t="str">
        <f t="shared" si="3"/>
        <v>PENDING</v>
      </c>
    </row>
    <row r="758" ht="15.75" customHeight="1">
      <c r="A758" s="24" t="s">
        <v>1747</v>
      </c>
      <c r="B758" s="128" t="s">
        <v>1748</v>
      </c>
      <c r="C758" s="26">
        <v>45951.0</v>
      </c>
      <c r="D758" s="26">
        <v>45951.0</v>
      </c>
      <c r="E758" s="24" t="s">
        <v>1287</v>
      </c>
      <c r="F758" s="24">
        <v>20.0</v>
      </c>
      <c r="G758" s="27">
        <v>49.6</v>
      </c>
      <c r="H758" s="24" t="s">
        <v>1376</v>
      </c>
      <c r="I758" s="28" t="s">
        <v>23</v>
      </c>
      <c r="J758" s="28" t="s">
        <v>172</v>
      </c>
      <c r="K758" s="28" t="s">
        <v>482</v>
      </c>
      <c r="M758" s="29"/>
      <c r="N758" s="25"/>
      <c r="O758" s="28" t="s">
        <v>27</v>
      </c>
      <c r="P758" s="24" t="s">
        <v>1376</v>
      </c>
      <c r="Q758" s="14" t="b">
        <f t="shared" si="1"/>
        <v>0</v>
      </c>
      <c r="R758" s="15" t="b">
        <f t="shared" si="2"/>
        <v>0</v>
      </c>
      <c r="S758" s="15" t="str">
        <f t="shared" si="3"/>
        <v>PENDING</v>
      </c>
    </row>
    <row r="759" ht="15.75" customHeight="1">
      <c r="A759" s="24" t="s">
        <v>1749</v>
      </c>
      <c r="B759" s="115" t="s">
        <v>1750</v>
      </c>
      <c r="C759" s="26">
        <v>45951.0</v>
      </c>
      <c r="D759" s="26">
        <v>45951.0</v>
      </c>
      <c r="E759" s="24" t="s">
        <v>21</v>
      </c>
      <c r="F759" s="24">
        <v>24.0</v>
      </c>
      <c r="G759" s="27">
        <v>118.0</v>
      </c>
      <c r="H759" s="24" t="s">
        <v>177</v>
      </c>
      <c r="I759" s="28" t="s">
        <v>23</v>
      </c>
      <c r="J759" s="28" t="s">
        <v>172</v>
      </c>
      <c r="K759" s="28" t="s">
        <v>84</v>
      </c>
      <c r="M759" s="29" t="s">
        <v>1751</v>
      </c>
      <c r="N759" s="25"/>
      <c r="O759" s="28" t="s">
        <v>27</v>
      </c>
      <c r="P759" s="24" t="s">
        <v>177</v>
      </c>
      <c r="Q759" s="14" t="b">
        <f t="shared" si="1"/>
        <v>0</v>
      </c>
      <c r="R759" s="15" t="b">
        <f t="shared" si="2"/>
        <v>0</v>
      </c>
      <c r="S759" s="15" t="str">
        <f t="shared" si="3"/>
        <v>PENDING</v>
      </c>
    </row>
    <row r="760" ht="15.75" customHeight="1">
      <c r="A760" s="24" t="s">
        <v>1749</v>
      </c>
      <c r="B760" s="115" t="s">
        <v>1750</v>
      </c>
      <c r="C760" s="26">
        <v>45951.0</v>
      </c>
      <c r="D760" s="26">
        <v>45951.0</v>
      </c>
      <c r="E760" s="24" t="s">
        <v>1287</v>
      </c>
      <c r="F760" s="24">
        <v>40.0</v>
      </c>
      <c r="G760" s="27">
        <v>49.64</v>
      </c>
      <c r="H760" s="24" t="s">
        <v>177</v>
      </c>
      <c r="I760" s="28" t="s">
        <v>23</v>
      </c>
      <c r="J760" s="28" t="s">
        <v>172</v>
      </c>
      <c r="K760" s="28" t="s">
        <v>84</v>
      </c>
      <c r="M760" s="29" t="s">
        <v>1751</v>
      </c>
      <c r="N760" s="25"/>
      <c r="O760" s="28" t="s">
        <v>27</v>
      </c>
      <c r="P760" s="24" t="s">
        <v>177</v>
      </c>
      <c r="Q760" s="14" t="b">
        <f t="shared" si="1"/>
        <v>0</v>
      </c>
      <c r="R760" s="15" t="b">
        <f t="shared" si="2"/>
        <v>0</v>
      </c>
      <c r="S760" s="15" t="str">
        <f t="shared" si="3"/>
        <v>PENDING</v>
      </c>
    </row>
    <row r="761" ht="15.75" customHeight="1">
      <c r="A761" s="24" t="s">
        <v>1752</v>
      </c>
      <c r="B761" s="115" t="s">
        <v>1753</v>
      </c>
      <c r="C761" s="26">
        <v>45952.0</v>
      </c>
      <c r="D761" s="26">
        <v>45952.0</v>
      </c>
      <c r="E761" s="24" t="s">
        <v>1287</v>
      </c>
      <c r="F761" s="24">
        <v>40.0</v>
      </c>
      <c r="G761" s="27">
        <v>49.64</v>
      </c>
      <c r="H761" s="24" t="s">
        <v>177</v>
      </c>
      <c r="I761" s="28" t="s">
        <v>23</v>
      </c>
      <c r="J761" s="28" t="s">
        <v>172</v>
      </c>
      <c r="K761" s="28" t="s">
        <v>482</v>
      </c>
      <c r="M761" s="29"/>
      <c r="N761" s="25"/>
      <c r="O761" s="28" t="s">
        <v>27</v>
      </c>
      <c r="P761" s="24" t="s">
        <v>177</v>
      </c>
      <c r="Q761" s="14" t="b">
        <f t="shared" si="1"/>
        <v>0</v>
      </c>
      <c r="R761" s="15" t="b">
        <f t="shared" si="2"/>
        <v>0</v>
      </c>
      <c r="S761" s="15" t="str">
        <f t="shared" si="3"/>
        <v>PENDING</v>
      </c>
    </row>
    <row r="762" ht="15.75" customHeight="1">
      <c r="A762" s="24" t="s">
        <v>1754</v>
      </c>
      <c r="B762" s="25" t="s">
        <v>803</v>
      </c>
      <c r="C762" s="26">
        <v>45952.0</v>
      </c>
      <c r="D762" s="26">
        <v>45952.0</v>
      </c>
      <c r="E762" s="24" t="s">
        <v>21</v>
      </c>
      <c r="F762" s="24">
        <v>24.0</v>
      </c>
      <c r="G762" s="27">
        <v>115.0</v>
      </c>
      <c r="H762" s="24" t="s">
        <v>177</v>
      </c>
      <c r="I762" s="28" t="s">
        <v>23</v>
      </c>
      <c r="J762" s="28" t="s">
        <v>172</v>
      </c>
      <c r="K762" s="28" t="s">
        <v>482</v>
      </c>
      <c r="M762" s="29"/>
      <c r="N762" s="25"/>
      <c r="O762" s="28" t="s">
        <v>27</v>
      </c>
      <c r="P762" s="24" t="s">
        <v>177</v>
      </c>
      <c r="Q762" s="14" t="b">
        <f t="shared" si="1"/>
        <v>0</v>
      </c>
      <c r="R762" s="15" t="b">
        <f t="shared" si="2"/>
        <v>0</v>
      </c>
      <c r="S762" s="15" t="str">
        <f t="shared" si="3"/>
        <v>PENDING</v>
      </c>
    </row>
    <row r="763" ht="15.75" customHeight="1">
      <c r="A763" s="24" t="s">
        <v>1755</v>
      </c>
      <c r="B763" s="115" t="s">
        <v>1756</v>
      </c>
      <c r="C763" s="26">
        <v>45952.0</v>
      </c>
      <c r="D763" s="26">
        <v>45952.0</v>
      </c>
      <c r="E763" s="24" t="s">
        <v>21</v>
      </c>
      <c r="F763" s="24">
        <v>24.0</v>
      </c>
      <c r="G763" s="27">
        <v>118.0</v>
      </c>
      <c r="H763" s="24" t="s">
        <v>177</v>
      </c>
      <c r="I763" s="28" t="s">
        <v>23</v>
      </c>
      <c r="J763" s="28" t="s">
        <v>172</v>
      </c>
      <c r="K763" s="28" t="s">
        <v>482</v>
      </c>
      <c r="M763" s="29"/>
      <c r="N763" s="25"/>
      <c r="O763" s="28" t="s">
        <v>27</v>
      </c>
      <c r="P763" s="24" t="s">
        <v>177</v>
      </c>
      <c r="Q763" s="14" t="b">
        <f t="shared" si="1"/>
        <v>0</v>
      </c>
      <c r="R763" s="15" t="b">
        <f t="shared" si="2"/>
        <v>0</v>
      </c>
      <c r="S763" s="15" t="str">
        <f t="shared" si="3"/>
        <v>PENDING</v>
      </c>
    </row>
    <row r="764" ht="15.75" customHeight="1">
      <c r="A764" s="24" t="s">
        <v>1755</v>
      </c>
      <c r="B764" s="115" t="s">
        <v>1756</v>
      </c>
      <c r="C764" s="26">
        <v>45952.0</v>
      </c>
      <c r="D764" s="26">
        <v>45952.0</v>
      </c>
      <c r="E764" s="24" t="s">
        <v>1287</v>
      </c>
      <c r="F764" s="24">
        <v>40.0</v>
      </c>
      <c r="G764" s="27">
        <v>49.64</v>
      </c>
      <c r="H764" s="24" t="s">
        <v>177</v>
      </c>
      <c r="I764" s="28" t="s">
        <v>23</v>
      </c>
      <c r="J764" s="28" t="s">
        <v>172</v>
      </c>
      <c r="K764" s="28" t="s">
        <v>482</v>
      </c>
      <c r="M764" s="29"/>
      <c r="N764" s="25"/>
      <c r="O764" s="28" t="s">
        <v>27</v>
      </c>
      <c r="P764" s="24" t="s">
        <v>177</v>
      </c>
      <c r="Q764" s="14" t="b">
        <f t="shared" si="1"/>
        <v>0</v>
      </c>
      <c r="R764" s="15" t="b">
        <f t="shared" si="2"/>
        <v>0</v>
      </c>
      <c r="S764" s="15" t="str">
        <f t="shared" si="3"/>
        <v>PENDING</v>
      </c>
    </row>
    <row r="765" ht="15.75" customHeight="1">
      <c r="A765" s="24" t="s">
        <v>1757</v>
      </c>
      <c r="B765" s="115" t="s">
        <v>79</v>
      </c>
      <c r="C765" s="26">
        <v>45952.0</v>
      </c>
      <c r="D765" s="26">
        <v>45952.0</v>
      </c>
      <c r="E765" s="24" t="s">
        <v>1287</v>
      </c>
      <c r="F765" s="24">
        <v>40.0</v>
      </c>
      <c r="G765" s="27">
        <v>49.64</v>
      </c>
      <c r="H765" s="24" t="s">
        <v>177</v>
      </c>
      <c r="I765" s="28" t="s">
        <v>23</v>
      </c>
      <c r="J765" s="28" t="s">
        <v>172</v>
      </c>
      <c r="K765" s="28" t="s">
        <v>84</v>
      </c>
      <c r="M765" s="29" t="s">
        <v>1758</v>
      </c>
      <c r="N765" s="25"/>
      <c r="O765" s="28" t="s">
        <v>27</v>
      </c>
      <c r="P765" s="24" t="s">
        <v>177</v>
      </c>
      <c r="Q765" s="14" t="b">
        <f t="shared" si="1"/>
        <v>0</v>
      </c>
      <c r="R765" s="15" t="b">
        <f t="shared" si="2"/>
        <v>0</v>
      </c>
      <c r="S765" s="15" t="str">
        <f t="shared" si="3"/>
        <v>PENDING</v>
      </c>
    </row>
    <row r="766" ht="15.75" customHeight="1">
      <c r="A766" s="24" t="s">
        <v>1759</v>
      </c>
      <c r="B766" s="115" t="s">
        <v>222</v>
      </c>
      <c r="C766" s="26">
        <v>45952.0</v>
      </c>
      <c r="D766" s="26">
        <v>45952.0</v>
      </c>
      <c r="E766" s="24" t="s">
        <v>1287</v>
      </c>
      <c r="F766" s="24">
        <v>10.0</v>
      </c>
      <c r="G766" s="27"/>
      <c r="H766" s="24" t="s">
        <v>177</v>
      </c>
      <c r="I766" s="28" t="s">
        <v>23</v>
      </c>
      <c r="J766" s="28" t="s">
        <v>30</v>
      </c>
      <c r="K766" s="24" t="s">
        <v>31</v>
      </c>
      <c r="M766" s="29"/>
      <c r="N766" s="25"/>
      <c r="O766" s="28" t="s">
        <v>27</v>
      </c>
      <c r="P766" s="24" t="s">
        <v>177</v>
      </c>
      <c r="Q766" s="14" t="b">
        <f t="shared" si="1"/>
        <v>0</v>
      </c>
      <c r="R766" s="15" t="b">
        <f t="shared" si="2"/>
        <v>0</v>
      </c>
      <c r="S766" s="15" t="str">
        <f t="shared" si="3"/>
        <v>PENDING</v>
      </c>
    </row>
    <row r="767" ht="15.75" customHeight="1">
      <c r="A767" s="24" t="s">
        <v>1759</v>
      </c>
      <c r="B767" s="115" t="s">
        <v>222</v>
      </c>
      <c r="C767" s="26">
        <v>45952.0</v>
      </c>
      <c r="D767" s="26">
        <v>45952.0</v>
      </c>
      <c r="E767" s="24" t="s">
        <v>21</v>
      </c>
      <c r="F767" s="24">
        <v>10.0</v>
      </c>
      <c r="G767" s="27"/>
      <c r="H767" s="24" t="s">
        <v>177</v>
      </c>
      <c r="I767" s="28" t="s">
        <v>23</v>
      </c>
      <c r="J767" s="28" t="s">
        <v>30</v>
      </c>
      <c r="K767" s="24" t="s">
        <v>31</v>
      </c>
      <c r="M767" s="29"/>
      <c r="N767" s="25"/>
      <c r="O767" s="28" t="s">
        <v>27</v>
      </c>
      <c r="P767" s="24" t="s">
        <v>177</v>
      </c>
      <c r="Q767" s="14" t="b">
        <f t="shared" si="1"/>
        <v>0</v>
      </c>
      <c r="R767" s="15" t="b">
        <f t="shared" si="2"/>
        <v>0</v>
      </c>
      <c r="S767" s="15" t="str">
        <f t="shared" si="3"/>
        <v>PENDING</v>
      </c>
    </row>
    <row r="768" ht="15.75" customHeight="1">
      <c r="A768" s="24" t="s">
        <v>1760</v>
      </c>
      <c r="B768" s="115" t="s">
        <v>1761</v>
      </c>
      <c r="C768" s="26">
        <v>45953.0</v>
      </c>
      <c r="D768" s="26">
        <v>45953.0</v>
      </c>
      <c r="E768" s="24" t="s">
        <v>1287</v>
      </c>
      <c r="F768" s="24">
        <v>40.0</v>
      </c>
      <c r="G768" s="27">
        <v>49.64</v>
      </c>
      <c r="H768" s="24" t="s">
        <v>1387</v>
      </c>
      <c r="I768" s="28" t="s">
        <v>23</v>
      </c>
      <c r="J768" s="28" t="s">
        <v>172</v>
      </c>
      <c r="K768" s="28" t="s">
        <v>482</v>
      </c>
      <c r="M768" s="29"/>
      <c r="N768" s="25"/>
      <c r="O768" s="28" t="s">
        <v>27</v>
      </c>
      <c r="P768" s="24" t="s">
        <v>1387</v>
      </c>
      <c r="Q768" s="14" t="b">
        <f t="shared" si="1"/>
        <v>0</v>
      </c>
      <c r="R768" s="15" t="b">
        <f t="shared" si="2"/>
        <v>0</v>
      </c>
      <c r="S768" s="15" t="str">
        <f t="shared" si="3"/>
        <v>PENDING</v>
      </c>
    </row>
    <row r="769" ht="15.75" customHeight="1">
      <c r="A769" s="24" t="s">
        <v>1760</v>
      </c>
      <c r="B769" s="115" t="s">
        <v>1761</v>
      </c>
      <c r="C769" s="26">
        <v>45953.0</v>
      </c>
      <c r="D769" s="26">
        <v>45953.0</v>
      </c>
      <c r="E769" s="24" t="s">
        <v>21</v>
      </c>
      <c r="F769" s="24">
        <v>24.0</v>
      </c>
      <c r="G769" s="27">
        <v>118.18</v>
      </c>
      <c r="H769" s="24" t="s">
        <v>1387</v>
      </c>
      <c r="I769" s="28" t="s">
        <v>23</v>
      </c>
      <c r="J769" s="28" t="s">
        <v>172</v>
      </c>
      <c r="K769" s="28" t="s">
        <v>482</v>
      </c>
      <c r="M769" s="29"/>
      <c r="N769" s="25"/>
      <c r="O769" s="28" t="s">
        <v>27</v>
      </c>
      <c r="P769" s="24" t="s">
        <v>1387</v>
      </c>
      <c r="Q769" s="14" t="b">
        <f t="shared" si="1"/>
        <v>0</v>
      </c>
      <c r="R769" s="15" t="b">
        <f t="shared" si="2"/>
        <v>0</v>
      </c>
      <c r="S769" s="15" t="str">
        <f t="shared" si="3"/>
        <v>PENDING</v>
      </c>
    </row>
    <row r="770" ht="15.75" customHeight="1">
      <c r="A770" s="24" t="s">
        <v>1762</v>
      </c>
      <c r="B770" s="115" t="s">
        <v>222</v>
      </c>
      <c r="C770" s="26">
        <v>45953.0</v>
      </c>
      <c r="D770" s="26">
        <v>45953.0</v>
      </c>
      <c r="E770" s="24" t="s">
        <v>21</v>
      </c>
      <c r="F770" s="24">
        <v>10.0</v>
      </c>
      <c r="G770" s="27"/>
      <c r="H770" s="24" t="s">
        <v>177</v>
      </c>
      <c r="I770" s="28" t="s">
        <v>23</v>
      </c>
      <c r="J770" s="28" t="s">
        <v>30</v>
      </c>
      <c r="K770" s="24" t="s">
        <v>31</v>
      </c>
      <c r="M770" s="29"/>
      <c r="N770" s="25"/>
      <c r="O770" s="28" t="s">
        <v>27</v>
      </c>
      <c r="P770" s="24" t="s">
        <v>177</v>
      </c>
      <c r="Q770" s="14" t="b">
        <f t="shared" si="1"/>
        <v>0</v>
      </c>
      <c r="R770" s="15" t="b">
        <f t="shared" si="2"/>
        <v>0</v>
      </c>
      <c r="S770" s="15" t="str">
        <f t="shared" si="3"/>
        <v>PENDING</v>
      </c>
    </row>
    <row r="771" ht="15.75" customHeight="1">
      <c r="A771" s="24" t="s">
        <v>1762</v>
      </c>
      <c r="B771" s="115" t="s">
        <v>222</v>
      </c>
      <c r="C771" s="26">
        <v>45953.0</v>
      </c>
      <c r="D771" s="26">
        <v>45953.0</v>
      </c>
      <c r="E771" s="24" t="s">
        <v>1287</v>
      </c>
      <c r="F771" s="24">
        <v>10.0</v>
      </c>
      <c r="G771" s="27"/>
      <c r="H771" s="24" t="s">
        <v>177</v>
      </c>
      <c r="I771" s="28" t="s">
        <v>23</v>
      </c>
      <c r="J771" s="28" t="s">
        <v>30</v>
      </c>
      <c r="K771" s="24" t="s">
        <v>31</v>
      </c>
      <c r="M771" s="29"/>
      <c r="N771" s="25"/>
      <c r="O771" s="28" t="s">
        <v>27</v>
      </c>
      <c r="P771" s="24" t="s">
        <v>177</v>
      </c>
      <c r="Q771" s="14" t="b">
        <f t="shared" si="1"/>
        <v>0</v>
      </c>
      <c r="R771" s="15" t="b">
        <f t="shared" si="2"/>
        <v>0</v>
      </c>
      <c r="S771" s="15" t="str">
        <f t="shared" si="3"/>
        <v>PENDING</v>
      </c>
    </row>
    <row r="772" ht="15.75" customHeight="1">
      <c r="A772" s="7" t="s">
        <v>1763</v>
      </c>
      <c r="B772" s="8" t="s">
        <v>1764</v>
      </c>
      <c r="C772" s="9">
        <v>45947.0</v>
      </c>
      <c r="D772" s="9">
        <v>45947.0</v>
      </c>
      <c r="E772" s="7" t="s">
        <v>21</v>
      </c>
      <c r="F772" s="7">
        <v>24.0</v>
      </c>
      <c r="G772" s="10">
        <v>130.0</v>
      </c>
      <c r="H772" s="7" t="s">
        <v>1724</v>
      </c>
      <c r="I772" s="11" t="s">
        <v>23</v>
      </c>
      <c r="J772" s="11" t="s">
        <v>30</v>
      </c>
      <c r="K772" s="11" t="s">
        <v>25</v>
      </c>
      <c r="L772" s="16"/>
      <c r="M772" s="12"/>
      <c r="N772" s="13"/>
      <c r="O772" s="11" t="s">
        <v>27</v>
      </c>
      <c r="P772" s="7" t="s">
        <v>1724</v>
      </c>
      <c r="Q772" s="14" t="b">
        <f t="shared" si="1"/>
        <v>1</v>
      </c>
      <c r="R772" s="15" t="b">
        <f t="shared" si="2"/>
        <v>0</v>
      </c>
      <c r="S772" s="15" t="str">
        <f t="shared" si="3"/>
        <v>APPROVED</v>
      </c>
    </row>
    <row r="773" ht="15.75" customHeight="1">
      <c r="A773" s="7" t="s">
        <v>1765</v>
      </c>
      <c r="B773" s="13" t="s">
        <v>1766</v>
      </c>
      <c r="C773" s="9">
        <v>45938.0</v>
      </c>
      <c r="D773" s="9">
        <v>45938.0</v>
      </c>
      <c r="E773" s="7" t="s">
        <v>21</v>
      </c>
      <c r="F773" s="7">
        <v>48.0</v>
      </c>
      <c r="G773" s="10">
        <v>115.0</v>
      </c>
      <c r="H773" s="7" t="s">
        <v>715</v>
      </c>
      <c r="I773" s="11" t="s">
        <v>23</v>
      </c>
      <c r="J773" s="11" t="s">
        <v>30</v>
      </c>
      <c r="K773" s="11" t="s">
        <v>25</v>
      </c>
      <c r="L773" s="16"/>
      <c r="M773" s="12" t="s">
        <v>1767</v>
      </c>
      <c r="N773" s="13"/>
      <c r="O773" s="11" t="s">
        <v>27</v>
      </c>
      <c r="P773" s="7" t="s">
        <v>715</v>
      </c>
      <c r="Q773" s="14" t="b">
        <f t="shared" si="1"/>
        <v>1</v>
      </c>
      <c r="R773" s="15" t="b">
        <f t="shared" si="2"/>
        <v>0</v>
      </c>
      <c r="S773" s="15" t="str">
        <f t="shared" si="3"/>
        <v>APPROVED</v>
      </c>
    </row>
    <row r="774" ht="15.75" customHeight="1">
      <c r="A774" s="7" t="s">
        <v>1768</v>
      </c>
      <c r="B774" s="13" t="s">
        <v>1769</v>
      </c>
      <c r="C774" s="9">
        <v>45938.0</v>
      </c>
      <c r="D774" s="9">
        <v>45938.0</v>
      </c>
      <c r="E774" s="7" t="s">
        <v>21</v>
      </c>
      <c r="F774" s="7">
        <v>72.0</v>
      </c>
      <c r="G774" s="10">
        <v>115.0</v>
      </c>
      <c r="H774" s="7" t="s">
        <v>715</v>
      </c>
      <c r="I774" s="11" t="s">
        <v>23</v>
      </c>
      <c r="J774" s="11" t="s">
        <v>30</v>
      </c>
      <c r="K774" s="11" t="s">
        <v>25</v>
      </c>
      <c r="L774" s="16"/>
      <c r="M774" s="12" t="s">
        <v>1767</v>
      </c>
      <c r="N774" s="13"/>
      <c r="O774" s="11" t="s">
        <v>27</v>
      </c>
      <c r="P774" s="7" t="s">
        <v>715</v>
      </c>
      <c r="Q774" s="14" t="b">
        <f t="shared" si="1"/>
        <v>1</v>
      </c>
      <c r="R774" s="15" t="b">
        <f t="shared" si="2"/>
        <v>0</v>
      </c>
      <c r="S774" s="15" t="str">
        <f t="shared" si="3"/>
        <v>APPROVED</v>
      </c>
    </row>
    <row r="775" ht="15.75" customHeight="1">
      <c r="A775" s="7" t="s">
        <v>1770</v>
      </c>
      <c r="B775" s="13" t="s">
        <v>268</v>
      </c>
      <c r="C775" s="9">
        <v>45944.0</v>
      </c>
      <c r="D775" s="9">
        <v>45944.0</v>
      </c>
      <c r="E775" s="7" t="s">
        <v>1287</v>
      </c>
      <c r="F775" s="7">
        <v>40.0</v>
      </c>
      <c r="G775" s="10">
        <v>50.0</v>
      </c>
      <c r="H775" s="7" t="s">
        <v>715</v>
      </c>
      <c r="I775" s="11" t="s">
        <v>23</v>
      </c>
      <c r="J775" s="11" t="s">
        <v>30</v>
      </c>
      <c r="K775" s="11" t="s">
        <v>25</v>
      </c>
      <c r="L775" s="16"/>
      <c r="M775" s="12" t="s">
        <v>1767</v>
      </c>
      <c r="N775" s="13"/>
      <c r="O775" s="11" t="s">
        <v>27</v>
      </c>
      <c r="P775" s="7" t="s">
        <v>715</v>
      </c>
      <c r="Q775" s="14" t="b">
        <f t="shared" si="1"/>
        <v>1</v>
      </c>
      <c r="R775" s="15" t="b">
        <f t="shared" si="2"/>
        <v>0</v>
      </c>
      <c r="S775" s="15" t="str">
        <f t="shared" si="3"/>
        <v>APPROVED</v>
      </c>
    </row>
    <row r="776" ht="15.75" customHeight="1">
      <c r="A776" s="7" t="s">
        <v>1771</v>
      </c>
      <c r="B776" s="8" t="s">
        <v>999</v>
      </c>
      <c r="C776" s="9">
        <v>45940.0</v>
      </c>
      <c r="D776" s="9">
        <v>45940.0</v>
      </c>
      <c r="E776" s="7" t="s">
        <v>21</v>
      </c>
      <c r="F776" s="7">
        <v>72.0</v>
      </c>
      <c r="G776" s="10">
        <v>115.0</v>
      </c>
      <c r="H776" s="7" t="s">
        <v>715</v>
      </c>
      <c r="I776" s="11" t="s">
        <v>23</v>
      </c>
      <c r="J776" s="11" t="s">
        <v>30</v>
      </c>
      <c r="K776" s="11" t="s">
        <v>25</v>
      </c>
      <c r="L776" s="16"/>
      <c r="M776" s="12" t="s">
        <v>1767</v>
      </c>
      <c r="N776" s="13"/>
      <c r="O776" s="11" t="s">
        <v>27</v>
      </c>
      <c r="P776" s="7" t="s">
        <v>715</v>
      </c>
      <c r="Q776" s="14" t="b">
        <f t="shared" si="1"/>
        <v>1</v>
      </c>
      <c r="R776" s="15" t="b">
        <f t="shared" si="2"/>
        <v>0</v>
      </c>
      <c r="S776" s="15" t="str">
        <f t="shared" si="3"/>
        <v>APPROVED</v>
      </c>
    </row>
    <row r="777" ht="15.75" customHeight="1">
      <c r="A777" s="24" t="s">
        <v>1772</v>
      </c>
      <c r="B777" s="25" t="s">
        <v>473</v>
      </c>
      <c r="C777" s="26">
        <v>45944.0</v>
      </c>
      <c r="D777" s="26">
        <v>45944.0</v>
      </c>
      <c r="E777" s="24" t="s">
        <v>21</v>
      </c>
      <c r="F777" s="24">
        <v>120.0</v>
      </c>
      <c r="G777" s="27">
        <v>118.18</v>
      </c>
      <c r="H777" s="24" t="s">
        <v>177</v>
      </c>
      <c r="I777" s="28" t="s">
        <v>23</v>
      </c>
      <c r="J777" s="28" t="s">
        <v>172</v>
      </c>
      <c r="K777" s="28" t="s">
        <v>84</v>
      </c>
      <c r="M777" s="29" t="s">
        <v>1773</v>
      </c>
      <c r="N777" s="29" t="s">
        <v>1526</v>
      </c>
      <c r="O777" s="28" t="s">
        <v>27</v>
      </c>
      <c r="P777" s="24" t="s">
        <v>177</v>
      </c>
      <c r="Q777" s="14" t="b">
        <f t="shared" si="1"/>
        <v>0</v>
      </c>
      <c r="R777" s="15" t="b">
        <f t="shared" si="2"/>
        <v>0</v>
      </c>
      <c r="S777" s="15" t="str">
        <f t="shared" si="3"/>
        <v>PENDING</v>
      </c>
    </row>
    <row r="778" ht="15.75" customHeight="1">
      <c r="A778" s="24" t="s">
        <v>1772</v>
      </c>
      <c r="B778" s="25" t="s">
        <v>473</v>
      </c>
      <c r="C778" s="26">
        <v>45944.0</v>
      </c>
      <c r="D778" s="26">
        <v>45944.0</v>
      </c>
      <c r="E778" s="24" t="s">
        <v>1287</v>
      </c>
      <c r="F778" s="24">
        <v>40.0</v>
      </c>
      <c r="G778" s="27">
        <v>47.0</v>
      </c>
      <c r="H778" s="24" t="s">
        <v>177</v>
      </c>
      <c r="I778" s="28" t="s">
        <v>23</v>
      </c>
      <c r="J778" s="28" t="s">
        <v>172</v>
      </c>
      <c r="K778" s="28" t="s">
        <v>84</v>
      </c>
      <c r="M778" s="29" t="s">
        <v>1773</v>
      </c>
      <c r="N778" s="29" t="s">
        <v>1526</v>
      </c>
      <c r="O778" s="28" t="s">
        <v>27</v>
      </c>
      <c r="P778" s="24" t="s">
        <v>177</v>
      </c>
      <c r="Q778" s="14" t="b">
        <f t="shared" si="1"/>
        <v>0</v>
      </c>
      <c r="R778" s="15" t="b">
        <f t="shared" si="2"/>
        <v>0</v>
      </c>
      <c r="S778" s="15" t="str">
        <f t="shared" si="3"/>
        <v>PENDING</v>
      </c>
    </row>
    <row r="779" ht="15.75" customHeight="1">
      <c r="A779" s="24" t="s">
        <v>1774</v>
      </c>
      <c r="B779" s="25" t="s">
        <v>1775</v>
      </c>
      <c r="C779" s="26">
        <v>45943.0</v>
      </c>
      <c r="D779" s="26">
        <v>45943.0</v>
      </c>
      <c r="E779" s="24" t="s">
        <v>21</v>
      </c>
      <c r="F779" s="24">
        <v>24.0</v>
      </c>
      <c r="G779" s="27">
        <v>119.0</v>
      </c>
      <c r="H779" s="24" t="s">
        <v>715</v>
      </c>
      <c r="I779" s="28" t="s">
        <v>23</v>
      </c>
      <c r="J779" s="28" t="s">
        <v>172</v>
      </c>
      <c r="K779" s="28" t="s">
        <v>49</v>
      </c>
      <c r="M779" s="29"/>
      <c r="N779" s="25"/>
      <c r="O779" s="28" t="s">
        <v>27</v>
      </c>
      <c r="P779" s="24" t="s">
        <v>715</v>
      </c>
      <c r="Q779" s="14" t="b">
        <f t="shared" si="1"/>
        <v>0</v>
      </c>
      <c r="R779" s="15" t="b">
        <f t="shared" si="2"/>
        <v>0</v>
      </c>
      <c r="S779" s="15" t="str">
        <f t="shared" si="3"/>
        <v>PENDING</v>
      </c>
    </row>
    <row r="780" ht="15.75" customHeight="1">
      <c r="A780" s="24" t="s">
        <v>1776</v>
      </c>
      <c r="B780" s="115" t="s">
        <v>422</v>
      </c>
      <c r="C780" s="26">
        <v>45939.0</v>
      </c>
      <c r="D780" s="26">
        <v>45939.0</v>
      </c>
      <c r="E780" s="24" t="s">
        <v>1287</v>
      </c>
      <c r="F780" s="24">
        <v>40.0</v>
      </c>
      <c r="G780" s="27">
        <v>55.0</v>
      </c>
      <c r="H780" s="24" t="s">
        <v>715</v>
      </c>
      <c r="I780" s="28" t="s">
        <v>23</v>
      </c>
      <c r="J780" s="28" t="s">
        <v>172</v>
      </c>
      <c r="K780" s="28" t="s">
        <v>49</v>
      </c>
      <c r="M780" s="29"/>
      <c r="N780" s="25"/>
      <c r="O780" s="28" t="s">
        <v>27</v>
      </c>
      <c r="P780" s="24" t="s">
        <v>715</v>
      </c>
      <c r="Q780" s="14" t="b">
        <f t="shared" si="1"/>
        <v>0</v>
      </c>
      <c r="R780" s="15" t="b">
        <f t="shared" si="2"/>
        <v>0</v>
      </c>
      <c r="S780" s="15" t="str">
        <f t="shared" si="3"/>
        <v>PENDING</v>
      </c>
    </row>
    <row r="781" ht="15.75" customHeight="1">
      <c r="A781" s="24" t="s">
        <v>1777</v>
      </c>
      <c r="B781" s="25" t="s">
        <v>1778</v>
      </c>
      <c r="C781" s="26">
        <v>45938.0</v>
      </c>
      <c r="D781" s="26">
        <v>45938.0</v>
      </c>
      <c r="E781" s="24" t="s">
        <v>1287</v>
      </c>
      <c r="F781" s="24">
        <v>40.0</v>
      </c>
      <c r="G781" s="27">
        <v>55.0</v>
      </c>
      <c r="H781" s="24" t="s">
        <v>715</v>
      </c>
      <c r="I781" s="28" t="s">
        <v>23</v>
      </c>
      <c r="J781" s="28" t="s">
        <v>172</v>
      </c>
      <c r="K781" s="28" t="s">
        <v>49</v>
      </c>
      <c r="M781" s="29"/>
      <c r="N781" s="25"/>
      <c r="O781" s="28" t="s">
        <v>27</v>
      </c>
      <c r="P781" s="24" t="s">
        <v>715</v>
      </c>
      <c r="Q781" s="14" t="b">
        <f t="shared" si="1"/>
        <v>0</v>
      </c>
      <c r="R781" s="15" t="b">
        <f t="shared" si="2"/>
        <v>0</v>
      </c>
      <c r="S781" s="15" t="str">
        <f t="shared" si="3"/>
        <v>PENDING</v>
      </c>
    </row>
    <row r="782" ht="15.75" customHeight="1">
      <c r="A782" s="24" t="s">
        <v>1779</v>
      </c>
      <c r="B782" s="25" t="s">
        <v>1780</v>
      </c>
      <c r="C782" s="26">
        <v>45940.0</v>
      </c>
      <c r="D782" s="26">
        <v>45940.0</v>
      </c>
      <c r="E782" s="24" t="s">
        <v>1287</v>
      </c>
      <c r="F782" s="24">
        <v>40.0</v>
      </c>
      <c r="G782" s="27">
        <v>50.0</v>
      </c>
      <c r="H782" s="24" t="s">
        <v>715</v>
      </c>
      <c r="I782" s="28" t="s">
        <v>23</v>
      </c>
      <c r="J782" s="28" t="s">
        <v>172</v>
      </c>
      <c r="K782" s="28" t="s">
        <v>482</v>
      </c>
      <c r="M782" s="29"/>
      <c r="N782" s="25"/>
      <c r="O782" s="28" t="s">
        <v>27</v>
      </c>
      <c r="P782" s="24" t="s">
        <v>715</v>
      </c>
      <c r="Q782" s="14" t="b">
        <f t="shared" si="1"/>
        <v>0</v>
      </c>
      <c r="R782" s="15" t="b">
        <f t="shared" si="2"/>
        <v>0</v>
      </c>
      <c r="S782" s="15" t="str">
        <f t="shared" si="3"/>
        <v>PENDING</v>
      </c>
    </row>
    <row r="783" ht="15.75" customHeight="1">
      <c r="A783" s="24" t="s">
        <v>1781</v>
      </c>
      <c r="B783" s="115" t="s">
        <v>1509</v>
      </c>
      <c r="C783" s="26">
        <v>45944.0</v>
      </c>
      <c r="D783" s="26">
        <v>45944.0</v>
      </c>
      <c r="E783" s="24" t="s">
        <v>21</v>
      </c>
      <c r="F783" s="24">
        <v>24.0</v>
      </c>
      <c r="G783" s="27">
        <v>119.0</v>
      </c>
      <c r="H783" s="24" t="s">
        <v>715</v>
      </c>
      <c r="I783" s="28" t="s">
        <v>23</v>
      </c>
      <c r="J783" s="28" t="s">
        <v>172</v>
      </c>
      <c r="K783" s="28" t="s">
        <v>49</v>
      </c>
      <c r="M783" s="29"/>
      <c r="N783" s="25"/>
      <c r="O783" s="28" t="s">
        <v>27</v>
      </c>
      <c r="P783" s="24" t="s">
        <v>715</v>
      </c>
      <c r="Q783" s="14" t="b">
        <f t="shared" si="1"/>
        <v>0</v>
      </c>
      <c r="R783" s="15" t="b">
        <f t="shared" si="2"/>
        <v>0</v>
      </c>
      <c r="S783" s="15" t="str">
        <f t="shared" si="3"/>
        <v>PENDING</v>
      </c>
    </row>
    <row r="784" ht="15.75" customHeight="1">
      <c r="A784" s="24" t="s">
        <v>1782</v>
      </c>
      <c r="B784" s="25" t="s">
        <v>1783</v>
      </c>
      <c r="C784" s="26">
        <v>45944.0</v>
      </c>
      <c r="D784" s="26">
        <v>45944.0</v>
      </c>
      <c r="E784" s="24" t="s">
        <v>1287</v>
      </c>
      <c r="F784" s="24">
        <v>40.0</v>
      </c>
      <c r="G784" s="27">
        <v>50.0</v>
      </c>
      <c r="H784" s="24" t="s">
        <v>715</v>
      </c>
      <c r="I784" s="28" t="s">
        <v>23</v>
      </c>
      <c r="J784" s="28" t="s">
        <v>172</v>
      </c>
      <c r="K784" s="28" t="s">
        <v>49</v>
      </c>
      <c r="M784" s="29"/>
      <c r="N784" s="25"/>
      <c r="O784" s="28" t="s">
        <v>27</v>
      </c>
      <c r="P784" s="24" t="s">
        <v>715</v>
      </c>
      <c r="Q784" s="14" t="b">
        <f t="shared" si="1"/>
        <v>0</v>
      </c>
      <c r="R784" s="15" t="b">
        <f t="shared" si="2"/>
        <v>0</v>
      </c>
      <c r="S784" s="15" t="str">
        <f t="shared" si="3"/>
        <v>PENDING</v>
      </c>
    </row>
    <row r="785" ht="15.75" customHeight="1">
      <c r="A785" s="24" t="s">
        <v>1784</v>
      </c>
      <c r="B785" s="25" t="s">
        <v>1785</v>
      </c>
      <c r="C785" s="26">
        <v>45943.0</v>
      </c>
      <c r="D785" s="26">
        <v>45943.0</v>
      </c>
      <c r="E785" s="24" t="s">
        <v>1287</v>
      </c>
      <c r="F785" s="24">
        <v>40.0</v>
      </c>
      <c r="G785" s="27">
        <v>49.66</v>
      </c>
      <c r="H785" s="24" t="s">
        <v>1376</v>
      </c>
      <c r="I785" s="28" t="s">
        <v>23</v>
      </c>
      <c r="J785" s="28" t="s">
        <v>172</v>
      </c>
      <c r="K785" s="28" t="s">
        <v>84</v>
      </c>
      <c r="M785" s="29" t="s">
        <v>1786</v>
      </c>
      <c r="N785" s="25"/>
      <c r="O785" s="28" t="s">
        <v>27</v>
      </c>
      <c r="P785" s="24" t="s">
        <v>1376</v>
      </c>
      <c r="Q785" s="14" t="b">
        <f t="shared" si="1"/>
        <v>0</v>
      </c>
      <c r="R785" s="15" t="b">
        <f t="shared" si="2"/>
        <v>0</v>
      </c>
      <c r="S785" s="15" t="str">
        <f t="shared" si="3"/>
        <v>PENDING</v>
      </c>
    </row>
    <row r="786" ht="15.75" customHeight="1">
      <c r="A786" s="24" t="s">
        <v>1784</v>
      </c>
      <c r="B786" s="25" t="s">
        <v>1785</v>
      </c>
      <c r="C786" s="26">
        <v>45943.0</v>
      </c>
      <c r="D786" s="26">
        <v>45943.0</v>
      </c>
      <c r="E786" s="24" t="s">
        <v>21</v>
      </c>
      <c r="F786" s="24">
        <v>24.0</v>
      </c>
      <c r="G786" s="27">
        <v>118.0</v>
      </c>
      <c r="H786" s="24" t="s">
        <v>1376</v>
      </c>
      <c r="I786" s="28" t="s">
        <v>23</v>
      </c>
      <c r="J786" s="28" t="s">
        <v>172</v>
      </c>
      <c r="K786" s="28" t="s">
        <v>84</v>
      </c>
      <c r="M786" s="29"/>
      <c r="N786" s="25"/>
      <c r="O786" s="28" t="s">
        <v>27</v>
      </c>
      <c r="P786" s="24" t="s">
        <v>1376</v>
      </c>
      <c r="Q786" s="14" t="b">
        <f t="shared" si="1"/>
        <v>0</v>
      </c>
      <c r="R786" s="15" t="b">
        <f t="shared" si="2"/>
        <v>0</v>
      </c>
      <c r="S786" s="15" t="str">
        <f t="shared" si="3"/>
        <v>PENDING</v>
      </c>
    </row>
    <row r="787" ht="15.75" customHeight="1">
      <c r="A787" s="24" t="s">
        <v>1787</v>
      </c>
      <c r="B787" s="115" t="s">
        <v>1788</v>
      </c>
      <c r="C787" s="26">
        <v>45943.0</v>
      </c>
      <c r="D787" s="26">
        <v>45943.0</v>
      </c>
      <c r="E787" s="24" t="s">
        <v>1287</v>
      </c>
      <c r="F787" s="24">
        <v>20.0</v>
      </c>
      <c r="G787" s="27">
        <v>49.66</v>
      </c>
      <c r="H787" s="24" t="s">
        <v>1376</v>
      </c>
      <c r="I787" s="28" t="s">
        <v>23</v>
      </c>
      <c r="J787" s="28" t="s">
        <v>172</v>
      </c>
      <c r="K787" s="28" t="s">
        <v>482</v>
      </c>
      <c r="M787" s="29"/>
      <c r="N787" s="25"/>
      <c r="O787" s="28" t="s">
        <v>27</v>
      </c>
      <c r="P787" s="24" t="s">
        <v>1376</v>
      </c>
      <c r="Q787" s="14" t="b">
        <f t="shared" si="1"/>
        <v>0</v>
      </c>
      <c r="R787" s="15" t="b">
        <f t="shared" si="2"/>
        <v>0</v>
      </c>
      <c r="S787" s="15" t="str">
        <f t="shared" si="3"/>
        <v>PENDING</v>
      </c>
    </row>
    <row r="788" ht="15.75" customHeight="1">
      <c r="A788" s="24" t="s">
        <v>1789</v>
      </c>
      <c r="B788" s="25" t="s">
        <v>1790</v>
      </c>
      <c r="C788" s="26">
        <v>45943.0</v>
      </c>
      <c r="D788" s="26">
        <v>45943.0</v>
      </c>
      <c r="E788" s="24" t="s">
        <v>1287</v>
      </c>
      <c r="F788" s="24">
        <v>40.0</v>
      </c>
      <c r="G788" s="27">
        <v>49.66</v>
      </c>
      <c r="H788" s="24" t="s">
        <v>1376</v>
      </c>
      <c r="I788" s="28" t="s">
        <v>23</v>
      </c>
      <c r="J788" s="28" t="s">
        <v>172</v>
      </c>
      <c r="K788" s="28" t="s">
        <v>84</v>
      </c>
      <c r="M788" s="29" t="s">
        <v>1791</v>
      </c>
      <c r="N788" s="25"/>
      <c r="O788" s="28" t="s">
        <v>27</v>
      </c>
      <c r="P788" s="24" t="s">
        <v>1376</v>
      </c>
      <c r="Q788" s="14" t="b">
        <f t="shared" si="1"/>
        <v>0</v>
      </c>
      <c r="R788" s="15" t="b">
        <f t="shared" si="2"/>
        <v>0</v>
      </c>
      <c r="S788" s="15" t="str">
        <f t="shared" si="3"/>
        <v>PENDING</v>
      </c>
    </row>
    <row r="789" ht="15.75" customHeight="1">
      <c r="A789" s="24" t="s">
        <v>1792</v>
      </c>
      <c r="B789" s="115" t="s">
        <v>1793</v>
      </c>
      <c r="C789" s="26">
        <v>45943.0</v>
      </c>
      <c r="D789" s="26">
        <v>45943.0</v>
      </c>
      <c r="E789" s="24" t="s">
        <v>1287</v>
      </c>
      <c r="F789" s="24">
        <v>20.0</v>
      </c>
      <c r="G789" s="27">
        <v>49.66</v>
      </c>
      <c r="H789" s="24" t="s">
        <v>1376</v>
      </c>
      <c r="I789" s="28" t="s">
        <v>23</v>
      </c>
      <c r="J789" s="28" t="s">
        <v>172</v>
      </c>
      <c r="K789" s="28" t="s">
        <v>482</v>
      </c>
      <c r="M789" s="29"/>
      <c r="N789" s="25"/>
      <c r="O789" s="28" t="s">
        <v>27</v>
      </c>
      <c r="P789" s="24" t="s">
        <v>1376</v>
      </c>
      <c r="Q789" s="14" t="b">
        <f t="shared" si="1"/>
        <v>0</v>
      </c>
      <c r="R789" s="15" t="b">
        <f t="shared" si="2"/>
        <v>0</v>
      </c>
      <c r="S789" s="15" t="str">
        <f t="shared" si="3"/>
        <v>PENDING</v>
      </c>
    </row>
    <row r="790" ht="15.75" customHeight="1">
      <c r="A790" s="24" t="s">
        <v>1792</v>
      </c>
      <c r="B790" s="115" t="s">
        <v>1793</v>
      </c>
      <c r="C790" s="26">
        <v>45943.0</v>
      </c>
      <c r="D790" s="26">
        <v>45943.0</v>
      </c>
      <c r="E790" s="24" t="s">
        <v>21</v>
      </c>
      <c r="F790" s="24">
        <v>12.0</v>
      </c>
      <c r="G790" s="27">
        <v>118.0</v>
      </c>
      <c r="H790" s="24" t="s">
        <v>1376</v>
      </c>
      <c r="I790" s="28" t="s">
        <v>23</v>
      </c>
      <c r="J790" s="28" t="s">
        <v>24</v>
      </c>
      <c r="K790" s="28" t="s">
        <v>482</v>
      </c>
      <c r="M790" s="29"/>
      <c r="N790" s="25"/>
      <c r="O790" s="28" t="s">
        <v>27</v>
      </c>
      <c r="P790" s="24" t="s">
        <v>1376</v>
      </c>
      <c r="Q790" s="14" t="b">
        <f t="shared" si="1"/>
        <v>0</v>
      </c>
      <c r="R790" s="15" t="b">
        <f t="shared" si="2"/>
        <v>0</v>
      </c>
      <c r="S790" s="15" t="str">
        <f t="shared" si="3"/>
        <v>PENDING</v>
      </c>
    </row>
    <row r="791" ht="15.75" customHeight="1">
      <c r="A791" s="24" t="s">
        <v>1794</v>
      </c>
      <c r="B791" s="25" t="s">
        <v>1795</v>
      </c>
      <c r="C791" s="26">
        <v>45944.0</v>
      </c>
      <c r="D791" s="26">
        <v>45944.0</v>
      </c>
      <c r="E791" s="24" t="s">
        <v>1287</v>
      </c>
      <c r="F791" s="24">
        <v>40.0</v>
      </c>
      <c r="G791" s="27">
        <v>49.66</v>
      </c>
      <c r="H791" s="24" t="s">
        <v>1376</v>
      </c>
      <c r="I791" s="28" t="s">
        <v>23</v>
      </c>
      <c r="J791" s="28" t="s">
        <v>172</v>
      </c>
      <c r="K791" s="28" t="s">
        <v>25</v>
      </c>
      <c r="M791" s="29" t="s">
        <v>923</v>
      </c>
      <c r="N791" s="25" t="s">
        <v>1796</v>
      </c>
      <c r="O791" s="28" t="s">
        <v>27</v>
      </c>
      <c r="P791" s="24" t="s">
        <v>1376</v>
      </c>
      <c r="Q791" s="14" t="b">
        <f t="shared" si="1"/>
        <v>1</v>
      </c>
      <c r="R791" s="15" t="b">
        <f t="shared" si="2"/>
        <v>0</v>
      </c>
      <c r="S791" s="15" t="str">
        <f t="shared" si="3"/>
        <v>APPROVED</v>
      </c>
    </row>
    <row r="792" ht="15.75" customHeight="1">
      <c r="A792" s="24" t="s">
        <v>1797</v>
      </c>
      <c r="B792" s="25" t="s">
        <v>1647</v>
      </c>
      <c r="C792" s="26">
        <v>45944.0</v>
      </c>
      <c r="D792" s="26">
        <v>45944.0</v>
      </c>
      <c r="E792" s="24" t="s">
        <v>21</v>
      </c>
      <c r="F792" s="24">
        <v>144.0</v>
      </c>
      <c r="G792" s="27">
        <v>118.18</v>
      </c>
      <c r="H792" s="24" t="s">
        <v>1387</v>
      </c>
      <c r="I792" s="28" t="s">
        <v>23</v>
      </c>
      <c r="J792" s="28" t="s">
        <v>172</v>
      </c>
      <c r="K792" s="28" t="s">
        <v>482</v>
      </c>
      <c r="M792" s="29"/>
      <c r="N792" s="25"/>
      <c r="O792" s="28" t="s">
        <v>27</v>
      </c>
      <c r="P792" s="24" t="s">
        <v>1387</v>
      </c>
      <c r="Q792" s="14" t="b">
        <f t="shared" si="1"/>
        <v>0</v>
      </c>
      <c r="R792" s="15" t="b">
        <f t="shared" si="2"/>
        <v>0</v>
      </c>
      <c r="S792" s="15" t="str">
        <f t="shared" si="3"/>
        <v>PENDING</v>
      </c>
    </row>
    <row r="793" ht="15.75" customHeight="1">
      <c r="A793" s="24" t="s">
        <v>1798</v>
      </c>
      <c r="B793" s="25" t="s">
        <v>1799</v>
      </c>
      <c r="C793" s="26">
        <v>45943.0</v>
      </c>
      <c r="D793" s="26">
        <v>45943.0</v>
      </c>
      <c r="E793" s="24" t="s">
        <v>1287</v>
      </c>
      <c r="F793" s="24">
        <v>40.0</v>
      </c>
      <c r="G793" s="27">
        <v>49.66</v>
      </c>
      <c r="H793" s="24" t="s">
        <v>1376</v>
      </c>
      <c r="I793" s="28" t="s">
        <v>23</v>
      </c>
      <c r="J793" s="28" t="s">
        <v>172</v>
      </c>
      <c r="K793" s="28" t="s">
        <v>482</v>
      </c>
      <c r="M793" s="29"/>
      <c r="N793" s="25"/>
      <c r="O793" s="28" t="s">
        <v>27</v>
      </c>
      <c r="P793" s="24" t="s">
        <v>1376</v>
      </c>
      <c r="Q793" s="14" t="b">
        <f t="shared" si="1"/>
        <v>0</v>
      </c>
      <c r="R793" s="15" t="b">
        <f t="shared" si="2"/>
        <v>0</v>
      </c>
      <c r="S793" s="15" t="str">
        <f t="shared" si="3"/>
        <v>PENDING</v>
      </c>
    </row>
    <row r="794" ht="15.75" customHeight="1">
      <c r="A794" s="24" t="s">
        <v>1800</v>
      </c>
      <c r="B794" s="25" t="s">
        <v>1801</v>
      </c>
      <c r="C794" s="26">
        <v>45953.0</v>
      </c>
      <c r="D794" s="26">
        <v>45953.0</v>
      </c>
      <c r="E794" s="24" t="s">
        <v>1287</v>
      </c>
      <c r="F794" s="24">
        <v>40.0</v>
      </c>
      <c r="G794" s="27">
        <v>49.66</v>
      </c>
      <c r="H794" s="24" t="s">
        <v>1376</v>
      </c>
      <c r="I794" s="28" t="s">
        <v>23</v>
      </c>
      <c r="J794" s="28" t="s">
        <v>172</v>
      </c>
      <c r="K794" s="28" t="s">
        <v>84</v>
      </c>
      <c r="M794" s="29" t="s">
        <v>1684</v>
      </c>
      <c r="N794" s="25"/>
      <c r="O794" s="28" t="s">
        <v>27</v>
      </c>
      <c r="P794" s="24" t="s">
        <v>1376</v>
      </c>
      <c r="Q794" s="14" t="b">
        <f t="shared" si="1"/>
        <v>0</v>
      </c>
      <c r="R794" s="15" t="b">
        <f t="shared" si="2"/>
        <v>0</v>
      </c>
      <c r="S794" s="15" t="str">
        <f t="shared" si="3"/>
        <v>PENDING</v>
      </c>
    </row>
    <row r="795" ht="15.75" customHeight="1">
      <c r="A795" s="24" t="s">
        <v>1802</v>
      </c>
      <c r="B795" s="25" t="s">
        <v>1803</v>
      </c>
      <c r="C795" s="26">
        <v>45953.0</v>
      </c>
      <c r="D795" s="26">
        <v>45953.0</v>
      </c>
      <c r="E795" s="24" t="s">
        <v>1287</v>
      </c>
      <c r="F795" s="24">
        <v>40.0</v>
      </c>
      <c r="G795" s="27">
        <v>49.66</v>
      </c>
      <c r="H795" s="24" t="s">
        <v>1376</v>
      </c>
      <c r="I795" s="28" t="s">
        <v>23</v>
      </c>
      <c r="J795" s="28" t="s">
        <v>172</v>
      </c>
      <c r="K795" s="28" t="s">
        <v>482</v>
      </c>
      <c r="M795" s="29"/>
      <c r="N795" s="29"/>
      <c r="O795" s="28" t="s">
        <v>27</v>
      </c>
      <c r="P795" s="24" t="s">
        <v>1376</v>
      </c>
      <c r="Q795" s="14" t="b">
        <f t="shared" si="1"/>
        <v>0</v>
      </c>
      <c r="R795" s="15" t="b">
        <f t="shared" si="2"/>
        <v>0</v>
      </c>
      <c r="S795" s="15" t="str">
        <f t="shared" si="3"/>
        <v>PENDING</v>
      </c>
    </row>
    <row r="796" ht="15.75" customHeight="1">
      <c r="A796" s="24" t="s">
        <v>1802</v>
      </c>
      <c r="B796" s="25" t="s">
        <v>1803</v>
      </c>
      <c r="C796" s="26">
        <v>45953.0</v>
      </c>
      <c r="D796" s="26">
        <v>45953.0</v>
      </c>
      <c r="E796" s="24" t="s">
        <v>21</v>
      </c>
      <c r="F796" s="24">
        <v>24.0</v>
      </c>
      <c r="G796" s="27">
        <v>118.0</v>
      </c>
      <c r="H796" s="24" t="s">
        <v>1376</v>
      </c>
      <c r="I796" s="28" t="s">
        <v>23</v>
      </c>
      <c r="J796" s="28" t="s">
        <v>172</v>
      </c>
      <c r="K796" s="28" t="s">
        <v>482</v>
      </c>
      <c r="M796" s="29"/>
      <c r="N796" s="29"/>
      <c r="O796" s="28" t="s">
        <v>27</v>
      </c>
      <c r="P796" s="24" t="s">
        <v>1376</v>
      </c>
      <c r="Q796" s="14" t="b">
        <f t="shared" si="1"/>
        <v>0</v>
      </c>
      <c r="R796" s="15" t="b">
        <f t="shared" si="2"/>
        <v>0</v>
      </c>
      <c r="S796" s="15" t="str">
        <f t="shared" si="3"/>
        <v>PENDING</v>
      </c>
    </row>
    <row r="797" ht="15.75" customHeight="1">
      <c r="A797" s="24" t="s">
        <v>1804</v>
      </c>
      <c r="B797" s="115" t="s">
        <v>495</v>
      </c>
      <c r="C797" s="26">
        <v>45953.0</v>
      </c>
      <c r="D797" s="26">
        <v>45953.0</v>
      </c>
      <c r="E797" s="24" t="s">
        <v>21</v>
      </c>
      <c r="F797" s="24">
        <v>120.0</v>
      </c>
      <c r="G797" s="27">
        <v>118.0</v>
      </c>
      <c r="H797" s="24" t="s">
        <v>177</v>
      </c>
      <c r="I797" s="28" t="s">
        <v>23</v>
      </c>
      <c r="J797" s="28" t="s">
        <v>172</v>
      </c>
      <c r="K797" s="28" t="s">
        <v>482</v>
      </c>
      <c r="M797" s="29" t="s">
        <v>1805</v>
      </c>
      <c r="N797" s="29" t="s">
        <v>1806</v>
      </c>
      <c r="O797" s="28" t="s">
        <v>27</v>
      </c>
      <c r="P797" s="24" t="s">
        <v>177</v>
      </c>
      <c r="Q797" s="14" t="b">
        <f t="shared" si="1"/>
        <v>0</v>
      </c>
      <c r="R797" s="15" t="b">
        <f t="shared" si="2"/>
        <v>0</v>
      </c>
      <c r="S797" s="15" t="str">
        <f t="shared" si="3"/>
        <v>PENDING</v>
      </c>
    </row>
    <row r="798" ht="15.75" customHeight="1">
      <c r="A798" s="24" t="s">
        <v>1804</v>
      </c>
      <c r="B798" s="115" t="s">
        <v>495</v>
      </c>
      <c r="C798" s="26">
        <v>45953.0</v>
      </c>
      <c r="D798" s="26">
        <v>45953.0</v>
      </c>
      <c r="E798" s="24" t="s">
        <v>1287</v>
      </c>
      <c r="F798" s="24">
        <v>40.0</v>
      </c>
      <c r="G798" s="27">
        <v>49.64</v>
      </c>
      <c r="H798" s="24" t="s">
        <v>177</v>
      </c>
      <c r="I798" s="28" t="s">
        <v>23</v>
      </c>
      <c r="J798" s="28" t="s">
        <v>172</v>
      </c>
      <c r="K798" s="28" t="s">
        <v>482</v>
      </c>
      <c r="M798" s="29" t="s">
        <v>1805</v>
      </c>
      <c r="N798" s="29" t="s">
        <v>1806</v>
      </c>
      <c r="O798" s="28" t="s">
        <v>27</v>
      </c>
      <c r="P798" s="24" t="s">
        <v>177</v>
      </c>
      <c r="Q798" s="14" t="b">
        <f t="shared" si="1"/>
        <v>0</v>
      </c>
      <c r="R798" s="15" t="b">
        <f t="shared" si="2"/>
        <v>0</v>
      </c>
      <c r="S798" s="15" t="str">
        <f t="shared" si="3"/>
        <v>PENDING</v>
      </c>
    </row>
    <row r="799" ht="15.75" customHeight="1">
      <c r="A799" s="24" t="s">
        <v>1807</v>
      </c>
      <c r="B799" s="25" t="s">
        <v>1808</v>
      </c>
      <c r="C799" s="26">
        <v>45954.0</v>
      </c>
      <c r="D799" s="26">
        <v>45954.0</v>
      </c>
      <c r="E799" s="24" t="s">
        <v>1287</v>
      </c>
      <c r="F799" s="24">
        <v>80.0</v>
      </c>
      <c r="G799" s="27">
        <v>49.64</v>
      </c>
      <c r="H799" s="24" t="s">
        <v>177</v>
      </c>
      <c r="I799" s="28" t="s">
        <v>23</v>
      </c>
      <c r="J799" s="28" t="s">
        <v>172</v>
      </c>
      <c r="K799" s="28" t="s">
        <v>482</v>
      </c>
      <c r="M799" s="29"/>
      <c r="N799" s="25"/>
      <c r="O799" s="28" t="s">
        <v>27</v>
      </c>
      <c r="P799" s="24" t="s">
        <v>177</v>
      </c>
      <c r="Q799" s="14" t="b">
        <f t="shared" si="1"/>
        <v>0</v>
      </c>
      <c r="R799" s="15" t="b">
        <f t="shared" si="2"/>
        <v>0</v>
      </c>
      <c r="S799" s="15" t="str">
        <f t="shared" si="3"/>
        <v>PENDING</v>
      </c>
    </row>
    <row r="800" ht="15.75" customHeight="1">
      <c r="A800" s="24" t="s">
        <v>1809</v>
      </c>
      <c r="B800" s="115" t="s">
        <v>461</v>
      </c>
      <c r="C800" s="26">
        <v>45954.0</v>
      </c>
      <c r="D800" s="26">
        <v>45954.0</v>
      </c>
      <c r="E800" s="24" t="s">
        <v>21</v>
      </c>
      <c r="F800" s="24">
        <v>24.0</v>
      </c>
      <c r="G800" s="27">
        <v>118.18</v>
      </c>
      <c r="H800" s="24" t="s">
        <v>177</v>
      </c>
      <c r="I800" s="28" t="s">
        <v>23</v>
      </c>
      <c r="J800" s="28" t="s">
        <v>172</v>
      </c>
      <c r="K800" s="28" t="s">
        <v>482</v>
      </c>
      <c r="M800" s="29"/>
      <c r="N800" s="25"/>
      <c r="O800" s="28" t="s">
        <v>27</v>
      </c>
      <c r="P800" s="24" t="s">
        <v>177</v>
      </c>
      <c r="Q800" s="14" t="b">
        <f t="shared" si="1"/>
        <v>0</v>
      </c>
      <c r="R800" s="15" t="b">
        <f t="shared" si="2"/>
        <v>0</v>
      </c>
      <c r="S800" s="15" t="str">
        <f t="shared" si="3"/>
        <v>PENDING</v>
      </c>
    </row>
    <row r="801" ht="15.75" customHeight="1">
      <c r="A801" s="24" t="s">
        <v>1810</v>
      </c>
      <c r="B801" s="25" t="s">
        <v>1373</v>
      </c>
      <c r="C801" s="26">
        <v>45960.0</v>
      </c>
      <c r="D801" s="26">
        <v>45960.0</v>
      </c>
      <c r="E801" s="24" t="s">
        <v>21</v>
      </c>
      <c r="F801" s="24">
        <v>24.0</v>
      </c>
      <c r="G801" s="27">
        <v>118.0</v>
      </c>
      <c r="H801" s="24" t="s">
        <v>1387</v>
      </c>
      <c r="I801" s="28" t="s">
        <v>23</v>
      </c>
      <c r="J801" s="28" t="s">
        <v>172</v>
      </c>
      <c r="K801" s="28" t="s">
        <v>482</v>
      </c>
      <c r="M801" s="29"/>
      <c r="N801" s="25"/>
      <c r="O801" s="28" t="s">
        <v>27</v>
      </c>
      <c r="P801" s="24" t="s">
        <v>1387</v>
      </c>
      <c r="Q801" s="14" t="b">
        <f t="shared" si="1"/>
        <v>0</v>
      </c>
      <c r="R801" s="15" t="b">
        <f t="shared" si="2"/>
        <v>0</v>
      </c>
      <c r="S801" s="15" t="str">
        <f t="shared" si="3"/>
        <v>PENDING</v>
      </c>
    </row>
    <row r="802" ht="15.75" customHeight="1">
      <c r="A802" s="24" t="s">
        <v>1811</v>
      </c>
      <c r="B802" s="115" t="s">
        <v>1812</v>
      </c>
      <c r="C802" s="26">
        <v>45961.0</v>
      </c>
      <c r="D802" s="26">
        <v>45961.0</v>
      </c>
      <c r="E802" s="24" t="s">
        <v>21</v>
      </c>
      <c r="F802" s="24">
        <v>24.0</v>
      </c>
      <c r="G802" s="27">
        <v>118.18</v>
      </c>
      <c r="H802" s="24" t="s">
        <v>1387</v>
      </c>
      <c r="I802" s="28" t="s">
        <v>23</v>
      </c>
      <c r="J802" s="28" t="s">
        <v>172</v>
      </c>
      <c r="K802" s="28" t="s">
        <v>482</v>
      </c>
      <c r="M802" s="29" t="s">
        <v>1813</v>
      </c>
      <c r="N802" s="25"/>
      <c r="O802" s="28" t="s">
        <v>27</v>
      </c>
      <c r="P802" s="24" t="s">
        <v>1387</v>
      </c>
      <c r="Q802" s="14" t="b">
        <f t="shared" si="1"/>
        <v>0</v>
      </c>
      <c r="R802" s="15" t="b">
        <f t="shared" si="2"/>
        <v>0</v>
      </c>
      <c r="S802" s="15" t="str">
        <f t="shared" si="3"/>
        <v>PENDING</v>
      </c>
    </row>
    <row r="803" ht="15.75" customHeight="1">
      <c r="A803" s="24" t="s">
        <v>1811</v>
      </c>
      <c r="B803" s="115" t="s">
        <v>1812</v>
      </c>
      <c r="C803" s="26">
        <v>45961.0</v>
      </c>
      <c r="D803" s="26">
        <v>45961.0</v>
      </c>
      <c r="E803" s="24" t="s">
        <v>1287</v>
      </c>
      <c r="F803" s="24">
        <v>40.0</v>
      </c>
      <c r="G803" s="27">
        <v>49.64</v>
      </c>
      <c r="H803" s="24" t="s">
        <v>1387</v>
      </c>
      <c r="I803" s="28" t="s">
        <v>23</v>
      </c>
      <c r="J803" s="28" t="s">
        <v>172</v>
      </c>
      <c r="K803" s="28" t="s">
        <v>482</v>
      </c>
      <c r="M803" s="29"/>
      <c r="N803" s="29" t="s">
        <v>1814</v>
      </c>
      <c r="O803" s="28" t="s">
        <v>27</v>
      </c>
      <c r="P803" s="24" t="s">
        <v>1387</v>
      </c>
      <c r="Q803" s="14" t="b">
        <f t="shared" si="1"/>
        <v>0</v>
      </c>
      <c r="R803" s="15" t="b">
        <f t="shared" si="2"/>
        <v>0</v>
      </c>
      <c r="S803" s="15" t="str">
        <f t="shared" si="3"/>
        <v>PENDING</v>
      </c>
    </row>
    <row r="804" ht="15.75" customHeight="1">
      <c r="A804" s="24" t="s">
        <v>1815</v>
      </c>
      <c r="B804" s="25"/>
      <c r="C804" s="26"/>
      <c r="D804" s="26"/>
      <c r="E804" s="24"/>
      <c r="F804" s="24"/>
      <c r="G804" s="27"/>
      <c r="H804" s="24"/>
      <c r="I804" s="28" t="s">
        <v>23</v>
      </c>
      <c r="J804" s="24"/>
      <c r="K804" s="28" t="s">
        <v>31</v>
      </c>
      <c r="M804" s="29"/>
      <c r="N804" s="25"/>
      <c r="O804" s="68" t="s">
        <v>417</v>
      </c>
      <c r="P804" s="24"/>
      <c r="Q804" s="14" t="b">
        <f t="shared" si="1"/>
        <v>0</v>
      </c>
      <c r="R804" s="15" t="b">
        <f t="shared" si="2"/>
        <v>0</v>
      </c>
      <c r="S804" s="15" t="str">
        <f t="shared" si="3"/>
        <v>PENDING</v>
      </c>
    </row>
    <row r="805" ht="15.75" customHeight="1">
      <c r="A805" s="30" t="s">
        <v>1816</v>
      </c>
      <c r="B805" s="58" t="s">
        <v>1801</v>
      </c>
      <c r="C805" s="32">
        <v>45952.0</v>
      </c>
      <c r="D805" s="32"/>
      <c r="E805" s="30" t="s">
        <v>1287</v>
      </c>
      <c r="F805" s="30"/>
      <c r="G805" s="30"/>
      <c r="H805" s="30" t="s">
        <v>1376</v>
      </c>
      <c r="I805" s="34" t="s">
        <v>23</v>
      </c>
      <c r="J805" s="34" t="s">
        <v>48</v>
      </c>
      <c r="K805" s="34" t="s">
        <v>49</v>
      </c>
      <c r="L805" s="66"/>
      <c r="M805" s="35"/>
      <c r="N805" s="31"/>
      <c r="O805" s="30" t="s">
        <v>98</v>
      </c>
      <c r="P805" s="30" t="s">
        <v>1376</v>
      </c>
      <c r="Q805" s="14" t="b">
        <f t="shared" si="1"/>
        <v>0</v>
      </c>
      <c r="R805" s="15" t="b">
        <f t="shared" si="2"/>
        <v>1</v>
      </c>
      <c r="S805" s="15" t="str">
        <f t="shared" si="3"/>
        <v>PENDING</v>
      </c>
    </row>
    <row r="806" ht="15.75" customHeight="1">
      <c r="A806" s="30" t="s">
        <v>1817</v>
      </c>
      <c r="B806" s="58" t="s">
        <v>1181</v>
      </c>
      <c r="C806" s="32">
        <v>45953.0</v>
      </c>
      <c r="D806" s="32"/>
      <c r="E806" s="30" t="s">
        <v>21</v>
      </c>
      <c r="F806" s="30"/>
      <c r="G806" s="33"/>
      <c r="H806" s="30" t="s">
        <v>1182</v>
      </c>
      <c r="I806" s="34" t="s">
        <v>23</v>
      </c>
      <c r="J806" s="34" t="s">
        <v>30</v>
      </c>
      <c r="K806" s="30" t="s">
        <v>31</v>
      </c>
      <c r="L806" s="66"/>
      <c r="M806" s="35"/>
      <c r="N806" s="58" t="s">
        <v>1818</v>
      </c>
      <c r="O806" s="30" t="s">
        <v>98</v>
      </c>
      <c r="P806" s="30" t="s">
        <v>1182</v>
      </c>
      <c r="Q806" s="14" t="b">
        <f t="shared" si="1"/>
        <v>0</v>
      </c>
      <c r="R806" s="15" t="b">
        <f t="shared" si="2"/>
        <v>1</v>
      </c>
      <c r="S806" s="15" t="str">
        <f t="shared" si="3"/>
        <v>PENDING</v>
      </c>
    </row>
    <row r="807" ht="15.75" customHeight="1">
      <c r="A807" s="30" t="s">
        <v>1817</v>
      </c>
      <c r="B807" s="58" t="s">
        <v>1181</v>
      </c>
      <c r="C807" s="32">
        <v>45953.0</v>
      </c>
      <c r="D807" s="32"/>
      <c r="E807" s="30" t="s">
        <v>1287</v>
      </c>
      <c r="F807" s="154"/>
      <c r="G807" s="33"/>
      <c r="H807" s="30" t="s">
        <v>1182</v>
      </c>
      <c r="I807" s="34" t="s">
        <v>23</v>
      </c>
      <c r="J807" s="34" t="s">
        <v>30</v>
      </c>
      <c r="K807" s="30" t="s">
        <v>31</v>
      </c>
      <c r="L807" s="66"/>
      <c r="M807" s="35"/>
      <c r="N807" s="58" t="s">
        <v>1818</v>
      </c>
      <c r="O807" s="30" t="s">
        <v>98</v>
      </c>
      <c r="P807" s="30" t="s">
        <v>1182</v>
      </c>
      <c r="Q807" s="14" t="b">
        <f t="shared" si="1"/>
        <v>0</v>
      </c>
      <c r="R807" s="15" t="b">
        <f t="shared" si="2"/>
        <v>1</v>
      </c>
      <c r="S807" s="15" t="str">
        <f t="shared" si="3"/>
        <v>PENDING</v>
      </c>
    </row>
    <row r="808" ht="15.75" customHeight="1">
      <c r="A808" s="7" t="s">
        <v>1819</v>
      </c>
      <c r="B808" s="13" t="s">
        <v>1820</v>
      </c>
      <c r="C808" s="9">
        <v>45950.0</v>
      </c>
      <c r="D808" s="9">
        <v>45950.0</v>
      </c>
      <c r="E808" s="7" t="s">
        <v>1287</v>
      </c>
      <c r="F808" s="7">
        <v>20.0</v>
      </c>
      <c r="G808" s="10">
        <v>50.0</v>
      </c>
      <c r="H808" s="7" t="s">
        <v>715</v>
      </c>
      <c r="I808" s="11" t="s">
        <v>23</v>
      </c>
      <c r="J808" s="11" t="s">
        <v>30</v>
      </c>
      <c r="K808" s="11" t="s">
        <v>25</v>
      </c>
      <c r="L808" s="16"/>
      <c r="M808" s="12"/>
      <c r="N808" s="13"/>
      <c r="O808" s="11" t="s">
        <v>27</v>
      </c>
      <c r="P808" s="7" t="s">
        <v>715</v>
      </c>
      <c r="Q808" s="14" t="b">
        <f t="shared" si="1"/>
        <v>1</v>
      </c>
      <c r="R808" s="15" t="b">
        <f t="shared" si="2"/>
        <v>0</v>
      </c>
      <c r="S808" s="15" t="str">
        <f t="shared" si="3"/>
        <v>APPROVED</v>
      </c>
    </row>
    <row r="809" ht="15.75" customHeight="1">
      <c r="A809" s="24" t="s">
        <v>1821</v>
      </c>
      <c r="B809" s="115" t="s">
        <v>1195</v>
      </c>
      <c r="C809" s="26">
        <v>45946.0</v>
      </c>
      <c r="D809" s="26">
        <v>45946.0</v>
      </c>
      <c r="E809" s="24" t="s">
        <v>21</v>
      </c>
      <c r="F809" s="24">
        <v>72.0</v>
      </c>
      <c r="G809" s="27">
        <v>119.0</v>
      </c>
      <c r="H809" s="24" t="s">
        <v>715</v>
      </c>
      <c r="I809" s="28" t="s">
        <v>23</v>
      </c>
      <c r="J809" s="28" t="s">
        <v>172</v>
      </c>
      <c r="K809" s="28" t="s">
        <v>84</v>
      </c>
      <c r="M809" s="29" t="s">
        <v>1822</v>
      </c>
      <c r="N809" s="25"/>
      <c r="O809" s="28" t="s">
        <v>27</v>
      </c>
      <c r="P809" s="24" t="s">
        <v>715</v>
      </c>
      <c r="Q809" s="14" t="b">
        <f t="shared" si="1"/>
        <v>0</v>
      </c>
      <c r="R809" s="15" t="b">
        <f t="shared" si="2"/>
        <v>0</v>
      </c>
      <c r="S809" s="15" t="str">
        <f t="shared" si="3"/>
        <v>PENDING</v>
      </c>
    </row>
    <row r="810" ht="15.75" customHeight="1">
      <c r="A810" s="24" t="s">
        <v>1823</v>
      </c>
      <c r="B810" s="25" t="s">
        <v>1824</v>
      </c>
      <c r="C810" s="26">
        <v>45950.0</v>
      </c>
      <c r="D810" s="26">
        <v>45950.0</v>
      </c>
      <c r="E810" s="24" t="s">
        <v>1287</v>
      </c>
      <c r="F810" s="24">
        <v>40.0</v>
      </c>
      <c r="G810" s="27">
        <v>50.0</v>
      </c>
      <c r="H810" s="24" t="s">
        <v>715</v>
      </c>
      <c r="I810" s="28" t="s">
        <v>23</v>
      </c>
      <c r="J810" s="28" t="s">
        <v>172</v>
      </c>
      <c r="K810" s="28" t="s">
        <v>49</v>
      </c>
      <c r="M810" s="29"/>
      <c r="N810" s="25"/>
      <c r="O810" s="28" t="s">
        <v>27</v>
      </c>
      <c r="P810" s="24" t="s">
        <v>715</v>
      </c>
      <c r="Q810" s="14" t="b">
        <f t="shared" si="1"/>
        <v>0</v>
      </c>
      <c r="R810" s="15" t="b">
        <f t="shared" si="2"/>
        <v>0</v>
      </c>
      <c r="S810" s="15" t="str">
        <f t="shared" si="3"/>
        <v>PENDING</v>
      </c>
    </row>
    <row r="811" ht="15.75" customHeight="1">
      <c r="A811" s="7" t="s">
        <v>1825</v>
      </c>
      <c r="B811" s="13" t="s">
        <v>1826</v>
      </c>
      <c r="C811" s="9">
        <v>45950.0</v>
      </c>
      <c r="D811" s="9">
        <v>45950.0</v>
      </c>
      <c r="E811" s="7" t="s">
        <v>1287</v>
      </c>
      <c r="F811" s="7">
        <v>10.0</v>
      </c>
      <c r="G811" s="10">
        <v>50.0</v>
      </c>
      <c r="H811" s="7" t="s">
        <v>715</v>
      </c>
      <c r="I811" s="11" t="s">
        <v>23</v>
      </c>
      <c r="J811" s="11" t="s">
        <v>30</v>
      </c>
      <c r="K811" s="11" t="s">
        <v>25</v>
      </c>
      <c r="L811" s="16"/>
      <c r="M811" s="12"/>
      <c r="N811" s="13"/>
      <c r="O811" s="11" t="s">
        <v>27</v>
      </c>
      <c r="P811" s="7" t="s">
        <v>715</v>
      </c>
      <c r="Q811" s="14" t="b">
        <f t="shared" si="1"/>
        <v>1</v>
      </c>
      <c r="R811" s="15" t="b">
        <f t="shared" si="2"/>
        <v>0</v>
      </c>
      <c r="S811" s="15" t="str">
        <f t="shared" si="3"/>
        <v>APPROVED</v>
      </c>
    </row>
    <row r="812" ht="15.75" customHeight="1">
      <c r="A812" s="7" t="s">
        <v>1825</v>
      </c>
      <c r="B812" s="13" t="s">
        <v>1826</v>
      </c>
      <c r="C812" s="9">
        <v>45950.0</v>
      </c>
      <c r="D812" s="9">
        <v>45950.0</v>
      </c>
      <c r="E812" s="7" t="s">
        <v>21</v>
      </c>
      <c r="F812" s="7">
        <v>10.0</v>
      </c>
      <c r="G812" s="10">
        <v>110.0</v>
      </c>
      <c r="H812" s="7" t="s">
        <v>715</v>
      </c>
      <c r="I812" s="11" t="s">
        <v>23</v>
      </c>
      <c r="J812" s="11" t="s">
        <v>30</v>
      </c>
      <c r="K812" s="11" t="s">
        <v>25</v>
      </c>
      <c r="L812" s="16"/>
      <c r="M812" s="12"/>
      <c r="N812" s="13"/>
      <c r="O812" s="11" t="s">
        <v>27</v>
      </c>
      <c r="P812" s="7" t="s">
        <v>715</v>
      </c>
      <c r="Q812" s="14" t="b">
        <f t="shared" si="1"/>
        <v>1</v>
      </c>
      <c r="R812" s="15" t="b">
        <f t="shared" si="2"/>
        <v>0</v>
      </c>
      <c r="S812" s="15" t="str">
        <f t="shared" si="3"/>
        <v>APPROVED</v>
      </c>
    </row>
    <row r="813" ht="15.75" customHeight="1">
      <c r="A813" s="7" t="s">
        <v>1827</v>
      </c>
      <c r="B813" s="13" t="s">
        <v>1828</v>
      </c>
      <c r="C813" s="9">
        <v>45952.0</v>
      </c>
      <c r="D813" s="9">
        <v>45952.0</v>
      </c>
      <c r="E813" s="7" t="s">
        <v>21</v>
      </c>
      <c r="F813" s="7">
        <v>240.0</v>
      </c>
      <c r="G813" s="10">
        <v>100.0</v>
      </c>
      <c r="H813" s="7" t="s">
        <v>715</v>
      </c>
      <c r="I813" s="11" t="s">
        <v>23</v>
      </c>
      <c r="J813" s="11" t="s">
        <v>30</v>
      </c>
      <c r="K813" s="11" t="s">
        <v>25</v>
      </c>
      <c r="L813" s="16"/>
      <c r="M813" s="12"/>
      <c r="N813" s="12" t="s">
        <v>1806</v>
      </c>
      <c r="O813" s="11" t="s">
        <v>27</v>
      </c>
      <c r="P813" s="7" t="s">
        <v>715</v>
      </c>
      <c r="Q813" s="14" t="b">
        <f t="shared" si="1"/>
        <v>1</v>
      </c>
      <c r="R813" s="15" t="b">
        <f t="shared" si="2"/>
        <v>0</v>
      </c>
      <c r="S813" s="15" t="str">
        <f t="shared" si="3"/>
        <v>APPROVED</v>
      </c>
    </row>
    <row r="814" ht="15.75" customHeight="1">
      <c r="A814" s="155" t="s">
        <v>1829</v>
      </c>
      <c r="B814" s="156" t="s">
        <v>1830</v>
      </c>
      <c r="C814" s="157">
        <v>45957.0</v>
      </c>
      <c r="D814" s="157">
        <v>45957.0</v>
      </c>
      <c r="E814" s="155" t="s">
        <v>21</v>
      </c>
      <c r="F814" s="155">
        <v>480.0</v>
      </c>
      <c r="G814" s="158"/>
      <c r="H814" s="155" t="s">
        <v>715</v>
      </c>
      <c r="I814" s="159" t="s">
        <v>23</v>
      </c>
      <c r="J814" s="159" t="s">
        <v>30</v>
      </c>
      <c r="K814" s="155" t="s">
        <v>31</v>
      </c>
      <c r="L814" s="160"/>
      <c r="M814" s="161"/>
      <c r="N814" s="162"/>
      <c r="O814" s="159" t="s">
        <v>27</v>
      </c>
      <c r="P814" s="155" t="s">
        <v>715</v>
      </c>
      <c r="Q814" s="14" t="b">
        <f t="shared" si="1"/>
        <v>0</v>
      </c>
      <c r="R814" s="15" t="b">
        <f t="shared" si="2"/>
        <v>0</v>
      </c>
      <c r="S814" s="15" t="str">
        <f t="shared" si="3"/>
        <v>PENDING</v>
      </c>
    </row>
    <row r="815" ht="15.75" customHeight="1">
      <c r="A815" s="24" t="s">
        <v>1831</v>
      </c>
      <c r="B815" s="115" t="s">
        <v>906</v>
      </c>
      <c r="C815" s="26">
        <v>45964.0</v>
      </c>
      <c r="D815" s="26">
        <v>45964.0</v>
      </c>
      <c r="E815" s="24" t="s">
        <v>21</v>
      </c>
      <c r="F815" s="24">
        <v>360.0</v>
      </c>
      <c r="G815" s="27">
        <v>110.0</v>
      </c>
      <c r="H815" s="24" t="s">
        <v>715</v>
      </c>
      <c r="I815" s="28" t="s">
        <v>23</v>
      </c>
      <c r="J815" s="28" t="s">
        <v>172</v>
      </c>
      <c r="K815" s="28" t="s">
        <v>482</v>
      </c>
      <c r="M815" s="29"/>
      <c r="N815" s="25"/>
      <c r="O815" s="28" t="s">
        <v>27</v>
      </c>
      <c r="P815" s="24" t="s">
        <v>715</v>
      </c>
      <c r="Q815" s="14" t="b">
        <f t="shared" si="1"/>
        <v>0</v>
      </c>
      <c r="R815" s="15" t="b">
        <f t="shared" si="2"/>
        <v>0</v>
      </c>
      <c r="S815" s="15" t="str">
        <f t="shared" si="3"/>
        <v>PENDING</v>
      </c>
    </row>
    <row r="816" ht="15.75" customHeight="1">
      <c r="A816" s="7" t="s">
        <v>1832</v>
      </c>
      <c r="B816" s="13" t="s">
        <v>1581</v>
      </c>
      <c r="C816" s="9">
        <v>45964.0</v>
      </c>
      <c r="D816" s="9">
        <v>45964.0</v>
      </c>
      <c r="E816" s="7" t="s">
        <v>21</v>
      </c>
      <c r="F816" s="7">
        <v>48.0</v>
      </c>
      <c r="G816" s="10">
        <v>115.0</v>
      </c>
      <c r="H816" s="7" t="s">
        <v>715</v>
      </c>
      <c r="I816" s="11" t="s">
        <v>23</v>
      </c>
      <c r="J816" s="11" t="s">
        <v>30</v>
      </c>
      <c r="K816" s="11" t="s">
        <v>25</v>
      </c>
      <c r="L816" s="16"/>
      <c r="M816" s="12" t="s">
        <v>1833</v>
      </c>
      <c r="N816" s="13"/>
      <c r="O816" s="11" t="s">
        <v>27</v>
      </c>
      <c r="P816" s="7" t="s">
        <v>715</v>
      </c>
      <c r="Q816" s="14" t="b">
        <f t="shared" si="1"/>
        <v>1</v>
      </c>
      <c r="R816" s="15" t="b">
        <f t="shared" si="2"/>
        <v>0</v>
      </c>
      <c r="S816" s="15" t="str">
        <f t="shared" si="3"/>
        <v>APPROVED</v>
      </c>
    </row>
    <row r="817" ht="15.75" customHeight="1">
      <c r="A817" s="24" t="s">
        <v>1834</v>
      </c>
      <c r="B817" s="1" t="s">
        <v>1835</v>
      </c>
      <c r="C817" s="26">
        <v>45957.0</v>
      </c>
      <c r="D817" s="26">
        <v>45957.0</v>
      </c>
      <c r="E817" s="24" t="s">
        <v>21</v>
      </c>
      <c r="F817" s="24">
        <v>1.0</v>
      </c>
      <c r="G817" s="27">
        <v>0.0</v>
      </c>
      <c r="H817" s="24" t="s">
        <v>715</v>
      </c>
      <c r="I817" s="28" t="s">
        <v>23</v>
      </c>
      <c r="J817" s="28" t="s">
        <v>30</v>
      </c>
      <c r="K817" s="24" t="s">
        <v>31</v>
      </c>
      <c r="M817" s="29"/>
      <c r="N817" s="115" t="s">
        <v>914</v>
      </c>
      <c r="O817" s="28" t="s">
        <v>27</v>
      </c>
      <c r="P817" s="24" t="s">
        <v>715</v>
      </c>
      <c r="Q817" s="14" t="b">
        <f t="shared" si="1"/>
        <v>0</v>
      </c>
      <c r="R817" s="15" t="b">
        <f t="shared" si="2"/>
        <v>0</v>
      </c>
      <c r="S817" s="15" t="str">
        <f t="shared" si="3"/>
        <v>PENDING</v>
      </c>
    </row>
    <row r="818" ht="15.75" customHeight="1">
      <c r="A818" s="24" t="s">
        <v>1834</v>
      </c>
      <c r="B818" s="1" t="s">
        <v>1835</v>
      </c>
      <c r="C818" s="26">
        <v>45957.0</v>
      </c>
      <c r="D818" s="26">
        <v>45957.0</v>
      </c>
      <c r="E818" s="24" t="s">
        <v>1287</v>
      </c>
      <c r="F818" s="24">
        <v>1.0</v>
      </c>
      <c r="G818" s="27">
        <v>0.0</v>
      </c>
      <c r="H818" s="24" t="s">
        <v>715</v>
      </c>
      <c r="I818" s="28" t="s">
        <v>23</v>
      </c>
      <c r="J818" s="28" t="s">
        <v>30</v>
      </c>
      <c r="K818" s="24" t="s">
        <v>31</v>
      </c>
      <c r="M818" s="29"/>
      <c r="N818" s="25"/>
      <c r="O818" s="28" t="s">
        <v>27</v>
      </c>
      <c r="P818" s="24" t="s">
        <v>715</v>
      </c>
      <c r="Q818" s="14" t="b">
        <f t="shared" si="1"/>
        <v>0</v>
      </c>
      <c r="R818" s="15" t="b">
        <f t="shared" si="2"/>
        <v>0</v>
      </c>
      <c r="S818" s="15" t="str">
        <f t="shared" si="3"/>
        <v>PENDING</v>
      </c>
    </row>
    <row r="819" ht="15.75" customHeight="1">
      <c r="A819" s="24" t="s">
        <v>1836</v>
      </c>
      <c r="B819" s="115" t="s">
        <v>1837</v>
      </c>
      <c r="C819" s="26">
        <v>45957.0</v>
      </c>
      <c r="D819" s="26">
        <v>45957.0</v>
      </c>
      <c r="E819" s="24" t="s">
        <v>21</v>
      </c>
      <c r="F819" s="24">
        <v>1.0</v>
      </c>
      <c r="G819" s="27">
        <v>0.0</v>
      </c>
      <c r="H819" s="24" t="s">
        <v>715</v>
      </c>
      <c r="I819" s="28" t="s">
        <v>23</v>
      </c>
      <c r="J819" s="28" t="s">
        <v>30</v>
      </c>
      <c r="K819" s="24" t="s">
        <v>31</v>
      </c>
      <c r="M819" s="29"/>
      <c r="N819" s="115" t="s">
        <v>914</v>
      </c>
      <c r="O819" s="28" t="s">
        <v>27</v>
      </c>
      <c r="P819" s="24" t="s">
        <v>715</v>
      </c>
      <c r="Q819" s="14" t="b">
        <f t="shared" si="1"/>
        <v>0</v>
      </c>
      <c r="R819" s="15" t="b">
        <f t="shared" si="2"/>
        <v>0</v>
      </c>
      <c r="S819" s="15" t="str">
        <f t="shared" si="3"/>
        <v>PENDING</v>
      </c>
    </row>
    <row r="820" ht="15.75" customHeight="1">
      <c r="A820" s="24" t="s">
        <v>1838</v>
      </c>
      <c r="B820" s="25" t="s">
        <v>1839</v>
      </c>
      <c r="C820" s="26">
        <v>45958.0</v>
      </c>
      <c r="D820" s="26">
        <v>45958.0</v>
      </c>
      <c r="E820" s="24" t="s">
        <v>21</v>
      </c>
      <c r="F820" s="24">
        <v>1.0</v>
      </c>
      <c r="G820" s="27">
        <v>0.0</v>
      </c>
      <c r="H820" s="24" t="s">
        <v>715</v>
      </c>
      <c r="I820" s="28" t="s">
        <v>23</v>
      </c>
      <c r="J820" s="28" t="s">
        <v>30</v>
      </c>
      <c r="K820" s="24" t="s">
        <v>31</v>
      </c>
      <c r="M820" s="29"/>
      <c r="N820" s="25"/>
      <c r="O820" s="28" t="s">
        <v>27</v>
      </c>
      <c r="P820" s="24" t="s">
        <v>715</v>
      </c>
      <c r="Q820" s="14" t="b">
        <f t="shared" si="1"/>
        <v>0</v>
      </c>
      <c r="R820" s="15" t="b">
        <f t="shared" si="2"/>
        <v>0</v>
      </c>
      <c r="S820" s="15" t="str">
        <f t="shared" si="3"/>
        <v>PENDING</v>
      </c>
    </row>
    <row r="821" ht="15.75" customHeight="1">
      <c r="A821" s="24" t="s">
        <v>1840</v>
      </c>
      <c r="B821" s="25" t="s">
        <v>1841</v>
      </c>
      <c r="C821" s="26">
        <v>45958.0</v>
      </c>
      <c r="D821" s="26">
        <v>45958.0</v>
      </c>
      <c r="E821" s="24" t="s">
        <v>1287</v>
      </c>
      <c r="F821" s="24">
        <v>1.0</v>
      </c>
      <c r="G821" s="27">
        <v>0.0</v>
      </c>
      <c r="H821" s="24" t="s">
        <v>715</v>
      </c>
      <c r="I821" s="28" t="s">
        <v>23</v>
      </c>
      <c r="J821" s="28" t="s">
        <v>30</v>
      </c>
      <c r="K821" s="24" t="s">
        <v>31</v>
      </c>
      <c r="M821" s="29"/>
      <c r="N821" s="25"/>
      <c r="O821" s="28" t="s">
        <v>27</v>
      </c>
      <c r="P821" s="24" t="s">
        <v>715</v>
      </c>
      <c r="Q821" s="14" t="b">
        <f t="shared" si="1"/>
        <v>0</v>
      </c>
      <c r="R821" s="15" t="b">
        <f t="shared" si="2"/>
        <v>0</v>
      </c>
      <c r="S821" s="15" t="str">
        <f t="shared" si="3"/>
        <v>PENDING</v>
      </c>
    </row>
    <row r="822" ht="15.75" customHeight="1">
      <c r="A822" s="7" t="s">
        <v>1842</v>
      </c>
      <c r="B822" s="8" t="s">
        <v>999</v>
      </c>
      <c r="C822" s="9">
        <v>45965.0</v>
      </c>
      <c r="D822" s="9">
        <v>45965.0</v>
      </c>
      <c r="E822" s="7" t="s">
        <v>21</v>
      </c>
      <c r="F822" s="7">
        <v>72.0</v>
      </c>
      <c r="G822" s="10">
        <v>115.0</v>
      </c>
      <c r="H822" s="7" t="s">
        <v>715</v>
      </c>
      <c r="I822" s="11" t="s">
        <v>23</v>
      </c>
      <c r="J822" s="11" t="s">
        <v>30</v>
      </c>
      <c r="K822" s="11" t="s">
        <v>25</v>
      </c>
      <c r="L822" s="16"/>
      <c r="M822" s="12" t="s">
        <v>976</v>
      </c>
      <c r="N822" s="13"/>
      <c r="O822" s="11" t="s">
        <v>27</v>
      </c>
      <c r="P822" s="7" t="s">
        <v>715</v>
      </c>
      <c r="Q822" s="14" t="b">
        <f t="shared" si="1"/>
        <v>1</v>
      </c>
      <c r="R822" s="15" t="b">
        <f t="shared" si="2"/>
        <v>0</v>
      </c>
      <c r="S822" s="15" t="str">
        <f t="shared" si="3"/>
        <v>APPROVED</v>
      </c>
    </row>
    <row r="823" ht="15.75" customHeight="1">
      <c r="A823" s="24" t="s">
        <v>1843</v>
      </c>
      <c r="B823" s="25" t="s">
        <v>1844</v>
      </c>
      <c r="C823" s="26">
        <v>45965.0</v>
      </c>
      <c r="D823" s="26">
        <v>45965.0</v>
      </c>
      <c r="E823" s="24" t="s">
        <v>1287</v>
      </c>
      <c r="F823" s="24">
        <v>40.0</v>
      </c>
      <c r="G823" s="27">
        <v>50.0</v>
      </c>
      <c r="H823" s="24" t="s">
        <v>715</v>
      </c>
      <c r="I823" s="28" t="s">
        <v>23</v>
      </c>
      <c r="J823" s="28" t="s">
        <v>172</v>
      </c>
      <c r="K823" s="28" t="s">
        <v>49</v>
      </c>
      <c r="M823" s="29"/>
      <c r="N823" s="25"/>
      <c r="O823" s="28" t="s">
        <v>27</v>
      </c>
      <c r="P823" s="24" t="s">
        <v>715</v>
      </c>
      <c r="Q823" s="14" t="b">
        <f t="shared" si="1"/>
        <v>0</v>
      </c>
      <c r="R823" s="15" t="b">
        <f t="shared" si="2"/>
        <v>0</v>
      </c>
      <c r="S823" s="15" t="str">
        <f t="shared" si="3"/>
        <v>PENDING</v>
      </c>
    </row>
    <row r="824" ht="15.75" customHeight="1">
      <c r="A824" s="24" t="s">
        <v>1845</v>
      </c>
      <c r="B824" s="115" t="s">
        <v>1846</v>
      </c>
      <c r="C824" s="26">
        <v>45967.0</v>
      </c>
      <c r="D824" s="26">
        <v>45967.0</v>
      </c>
      <c r="E824" s="24" t="s">
        <v>21</v>
      </c>
      <c r="F824" s="24">
        <v>24.0</v>
      </c>
      <c r="G824" s="27">
        <v>130.0</v>
      </c>
      <c r="H824" s="24" t="s">
        <v>1847</v>
      </c>
      <c r="I824" s="28" t="s">
        <v>23</v>
      </c>
      <c r="J824" s="28" t="s">
        <v>48</v>
      </c>
      <c r="K824" s="28" t="s">
        <v>84</v>
      </c>
      <c r="M824" s="29" t="s">
        <v>1848</v>
      </c>
      <c r="N824" s="25"/>
      <c r="O824" s="28" t="s">
        <v>27</v>
      </c>
      <c r="P824" s="24" t="s">
        <v>1847</v>
      </c>
      <c r="Q824" s="14" t="b">
        <f t="shared" si="1"/>
        <v>0</v>
      </c>
      <c r="R824" s="15" t="b">
        <f t="shared" si="2"/>
        <v>0</v>
      </c>
      <c r="S824" s="15" t="str">
        <f t="shared" si="3"/>
        <v>PENDING</v>
      </c>
    </row>
    <row r="825" ht="15.75" customHeight="1">
      <c r="A825" s="24" t="s">
        <v>1845</v>
      </c>
      <c r="B825" s="115" t="s">
        <v>1846</v>
      </c>
      <c r="C825" s="26">
        <v>45967.0</v>
      </c>
      <c r="D825" s="26">
        <v>45967.0</v>
      </c>
      <c r="E825" s="24" t="s">
        <v>1287</v>
      </c>
      <c r="F825" s="24">
        <v>40.0</v>
      </c>
      <c r="G825" s="27">
        <v>50.0</v>
      </c>
      <c r="H825" s="24" t="s">
        <v>1847</v>
      </c>
      <c r="I825" s="28" t="s">
        <v>23</v>
      </c>
      <c r="J825" s="28" t="s">
        <v>48</v>
      </c>
      <c r="K825" s="28" t="s">
        <v>84</v>
      </c>
      <c r="M825" s="29" t="s">
        <v>1848</v>
      </c>
      <c r="N825" s="25"/>
      <c r="O825" s="28" t="s">
        <v>27</v>
      </c>
      <c r="P825" s="24" t="s">
        <v>1847</v>
      </c>
      <c r="Q825" s="14" t="b">
        <f t="shared" si="1"/>
        <v>0</v>
      </c>
      <c r="R825" s="15" t="b">
        <f t="shared" si="2"/>
        <v>0</v>
      </c>
      <c r="S825" s="15" t="str">
        <f t="shared" si="3"/>
        <v>PENDING</v>
      </c>
    </row>
    <row r="826" ht="15.75" customHeight="1">
      <c r="A826" s="24" t="s">
        <v>1849</v>
      </c>
      <c r="B826" s="115" t="s">
        <v>1850</v>
      </c>
      <c r="C826" s="26">
        <v>45968.0</v>
      </c>
      <c r="D826" s="26">
        <v>45968.0</v>
      </c>
      <c r="E826" s="24" t="s">
        <v>1287</v>
      </c>
      <c r="F826" s="24">
        <v>40.0</v>
      </c>
      <c r="G826" s="27">
        <v>50.0</v>
      </c>
      <c r="H826" s="24" t="s">
        <v>1847</v>
      </c>
      <c r="I826" s="28" t="s">
        <v>23</v>
      </c>
      <c r="J826" s="28" t="s">
        <v>35</v>
      </c>
      <c r="K826" s="28" t="s">
        <v>49</v>
      </c>
      <c r="M826" s="29"/>
      <c r="N826" s="25"/>
      <c r="O826" s="28" t="s">
        <v>27</v>
      </c>
      <c r="P826" s="24" t="s">
        <v>1847</v>
      </c>
      <c r="Q826" s="14" t="b">
        <f t="shared" si="1"/>
        <v>0</v>
      </c>
      <c r="R826" s="15" t="b">
        <f t="shared" si="2"/>
        <v>0</v>
      </c>
      <c r="S826" s="15" t="str">
        <f t="shared" si="3"/>
        <v>PENDING</v>
      </c>
    </row>
    <row r="827" ht="15.75" customHeight="1">
      <c r="A827" s="24" t="s">
        <v>1851</v>
      </c>
      <c r="B827" s="25" t="s">
        <v>1852</v>
      </c>
      <c r="C827" s="26">
        <v>45967.0</v>
      </c>
      <c r="D827" s="26">
        <v>45967.0</v>
      </c>
      <c r="E827" s="24" t="s">
        <v>21</v>
      </c>
      <c r="F827" s="24">
        <v>24.0</v>
      </c>
      <c r="G827" s="27">
        <v>128.0</v>
      </c>
      <c r="H827" s="24" t="s">
        <v>1847</v>
      </c>
      <c r="I827" s="28" t="s">
        <v>23</v>
      </c>
      <c r="J827" s="28" t="s">
        <v>48</v>
      </c>
      <c r="K827" s="28" t="s">
        <v>25</v>
      </c>
      <c r="M827" s="29"/>
      <c r="N827" s="25"/>
      <c r="O827" s="28" t="s">
        <v>27</v>
      </c>
      <c r="P827" s="24" t="s">
        <v>1847</v>
      </c>
      <c r="Q827" s="14" t="b">
        <f t="shared" si="1"/>
        <v>1</v>
      </c>
      <c r="R827" s="15" t="b">
        <f t="shared" si="2"/>
        <v>0</v>
      </c>
      <c r="S827" s="15" t="str">
        <f t="shared" si="3"/>
        <v>APPROVED</v>
      </c>
    </row>
    <row r="828" ht="15.75" customHeight="1">
      <c r="A828" s="24" t="s">
        <v>1853</v>
      </c>
      <c r="B828" s="25" t="s">
        <v>1854</v>
      </c>
      <c r="C828" s="26">
        <v>45968.0</v>
      </c>
      <c r="D828" s="26">
        <v>45968.0</v>
      </c>
      <c r="E828" s="24" t="s">
        <v>21</v>
      </c>
      <c r="F828" s="24">
        <v>240.0</v>
      </c>
      <c r="G828" s="27">
        <v>115.0</v>
      </c>
      <c r="H828" s="24" t="s">
        <v>715</v>
      </c>
      <c r="I828" s="28" t="s">
        <v>23</v>
      </c>
      <c r="J828" s="28" t="s">
        <v>172</v>
      </c>
      <c r="K828" s="28" t="s">
        <v>49</v>
      </c>
      <c r="M828" s="29"/>
      <c r="N828" s="25"/>
      <c r="O828" s="28" t="s">
        <v>27</v>
      </c>
      <c r="P828" s="24" t="s">
        <v>715</v>
      </c>
      <c r="Q828" s="14" t="b">
        <f t="shared" si="1"/>
        <v>0</v>
      </c>
      <c r="R828" s="15" t="b">
        <f t="shared" si="2"/>
        <v>0</v>
      </c>
      <c r="S828" s="15" t="str">
        <f t="shared" si="3"/>
        <v>PENDING</v>
      </c>
    </row>
    <row r="829" ht="15.75" customHeight="1">
      <c r="A829" s="24" t="s">
        <v>1853</v>
      </c>
      <c r="B829" s="25" t="s">
        <v>1854</v>
      </c>
      <c r="C829" s="26">
        <v>45968.0</v>
      </c>
      <c r="D829" s="26">
        <v>45968.0</v>
      </c>
      <c r="E829" s="24" t="s">
        <v>1287</v>
      </c>
      <c r="F829" s="24">
        <v>80.0</v>
      </c>
      <c r="G829" s="27">
        <v>50.0</v>
      </c>
      <c r="H829" s="24" t="s">
        <v>715</v>
      </c>
      <c r="I829" s="28" t="s">
        <v>23</v>
      </c>
      <c r="J829" s="28" t="s">
        <v>172</v>
      </c>
      <c r="K829" s="28" t="s">
        <v>49</v>
      </c>
      <c r="M829" s="29"/>
      <c r="N829" s="25"/>
      <c r="O829" s="28" t="s">
        <v>27</v>
      </c>
      <c r="P829" s="24" t="s">
        <v>715</v>
      </c>
      <c r="Q829" s="14" t="b">
        <f t="shared" si="1"/>
        <v>0</v>
      </c>
      <c r="R829" s="15" t="b">
        <f t="shared" si="2"/>
        <v>0</v>
      </c>
      <c r="S829" s="15" t="str">
        <f t="shared" si="3"/>
        <v>PENDING</v>
      </c>
    </row>
    <row r="830" ht="15.75" customHeight="1">
      <c r="A830" s="24" t="s">
        <v>1855</v>
      </c>
      <c r="B830" s="163"/>
      <c r="C830" s="164"/>
      <c r="D830" s="164"/>
      <c r="E830" s="165"/>
      <c r="F830" s="165"/>
      <c r="G830" s="166"/>
      <c r="H830" s="165"/>
      <c r="I830" s="68" t="s">
        <v>23</v>
      </c>
      <c r="J830" s="165"/>
      <c r="K830" s="165" t="s">
        <v>31</v>
      </c>
      <c r="L830" s="167"/>
      <c r="M830" s="168"/>
      <c r="N830" s="163" t="s">
        <v>1856</v>
      </c>
      <c r="O830" s="68" t="s">
        <v>417</v>
      </c>
      <c r="P830" s="165"/>
      <c r="Q830" s="14" t="b">
        <f t="shared" si="1"/>
        <v>0</v>
      </c>
      <c r="R830" s="15" t="b">
        <f t="shared" si="2"/>
        <v>0</v>
      </c>
      <c r="S830" s="15" t="str">
        <f t="shared" si="3"/>
        <v>PENDING</v>
      </c>
    </row>
    <row r="831" ht="15.75" customHeight="1">
      <c r="A831" s="24" t="s">
        <v>1857</v>
      </c>
      <c r="B831" s="163"/>
      <c r="C831" s="164"/>
      <c r="D831" s="164"/>
      <c r="E831" s="165"/>
      <c r="F831" s="165"/>
      <c r="G831" s="166"/>
      <c r="H831" s="165"/>
      <c r="I831" s="68" t="s">
        <v>23</v>
      </c>
      <c r="J831" s="165"/>
      <c r="K831" s="165" t="s">
        <v>31</v>
      </c>
      <c r="L831" s="167"/>
      <c r="M831" s="168"/>
      <c r="N831" s="163" t="s">
        <v>1856</v>
      </c>
      <c r="O831" s="68" t="s">
        <v>417</v>
      </c>
      <c r="P831" s="165"/>
      <c r="Q831" s="14" t="b">
        <f t="shared" si="1"/>
        <v>0</v>
      </c>
      <c r="R831" s="15" t="b">
        <f t="shared" si="2"/>
        <v>0</v>
      </c>
      <c r="S831" s="15" t="str">
        <f t="shared" si="3"/>
        <v>PENDING</v>
      </c>
    </row>
    <row r="832" ht="15.75" customHeight="1">
      <c r="A832" s="24" t="s">
        <v>1858</v>
      </c>
      <c r="B832" s="163"/>
      <c r="C832" s="164"/>
      <c r="D832" s="164"/>
      <c r="E832" s="165"/>
      <c r="F832" s="165"/>
      <c r="G832" s="166"/>
      <c r="H832" s="165"/>
      <c r="I832" s="68" t="s">
        <v>23</v>
      </c>
      <c r="J832" s="165"/>
      <c r="K832" s="165" t="s">
        <v>31</v>
      </c>
      <c r="L832" s="167"/>
      <c r="M832" s="168"/>
      <c r="N832" s="163" t="s">
        <v>1856</v>
      </c>
      <c r="O832" s="68" t="s">
        <v>417</v>
      </c>
      <c r="P832" s="165"/>
      <c r="Q832" s="14" t="b">
        <f t="shared" si="1"/>
        <v>0</v>
      </c>
      <c r="R832" s="15" t="b">
        <f t="shared" si="2"/>
        <v>0</v>
      </c>
      <c r="S832" s="15" t="str">
        <f t="shared" si="3"/>
        <v>PENDING</v>
      </c>
    </row>
    <row r="833" ht="15.75" customHeight="1">
      <c r="A833" s="24" t="s">
        <v>1859</v>
      </c>
      <c r="B833" s="163"/>
      <c r="C833" s="164"/>
      <c r="D833" s="164"/>
      <c r="E833" s="165"/>
      <c r="F833" s="165"/>
      <c r="G833" s="166"/>
      <c r="H833" s="165"/>
      <c r="I833" s="68" t="s">
        <v>23</v>
      </c>
      <c r="J833" s="165"/>
      <c r="K833" s="165" t="s">
        <v>31</v>
      </c>
      <c r="L833" s="167"/>
      <c r="M833" s="168"/>
      <c r="N833" s="163" t="s">
        <v>1856</v>
      </c>
      <c r="O833" s="68" t="s">
        <v>417</v>
      </c>
      <c r="P833" s="165"/>
      <c r="Q833" s="14" t="b">
        <f t="shared" si="1"/>
        <v>0</v>
      </c>
      <c r="R833" s="15" t="b">
        <f t="shared" si="2"/>
        <v>0</v>
      </c>
      <c r="S833" s="15" t="str">
        <f t="shared" si="3"/>
        <v>PENDING</v>
      </c>
    </row>
    <row r="834" ht="15.75" customHeight="1">
      <c r="A834" s="24" t="s">
        <v>1860</v>
      </c>
      <c r="B834" s="169" t="s">
        <v>1828</v>
      </c>
      <c r="C834" s="164">
        <v>45975.0</v>
      </c>
      <c r="D834" s="164">
        <v>45975.0</v>
      </c>
      <c r="E834" s="165" t="s">
        <v>1287</v>
      </c>
      <c r="F834" s="165">
        <v>40.0</v>
      </c>
      <c r="G834" s="166">
        <v>50.0</v>
      </c>
      <c r="H834" s="165" t="s">
        <v>715</v>
      </c>
      <c r="I834" s="68" t="s">
        <v>23</v>
      </c>
      <c r="J834" s="68" t="s">
        <v>30</v>
      </c>
      <c r="K834" s="68" t="s">
        <v>25</v>
      </c>
      <c r="L834" s="167"/>
      <c r="M834" s="168"/>
      <c r="N834" s="163" t="s">
        <v>1856</v>
      </c>
      <c r="O834" s="68" t="s">
        <v>27</v>
      </c>
      <c r="P834" s="165" t="s">
        <v>715</v>
      </c>
      <c r="Q834" s="14" t="b">
        <f t="shared" si="1"/>
        <v>1</v>
      </c>
      <c r="R834" s="15" t="b">
        <f t="shared" si="2"/>
        <v>0</v>
      </c>
      <c r="S834" s="15" t="str">
        <f t="shared" si="3"/>
        <v>APPROVED</v>
      </c>
    </row>
    <row r="835" ht="15.75" customHeight="1">
      <c r="A835" s="24" t="s">
        <v>1861</v>
      </c>
      <c r="B835" s="115" t="s">
        <v>345</v>
      </c>
      <c r="C835" s="26">
        <v>45972.0</v>
      </c>
      <c r="D835" s="26">
        <v>45972.0</v>
      </c>
      <c r="E835" s="24" t="s">
        <v>1287</v>
      </c>
      <c r="F835" s="24">
        <v>40.0</v>
      </c>
      <c r="G835" s="27">
        <v>50.0</v>
      </c>
      <c r="H835" s="24" t="s">
        <v>715</v>
      </c>
      <c r="I835" s="28" t="s">
        <v>23</v>
      </c>
      <c r="J835" s="28" t="s">
        <v>172</v>
      </c>
      <c r="K835" s="28" t="s">
        <v>49</v>
      </c>
      <c r="M835" s="29"/>
      <c r="N835" s="25"/>
      <c r="O835" s="28" t="s">
        <v>27</v>
      </c>
      <c r="P835" s="24" t="s">
        <v>715</v>
      </c>
      <c r="Q835" s="14" t="b">
        <f t="shared" si="1"/>
        <v>0</v>
      </c>
      <c r="R835" s="15" t="b">
        <f t="shared" si="2"/>
        <v>0</v>
      </c>
      <c r="S835" s="15" t="str">
        <f t="shared" si="3"/>
        <v>PENDING</v>
      </c>
    </row>
    <row r="836" ht="15.75" customHeight="1">
      <c r="A836" s="24" t="s">
        <v>1862</v>
      </c>
      <c r="B836" s="25" t="s">
        <v>1863</v>
      </c>
      <c r="C836" s="26">
        <v>45957.0</v>
      </c>
      <c r="D836" s="26">
        <v>45957.0</v>
      </c>
      <c r="E836" s="24" t="s">
        <v>1287</v>
      </c>
      <c r="F836" s="24">
        <v>40.0</v>
      </c>
      <c r="G836" s="27">
        <v>49.66</v>
      </c>
      <c r="H836" s="24" t="s">
        <v>1376</v>
      </c>
      <c r="I836" s="28" t="s">
        <v>23</v>
      </c>
      <c r="J836" s="28" t="s">
        <v>172</v>
      </c>
      <c r="K836" s="28" t="s">
        <v>482</v>
      </c>
      <c r="M836" s="29"/>
      <c r="N836" s="25"/>
      <c r="O836" s="28" t="s">
        <v>27</v>
      </c>
      <c r="P836" s="24" t="s">
        <v>1376</v>
      </c>
      <c r="Q836" s="14" t="b">
        <f t="shared" si="1"/>
        <v>0</v>
      </c>
      <c r="R836" s="15" t="b">
        <f t="shared" si="2"/>
        <v>0</v>
      </c>
      <c r="S836" s="15" t="str">
        <f t="shared" si="3"/>
        <v>PENDING</v>
      </c>
    </row>
    <row r="837" ht="15.75" customHeight="1">
      <c r="A837" s="24" t="s">
        <v>1864</v>
      </c>
      <c r="B837" s="25" t="s">
        <v>1865</v>
      </c>
      <c r="C837" s="26">
        <v>45957.0</v>
      </c>
      <c r="D837" s="26">
        <v>45957.0</v>
      </c>
      <c r="E837" s="24" t="s">
        <v>1287</v>
      </c>
      <c r="F837" s="24">
        <v>20.0</v>
      </c>
      <c r="G837" s="27">
        <v>49.66</v>
      </c>
      <c r="H837" s="24" t="s">
        <v>1376</v>
      </c>
      <c r="I837" s="28" t="s">
        <v>23</v>
      </c>
      <c r="J837" s="28" t="s">
        <v>172</v>
      </c>
      <c r="K837" s="28" t="s">
        <v>482</v>
      </c>
      <c r="M837" s="29"/>
      <c r="N837" s="25"/>
      <c r="O837" s="28" t="s">
        <v>27</v>
      </c>
      <c r="P837" s="24" t="s">
        <v>1376</v>
      </c>
      <c r="Q837" s="14" t="b">
        <f t="shared" si="1"/>
        <v>0</v>
      </c>
      <c r="R837" s="15" t="b">
        <f t="shared" si="2"/>
        <v>0</v>
      </c>
      <c r="S837" s="15" t="str">
        <f t="shared" si="3"/>
        <v>PENDING</v>
      </c>
    </row>
    <row r="838" ht="15.75" customHeight="1">
      <c r="A838" s="24" t="s">
        <v>1866</v>
      </c>
      <c r="B838" s="115" t="s">
        <v>531</v>
      </c>
      <c r="C838" s="26">
        <v>45955.0</v>
      </c>
      <c r="D838" s="26">
        <v>45955.0</v>
      </c>
      <c r="E838" s="24" t="s">
        <v>21</v>
      </c>
      <c r="F838" s="24">
        <v>72.0</v>
      </c>
      <c r="G838" s="27">
        <v>118.0</v>
      </c>
      <c r="H838" s="24" t="s">
        <v>177</v>
      </c>
      <c r="I838" s="28" t="s">
        <v>23</v>
      </c>
      <c r="J838" s="28" t="s">
        <v>172</v>
      </c>
      <c r="K838" s="28" t="s">
        <v>482</v>
      </c>
      <c r="M838" s="29"/>
      <c r="N838" s="25"/>
      <c r="O838" s="28" t="s">
        <v>27</v>
      </c>
      <c r="P838" s="24" t="s">
        <v>177</v>
      </c>
      <c r="Q838" s="14" t="b">
        <f t="shared" si="1"/>
        <v>0</v>
      </c>
      <c r="R838" s="15" t="b">
        <f t="shared" si="2"/>
        <v>0</v>
      </c>
      <c r="S838" s="15" t="str">
        <f t="shared" si="3"/>
        <v>PENDING</v>
      </c>
    </row>
    <row r="839" ht="15.75" customHeight="1">
      <c r="A839" s="24" t="s">
        <v>1867</v>
      </c>
      <c r="B839" s="115" t="s">
        <v>1541</v>
      </c>
      <c r="C839" s="26">
        <v>45957.0</v>
      </c>
      <c r="D839" s="26">
        <v>45957.0</v>
      </c>
      <c r="E839" s="24" t="s">
        <v>1287</v>
      </c>
      <c r="F839" s="24">
        <v>40.0</v>
      </c>
      <c r="G839" s="27">
        <v>49.66</v>
      </c>
      <c r="H839" s="24" t="s">
        <v>1376</v>
      </c>
      <c r="I839" s="28" t="s">
        <v>23</v>
      </c>
      <c r="J839" s="28" t="s">
        <v>172</v>
      </c>
      <c r="K839" s="28" t="s">
        <v>482</v>
      </c>
      <c r="M839" s="29"/>
      <c r="N839" s="25"/>
      <c r="O839" s="28" t="s">
        <v>27</v>
      </c>
      <c r="P839" s="24" t="s">
        <v>1376</v>
      </c>
      <c r="Q839" s="14" t="b">
        <f t="shared" si="1"/>
        <v>0</v>
      </c>
      <c r="R839" s="15" t="b">
        <f t="shared" si="2"/>
        <v>0</v>
      </c>
      <c r="S839" s="15" t="str">
        <f t="shared" si="3"/>
        <v>PENDING</v>
      </c>
    </row>
    <row r="840" ht="15.75" customHeight="1">
      <c r="A840" s="24" t="s">
        <v>1867</v>
      </c>
      <c r="B840" s="115" t="s">
        <v>1541</v>
      </c>
      <c r="C840" s="26">
        <v>45957.0</v>
      </c>
      <c r="D840" s="26">
        <v>45957.0</v>
      </c>
      <c r="E840" s="24" t="s">
        <v>21</v>
      </c>
      <c r="F840" s="24">
        <v>24.0</v>
      </c>
      <c r="G840" s="27">
        <v>118.0</v>
      </c>
      <c r="H840" s="24" t="s">
        <v>1376</v>
      </c>
      <c r="I840" s="28" t="s">
        <v>23</v>
      </c>
      <c r="J840" s="28" t="s">
        <v>172</v>
      </c>
      <c r="K840" s="28" t="s">
        <v>482</v>
      </c>
      <c r="M840" s="29"/>
      <c r="N840" s="25"/>
      <c r="O840" s="28" t="s">
        <v>27</v>
      </c>
      <c r="P840" s="24" t="s">
        <v>1376</v>
      </c>
      <c r="Q840" s="14" t="b">
        <f t="shared" si="1"/>
        <v>0</v>
      </c>
      <c r="R840" s="15" t="b">
        <f t="shared" si="2"/>
        <v>0</v>
      </c>
      <c r="S840" s="15" t="str">
        <f t="shared" si="3"/>
        <v>PENDING</v>
      </c>
    </row>
    <row r="841" ht="15.75" customHeight="1">
      <c r="A841" s="24" t="s">
        <v>1868</v>
      </c>
      <c r="B841" s="25" t="s">
        <v>1670</v>
      </c>
      <c r="C841" s="26">
        <v>45958.0</v>
      </c>
      <c r="D841" s="26">
        <v>45958.0</v>
      </c>
      <c r="E841" s="24" t="s">
        <v>21</v>
      </c>
      <c r="F841" s="24">
        <v>480.0</v>
      </c>
      <c r="G841" s="27">
        <v>110.0</v>
      </c>
      <c r="H841" s="24" t="s">
        <v>177</v>
      </c>
      <c r="I841" s="28" t="s">
        <v>23</v>
      </c>
      <c r="J841" s="28" t="s">
        <v>172</v>
      </c>
      <c r="K841" s="28" t="s">
        <v>482</v>
      </c>
      <c r="M841" s="29"/>
      <c r="N841" s="25"/>
      <c r="O841" s="28" t="s">
        <v>27</v>
      </c>
      <c r="P841" s="24" t="s">
        <v>177</v>
      </c>
      <c r="Q841" s="14" t="b">
        <f t="shared" si="1"/>
        <v>0</v>
      </c>
      <c r="R841" s="15" t="b">
        <f t="shared" si="2"/>
        <v>0</v>
      </c>
      <c r="S841" s="15" t="str">
        <f t="shared" si="3"/>
        <v>PENDING</v>
      </c>
    </row>
    <row r="842" ht="15.75" customHeight="1">
      <c r="A842" s="24" t="s">
        <v>1869</v>
      </c>
      <c r="B842" s="25" t="s">
        <v>1870</v>
      </c>
      <c r="C842" s="26">
        <v>45959.0</v>
      </c>
      <c r="D842" s="26"/>
      <c r="E842" s="24" t="s">
        <v>21</v>
      </c>
      <c r="F842" s="24">
        <v>24.0</v>
      </c>
      <c r="G842" s="27">
        <v>118.0</v>
      </c>
      <c r="H842" s="24" t="s">
        <v>177</v>
      </c>
      <c r="I842" s="28" t="s">
        <v>23</v>
      </c>
      <c r="J842" s="28" t="s">
        <v>172</v>
      </c>
      <c r="K842" s="28" t="s">
        <v>482</v>
      </c>
      <c r="M842" s="29"/>
      <c r="N842" s="25"/>
      <c r="O842" s="28" t="s">
        <v>27</v>
      </c>
      <c r="P842" s="24" t="s">
        <v>177</v>
      </c>
      <c r="Q842" s="14" t="b">
        <f t="shared" si="1"/>
        <v>0</v>
      </c>
      <c r="R842" s="15" t="b">
        <f t="shared" si="2"/>
        <v>0</v>
      </c>
      <c r="S842" s="15" t="str">
        <f t="shared" si="3"/>
        <v>PENDING</v>
      </c>
    </row>
    <row r="843" ht="15.75" customHeight="1">
      <c r="A843" s="24" t="s">
        <v>1869</v>
      </c>
      <c r="B843" s="25" t="s">
        <v>1870</v>
      </c>
      <c r="C843" s="26">
        <v>45959.0</v>
      </c>
      <c r="D843" s="26"/>
      <c r="E843" s="24" t="s">
        <v>1287</v>
      </c>
      <c r="F843" s="24">
        <v>40.0</v>
      </c>
      <c r="G843" s="27">
        <v>49.64</v>
      </c>
      <c r="H843" s="24" t="s">
        <v>177</v>
      </c>
      <c r="I843" s="28" t="s">
        <v>23</v>
      </c>
      <c r="J843" s="28" t="s">
        <v>172</v>
      </c>
      <c r="K843" s="28" t="s">
        <v>482</v>
      </c>
      <c r="M843" s="29"/>
      <c r="N843" s="25"/>
      <c r="O843" s="28" t="s">
        <v>27</v>
      </c>
      <c r="P843" s="24" t="s">
        <v>177</v>
      </c>
      <c r="Q843" s="14" t="b">
        <f t="shared" si="1"/>
        <v>0</v>
      </c>
      <c r="R843" s="15" t="b">
        <f t="shared" si="2"/>
        <v>0</v>
      </c>
      <c r="S843" s="15" t="str">
        <f t="shared" si="3"/>
        <v>PENDING</v>
      </c>
    </row>
    <row r="844" ht="15.75" customHeight="1">
      <c r="A844" s="24" t="s">
        <v>1871</v>
      </c>
      <c r="B844" s="115" t="s">
        <v>280</v>
      </c>
      <c r="C844" s="26">
        <v>45958.0</v>
      </c>
      <c r="D844" s="26">
        <v>45958.0</v>
      </c>
      <c r="E844" s="24" t="s">
        <v>1287</v>
      </c>
      <c r="F844" s="24">
        <v>40.0</v>
      </c>
      <c r="G844" s="27">
        <v>49.64</v>
      </c>
      <c r="H844" s="24" t="s">
        <v>177</v>
      </c>
      <c r="I844" s="28" t="s">
        <v>23</v>
      </c>
      <c r="J844" s="28" t="s">
        <v>172</v>
      </c>
      <c r="K844" s="28" t="s">
        <v>482</v>
      </c>
      <c r="M844" s="29"/>
      <c r="N844" s="25"/>
      <c r="O844" s="28" t="s">
        <v>27</v>
      </c>
      <c r="P844" s="24" t="s">
        <v>177</v>
      </c>
      <c r="Q844" s="14" t="b">
        <f t="shared" si="1"/>
        <v>0</v>
      </c>
      <c r="R844" s="15" t="b">
        <f t="shared" si="2"/>
        <v>0</v>
      </c>
      <c r="S844" s="15" t="str">
        <f t="shared" si="3"/>
        <v>PENDING</v>
      </c>
    </row>
    <row r="845" ht="16.5" customHeight="1">
      <c r="A845" s="24" t="s">
        <v>1872</v>
      </c>
      <c r="B845" s="115" t="s">
        <v>387</v>
      </c>
      <c r="C845" s="26">
        <v>45958.0</v>
      </c>
      <c r="D845" s="26">
        <v>45958.0</v>
      </c>
      <c r="E845" s="24" t="s">
        <v>21</v>
      </c>
      <c r="F845" s="24">
        <v>24.0</v>
      </c>
      <c r="G845" s="27">
        <v>118.18</v>
      </c>
      <c r="H845" s="24" t="s">
        <v>177</v>
      </c>
      <c r="I845" s="28" t="s">
        <v>23</v>
      </c>
      <c r="J845" s="28" t="s">
        <v>172</v>
      </c>
      <c r="K845" s="28" t="s">
        <v>482</v>
      </c>
      <c r="M845" s="29"/>
      <c r="N845" s="25"/>
      <c r="O845" s="28" t="s">
        <v>27</v>
      </c>
      <c r="P845" s="24" t="s">
        <v>177</v>
      </c>
      <c r="Q845" s="14" t="b">
        <f t="shared" si="1"/>
        <v>0</v>
      </c>
      <c r="R845" s="15" t="b">
        <f t="shared" si="2"/>
        <v>0</v>
      </c>
      <c r="S845" s="15" t="str">
        <f t="shared" si="3"/>
        <v>PENDING</v>
      </c>
    </row>
    <row r="846" ht="15.0" customHeight="1">
      <c r="A846" s="24" t="s">
        <v>1872</v>
      </c>
      <c r="B846" s="115" t="s">
        <v>387</v>
      </c>
      <c r="C846" s="26">
        <v>45958.0</v>
      </c>
      <c r="D846" s="26">
        <v>45958.0</v>
      </c>
      <c r="E846" s="24" t="s">
        <v>1287</v>
      </c>
      <c r="F846" s="24">
        <v>40.0</v>
      </c>
      <c r="G846" s="27">
        <v>49.64</v>
      </c>
      <c r="H846" s="24" t="s">
        <v>177</v>
      </c>
      <c r="I846" s="28" t="s">
        <v>23</v>
      </c>
      <c r="J846" s="28" t="s">
        <v>172</v>
      </c>
      <c r="K846" s="28" t="s">
        <v>482</v>
      </c>
      <c r="M846" s="29"/>
      <c r="N846" s="25"/>
      <c r="O846" s="28" t="s">
        <v>27</v>
      </c>
      <c r="P846" s="24" t="s">
        <v>177</v>
      </c>
      <c r="Q846" s="14" t="b">
        <f t="shared" si="1"/>
        <v>0</v>
      </c>
      <c r="R846" s="15" t="b">
        <f t="shared" si="2"/>
        <v>0</v>
      </c>
      <c r="S846" s="15" t="str">
        <f t="shared" si="3"/>
        <v>PENDING</v>
      </c>
    </row>
    <row r="847" ht="15.75" customHeight="1">
      <c r="A847" s="24" t="s">
        <v>1873</v>
      </c>
      <c r="B847" s="115" t="s">
        <v>640</v>
      </c>
      <c r="C847" s="26">
        <v>45958.0</v>
      </c>
      <c r="D847" s="26">
        <v>45958.0</v>
      </c>
      <c r="E847" s="24" t="s">
        <v>21</v>
      </c>
      <c r="F847" s="24">
        <v>96.0</v>
      </c>
      <c r="G847" s="27">
        <v>118.18</v>
      </c>
      <c r="H847" s="24" t="s">
        <v>177</v>
      </c>
      <c r="I847" s="28" t="s">
        <v>23</v>
      </c>
      <c r="J847" s="28" t="s">
        <v>172</v>
      </c>
      <c r="K847" s="28" t="s">
        <v>482</v>
      </c>
      <c r="M847" s="29"/>
      <c r="N847" s="25"/>
      <c r="O847" s="28" t="s">
        <v>27</v>
      </c>
      <c r="P847" s="24" t="s">
        <v>177</v>
      </c>
      <c r="Q847" s="14" t="b">
        <f t="shared" si="1"/>
        <v>0</v>
      </c>
      <c r="R847" s="15" t="b">
        <f t="shared" si="2"/>
        <v>0</v>
      </c>
      <c r="S847" s="15" t="str">
        <f t="shared" si="3"/>
        <v>PENDING</v>
      </c>
    </row>
    <row r="848" ht="15.75" customHeight="1">
      <c r="A848" s="24" t="s">
        <v>1873</v>
      </c>
      <c r="B848" s="115" t="s">
        <v>640</v>
      </c>
      <c r="C848" s="26">
        <v>45958.0</v>
      </c>
      <c r="D848" s="26">
        <v>45958.0</v>
      </c>
      <c r="E848" s="24" t="s">
        <v>1287</v>
      </c>
      <c r="F848" s="24">
        <v>80.0</v>
      </c>
      <c r="G848" s="27">
        <v>49.64</v>
      </c>
      <c r="H848" s="24" t="s">
        <v>177</v>
      </c>
      <c r="I848" s="28" t="s">
        <v>23</v>
      </c>
      <c r="J848" s="28" t="s">
        <v>172</v>
      </c>
      <c r="K848" s="28" t="s">
        <v>482</v>
      </c>
      <c r="M848" s="29"/>
      <c r="N848" s="25"/>
      <c r="O848" s="28" t="s">
        <v>27</v>
      </c>
      <c r="P848" s="24" t="s">
        <v>177</v>
      </c>
      <c r="Q848" s="14" t="b">
        <f t="shared" si="1"/>
        <v>0</v>
      </c>
      <c r="R848" s="15" t="b">
        <f t="shared" si="2"/>
        <v>0</v>
      </c>
      <c r="S848" s="15" t="str">
        <f t="shared" si="3"/>
        <v>PENDING</v>
      </c>
    </row>
    <row r="849" ht="15.75" customHeight="1">
      <c r="A849" s="24" t="s">
        <v>1874</v>
      </c>
      <c r="B849" s="115" t="s">
        <v>1875</v>
      </c>
      <c r="C849" s="26">
        <v>45960.0</v>
      </c>
      <c r="D849" s="26">
        <v>45960.0</v>
      </c>
      <c r="E849" s="24" t="s">
        <v>21</v>
      </c>
      <c r="F849" s="24">
        <v>24.0</v>
      </c>
      <c r="G849" s="27">
        <v>118.0</v>
      </c>
      <c r="H849" s="24" t="s">
        <v>1376</v>
      </c>
      <c r="I849" s="28" t="s">
        <v>23</v>
      </c>
      <c r="J849" s="28" t="s">
        <v>172</v>
      </c>
      <c r="K849" s="28" t="s">
        <v>482</v>
      </c>
      <c r="M849" s="29"/>
      <c r="N849" s="25"/>
      <c r="O849" s="28" t="s">
        <v>27</v>
      </c>
      <c r="P849" s="24" t="s">
        <v>1376</v>
      </c>
      <c r="Q849" s="14" t="b">
        <f t="shared" si="1"/>
        <v>0</v>
      </c>
      <c r="R849" s="15" t="b">
        <f t="shared" si="2"/>
        <v>0</v>
      </c>
      <c r="S849" s="15" t="str">
        <f t="shared" si="3"/>
        <v>PENDING</v>
      </c>
    </row>
    <row r="850" ht="15.75" customHeight="1">
      <c r="A850" s="24" t="s">
        <v>1874</v>
      </c>
      <c r="B850" s="115" t="s">
        <v>1875</v>
      </c>
      <c r="C850" s="26">
        <v>45960.0</v>
      </c>
      <c r="D850" s="26">
        <v>45960.0</v>
      </c>
      <c r="E850" s="24" t="s">
        <v>1287</v>
      </c>
      <c r="F850" s="24">
        <v>80.0</v>
      </c>
      <c r="G850" s="27">
        <v>49.66</v>
      </c>
      <c r="H850" s="24" t="s">
        <v>1376</v>
      </c>
      <c r="I850" s="28" t="s">
        <v>23</v>
      </c>
      <c r="J850" s="28" t="s">
        <v>172</v>
      </c>
      <c r="K850" s="28" t="s">
        <v>482</v>
      </c>
      <c r="M850" s="29"/>
      <c r="N850" s="25"/>
      <c r="O850" s="28" t="s">
        <v>27</v>
      </c>
      <c r="P850" s="24" t="s">
        <v>1376</v>
      </c>
      <c r="Q850" s="14" t="b">
        <f t="shared" si="1"/>
        <v>0</v>
      </c>
      <c r="R850" s="15" t="b">
        <f t="shared" si="2"/>
        <v>0</v>
      </c>
      <c r="S850" s="15" t="str">
        <f t="shared" si="3"/>
        <v>PENDING</v>
      </c>
    </row>
    <row r="851" ht="15.75" customHeight="1">
      <c r="A851" s="24" t="s">
        <v>1876</v>
      </c>
      <c r="B851" s="25" t="s">
        <v>1379</v>
      </c>
      <c r="C851" s="26">
        <v>45958.0</v>
      </c>
      <c r="D851" s="26">
        <v>45959.0</v>
      </c>
      <c r="E851" s="24" t="s">
        <v>21</v>
      </c>
      <c r="F851" s="24">
        <v>48.0</v>
      </c>
      <c r="G851" s="27">
        <v>118.0</v>
      </c>
      <c r="H851" s="24" t="s">
        <v>1376</v>
      </c>
      <c r="I851" s="28" t="s">
        <v>23</v>
      </c>
      <c r="J851" s="28" t="s">
        <v>172</v>
      </c>
      <c r="K851" s="28" t="s">
        <v>482</v>
      </c>
      <c r="M851" s="29"/>
      <c r="N851" s="25"/>
      <c r="O851" s="28" t="s">
        <v>27</v>
      </c>
      <c r="P851" s="24" t="s">
        <v>1376</v>
      </c>
      <c r="Q851" s="14" t="b">
        <f t="shared" si="1"/>
        <v>0</v>
      </c>
      <c r="R851" s="15" t="b">
        <f t="shared" si="2"/>
        <v>0</v>
      </c>
      <c r="S851" s="15" t="str">
        <f t="shared" si="3"/>
        <v>PENDING</v>
      </c>
    </row>
    <row r="852" ht="15.75" customHeight="1">
      <c r="A852" s="7" t="s">
        <v>1877</v>
      </c>
      <c r="B852" s="13" t="s">
        <v>1878</v>
      </c>
      <c r="C852" s="9">
        <v>45958.0</v>
      </c>
      <c r="D852" s="9"/>
      <c r="E852" s="7" t="s">
        <v>21</v>
      </c>
      <c r="F852" s="7">
        <v>24.0</v>
      </c>
      <c r="G852" s="10">
        <v>119.0</v>
      </c>
      <c r="H852" s="7" t="s">
        <v>177</v>
      </c>
      <c r="I852" s="11" t="s">
        <v>23</v>
      </c>
      <c r="J852" s="11" t="s">
        <v>30</v>
      </c>
      <c r="K852" s="11" t="s">
        <v>25</v>
      </c>
      <c r="L852" s="16"/>
      <c r="M852" s="12" t="s">
        <v>1879</v>
      </c>
      <c r="N852" s="13"/>
      <c r="O852" s="11" t="s">
        <v>27</v>
      </c>
      <c r="P852" s="7" t="s">
        <v>177</v>
      </c>
      <c r="Q852" s="14" t="b">
        <f t="shared" si="1"/>
        <v>1</v>
      </c>
      <c r="R852" s="15" t="b">
        <f t="shared" si="2"/>
        <v>0</v>
      </c>
      <c r="S852" s="15" t="str">
        <f t="shared" si="3"/>
        <v>APPROVED</v>
      </c>
    </row>
    <row r="853" ht="15.75" customHeight="1">
      <c r="A853" s="24" t="s">
        <v>1877</v>
      </c>
      <c r="B853" s="25" t="s">
        <v>1878</v>
      </c>
      <c r="C853" s="26">
        <v>45958.0</v>
      </c>
      <c r="D853" s="26"/>
      <c r="E853" s="24" t="s">
        <v>1287</v>
      </c>
      <c r="F853" s="24">
        <v>40.0</v>
      </c>
      <c r="G853" s="27">
        <v>55.0</v>
      </c>
      <c r="H853" s="24" t="s">
        <v>177</v>
      </c>
      <c r="I853" s="28" t="s">
        <v>23</v>
      </c>
      <c r="J853" s="28" t="s">
        <v>30</v>
      </c>
      <c r="K853" s="28" t="s">
        <v>84</v>
      </c>
      <c r="M853" s="29"/>
      <c r="N853" s="25"/>
      <c r="O853" s="28" t="s">
        <v>27</v>
      </c>
      <c r="P853" s="24" t="s">
        <v>177</v>
      </c>
      <c r="Q853" s="14" t="b">
        <f t="shared" si="1"/>
        <v>0</v>
      </c>
      <c r="R853" s="15" t="b">
        <f t="shared" si="2"/>
        <v>0</v>
      </c>
      <c r="S853" s="15" t="str">
        <f t="shared" si="3"/>
        <v>PENDING</v>
      </c>
    </row>
    <row r="854" ht="15.75" customHeight="1">
      <c r="A854" s="24" t="s">
        <v>1880</v>
      </c>
      <c r="B854" s="115" t="s">
        <v>1079</v>
      </c>
      <c r="C854" s="26">
        <v>45958.0</v>
      </c>
      <c r="D854" s="26">
        <v>45959.0</v>
      </c>
      <c r="E854" s="24" t="s">
        <v>21</v>
      </c>
      <c r="F854" s="24">
        <v>72.0</v>
      </c>
      <c r="G854" s="27">
        <v>127.6</v>
      </c>
      <c r="H854" s="24" t="s">
        <v>715</v>
      </c>
      <c r="I854" s="28" t="s">
        <v>23</v>
      </c>
      <c r="J854" s="28" t="s">
        <v>35</v>
      </c>
      <c r="K854" s="28" t="s">
        <v>482</v>
      </c>
      <c r="M854" s="29"/>
      <c r="N854" s="25"/>
      <c r="O854" s="28" t="s">
        <v>27</v>
      </c>
      <c r="P854" s="24" t="s">
        <v>715</v>
      </c>
      <c r="Q854" s="14" t="b">
        <f t="shared" si="1"/>
        <v>0</v>
      </c>
      <c r="R854" s="15" t="b">
        <f t="shared" si="2"/>
        <v>0</v>
      </c>
      <c r="S854" s="15" t="str">
        <f t="shared" si="3"/>
        <v>PENDING</v>
      </c>
    </row>
    <row r="855" ht="15.75" customHeight="1">
      <c r="A855" s="24" t="s">
        <v>1881</v>
      </c>
      <c r="B855" s="25" t="s">
        <v>1882</v>
      </c>
      <c r="C855" s="26">
        <v>45958.0</v>
      </c>
      <c r="D855" s="26">
        <v>45959.0</v>
      </c>
      <c r="E855" s="24" t="s">
        <v>1287</v>
      </c>
      <c r="F855" s="24">
        <v>40.0</v>
      </c>
      <c r="G855" s="27">
        <v>49.66</v>
      </c>
      <c r="H855" s="24" t="s">
        <v>1376</v>
      </c>
      <c r="I855" s="28" t="s">
        <v>23</v>
      </c>
      <c r="J855" s="28" t="s">
        <v>172</v>
      </c>
      <c r="K855" s="28" t="s">
        <v>84</v>
      </c>
      <c r="M855" s="29" t="s">
        <v>1883</v>
      </c>
      <c r="N855" s="25"/>
      <c r="O855" s="28" t="s">
        <v>27</v>
      </c>
      <c r="P855" s="24" t="s">
        <v>1376</v>
      </c>
      <c r="Q855" s="14" t="b">
        <f t="shared" si="1"/>
        <v>0</v>
      </c>
      <c r="R855" s="15" t="b">
        <f t="shared" si="2"/>
        <v>0</v>
      </c>
      <c r="S855" s="15" t="str">
        <f t="shared" si="3"/>
        <v>PENDING</v>
      </c>
    </row>
    <row r="856" ht="15.75" customHeight="1">
      <c r="A856" s="30" t="s">
        <v>1884</v>
      </c>
      <c r="B856" s="58" t="s">
        <v>1079</v>
      </c>
      <c r="C856" s="32">
        <v>45959.0</v>
      </c>
      <c r="D856" s="32">
        <v>45959.0</v>
      </c>
      <c r="E856" s="30" t="s">
        <v>21</v>
      </c>
      <c r="F856" s="30"/>
      <c r="G856" s="33">
        <v>127.6</v>
      </c>
      <c r="H856" s="30" t="s">
        <v>715</v>
      </c>
      <c r="I856" s="34" t="s">
        <v>23</v>
      </c>
      <c r="J856" s="34" t="s">
        <v>172</v>
      </c>
      <c r="K856" s="34" t="s">
        <v>49</v>
      </c>
      <c r="L856" s="66"/>
      <c r="M856" s="35"/>
      <c r="N856" s="31"/>
      <c r="O856" s="30" t="s">
        <v>98</v>
      </c>
      <c r="P856" s="30" t="s">
        <v>715</v>
      </c>
      <c r="Q856" s="14" t="b">
        <f t="shared" si="1"/>
        <v>0</v>
      </c>
      <c r="R856" s="15" t="b">
        <f t="shared" si="2"/>
        <v>1</v>
      </c>
      <c r="S856" s="15" t="str">
        <f t="shared" si="3"/>
        <v>PENDING</v>
      </c>
    </row>
    <row r="857" ht="15.75" customHeight="1">
      <c r="A857" s="24" t="s">
        <v>1885</v>
      </c>
      <c r="B857" s="115" t="s">
        <v>876</v>
      </c>
      <c r="C857" s="26">
        <v>45964.0</v>
      </c>
      <c r="D857" s="26">
        <v>45964.0</v>
      </c>
      <c r="E857" s="24" t="s">
        <v>21</v>
      </c>
      <c r="F857" s="24">
        <v>144.0</v>
      </c>
      <c r="G857" s="27">
        <v>118.18</v>
      </c>
      <c r="H857" s="24" t="s">
        <v>177</v>
      </c>
      <c r="I857" s="28" t="s">
        <v>23</v>
      </c>
      <c r="J857" s="28" t="s">
        <v>172</v>
      </c>
      <c r="K857" s="28" t="s">
        <v>84</v>
      </c>
      <c r="M857" s="29" t="s">
        <v>1886</v>
      </c>
      <c r="N857" s="29" t="s">
        <v>1887</v>
      </c>
      <c r="O857" s="28" t="s">
        <v>27</v>
      </c>
      <c r="P857" s="24" t="s">
        <v>177</v>
      </c>
      <c r="Q857" s="14" t="b">
        <f t="shared" si="1"/>
        <v>0</v>
      </c>
      <c r="R857" s="15" t="b">
        <f t="shared" si="2"/>
        <v>0</v>
      </c>
      <c r="S857" s="15" t="str">
        <f t="shared" si="3"/>
        <v>PENDING</v>
      </c>
    </row>
    <row r="858" ht="15.75" customHeight="1">
      <c r="A858" s="24" t="s">
        <v>1888</v>
      </c>
      <c r="B858" s="25" t="s">
        <v>1889</v>
      </c>
      <c r="C858" s="26">
        <v>45964.0</v>
      </c>
      <c r="D858" s="26">
        <v>45964.0</v>
      </c>
      <c r="E858" s="24" t="s">
        <v>21</v>
      </c>
      <c r="F858" s="24">
        <v>24.0</v>
      </c>
      <c r="G858" s="27">
        <v>118.0</v>
      </c>
      <c r="H858" s="24" t="s">
        <v>177</v>
      </c>
      <c r="I858" s="28" t="s">
        <v>23</v>
      </c>
      <c r="J858" s="28" t="s">
        <v>172</v>
      </c>
      <c r="K858" s="28" t="s">
        <v>482</v>
      </c>
      <c r="M858" s="29"/>
      <c r="N858" s="25"/>
      <c r="O858" s="28" t="s">
        <v>27</v>
      </c>
      <c r="P858" s="24" t="s">
        <v>177</v>
      </c>
      <c r="Q858" s="14" t="b">
        <f t="shared" si="1"/>
        <v>0</v>
      </c>
      <c r="R858" s="15" t="b">
        <f t="shared" si="2"/>
        <v>0</v>
      </c>
      <c r="S858" s="15" t="str">
        <f t="shared" si="3"/>
        <v>PENDING</v>
      </c>
    </row>
    <row r="859" ht="15.75" customHeight="1">
      <c r="A859" s="24" t="s">
        <v>1888</v>
      </c>
      <c r="B859" s="25" t="s">
        <v>1889</v>
      </c>
      <c r="C859" s="26">
        <v>45964.0</v>
      </c>
      <c r="D859" s="26">
        <v>45964.0</v>
      </c>
      <c r="E859" s="24" t="s">
        <v>1287</v>
      </c>
      <c r="F859" s="24">
        <v>40.0</v>
      </c>
      <c r="G859" s="27">
        <v>49.64</v>
      </c>
      <c r="H859" s="24" t="s">
        <v>177</v>
      </c>
      <c r="I859" s="28" t="s">
        <v>23</v>
      </c>
      <c r="J859" s="28" t="s">
        <v>172</v>
      </c>
      <c r="K859" s="28" t="s">
        <v>482</v>
      </c>
      <c r="M859" s="29"/>
      <c r="N859" s="25"/>
      <c r="O859" s="28" t="s">
        <v>27</v>
      </c>
      <c r="P859" s="24" t="s">
        <v>177</v>
      </c>
      <c r="Q859" s="14" t="b">
        <f t="shared" si="1"/>
        <v>0</v>
      </c>
      <c r="R859" s="15" t="b">
        <f t="shared" si="2"/>
        <v>0</v>
      </c>
      <c r="S859" s="15" t="str">
        <f t="shared" si="3"/>
        <v>PENDING</v>
      </c>
    </row>
    <row r="860" ht="15.75" customHeight="1">
      <c r="A860" s="24" t="s">
        <v>1890</v>
      </c>
      <c r="B860" s="115" t="s">
        <v>554</v>
      </c>
      <c r="C860" s="26">
        <v>45964.0</v>
      </c>
      <c r="D860" s="26">
        <v>45964.0</v>
      </c>
      <c r="E860" s="24" t="s">
        <v>21</v>
      </c>
      <c r="F860" s="24">
        <v>24.0</v>
      </c>
      <c r="G860" s="27">
        <v>118.18</v>
      </c>
      <c r="H860" s="24" t="s">
        <v>177</v>
      </c>
      <c r="I860" s="28" t="s">
        <v>23</v>
      </c>
      <c r="J860" s="28" t="s">
        <v>172</v>
      </c>
      <c r="K860" s="28" t="s">
        <v>482</v>
      </c>
      <c r="M860" s="29"/>
      <c r="N860" s="25"/>
      <c r="O860" s="28" t="s">
        <v>27</v>
      </c>
      <c r="P860" s="24" t="s">
        <v>177</v>
      </c>
      <c r="Q860" s="14" t="b">
        <f t="shared" si="1"/>
        <v>0</v>
      </c>
      <c r="R860" s="15" t="b">
        <f t="shared" si="2"/>
        <v>0</v>
      </c>
      <c r="S860" s="15" t="str">
        <f t="shared" si="3"/>
        <v>PENDING</v>
      </c>
    </row>
    <row r="861" ht="15.75" customHeight="1">
      <c r="A861" s="24" t="s">
        <v>1891</v>
      </c>
      <c r="B861" s="115" t="s">
        <v>554</v>
      </c>
      <c r="C861" s="26">
        <v>45965.0</v>
      </c>
      <c r="D861" s="26">
        <v>45965.0</v>
      </c>
      <c r="E861" s="24" t="s">
        <v>21</v>
      </c>
      <c r="F861" s="24">
        <v>24.0</v>
      </c>
      <c r="G861" s="27">
        <v>118.18</v>
      </c>
      <c r="H861" s="24" t="s">
        <v>177</v>
      </c>
      <c r="I861" s="28" t="s">
        <v>23</v>
      </c>
      <c r="J861" s="28" t="s">
        <v>172</v>
      </c>
      <c r="K861" s="28" t="s">
        <v>482</v>
      </c>
      <c r="M861" s="29"/>
      <c r="N861" s="25" t="s">
        <v>1892</v>
      </c>
      <c r="O861" s="28" t="s">
        <v>27</v>
      </c>
      <c r="P861" s="24" t="s">
        <v>177</v>
      </c>
      <c r="Q861" s="14" t="b">
        <f t="shared" si="1"/>
        <v>0</v>
      </c>
      <c r="R861" s="15" t="b">
        <f t="shared" si="2"/>
        <v>0</v>
      </c>
      <c r="S861" s="15" t="str">
        <f t="shared" si="3"/>
        <v>PENDING</v>
      </c>
    </row>
    <row r="862" ht="15.75" customHeight="1">
      <c r="A862" s="155" t="s">
        <v>1893</v>
      </c>
      <c r="B862" s="156" t="s">
        <v>1830</v>
      </c>
      <c r="C862" s="157">
        <v>45964.0</v>
      </c>
      <c r="D862" s="157"/>
      <c r="E862" s="155" t="s">
        <v>21</v>
      </c>
      <c r="F862" s="155">
        <v>240.0</v>
      </c>
      <c r="G862" s="158"/>
      <c r="H862" s="155" t="s">
        <v>715</v>
      </c>
      <c r="I862" s="159" t="s">
        <v>23</v>
      </c>
      <c r="J862" s="159" t="s">
        <v>30</v>
      </c>
      <c r="K862" s="155" t="s">
        <v>31</v>
      </c>
      <c r="L862" s="160"/>
      <c r="M862" s="161"/>
      <c r="N862" s="162"/>
      <c r="O862" s="159" t="s">
        <v>27</v>
      </c>
      <c r="P862" s="155" t="s">
        <v>715</v>
      </c>
      <c r="Q862" s="14" t="b">
        <f t="shared" si="1"/>
        <v>0</v>
      </c>
      <c r="R862" s="15" t="b">
        <f t="shared" si="2"/>
        <v>0</v>
      </c>
      <c r="S862" s="15" t="str">
        <f t="shared" si="3"/>
        <v>PENDING</v>
      </c>
    </row>
    <row r="863" ht="15.75" customHeight="1">
      <c r="A863" s="24" t="s">
        <v>1894</v>
      </c>
      <c r="B863" s="115" t="s">
        <v>1895</v>
      </c>
      <c r="C863" s="26">
        <v>45959.0</v>
      </c>
      <c r="D863" s="26">
        <v>45959.0</v>
      </c>
      <c r="E863" s="24" t="s">
        <v>1287</v>
      </c>
      <c r="F863" s="24">
        <v>40.0</v>
      </c>
      <c r="G863" s="27">
        <v>50.0</v>
      </c>
      <c r="H863" s="24" t="s">
        <v>1376</v>
      </c>
      <c r="I863" s="28" t="s">
        <v>23</v>
      </c>
      <c r="J863" s="28" t="s">
        <v>172</v>
      </c>
      <c r="K863" s="28" t="s">
        <v>482</v>
      </c>
      <c r="M863" s="29"/>
      <c r="N863" s="25"/>
      <c r="O863" s="28" t="s">
        <v>27</v>
      </c>
      <c r="P863" s="24" t="s">
        <v>1376</v>
      </c>
      <c r="Q863" s="14" t="b">
        <f t="shared" si="1"/>
        <v>0</v>
      </c>
      <c r="R863" s="15" t="b">
        <f t="shared" si="2"/>
        <v>0</v>
      </c>
      <c r="S863" s="15" t="str">
        <f t="shared" si="3"/>
        <v>PENDING</v>
      </c>
    </row>
    <row r="864" ht="15.75" customHeight="1">
      <c r="A864" s="24" t="s">
        <v>1894</v>
      </c>
      <c r="B864" s="115" t="s">
        <v>1895</v>
      </c>
      <c r="C864" s="26">
        <v>45959.0</v>
      </c>
      <c r="D864" s="26">
        <v>45959.0</v>
      </c>
      <c r="E864" s="24" t="s">
        <v>21</v>
      </c>
      <c r="F864" s="24">
        <v>24.0</v>
      </c>
      <c r="G864" s="27">
        <v>118.0</v>
      </c>
      <c r="H864" s="24" t="s">
        <v>1376</v>
      </c>
      <c r="I864" s="28" t="s">
        <v>23</v>
      </c>
      <c r="J864" s="28" t="s">
        <v>172</v>
      </c>
      <c r="K864" s="28" t="s">
        <v>482</v>
      </c>
      <c r="M864" s="29"/>
      <c r="N864" s="25"/>
      <c r="O864" s="28" t="s">
        <v>27</v>
      </c>
      <c r="P864" s="24" t="s">
        <v>1376</v>
      </c>
      <c r="Q864" s="14" t="b">
        <f t="shared" si="1"/>
        <v>0</v>
      </c>
      <c r="R864" s="15" t="b">
        <f t="shared" si="2"/>
        <v>0</v>
      </c>
      <c r="S864" s="15" t="str">
        <f t="shared" si="3"/>
        <v>PENDING</v>
      </c>
    </row>
    <row r="865" ht="15.75" customHeight="1">
      <c r="A865" s="24" t="s">
        <v>1896</v>
      </c>
      <c r="B865" s="25" t="s">
        <v>1389</v>
      </c>
      <c r="C865" s="26">
        <v>45966.0</v>
      </c>
      <c r="D865" s="26"/>
      <c r="E865" s="24" t="s">
        <v>21</v>
      </c>
      <c r="F865" s="24">
        <v>48.0</v>
      </c>
      <c r="G865" s="27">
        <v>118.0</v>
      </c>
      <c r="H865" s="24" t="s">
        <v>1376</v>
      </c>
      <c r="I865" s="28" t="s">
        <v>23</v>
      </c>
      <c r="J865" s="28" t="s">
        <v>172</v>
      </c>
      <c r="K865" s="28" t="s">
        <v>482</v>
      </c>
      <c r="M865" s="29"/>
      <c r="N865" s="25"/>
      <c r="O865" s="28" t="s">
        <v>27</v>
      </c>
      <c r="P865" s="24" t="s">
        <v>1376</v>
      </c>
      <c r="Q865" s="14" t="b">
        <f t="shared" si="1"/>
        <v>0</v>
      </c>
      <c r="R865" s="15" t="b">
        <f t="shared" si="2"/>
        <v>0</v>
      </c>
      <c r="S865" s="15" t="str">
        <f t="shared" si="3"/>
        <v>PENDING</v>
      </c>
    </row>
    <row r="866" ht="15.75" customHeight="1">
      <c r="A866" s="24" t="s">
        <v>1897</v>
      </c>
      <c r="B866" s="25" t="s">
        <v>1898</v>
      </c>
      <c r="C866" s="26">
        <v>45966.0</v>
      </c>
      <c r="D866" s="26"/>
      <c r="E866" s="24" t="s">
        <v>21</v>
      </c>
      <c r="F866" s="24">
        <v>48.0</v>
      </c>
      <c r="G866" s="27">
        <v>118.0</v>
      </c>
      <c r="H866" s="24" t="s">
        <v>1376</v>
      </c>
      <c r="I866" s="28" t="s">
        <v>23</v>
      </c>
      <c r="J866" s="28" t="s">
        <v>172</v>
      </c>
      <c r="K866" s="28" t="s">
        <v>482</v>
      </c>
      <c r="M866" s="29"/>
      <c r="N866" s="25"/>
      <c r="O866" s="28" t="s">
        <v>27</v>
      </c>
      <c r="P866" s="24" t="s">
        <v>1376</v>
      </c>
      <c r="Q866" s="14" t="b">
        <f t="shared" si="1"/>
        <v>0</v>
      </c>
      <c r="R866" s="15" t="b">
        <f t="shared" si="2"/>
        <v>0</v>
      </c>
      <c r="S866" s="15" t="str">
        <f t="shared" si="3"/>
        <v>PENDING</v>
      </c>
    </row>
    <row r="867" ht="15.75" customHeight="1">
      <c r="A867" s="24" t="s">
        <v>1899</v>
      </c>
      <c r="B867" s="115" t="s">
        <v>1454</v>
      </c>
      <c r="C867" s="26">
        <v>45966.0</v>
      </c>
      <c r="D867" s="26"/>
      <c r="E867" s="24" t="s">
        <v>21</v>
      </c>
      <c r="F867" s="24">
        <v>48.0</v>
      </c>
      <c r="G867" s="27">
        <v>118.18</v>
      </c>
      <c r="H867" s="24" t="s">
        <v>1387</v>
      </c>
      <c r="I867" s="28" t="s">
        <v>23</v>
      </c>
      <c r="J867" s="28" t="s">
        <v>172</v>
      </c>
      <c r="K867" s="28" t="s">
        <v>84</v>
      </c>
      <c r="M867" s="29" t="s">
        <v>1455</v>
      </c>
      <c r="N867" s="25" t="s">
        <v>1892</v>
      </c>
      <c r="O867" s="28" t="s">
        <v>27</v>
      </c>
      <c r="P867" s="24" t="s">
        <v>1387</v>
      </c>
      <c r="Q867" s="14" t="b">
        <f t="shared" si="1"/>
        <v>0</v>
      </c>
      <c r="R867" s="15" t="b">
        <f t="shared" si="2"/>
        <v>0</v>
      </c>
      <c r="S867" s="15" t="str">
        <f t="shared" si="3"/>
        <v>PENDING</v>
      </c>
    </row>
    <row r="868" ht="15.75" customHeight="1">
      <c r="A868" s="24" t="s">
        <v>1900</v>
      </c>
      <c r="B868" s="115" t="s">
        <v>1901</v>
      </c>
      <c r="C868" s="26">
        <v>45966.0</v>
      </c>
      <c r="D868" s="26">
        <v>45966.0</v>
      </c>
      <c r="E868" s="24" t="s">
        <v>1287</v>
      </c>
      <c r="F868" s="24">
        <v>40.0</v>
      </c>
      <c r="G868" s="27">
        <v>49.64</v>
      </c>
      <c r="H868" s="24" t="s">
        <v>1387</v>
      </c>
      <c r="I868" s="28" t="s">
        <v>23</v>
      </c>
      <c r="J868" s="28" t="s">
        <v>172</v>
      </c>
      <c r="K868" s="28" t="s">
        <v>482</v>
      </c>
      <c r="M868" s="29"/>
      <c r="N868" s="25"/>
      <c r="O868" s="28" t="s">
        <v>27</v>
      </c>
      <c r="P868" s="24" t="s">
        <v>1387</v>
      </c>
      <c r="Q868" s="14" t="b">
        <f t="shared" si="1"/>
        <v>0</v>
      </c>
      <c r="R868" s="15" t="b">
        <f t="shared" si="2"/>
        <v>0</v>
      </c>
      <c r="S868" s="15" t="str">
        <f t="shared" si="3"/>
        <v>PENDING</v>
      </c>
    </row>
    <row r="869" ht="15.75" customHeight="1">
      <c r="A869" s="24" t="s">
        <v>1902</v>
      </c>
      <c r="B869" s="25" t="s">
        <v>1007</v>
      </c>
      <c r="C869" s="26">
        <v>45966.0</v>
      </c>
      <c r="D869" s="26">
        <v>45966.0</v>
      </c>
      <c r="E869" s="24" t="s">
        <v>21</v>
      </c>
      <c r="F869" s="24">
        <v>24.0</v>
      </c>
      <c r="G869" s="27">
        <v>104.17</v>
      </c>
      <c r="H869" s="24" t="s">
        <v>177</v>
      </c>
      <c r="I869" s="28" t="s">
        <v>23</v>
      </c>
      <c r="J869" s="28" t="s">
        <v>30</v>
      </c>
      <c r="K869" s="28" t="s">
        <v>84</v>
      </c>
      <c r="M869" s="97" t="s">
        <v>1903</v>
      </c>
      <c r="N869" s="25"/>
      <c r="O869" s="28" t="s">
        <v>27</v>
      </c>
      <c r="P869" s="24" t="s">
        <v>177</v>
      </c>
      <c r="Q869" s="14" t="b">
        <f t="shared" si="1"/>
        <v>0</v>
      </c>
      <c r="R869" s="15" t="b">
        <f t="shared" si="2"/>
        <v>0</v>
      </c>
      <c r="S869" s="15" t="str">
        <f t="shared" si="3"/>
        <v>PENDING</v>
      </c>
    </row>
    <row r="870" ht="15.75" customHeight="1">
      <c r="A870" s="24" t="s">
        <v>1904</v>
      </c>
      <c r="B870" s="25" t="s">
        <v>1905</v>
      </c>
      <c r="C870" s="26">
        <v>45972.0</v>
      </c>
      <c r="D870" s="26">
        <v>45972.0</v>
      </c>
      <c r="E870" s="24" t="s">
        <v>1287</v>
      </c>
      <c r="F870" s="24">
        <v>320.0</v>
      </c>
      <c r="G870" s="27">
        <v>48.0</v>
      </c>
      <c r="H870" s="24" t="s">
        <v>1847</v>
      </c>
      <c r="I870" s="28" t="s">
        <v>23</v>
      </c>
      <c r="J870" s="28" t="s">
        <v>35</v>
      </c>
      <c r="K870" s="28" t="s">
        <v>482</v>
      </c>
      <c r="M870" s="29"/>
      <c r="N870" s="29" t="s">
        <v>1906</v>
      </c>
      <c r="O870" s="28" t="s">
        <v>27</v>
      </c>
      <c r="P870" s="24" t="s">
        <v>1847</v>
      </c>
      <c r="Q870" s="14" t="b">
        <f t="shared" si="1"/>
        <v>0</v>
      </c>
      <c r="R870" s="15" t="b">
        <f t="shared" si="2"/>
        <v>0</v>
      </c>
      <c r="S870" s="15" t="str">
        <f t="shared" si="3"/>
        <v>PENDING</v>
      </c>
    </row>
    <row r="871" ht="15.75" customHeight="1">
      <c r="A871" s="24" t="s">
        <v>1907</v>
      </c>
      <c r="B871" s="115" t="s">
        <v>1908</v>
      </c>
      <c r="C871" s="26">
        <v>45972.0</v>
      </c>
      <c r="D871" s="26">
        <v>45972.0</v>
      </c>
      <c r="E871" s="24" t="s">
        <v>21</v>
      </c>
      <c r="F871" s="24">
        <v>24.0</v>
      </c>
      <c r="G871" s="27">
        <v>120.0</v>
      </c>
      <c r="H871" s="24" t="s">
        <v>1847</v>
      </c>
      <c r="I871" s="28" t="s">
        <v>23</v>
      </c>
      <c r="J871" s="28" t="s">
        <v>35</v>
      </c>
      <c r="K871" s="28" t="s">
        <v>482</v>
      </c>
      <c r="M871" s="29"/>
      <c r="N871" s="25"/>
      <c r="O871" s="28" t="s">
        <v>27</v>
      </c>
      <c r="P871" s="24" t="s">
        <v>1847</v>
      </c>
      <c r="Q871" s="14" t="b">
        <f t="shared" si="1"/>
        <v>0</v>
      </c>
      <c r="R871" s="15" t="b">
        <f t="shared" si="2"/>
        <v>0</v>
      </c>
      <c r="S871" s="15" t="str">
        <f t="shared" si="3"/>
        <v>PENDING</v>
      </c>
    </row>
    <row r="872" ht="15.75" customHeight="1">
      <c r="A872" s="24" t="s">
        <v>1907</v>
      </c>
      <c r="B872" s="115" t="s">
        <v>1908</v>
      </c>
      <c r="C872" s="26">
        <v>45972.0</v>
      </c>
      <c r="D872" s="26">
        <v>45972.0</v>
      </c>
      <c r="E872" s="24" t="s">
        <v>1287</v>
      </c>
      <c r="F872" s="24">
        <v>40.0</v>
      </c>
      <c r="G872" s="27">
        <v>60.0</v>
      </c>
      <c r="H872" s="24" t="s">
        <v>1847</v>
      </c>
      <c r="I872" s="28" t="s">
        <v>23</v>
      </c>
      <c r="J872" s="28" t="s">
        <v>35</v>
      </c>
      <c r="K872" s="28" t="s">
        <v>482</v>
      </c>
      <c r="M872" s="29"/>
      <c r="N872" s="25"/>
      <c r="O872" s="28" t="s">
        <v>27</v>
      </c>
      <c r="P872" s="24" t="s">
        <v>1847</v>
      </c>
      <c r="Q872" s="14" t="b">
        <f t="shared" si="1"/>
        <v>0</v>
      </c>
      <c r="R872" s="15" t="b">
        <f t="shared" si="2"/>
        <v>0</v>
      </c>
      <c r="S872" s="15" t="str">
        <f t="shared" si="3"/>
        <v>PENDING</v>
      </c>
    </row>
    <row r="873" ht="15.75" customHeight="1">
      <c r="A873" s="24" t="s">
        <v>1909</v>
      </c>
      <c r="B873" s="25" t="s">
        <v>1910</v>
      </c>
      <c r="C873" s="26">
        <v>45973.0</v>
      </c>
      <c r="D873" s="26">
        <v>45973.0</v>
      </c>
      <c r="E873" s="24" t="s">
        <v>21</v>
      </c>
      <c r="F873" s="24">
        <v>24.0</v>
      </c>
      <c r="G873" s="27">
        <v>120.0</v>
      </c>
      <c r="H873" s="24" t="s">
        <v>1847</v>
      </c>
      <c r="I873" s="28" t="s">
        <v>23</v>
      </c>
      <c r="J873" s="28" t="s">
        <v>35</v>
      </c>
      <c r="K873" s="28" t="s">
        <v>482</v>
      </c>
      <c r="M873" s="29"/>
      <c r="N873" s="25"/>
      <c r="O873" s="28" t="s">
        <v>27</v>
      </c>
      <c r="P873" s="24" t="s">
        <v>1847</v>
      </c>
      <c r="Q873" s="14" t="b">
        <f t="shared" si="1"/>
        <v>0</v>
      </c>
      <c r="R873" s="15" t="b">
        <f t="shared" si="2"/>
        <v>0</v>
      </c>
      <c r="S873" s="15" t="str">
        <f t="shared" si="3"/>
        <v>PENDING</v>
      </c>
    </row>
    <row r="874" ht="15.75" customHeight="1">
      <c r="A874" s="24" t="s">
        <v>1909</v>
      </c>
      <c r="B874" s="25" t="s">
        <v>1910</v>
      </c>
      <c r="C874" s="26">
        <v>45973.0</v>
      </c>
      <c r="D874" s="26">
        <v>45973.0</v>
      </c>
      <c r="E874" s="24" t="s">
        <v>1287</v>
      </c>
      <c r="F874" s="24">
        <v>40.0</v>
      </c>
      <c r="G874" s="27">
        <v>50.0</v>
      </c>
      <c r="H874" s="24" t="s">
        <v>1847</v>
      </c>
      <c r="I874" s="28" t="s">
        <v>23</v>
      </c>
      <c r="J874" s="28" t="s">
        <v>35</v>
      </c>
      <c r="K874" s="28" t="s">
        <v>482</v>
      </c>
      <c r="M874" s="29"/>
      <c r="N874" s="25"/>
      <c r="O874" s="28" t="s">
        <v>27</v>
      </c>
      <c r="P874" s="24" t="s">
        <v>1847</v>
      </c>
      <c r="Q874" s="14" t="b">
        <f t="shared" si="1"/>
        <v>0</v>
      </c>
      <c r="R874" s="15" t="b">
        <f t="shared" si="2"/>
        <v>0</v>
      </c>
      <c r="S874" s="15" t="str">
        <f t="shared" si="3"/>
        <v>PENDING</v>
      </c>
    </row>
    <row r="875" ht="15.75" customHeight="1">
      <c r="A875" s="24" t="s">
        <v>1911</v>
      </c>
      <c r="B875" s="25" t="s">
        <v>1912</v>
      </c>
      <c r="C875" s="26">
        <v>45974.0</v>
      </c>
      <c r="D875" s="26">
        <v>45974.0</v>
      </c>
      <c r="E875" s="24" t="s">
        <v>21</v>
      </c>
      <c r="F875" s="24">
        <v>24.0</v>
      </c>
      <c r="G875" s="27">
        <v>120.0</v>
      </c>
      <c r="H875" s="24" t="s">
        <v>1724</v>
      </c>
      <c r="I875" s="28" t="s">
        <v>23</v>
      </c>
      <c r="J875" s="28" t="s">
        <v>35</v>
      </c>
      <c r="K875" s="28" t="s">
        <v>482</v>
      </c>
      <c r="M875" s="29"/>
      <c r="N875" s="25"/>
      <c r="O875" s="28" t="s">
        <v>27</v>
      </c>
      <c r="P875" s="24" t="s">
        <v>1724</v>
      </c>
      <c r="Q875" s="14" t="b">
        <f t="shared" si="1"/>
        <v>0</v>
      </c>
      <c r="R875" s="15" t="b">
        <f t="shared" si="2"/>
        <v>0</v>
      </c>
      <c r="S875" s="15" t="str">
        <f t="shared" si="3"/>
        <v>PENDING</v>
      </c>
    </row>
    <row r="876" ht="15.75" customHeight="1">
      <c r="A876" s="24" t="s">
        <v>1911</v>
      </c>
      <c r="B876" s="25" t="s">
        <v>1912</v>
      </c>
      <c r="C876" s="26">
        <v>45974.0</v>
      </c>
      <c r="D876" s="26">
        <v>45974.0</v>
      </c>
      <c r="E876" s="24" t="s">
        <v>1287</v>
      </c>
      <c r="F876" s="24">
        <v>40.0</v>
      </c>
      <c r="G876" s="27">
        <v>60.0</v>
      </c>
      <c r="H876" s="24" t="s">
        <v>1724</v>
      </c>
      <c r="I876" s="28" t="s">
        <v>23</v>
      </c>
      <c r="J876" s="28" t="s">
        <v>35</v>
      </c>
      <c r="K876" s="28" t="s">
        <v>482</v>
      </c>
      <c r="M876" s="29"/>
      <c r="N876" s="25"/>
      <c r="O876" s="28" t="s">
        <v>27</v>
      </c>
      <c r="P876" s="24" t="s">
        <v>1724</v>
      </c>
      <c r="Q876" s="14" t="b">
        <f t="shared" si="1"/>
        <v>0</v>
      </c>
      <c r="R876" s="15" t="b">
        <f t="shared" si="2"/>
        <v>0</v>
      </c>
      <c r="S876" s="15" t="str">
        <f t="shared" si="3"/>
        <v>PENDING</v>
      </c>
    </row>
    <row r="877" ht="15.75" customHeight="1">
      <c r="A877" s="24" t="s">
        <v>1913</v>
      </c>
      <c r="B877" s="25" t="s">
        <v>1914</v>
      </c>
      <c r="C877" s="26">
        <v>45975.0</v>
      </c>
      <c r="D877" s="26">
        <v>45975.0</v>
      </c>
      <c r="E877" s="24" t="s">
        <v>21</v>
      </c>
      <c r="F877" s="24">
        <v>24.0</v>
      </c>
      <c r="G877" s="27">
        <v>130.0</v>
      </c>
      <c r="H877" s="24" t="s">
        <v>1847</v>
      </c>
      <c r="I877" s="28" t="s">
        <v>23</v>
      </c>
      <c r="J877" s="28" t="s">
        <v>35</v>
      </c>
      <c r="K877" s="28" t="s">
        <v>84</v>
      </c>
      <c r="M877" s="29" t="s">
        <v>1915</v>
      </c>
      <c r="N877" s="25"/>
      <c r="O877" s="28" t="s">
        <v>27</v>
      </c>
      <c r="P877" s="24" t="s">
        <v>1847</v>
      </c>
      <c r="Q877" s="14" t="b">
        <f t="shared" si="1"/>
        <v>0</v>
      </c>
      <c r="R877" s="15" t="b">
        <f t="shared" si="2"/>
        <v>0</v>
      </c>
      <c r="S877" s="15" t="str">
        <f t="shared" si="3"/>
        <v>PENDING</v>
      </c>
    </row>
    <row r="878" ht="15.75" customHeight="1">
      <c r="A878" s="24" t="s">
        <v>1913</v>
      </c>
      <c r="B878" s="25" t="s">
        <v>1914</v>
      </c>
      <c r="C878" s="26">
        <v>45975.0</v>
      </c>
      <c r="D878" s="26">
        <v>45975.0</v>
      </c>
      <c r="E878" s="24" t="s">
        <v>1287</v>
      </c>
      <c r="F878" s="24">
        <v>40.0</v>
      </c>
      <c r="G878" s="27">
        <v>60.0</v>
      </c>
      <c r="H878" s="24" t="s">
        <v>1847</v>
      </c>
      <c r="I878" s="28" t="s">
        <v>23</v>
      </c>
      <c r="J878" s="28" t="s">
        <v>35</v>
      </c>
      <c r="K878" s="28" t="s">
        <v>84</v>
      </c>
      <c r="M878" s="29" t="s">
        <v>1915</v>
      </c>
      <c r="N878" s="25"/>
      <c r="O878" s="28" t="s">
        <v>27</v>
      </c>
      <c r="P878" s="24" t="s">
        <v>1847</v>
      </c>
      <c r="Q878" s="14" t="b">
        <f t="shared" si="1"/>
        <v>0</v>
      </c>
      <c r="R878" s="15" t="b">
        <f t="shared" si="2"/>
        <v>0</v>
      </c>
      <c r="S878" s="15" t="str">
        <f t="shared" si="3"/>
        <v>PENDING</v>
      </c>
    </row>
    <row r="879" ht="15.75" customHeight="1">
      <c r="A879" s="24" t="s">
        <v>1916</v>
      </c>
      <c r="B879" s="25" t="s">
        <v>1917</v>
      </c>
      <c r="C879" s="26">
        <v>45978.0</v>
      </c>
      <c r="D879" s="26">
        <v>45978.0</v>
      </c>
      <c r="E879" s="24" t="s">
        <v>21</v>
      </c>
      <c r="F879" s="24">
        <v>24.0</v>
      </c>
      <c r="G879" s="27">
        <v>128.0</v>
      </c>
      <c r="H879" s="24" t="s">
        <v>1847</v>
      </c>
      <c r="I879" s="28" t="s">
        <v>23</v>
      </c>
      <c r="J879" s="28" t="s">
        <v>172</v>
      </c>
      <c r="K879" s="28" t="s">
        <v>49</v>
      </c>
      <c r="M879" s="29"/>
      <c r="N879" s="25"/>
      <c r="O879" s="28" t="s">
        <v>27</v>
      </c>
      <c r="P879" s="24" t="s">
        <v>1847</v>
      </c>
      <c r="Q879" s="14" t="b">
        <f t="shared" si="1"/>
        <v>0</v>
      </c>
      <c r="R879" s="15" t="b">
        <f t="shared" si="2"/>
        <v>0</v>
      </c>
      <c r="S879" s="15" t="str">
        <f t="shared" si="3"/>
        <v>PENDING</v>
      </c>
    </row>
    <row r="880" ht="15.75" customHeight="1">
      <c r="A880" s="24" t="s">
        <v>1916</v>
      </c>
      <c r="B880" s="25" t="s">
        <v>1917</v>
      </c>
      <c r="C880" s="26">
        <v>45978.0</v>
      </c>
      <c r="D880" s="26">
        <v>45978.0</v>
      </c>
      <c r="E880" s="24" t="s">
        <v>1287</v>
      </c>
      <c r="F880" s="24">
        <v>40.0</v>
      </c>
      <c r="G880" s="27">
        <v>52.0</v>
      </c>
      <c r="H880" s="24" t="s">
        <v>1847</v>
      </c>
      <c r="I880" s="28" t="s">
        <v>23</v>
      </c>
      <c r="J880" s="28" t="s">
        <v>172</v>
      </c>
      <c r="K880" s="28" t="s">
        <v>49</v>
      </c>
      <c r="M880" s="29"/>
      <c r="N880" s="25"/>
      <c r="O880" s="28" t="s">
        <v>27</v>
      </c>
      <c r="P880" s="24" t="s">
        <v>1847</v>
      </c>
      <c r="Q880" s="14" t="b">
        <f t="shared" si="1"/>
        <v>0</v>
      </c>
      <c r="R880" s="15" t="b">
        <f t="shared" si="2"/>
        <v>0</v>
      </c>
      <c r="S880" s="15" t="str">
        <f t="shared" si="3"/>
        <v>PENDING</v>
      </c>
    </row>
    <row r="881" ht="18.75" customHeight="1">
      <c r="A881" s="24" t="s">
        <v>1918</v>
      </c>
      <c r="B881" s="25" t="s">
        <v>294</v>
      </c>
      <c r="C881" s="26">
        <v>45966.0</v>
      </c>
      <c r="D881" s="26">
        <v>45966.0</v>
      </c>
      <c r="E881" s="24" t="s">
        <v>21</v>
      </c>
      <c r="F881" s="24">
        <v>96.0</v>
      </c>
      <c r="G881" s="27">
        <v>118.18</v>
      </c>
      <c r="H881" s="24" t="s">
        <v>177</v>
      </c>
      <c r="I881" s="28" t="s">
        <v>23</v>
      </c>
      <c r="J881" s="28" t="s">
        <v>172</v>
      </c>
      <c r="K881" s="28" t="s">
        <v>482</v>
      </c>
      <c r="M881" s="29"/>
      <c r="N881" s="25"/>
      <c r="O881" s="28" t="s">
        <v>27</v>
      </c>
      <c r="P881" s="24" t="s">
        <v>177</v>
      </c>
      <c r="Q881" s="14" t="b">
        <f t="shared" si="1"/>
        <v>0</v>
      </c>
      <c r="R881" s="15" t="b">
        <f t="shared" si="2"/>
        <v>0</v>
      </c>
      <c r="S881" s="15" t="str">
        <f t="shared" si="3"/>
        <v>PENDING</v>
      </c>
    </row>
    <row r="882" ht="15.75" customHeight="1">
      <c r="A882" s="24" t="s">
        <v>1918</v>
      </c>
      <c r="B882" s="25" t="s">
        <v>294</v>
      </c>
      <c r="C882" s="26">
        <v>45966.0</v>
      </c>
      <c r="D882" s="26">
        <v>45966.0</v>
      </c>
      <c r="E882" s="24" t="s">
        <v>1287</v>
      </c>
      <c r="F882" s="24">
        <v>80.0</v>
      </c>
      <c r="G882" s="27">
        <v>49.64</v>
      </c>
      <c r="H882" s="24" t="s">
        <v>177</v>
      </c>
      <c r="I882" s="28" t="s">
        <v>23</v>
      </c>
      <c r="J882" s="28" t="s">
        <v>172</v>
      </c>
      <c r="K882" s="28" t="s">
        <v>482</v>
      </c>
      <c r="M882" s="29"/>
      <c r="N882" s="25"/>
      <c r="O882" s="28" t="s">
        <v>27</v>
      </c>
      <c r="P882" s="24" t="s">
        <v>177</v>
      </c>
      <c r="Q882" s="14" t="b">
        <f t="shared" si="1"/>
        <v>0</v>
      </c>
      <c r="R882" s="15" t="b">
        <f t="shared" si="2"/>
        <v>0</v>
      </c>
      <c r="S882" s="15" t="str">
        <f t="shared" si="3"/>
        <v>PENDING</v>
      </c>
    </row>
    <row r="883" ht="15.75" customHeight="1">
      <c r="A883" s="24" t="s">
        <v>1919</v>
      </c>
      <c r="B883" s="115" t="s">
        <v>811</v>
      </c>
      <c r="C883" s="26">
        <v>45964.0</v>
      </c>
      <c r="D883" s="26"/>
      <c r="E883" s="24" t="s">
        <v>21</v>
      </c>
      <c r="F883" s="24">
        <v>72.0</v>
      </c>
      <c r="G883" s="27">
        <v>118.0</v>
      </c>
      <c r="H883" s="24" t="s">
        <v>1376</v>
      </c>
      <c r="I883" s="28" t="s">
        <v>23</v>
      </c>
      <c r="J883" s="28" t="s">
        <v>172</v>
      </c>
      <c r="K883" s="28" t="s">
        <v>482</v>
      </c>
      <c r="M883" s="29"/>
      <c r="N883" s="25"/>
      <c r="O883" s="28" t="s">
        <v>27</v>
      </c>
      <c r="P883" s="24" t="s">
        <v>1376</v>
      </c>
      <c r="Q883" s="14" t="b">
        <f t="shared" si="1"/>
        <v>0</v>
      </c>
      <c r="R883" s="15" t="b">
        <f t="shared" si="2"/>
        <v>0</v>
      </c>
      <c r="S883" s="15" t="str">
        <f t="shared" si="3"/>
        <v>PENDING</v>
      </c>
    </row>
    <row r="884" ht="18.0" customHeight="1">
      <c r="A884" s="24" t="s">
        <v>1920</v>
      </c>
      <c r="B884" s="25" t="s">
        <v>1921</v>
      </c>
      <c r="C884" s="26">
        <v>45978.0</v>
      </c>
      <c r="D884" s="26">
        <v>45978.0</v>
      </c>
      <c r="E884" s="24" t="s">
        <v>21</v>
      </c>
      <c r="F884" s="24">
        <v>24.0</v>
      </c>
      <c r="G884" s="27">
        <v>128.0</v>
      </c>
      <c r="H884" s="24" t="s">
        <v>1847</v>
      </c>
      <c r="I884" s="28" t="s">
        <v>23</v>
      </c>
      <c r="J884" s="28" t="s">
        <v>35</v>
      </c>
      <c r="K884" s="28" t="s">
        <v>49</v>
      </c>
      <c r="M884" s="29"/>
      <c r="N884" s="25"/>
      <c r="O884" s="28" t="s">
        <v>27</v>
      </c>
      <c r="P884" s="24" t="s">
        <v>1847</v>
      </c>
      <c r="Q884" s="14" t="b">
        <f t="shared" si="1"/>
        <v>0</v>
      </c>
      <c r="R884" s="15" t="b">
        <f t="shared" si="2"/>
        <v>0</v>
      </c>
      <c r="S884" s="15" t="str">
        <f t="shared" si="3"/>
        <v>PENDING</v>
      </c>
    </row>
    <row r="885" ht="15.75" customHeight="1">
      <c r="A885" s="24" t="s">
        <v>1920</v>
      </c>
      <c r="B885" s="25" t="s">
        <v>1921</v>
      </c>
      <c r="C885" s="26">
        <v>45978.0</v>
      </c>
      <c r="D885" s="26">
        <v>45978.0</v>
      </c>
      <c r="E885" s="24" t="s">
        <v>1287</v>
      </c>
      <c r="F885" s="24">
        <v>40.0</v>
      </c>
      <c r="G885" s="27">
        <v>52.0</v>
      </c>
      <c r="H885" s="24" t="s">
        <v>1847</v>
      </c>
      <c r="I885" s="28" t="s">
        <v>23</v>
      </c>
      <c r="J885" s="28" t="s">
        <v>35</v>
      </c>
      <c r="K885" s="28" t="s">
        <v>49</v>
      </c>
      <c r="M885" s="29"/>
      <c r="N885" s="25"/>
      <c r="O885" s="28" t="s">
        <v>27</v>
      </c>
      <c r="P885" s="24" t="s">
        <v>1847</v>
      </c>
      <c r="Q885" s="14" t="b">
        <f t="shared" si="1"/>
        <v>0</v>
      </c>
      <c r="R885" s="15" t="b">
        <f t="shared" si="2"/>
        <v>0</v>
      </c>
      <c r="S885" s="15" t="str">
        <f t="shared" si="3"/>
        <v>PENDING</v>
      </c>
    </row>
    <row r="886" ht="15.75" customHeight="1">
      <c r="A886" s="24" t="s">
        <v>1922</v>
      </c>
      <c r="B886" s="25" t="s">
        <v>1923</v>
      </c>
      <c r="C886" s="26">
        <v>45979.0</v>
      </c>
      <c r="D886" s="26">
        <v>45979.0</v>
      </c>
      <c r="E886" s="24" t="s">
        <v>21</v>
      </c>
      <c r="F886" s="24">
        <v>120.0</v>
      </c>
      <c r="G886" s="27">
        <v>100.0</v>
      </c>
      <c r="H886" s="24" t="s">
        <v>1847</v>
      </c>
      <c r="I886" s="28" t="s">
        <v>23</v>
      </c>
      <c r="J886" s="28" t="s">
        <v>24</v>
      </c>
      <c r="K886" s="28" t="s">
        <v>49</v>
      </c>
      <c r="M886" s="29"/>
      <c r="N886" s="25"/>
      <c r="O886" s="28" t="s">
        <v>27</v>
      </c>
      <c r="P886" s="24" t="s">
        <v>1847</v>
      </c>
      <c r="Q886" s="14" t="b">
        <f t="shared" si="1"/>
        <v>0</v>
      </c>
      <c r="R886" s="15" t="b">
        <f t="shared" si="2"/>
        <v>0</v>
      </c>
      <c r="S886" s="15" t="str">
        <f t="shared" si="3"/>
        <v>PENDING</v>
      </c>
    </row>
    <row r="887" ht="15.75" customHeight="1">
      <c r="A887" s="24" t="s">
        <v>1922</v>
      </c>
      <c r="B887" s="25" t="s">
        <v>1923</v>
      </c>
      <c r="C887" s="26">
        <v>45979.0</v>
      </c>
      <c r="D887" s="26">
        <v>45979.0</v>
      </c>
      <c r="E887" s="24" t="s">
        <v>21</v>
      </c>
      <c r="F887" s="24">
        <v>80.0</v>
      </c>
      <c r="G887" s="27">
        <v>40.0</v>
      </c>
      <c r="H887" s="24" t="s">
        <v>1847</v>
      </c>
      <c r="I887" s="28" t="s">
        <v>23</v>
      </c>
      <c r="J887" s="28" t="s">
        <v>24</v>
      </c>
      <c r="K887" s="28" t="s">
        <v>49</v>
      </c>
      <c r="M887" s="29"/>
      <c r="N887" s="25"/>
      <c r="O887" s="28" t="s">
        <v>27</v>
      </c>
      <c r="P887" s="24" t="s">
        <v>1847</v>
      </c>
      <c r="Q887" s="14" t="b">
        <f t="shared" si="1"/>
        <v>0</v>
      </c>
      <c r="R887" s="15" t="b">
        <f t="shared" si="2"/>
        <v>0</v>
      </c>
      <c r="S887" s="15" t="str">
        <f t="shared" si="3"/>
        <v>PENDING</v>
      </c>
    </row>
    <row r="888" ht="15.75" customHeight="1">
      <c r="A888" s="24" t="s">
        <v>1924</v>
      </c>
      <c r="B888" s="115" t="s">
        <v>1925</v>
      </c>
      <c r="C888" s="26">
        <v>45986.0</v>
      </c>
      <c r="D888" s="26">
        <v>45986.0</v>
      </c>
      <c r="E888" s="24" t="s">
        <v>21</v>
      </c>
      <c r="F888" s="24">
        <v>24.0</v>
      </c>
      <c r="G888" s="27">
        <v>120.0</v>
      </c>
      <c r="H888" s="24" t="s">
        <v>1847</v>
      </c>
      <c r="I888" s="28" t="s">
        <v>23</v>
      </c>
      <c r="J888" s="28" t="s">
        <v>172</v>
      </c>
      <c r="K888" s="28" t="s">
        <v>49</v>
      </c>
      <c r="M888" s="29"/>
      <c r="N888" s="25"/>
      <c r="O888" s="28" t="s">
        <v>27</v>
      </c>
      <c r="P888" s="24" t="s">
        <v>1847</v>
      </c>
      <c r="Q888" s="14" t="b">
        <f t="shared" si="1"/>
        <v>0</v>
      </c>
      <c r="R888" s="15" t="b">
        <f t="shared" si="2"/>
        <v>0</v>
      </c>
      <c r="S888" s="15" t="str">
        <f t="shared" si="3"/>
        <v>PENDING</v>
      </c>
    </row>
    <row r="889" ht="15.75" customHeight="1">
      <c r="A889" s="24" t="s">
        <v>1924</v>
      </c>
      <c r="B889" s="115" t="s">
        <v>1925</v>
      </c>
      <c r="C889" s="26">
        <v>45986.0</v>
      </c>
      <c r="D889" s="26">
        <v>45986.0</v>
      </c>
      <c r="E889" s="24" t="s">
        <v>1287</v>
      </c>
      <c r="F889" s="24">
        <v>40.0</v>
      </c>
      <c r="G889" s="27">
        <v>50.0</v>
      </c>
      <c r="H889" s="24" t="s">
        <v>1847</v>
      </c>
      <c r="I889" s="28" t="s">
        <v>23</v>
      </c>
      <c r="J889" s="28" t="s">
        <v>172</v>
      </c>
      <c r="K889" s="28" t="s">
        <v>49</v>
      </c>
      <c r="M889" s="29"/>
      <c r="N889" s="25"/>
      <c r="O889" s="28" t="s">
        <v>27</v>
      </c>
      <c r="P889" s="24" t="s">
        <v>1847</v>
      </c>
      <c r="Q889" s="14" t="b">
        <f t="shared" si="1"/>
        <v>0</v>
      </c>
      <c r="R889" s="15" t="b">
        <f t="shared" si="2"/>
        <v>0</v>
      </c>
      <c r="S889" s="15" t="str">
        <f t="shared" si="3"/>
        <v>PENDING</v>
      </c>
    </row>
    <row r="890" ht="15.75" customHeight="1">
      <c r="A890" s="24" t="s">
        <v>1926</v>
      </c>
      <c r="B890" s="25" t="s">
        <v>1927</v>
      </c>
      <c r="C890" s="26">
        <v>45986.0</v>
      </c>
      <c r="D890" s="26">
        <v>45986.0</v>
      </c>
      <c r="E890" s="24" t="s">
        <v>21</v>
      </c>
      <c r="F890" s="24">
        <v>24.0</v>
      </c>
      <c r="G890" s="27">
        <v>120.0</v>
      </c>
      <c r="H890" s="24" t="s">
        <v>1847</v>
      </c>
      <c r="I890" s="28" t="s">
        <v>23</v>
      </c>
      <c r="J890" s="28" t="s">
        <v>172</v>
      </c>
      <c r="K890" s="28" t="s">
        <v>49</v>
      </c>
      <c r="M890" s="29"/>
      <c r="N890" s="25"/>
      <c r="O890" s="28" t="s">
        <v>27</v>
      </c>
      <c r="P890" s="24" t="s">
        <v>1847</v>
      </c>
      <c r="Q890" s="14" t="b">
        <f t="shared" si="1"/>
        <v>0</v>
      </c>
      <c r="R890" s="15" t="b">
        <f t="shared" si="2"/>
        <v>0</v>
      </c>
      <c r="S890" s="15" t="str">
        <f t="shared" si="3"/>
        <v>PENDING</v>
      </c>
    </row>
    <row r="891" ht="15.75" customHeight="1">
      <c r="A891" s="24" t="s">
        <v>1926</v>
      </c>
      <c r="B891" s="25" t="s">
        <v>1927</v>
      </c>
      <c r="C891" s="26">
        <v>45986.0</v>
      </c>
      <c r="D891" s="26">
        <v>45986.0</v>
      </c>
      <c r="E891" s="24" t="s">
        <v>1287</v>
      </c>
      <c r="F891" s="24">
        <v>40.0</v>
      </c>
      <c r="G891" s="27">
        <v>50.0</v>
      </c>
      <c r="H891" s="24" t="s">
        <v>1847</v>
      </c>
      <c r="I891" s="28" t="s">
        <v>23</v>
      </c>
      <c r="J891" s="28" t="s">
        <v>172</v>
      </c>
      <c r="K891" s="28" t="s">
        <v>49</v>
      </c>
      <c r="M891" s="29"/>
      <c r="N891" s="25"/>
      <c r="O891" s="28" t="s">
        <v>27</v>
      </c>
      <c r="P891" s="24" t="s">
        <v>1847</v>
      </c>
      <c r="Q891" s="14" t="b">
        <f t="shared" si="1"/>
        <v>0</v>
      </c>
      <c r="R891" s="15" t="b">
        <f t="shared" si="2"/>
        <v>0</v>
      </c>
      <c r="S891" s="15" t="str">
        <f t="shared" si="3"/>
        <v>PENDING</v>
      </c>
    </row>
    <row r="892" ht="15.75" customHeight="1">
      <c r="A892" s="24" t="s">
        <v>1928</v>
      </c>
      <c r="B892" s="25" t="s">
        <v>1929</v>
      </c>
      <c r="C892" s="26">
        <v>45969.0</v>
      </c>
      <c r="D892" s="26">
        <v>45969.0</v>
      </c>
      <c r="E892" s="24" t="s">
        <v>21</v>
      </c>
      <c r="F892" s="24">
        <v>24.0</v>
      </c>
      <c r="G892" s="27">
        <v>120.0</v>
      </c>
      <c r="H892" s="24" t="s">
        <v>1847</v>
      </c>
      <c r="I892" s="28" t="s">
        <v>23</v>
      </c>
      <c r="J892" s="28" t="s">
        <v>30</v>
      </c>
      <c r="K892" s="28" t="s">
        <v>25</v>
      </c>
      <c r="M892" s="29"/>
      <c r="N892" s="25"/>
      <c r="O892" s="28" t="s">
        <v>27</v>
      </c>
      <c r="P892" s="24" t="s">
        <v>1847</v>
      </c>
      <c r="Q892" s="14" t="b">
        <f t="shared" si="1"/>
        <v>1</v>
      </c>
      <c r="R892" s="15" t="b">
        <f t="shared" si="2"/>
        <v>0</v>
      </c>
      <c r="S892" s="15" t="str">
        <f t="shared" si="3"/>
        <v>APPROVED</v>
      </c>
    </row>
    <row r="893" ht="15.75" customHeight="1">
      <c r="A893" s="24" t="s">
        <v>1928</v>
      </c>
      <c r="B893" s="25" t="s">
        <v>1929</v>
      </c>
      <c r="C893" s="26">
        <v>45969.0</v>
      </c>
      <c r="D893" s="26">
        <v>45969.0</v>
      </c>
      <c r="E893" s="24" t="s">
        <v>1287</v>
      </c>
      <c r="F893" s="24">
        <v>40.0</v>
      </c>
      <c r="G893" s="27">
        <v>48.0</v>
      </c>
      <c r="H893" s="24" t="s">
        <v>1847</v>
      </c>
      <c r="I893" s="28" t="s">
        <v>23</v>
      </c>
      <c r="J893" s="28" t="s">
        <v>30</v>
      </c>
      <c r="K893" s="28" t="s">
        <v>25</v>
      </c>
      <c r="M893" s="29"/>
      <c r="N893" s="25"/>
      <c r="O893" s="28" t="s">
        <v>27</v>
      </c>
      <c r="P893" s="24" t="s">
        <v>1847</v>
      </c>
      <c r="Q893" s="14" t="b">
        <f t="shared" si="1"/>
        <v>1</v>
      </c>
      <c r="R893" s="15" t="b">
        <f t="shared" si="2"/>
        <v>0</v>
      </c>
      <c r="S893" s="15" t="str">
        <f t="shared" si="3"/>
        <v>APPROVED</v>
      </c>
    </row>
    <row r="894" ht="15.75" customHeight="1">
      <c r="A894" s="24" t="s">
        <v>1930</v>
      </c>
      <c r="B894" s="25" t="s">
        <v>1931</v>
      </c>
      <c r="C894" s="26">
        <v>45981.0</v>
      </c>
      <c r="D894" s="26">
        <v>45981.0</v>
      </c>
      <c r="E894" s="24" t="s">
        <v>21</v>
      </c>
      <c r="F894" s="24">
        <v>24.0</v>
      </c>
      <c r="G894" s="27">
        <v>120.0</v>
      </c>
      <c r="H894" s="24" t="s">
        <v>1847</v>
      </c>
      <c r="I894" s="28" t="s">
        <v>23</v>
      </c>
      <c r="J894" s="28" t="s">
        <v>172</v>
      </c>
      <c r="K894" s="28" t="s">
        <v>49</v>
      </c>
      <c r="M894" s="29"/>
      <c r="N894" s="25"/>
      <c r="O894" s="28" t="s">
        <v>27</v>
      </c>
      <c r="P894" s="24" t="s">
        <v>1847</v>
      </c>
      <c r="Q894" s="14" t="b">
        <f t="shared" si="1"/>
        <v>0</v>
      </c>
      <c r="R894" s="15" t="b">
        <f t="shared" si="2"/>
        <v>0</v>
      </c>
      <c r="S894" s="15" t="str">
        <f t="shared" si="3"/>
        <v>PENDING</v>
      </c>
    </row>
    <row r="895" ht="15.75" customHeight="1">
      <c r="A895" s="24" t="s">
        <v>1930</v>
      </c>
      <c r="B895" s="25" t="s">
        <v>1931</v>
      </c>
      <c r="C895" s="26">
        <v>45981.0</v>
      </c>
      <c r="D895" s="26">
        <v>45981.0</v>
      </c>
      <c r="E895" s="24" t="s">
        <v>1287</v>
      </c>
      <c r="F895" s="24">
        <v>40.0</v>
      </c>
      <c r="G895" s="27">
        <v>50.0</v>
      </c>
      <c r="H895" s="24" t="s">
        <v>1847</v>
      </c>
      <c r="I895" s="28" t="s">
        <v>23</v>
      </c>
      <c r="J895" s="28" t="s">
        <v>172</v>
      </c>
      <c r="K895" s="28" t="s">
        <v>49</v>
      </c>
      <c r="M895" s="29"/>
      <c r="N895" s="25"/>
      <c r="O895" s="28" t="s">
        <v>27</v>
      </c>
      <c r="P895" s="24" t="s">
        <v>1847</v>
      </c>
      <c r="Q895" s="14" t="b">
        <f t="shared" si="1"/>
        <v>0</v>
      </c>
      <c r="R895" s="15" t="b">
        <f t="shared" si="2"/>
        <v>0</v>
      </c>
      <c r="S895" s="15" t="str">
        <f t="shared" si="3"/>
        <v>PENDING</v>
      </c>
    </row>
    <row r="896" ht="15.75" customHeight="1">
      <c r="A896" s="7" t="s">
        <v>1932</v>
      </c>
      <c r="B896" s="13" t="s">
        <v>1933</v>
      </c>
      <c r="C896" s="9">
        <v>45967.0</v>
      </c>
      <c r="D896" s="9">
        <v>45967.0</v>
      </c>
      <c r="E896" s="7" t="s">
        <v>21</v>
      </c>
      <c r="F896" s="7">
        <v>24.0</v>
      </c>
      <c r="G896" s="10">
        <v>130.0</v>
      </c>
      <c r="H896" s="7" t="s">
        <v>1724</v>
      </c>
      <c r="I896" s="11" t="s">
        <v>23</v>
      </c>
      <c r="J896" s="11" t="s">
        <v>30</v>
      </c>
      <c r="K896" s="11" t="s">
        <v>25</v>
      </c>
      <c r="L896" s="16"/>
      <c r="M896" s="12" t="s">
        <v>1934</v>
      </c>
      <c r="N896" s="13"/>
      <c r="O896" s="11" t="s">
        <v>27</v>
      </c>
      <c r="P896" s="7" t="s">
        <v>1724</v>
      </c>
      <c r="Q896" s="14" t="b">
        <f t="shared" si="1"/>
        <v>1</v>
      </c>
      <c r="R896" s="15" t="b">
        <f t="shared" si="2"/>
        <v>0</v>
      </c>
      <c r="S896" s="15" t="str">
        <f t="shared" si="3"/>
        <v>APPROVED</v>
      </c>
    </row>
    <row r="897" ht="15.75" customHeight="1">
      <c r="A897" s="7" t="s">
        <v>1932</v>
      </c>
      <c r="B897" s="13" t="s">
        <v>1933</v>
      </c>
      <c r="C897" s="9">
        <v>45967.0</v>
      </c>
      <c r="D897" s="9">
        <v>45967.0</v>
      </c>
      <c r="E897" s="7" t="s">
        <v>1287</v>
      </c>
      <c r="F897" s="7">
        <v>40.0</v>
      </c>
      <c r="G897" s="10">
        <v>60.0</v>
      </c>
      <c r="H897" s="7" t="s">
        <v>1724</v>
      </c>
      <c r="I897" s="11" t="s">
        <v>23</v>
      </c>
      <c r="J897" s="11" t="s">
        <v>30</v>
      </c>
      <c r="K897" s="11" t="s">
        <v>25</v>
      </c>
      <c r="L897" s="16"/>
      <c r="M897" s="12" t="s">
        <v>1934</v>
      </c>
      <c r="N897" s="13"/>
      <c r="O897" s="11" t="s">
        <v>27</v>
      </c>
      <c r="P897" s="7" t="s">
        <v>1724</v>
      </c>
      <c r="Q897" s="14" t="b">
        <f t="shared" si="1"/>
        <v>1</v>
      </c>
      <c r="R897" s="15" t="b">
        <f t="shared" si="2"/>
        <v>0</v>
      </c>
      <c r="S897" s="15" t="str">
        <f t="shared" si="3"/>
        <v>APPROVED</v>
      </c>
    </row>
    <row r="898" ht="15.0" customHeight="1">
      <c r="A898" s="24" t="s">
        <v>1935</v>
      </c>
      <c r="B898" s="25" t="s">
        <v>1936</v>
      </c>
      <c r="C898" s="26">
        <v>45968.0</v>
      </c>
      <c r="D898" s="26">
        <v>45968.0</v>
      </c>
      <c r="E898" s="24" t="s">
        <v>21</v>
      </c>
      <c r="F898" s="24">
        <v>24.0</v>
      </c>
      <c r="G898" s="27">
        <v>120.0</v>
      </c>
      <c r="H898" s="24" t="s">
        <v>1724</v>
      </c>
      <c r="I898" s="28" t="s">
        <v>23</v>
      </c>
      <c r="J898" s="28" t="s">
        <v>35</v>
      </c>
      <c r="K898" s="28" t="s">
        <v>49</v>
      </c>
      <c r="M898" s="29"/>
      <c r="N898" s="25"/>
      <c r="O898" s="28" t="s">
        <v>27</v>
      </c>
      <c r="P898" s="24" t="s">
        <v>1724</v>
      </c>
      <c r="Q898" s="14" t="b">
        <f t="shared" si="1"/>
        <v>0</v>
      </c>
      <c r="R898" s="15" t="b">
        <f t="shared" si="2"/>
        <v>0</v>
      </c>
      <c r="S898" s="15" t="str">
        <f t="shared" si="3"/>
        <v>PENDING</v>
      </c>
    </row>
    <row r="899" ht="15.75" customHeight="1">
      <c r="A899" s="24" t="s">
        <v>1935</v>
      </c>
      <c r="B899" s="25" t="s">
        <v>1936</v>
      </c>
      <c r="C899" s="26">
        <v>45968.0</v>
      </c>
      <c r="D899" s="26">
        <v>45968.0</v>
      </c>
      <c r="E899" s="24" t="s">
        <v>1287</v>
      </c>
      <c r="F899" s="24">
        <v>40.0</v>
      </c>
      <c r="G899" s="27">
        <v>50.0</v>
      </c>
      <c r="H899" s="24" t="s">
        <v>1724</v>
      </c>
      <c r="I899" s="28" t="s">
        <v>23</v>
      </c>
      <c r="J899" s="28" t="s">
        <v>35</v>
      </c>
      <c r="K899" s="28" t="s">
        <v>49</v>
      </c>
      <c r="M899" s="29"/>
      <c r="N899" s="25"/>
      <c r="O899" s="28" t="s">
        <v>27</v>
      </c>
      <c r="P899" s="24" t="s">
        <v>1724</v>
      </c>
      <c r="Q899" s="14" t="b">
        <f t="shared" si="1"/>
        <v>0</v>
      </c>
      <c r="R899" s="15" t="b">
        <f t="shared" si="2"/>
        <v>0</v>
      </c>
      <c r="S899" s="15" t="str">
        <f t="shared" si="3"/>
        <v>PENDING</v>
      </c>
    </row>
    <row r="900" ht="15.75" customHeight="1">
      <c r="A900" s="24" t="s">
        <v>1937</v>
      </c>
      <c r="B900" s="115" t="s">
        <v>547</v>
      </c>
      <c r="C900" s="26">
        <v>45960.0</v>
      </c>
      <c r="D900" s="26">
        <v>45960.0</v>
      </c>
      <c r="E900" s="24" t="s">
        <v>1287</v>
      </c>
      <c r="F900" s="24">
        <v>120.0</v>
      </c>
      <c r="G900" s="27">
        <v>47.0</v>
      </c>
      <c r="H900" s="24" t="s">
        <v>177</v>
      </c>
      <c r="I900" s="28" t="s">
        <v>23</v>
      </c>
      <c r="J900" s="28" t="s">
        <v>172</v>
      </c>
      <c r="K900" s="28" t="s">
        <v>482</v>
      </c>
      <c r="M900" s="29"/>
      <c r="N900" s="25"/>
      <c r="O900" s="28" t="s">
        <v>27</v>
      </c>
      <c r="P900" s="24" t="s">
        <v>177</v>
      </c>
      <c r="Q900" s="14" t="b">
        <f t="shared" si="1"/>
        <v>0</v>
      </c>
      <c r="R900" s="15" t="b">
        <f t="shared" si="2"/>
        <v>0</v>
      </c>
      <c r="S900" s="15" t="str">
        <f t="shared" si="3"/>
        <v>PENDING</v>
      </c>
    </row>
    <row r="901" ht="15.75" customHeight="1">
      <c r="A901" s="24" t="s">
        <v>1938</v>
      </c>
      <c r="B901" s="115" t="s">
        <v>1830</v>
      </c>
      <c r="C901" s="26">
        <v>45960.0</v>
      </c>
      <c r="D901" s="26">
        <v>45960.0</v>
      </c>
      <c r="E901" s="24" t="s">
        <v>21</v>
      </c>
      <c r="F901" s="24">
        <v>240.0</v>
      </c>
      <c r="G901" s="27"/>
      <c r="H901" s="24" t="s">
        <v>1724</v>
      </c>
      <c r="I901" s="28" t="s">
        <v>23</v>
      </c>
      <c r="J901" s="28" t="s">
        <v>30</v>
      </c>
      <c r="K901" s="24" t="s">
        <v>31</v>
      </c>
      <c r="M901" s="29"/>
      <c r="N901" s="25"/>
      <c r="O901" s="28" t="s">
        <v>27</v>
      </c>
      <c r="P901" s="24" t="s">
        <v>1724</v>
      </c>
      <c r="Q901" s="14" t="b">
        <f t="shared" si="1"/>
        <v>0</v>
      </c>
      <c r="R901" s="15" t="b">
        <f t="shared" si="2"/>
        <v>0</v>
      </c>
      <c r="S901" s="15" t="str">
        <f t="shared" si="3"/>
        <v>PENDING</v>
      </c>
    </row>
    <row r="902" ht="15.75" customHeight="1">
      <c r="A902" s="24" t="s">
        <v>1938</v>
      </c>
      <c r="B902" s="115" t="s">
        <v>1830</v>
      </c>
      <c r="C902" s="26">
        <v>45960.0</v>
      </c>
      <c r="D902" s="26">
        <v>45960.0</v>
      </c>
      <c r="E902" s="24" t="s">
        <v>1287</v>
      </c>
      <c r="F902" s="24">
        <v>400.0</v>
      </c>
      <c r="G902" s="27"/>
      <c r="H902" s="24" t="s">
        <v>1724</v>
      </c>
      <c r="I902" s="28" t="s">
        <v>23</v>
      </c>
      <c r="J902" s="28" t="s">
        <v>30</v>
      </c>
      <c r="K902" s="24" t="s">
        <v>31</v>
      </c>
      <c r="M902" s="29"/>
      <c r="N902" s="25"/>
      <c r="O902" s="28" t="s">
        <v>27</v>
      </c>
      <c r="P902" s="24" t="s">
        <v>1724</v>
      </c>
      <c r="Q902" s="14" t="b">
        <f t="shared" si="1"/>
        <v>0</v>
      </c>
      <c r="R902" s="15" t="b">
        <f t="shared" si="2"/>
        <v>0</v>
      </c>
      <c r="S902" s="15" t="str">
        <f t="shared" si="3"/>
        <v>PENDING</v>
      </c>
    </row>
    <row r="903" ht="15.75" customHeight="1">
      <c r="A903" s="24" t="s">
        <v>1939</v>
      </c>
      <c r="B903" s="25" t="s">
        <v>369</v>
      </c>
      <c r="C903" s="26">
        <v>45965.0</v>
      </c>
      <c r="D903" s="26"/>
      <c r="E903" s="24" t="s">
        <v>21</v>
      </c>
      <c r="F903" s="24">
        <v>120.0</v>
      </c>
      <c r="G903" s="27">
        <v>118.0</v>
      </c>
      <c r="H903" s="24" t="s">
        <v>177</v>
      </c>
      <c r="I903" s="28" t="s">
        <v>23</v>
      </c>
      <c r="J903" s="28" t="s">
        <v>172</v>
      </c>
      <c r="K903" s="28" t="s">
        <v>482</v>
      </c>
      <c r="M903" s="29"/>
      <c r="N903" s="25"/>
      <c r="O903" s="28" t="s">
        <v>27</v>
      </c>
      <c r="P903" s="24" t="s">
        <v>177</v>
      </c>
      <c r="Q903" s="14" t="b">
        <f t="shared" si="1"/>
        <v>0</v>
      </c>
      <c r="R903" s="15" t="b">
        <f t="shared" si="2"/>
        <v>0</v>
      </c>
      <c r="S903" s="15" t="str">
        <f t="shared" si="3"/>
        <v>PENDING</v>
      </c>
    </row>
    <row r="904" ht="15.75" customHeight="1">
      <c r="A904" s="24" t="s">
        <v>1939</v>
      </c>
      <c r="B904" s="25" t="s">
        <v>369</v>
      </c>
      <c r="C904" s="26">
        <v>45965.0</v>
      </c>
      <c r="D904" s="26"/>
      <c r="E904" s="24" t="s">
        <v>1287</v>
      </c>
      <c r="F904" s="24">
        <v>40.0</v>
      </c>
      <c r="G904" s="27">
        <v>49.64</v>
      </c>
      <c r="H904" s="24" t="s">
        <v>177</v>
      </c>
      <c r="I904" s="28" t="s">
        <v>23</v>
      </c>
      <c r="J904" s="28" t="s">
        <v>172</v>
      </c>
      <c r="K904" s="28" t="s">
        <v>482</v>
      </c>
      <c r="M904" s="29"/>
      <c r="N904" s="25"/>
      <c r="O904" s="28" t="s">
        <v>27</v>
      </c>
      <c r="P904" s="24" t="s">
        <v>177</v>
      </c>
      <c r="Q904" s="14" t="b">
        <f t="shared" si="1"/>
        <v>0</v>
      </c>
      <c r="R904" s="15" t="b">
        <f t="shared" si="2"/>
        <v>0</v>
      </c>
      <c r="S904" s="15" t="str">
        <f t="shared" si="3"/>
        <v>PENDING</v>
      </c>
    </row>
    <row r="905" ht="15.75" customHeight="1">
      <c r="A905" s="24" t="s">
        <v>1940</v>
      </c>
      <c r="B905" s="25" t="s">
        <v>1941</v>
      </c>
      <c r="C905" s="26">
        <v>45968.0</v>
      </c>
      <c r="D905" s="26">
        <v>45968.0</v>
      </c>
      <c r="E905" s="24" t="s">
        <v>1287</v>
      </c>
      <c r="F905" s="24">
        <v>40.0</v>
      </c>
      <c r="G905" s="27">
        <v>50.0</v>
      </c>
      <c r="H905" s="24" t="s">
        <v>1724</v>
      </c>
      <c r="I905" s="28" t="s">
        <v>23</v>
      </c>
      <c r="J905" s="28" t="s">
        <v>35</v>
      </c>
      <c r="K905" s="28" t="s">
        <v>49</v>
      </c>
      <c r="M905" s="29"/>
      <c r="N905" s="25"/>
      <c r="O905" s="28" t="s">
        <v>27</v>
      </c>
      <c r="P905" s="24" t="s">
        <v>1724</v>
      </c>
      <c r="Q905" s="14" t="b">
        <f t="shared" si="1"/>
        <v>0</v>
      </c>
      <c r="R905" s="15" t="b">
        <f t="shared" si="2"/>
        <v>0</v>
      </c>
      <c r="S905" s="15" t="str">
        <f t="shared" si="3"/>
        <v>PENDING</v>
      </c>
    </row>
    <row r="906" ht="15.75" customHeight="1">
      <c r="A906" s="24" t="s">
        <v>1942</v>
      </c>
      <c r="B906" s="25" t="s">
        <v>1943</v>
      </c>
      <c r="C906" s="26">
        <v>45967.0</v>
      </c>
      <c r="D906" s="26">
        <v>45967.0</v>
      </c>
      <c r="E906" s="24" t="s">
        <v>1287</v>
      </c>
      <c r="F906" s="24">
        <v>40.0</v>
      </c>
      <c r="G906" s="27">
        <v>50.0</v>
      </c>
      <c r="H906" s="24" t="s">
        <v>1847</v>
      </c>
      <c r="I906" s="28" t="s">
        <v>23</v>
      </c>
      <c r="J906" s="28" t="s">
        <v>35</v>
      </c>
      <c r="K906" s="28" t="s">
        <v>49</v>
      </c>
      <c r="M906" s="29"/>
      <c r="N906" s="25"/>
      <c r="O906" s="28" t="s">
        <v>27</v>
      </c>
      <c r="P906" s="24" t="s">
        <v>1847</v>
      </c>
      <c r="Q906" s="14" t="b">
        <f t="shared" si="1"/>
        <v>0</v>
      </c>
      <c r="R906" s="15" t="b">
        <f t="shared" si="2"/>
        <v>0</v>
      </c>
      <c r="S906" s="15" t="str">
        <f t="shared" si="3"/>
        <v>PENDING</v>
      </c>
    </row>
    <row r="907" ht="15.75" customHeight="1">
      <c r="A907" s="24" t="s">
        <v>1944</v>
      </c>
      <c r="B907" s="115" t="s">
        <v>1945</v>
      </c>
      <c r="C907" s="26">
        <v>45967.0</v>
      </c>
      <c r="D907" s="26">
        <v>45967.0</v>
      </c>
      <c r="E907" s="24" t="s">
        <v>21</v>
      </c>
      <c r="F907" s="24">
        <v>24.0</v>
      </c>
      <c r="G907" s="27">
        <v>120.0</v>
      </c>
      <c r="H907" s="24" t="s">
        <v>1724</v>
      </c>
      <c r="I907" s="28" t="s">
        <v>23</v>
      </c>
      <c r="J907" s="28" t="s">
        <v>35</v>
      </c>
      <c r="K907" s="28" t="s">
        <v>84</v>
      </c>
      <c r="M907" s="29" t="s">
        <v>1946</v>
      </c>
      <c r="N907" s="25"/>
      <c r="O907" s="28" t="s">
        <v>27</v>
      </c>
      <c r="P907" s="24" t="s">
        <v>1724</v>
      </c>
      <c r="Q907" s="14" t="b">
        <f t="shared" si="1"/>
        <v>0</v>
      </c>
      <c r="R907" s="15" t="b">
        <f t="shared" si="2"/>
        <v>0</v>
      </c>
      <c r="S907" s="15" t="str">
        <f t="shared" si="3"/>
        <v>PENDING</v>
      </c>
    </row>
    <row r="908" ht="15.75" customHeight="1">
      <c r="A908" s="24" t="s">
        <v>1944</v>
      </c>
      <c r="B908" s="115" t="s">
        <v>1945</v>
      </c>
      <c r="C908" s="26">
        <v>45967.0</v>
      </c>
      <c r="D908" s="26">
        <v>45967.0</v>
      </c>
      <c r="E908" s="24" t="s">
        <v>1287</v>
      </c>
      <c r="F908" s="24">
        <v>40.0</v>
      </c>
      <c r="G908" s="27">
        <v>50.0</v>
      </c>
      <c r="H908" s="24" t="s">
        <v>1724</v>
      </c>
      <c r="I908" s="28" t="s">
        <v>23</v>
      </c>
      <c r="J908" s="28" t="s">
        <v>35</v>
      </c>
      <c r="K908" s="28" t="s">
        <v>84</v>
      </c>
      <c r="M908" s="29" t="s">
        <v>1946</v>
      </c>
      <c r="N908" s="25"/>
      <c r="O908" s="28" t="s">
        <v>27</v>
      </c>
      <c r="P908" s="24" t="s">
        <v>1724</v>
      </c>
      <c r="Q908" s="14" t="b">
        <f t="shared" si="1"/>
        <v>0</v>
      </c>
      <c r="R908" s="15" t="b">
        <f t="shared" si="2"/>
        <v>0</v>
      </c>
      <c r="S908" s="15" t="str">
        <f t="shared" si="3"/>
        <v>PENDING</v>
      </c>
    </row>
    <row r="909" ht="15.75" customHeight="1">
      <c r="A909" s="155" t="s">
        <v>1947</v>
      </c>
      <c r="B909" s="156" t="s">
        <v>1830</v>
      </c>
      <c r="C909" s="157">
        <v>45966.0</v>
      </c>
      <c r="D909" s="157">
        <v>45966.0</v>
      </c>
      <c r="E909" s="155" t="s">
        <v>21</v>
      </c>
      <c r="F909" s="155">
        <v>480.0</v>
      </c>
      <c r="G909" s="158"/>
      <c r="H909" s="155" t="s">
        <v>1724</v>
      </c>
      <c r="I909" s="159" t="s">
        <v>23</v>
      </c>
      <c r="J909" s="159" t="s">
        <v>30</v>
      </c>
      <c r="K909" s="155" t="s">
        <v>31</v>
      </c>
      <c r="L909" s="160"/>
      <c r="M909" s="161"/>
      <c r="N909" s="162" t="s">
        <v>1948</v>
      </c>
      <c r="O909" s="159" t="s">
        <v>27</v>
      </c>
      <c r="P909" s="155" t="s">
        <v>1724</v>
      </c>
      <c r="Q909" s="14" t="b">
        <f t="shared" si="1"/>
        <v>0</v>
      </c>
      <c r="R909" s="15" t="b">
        <f t="shared" si="2"/>
        <v>0</v>
      </c>
      <c r="S909" s="15" t="str">
        <f t="shared" si="3"/>
        <v>PENDING</v>
      </c>
    </row>
    <row r="910" ht="15.75" customHeight="1">
      <c r="A910" s="7" t="s">
        <v>1947</v>
      </c>
      <c r="B910" s="13" t="s">
        <v>1830</v>
      </c>
      <c r="C910" s="9">
        <v>45966.0</v>
      </c>
      <c r="D910" s="9">
        <v>45966.0</v>
      </c>
      <c r="E910" s="7" t="s">
        <v>1287</v>
      </c>
      <c r="F910" s="7">
        <v>800.0</v>
      </c>
      <c r="G910" s="10"/>
      <c r="H910" s="7" t="s">
        <v>1724</v>
      </c>
      <c r="I910" s="11" t="s">
        <v>23</v>
      </c>
      <c r="J910" s="11" t="s">
        <v>30</v>
      </c>
      <c r="K910" s="7" t="s">
        <v>31</v>
      </c>
      <c r="L910" s="16"/>
      <c r="M910" s="12"/>
      <c r="N910" s="13" t="s">
        <v>1949</v>
      </c>
      <c r="O910" s="11" t="s">
        <v>27</v>
      </c>
      <c r="P910" s="7" t="s">
        <v>1724</v>
      </c>
      <c r="Q910" s="14" t="b">
        <f t="shared" si="1"/>
        <v>0</v>
      </c>
      <c r="R910" s="15" t="b">
        <f t="shared" si="2"/>
        <v>0</v>
      </c>
      <c r="S910" s="15" t="str">
        <f t="shared" si="3"/>
        <v>PENDING</v>
      </c>
    </row>
    <row r="911" ht="15.75" customHeight="1">
      <c r="A911" s="24" t="s">
        <v>1950</v>
      </c>
      <c r="B911" s="25" t="s">
        <v>1951</v>
      </c>
      <c r="C911" s="26">
        <v>45968.0</v>
      </c>
      <c r="D911" s="26">
        <v>45968.0</v>
      </c>
      <c r="E911" s="24" t="s">
        <v>21</v>
      </c>
      <c r="F911" s="24">
        <v>150.0</v>
      </c>
      <c r="G911" s="27">
        <v>119.0</v>
      </c>
      <c r="H911" s="24" t="s">
        <v>715</v>
      </c>
      <c r="I911" s="28" t="s">
        <v>23</v>
      </c>
      <c r="J911" s="28" t="s">
        <v>172</v>
      </c>
      <c r="K911" s="28" t="s">
        <v>482</v>
      </c>
      <c r="M911" s="29"/>
      <c r="N911" s="25"/>
      <c r="O911" s="28" t="s">
        <v>27</v>
      </c>
      <c r="P911" s="24" t="s">
        <v>715</v>
      </c>
      <c r="Q911" s="14" t="b">
        <f t="shared" si="1"/>
        <v>0</v>
      </c>
      <c r="R911" s="15" t="b">
        <f t="shared" si="2"/>
        <v>0</v>
      </c>
      <c r="S911" s="15" t="str">
        <f t="shared" si="3"/>
        <v>PENDING</v>
      </c>
    </row>
    <row r="912" ht="15.75" customHeight="1">
      <c r="A912" s="24" t="s">
        <v>1952</v>
      </c>
      <c r="B912" s="115" t="s">
        <v>669</v>
      </c>
      <c r="C912" s="26">
        <v>45967.0</v>
      </c>
      <c r="D912" s="26">
        <v>45967.0</v>
      </c>
      <c r="E912" s="24" t="s">
        <v>21</v>
      </c>
      <c r="F912" s="24">
        <v>24.0</v>
      </c>
      <c r="G912" s="27">
        <v>118.18</v>
      </c>
      <c r="H912" s="24" t="s">
        <v>177</v>
      </c>
      <c r="I912" s="28" t="s">
        <v>23</v>
      </c>
      <c r="J912" s="28" t="s">
        <v>172</v>
      </c>
      <c r="K912" s="28" t="s">
        <v>482</v>
      </c>
      <c r="M912" s="29"/>
      <c r="N912" s="25"/>
      <c r="O912" s="28" t="s">
        <v>27</v>
      </c>
      <c r="P912" s="24" t="s">
        <v>177</v>
      </c>
      <c r="Q912" s="14" t="b">
        <f t="shared" si="1"/>
        <v>0</v>
      </c>
      <c r="R912" s="15" t="b">
        <f t="shared" si="2"/>
        <v>0</v>
      </c>
      <c r="S912" s="15" t="str">
        <f t="shared" si="3"/>
        <v>PENDING</v>
      </c>
    </row>
    <row r="913" ht="15.75" customHeight="1">
      <c r="A913" s="24" t="s">
        <v>1953</v>
      </c>
      <c r="B913" s="115" t="s">
        <v>647</v>
      </c>
      <c r="C913" s="26">
        <v>45968.0</v>
      </c>
      <c r="D913" s="26"/>
      <c r="E913" s="24" t="s">
        <v>21</v>
      </c>
      <c r="F913" s="24">
        <v>288.0</v>
      </c>
      <c r="G913" s="27">
        <v>100.0</v>
      </c>
      <c r="H913" s="24" t="s">
        <v>177</v>
      </c>
      <c r="I913" s="28" t="s">
        <v>23</v>
      </c>
      <c r="J913" s="28" t="s">
        <v>172</v>
      </c>
      <c r="K913" s="28" t="s">
        <v>482</v>
      </c>
      <c r="M913" s="29"/>
      <c r="N913" s="25"/>
      <c r="O913" s="28" t="s">
        <v>27</v>
      </c>
      <c r="P913" s="24" t="s">
        <v>177</v>
      </c>
      <c r="Q913" s="14" t="b">
        <f t="shared" si="1"/>
        <v>0</v>
      </c>
      <c r="R913" s="15" t="b">
        <f t="shared" si="2"/>
        <v>0</v>
      </c>
      <c r="S913" s="15" t="str">
        <f t="shared" si="3"/>
        <v>PENDING</v>
      </c>
    </row>
    <row r="914" ht="15.75" customHeight="1">
      <c r="A914" s="24" t="s">
        <v>1953</v>
      </c>
      <c r="B914" s="115" t="s">
        <v>647</v>
      </c>
      <c r="C914" s="26">
        <v>45968.0</v>
      </c>
      <c r="D914" s="26"/>
      <c r="E914" s="24" t="s">
        <v>1287</v>
      </c>
      <c r="F914" s="24">
        <v>600.0</v>
      </c>
      <c r="G914" s="27">
        <v>43.0</v>
      </c>
      <c r="H914" s="24" t="s">
        <v>177</v>
      </c>
      <c r="I914" s="28" t="s">
        <v>23</v>
      </c>
      <c r="J914" s="28" t="s">
        <v>172</v>
      </c>
      <c r="K914" s="28" t="s">
        <v>482</v>
      </c>
      <c r="M914" s="29"/>
      <c r="N914" s="25"/>
      <c r="O914" s="28" t="s">
        <v>27</v>
      </c>
      <c r="P914" s="24" t="s">
        <v>177</v>
      </c>
      <c r="Q914" s="14" t="b">
        <f t="shared" si="1"/>
        <v>0</v>
      </c>
      <c r="R914" s="15" t="b">
        <f t="shared" si="2"/>
        <v>0</v>
      </c>
      <c r="S914" s="15" t="str">
        <f t="shared" si="3"/>
        <v>PENDING</v>
      </c>
    </row>
    <row r="915" ht="15.75" customHeight="1">
      <c r="A915" s="24" t="s">
        <v>1954</v>
      </c>
      <c r="B915" s="115" t="s">
        <v>1955</v>
      </c>
      <c r="C915" s="26">
        <v>45968.0</v>
      </c>
      <c r="D915" s="26">
        <v>45968.0</v>
      </c>
      <c r="E915" s="24" t="s">
        <v>21</v>
      </c>
      <c r="F915" s="24">
        <v>12.0</v>
      </c>
      <c r="G915" s="27">
        <v>118.0</v>
      </c>
      <c r="H915" s="24" t="s">
        <v>1376</v>
      </c>
      <c r="I915" s="28" t="s">
        <v>23</v>
      </c>
      <c r="J915" s="28" t="s">
        <v>172</v>
      </c>
      <c r="K915" s="28" t="s">
        <v>482</v>
      </c>
      <c r="M915" s="29"/>
      <c r="N915" s="25"/>
      <c r="O915" s="28" t="s">
        <v>27</v>
      </c>
      <c r="P915" s="24" t="s">
        <v>1376</v>
      </c>
      <c r="Q915" s="14" t="b">
        <f t="shared" si="1"/>
        <v>0</v>
      </c>
      <c r="R915" s="15" t="b">
        <f t="shared" si="2"/>
        <v>0</v>
      </c>
      <c r="S915" s="15" t="str">
        <f t="shared" si="3"/>
        <v>PENDING</v>
      </c>
    </row>
    <row r="916" ht="15.75" customHeight="1">
      <c r="A916" s="24" t="s">
        <v>1954</v>
      </c>
      <c r="B916" s="115" t="s">
        <v>1955</v>
      </c>
      <c r="C916" s="26">
        <v>45968.0</v>
      </c>
      <c r="D916" s="26">
        <v>45968.0</v>
      </c>
      <c r="E916" s="24" t="s">
        <v>1287</v>
      </c>
      <c r="F916" s="24">
        <v>20.0</v>
      </c>
      <c r="G916" s="27">
        <v>49.66</v>
      </c>
      <c r="H916" s="24" t="s">
        <v>1376</v>
      </c>
      <c r="I916" s="28" t="s">
        <v>23</v>
      </c>
      <c r="J916" s="28" t="s">
        <v>172</v>
      </c>
      <c r="K916" s="28" t="s">
        <v>482</v>
      </c>
      <c r="M916" s="29"/>
      <c r="N916" s="25"/>
      <c r="O916" s="28" t="s">
        <v>27</v>
      </c>
      <c r="P916" s="24" t="s">
        <v>1376</v>
      </c>
      <c r="Q916" s="14" t="b">
        <f t="shared" si="1"/>
        <v>0</v>
      </c>
      <c r="R916" s="15" t="b">
        <f t="shared" si="2"/>
        <v>0</v>
      </c>
      <c r="S916" s="15" t="str">
        <f t="shared" si="3"/>
        <v>PENDING</v>
      </c>
    </row>
    <row r="917" ht="15.75" customHeight="1">
      <c r="A917" s="165" t="s">
        <v>1956</v>
      </c>
      <c r="B917" s="163"/>
      <c r="C917" s="164"/>
      <c r="D917" s="164"/>
      <c r="E917" s="165"/>
      <c r="F917" s="165"/>
      <c r="G917" s="166"/>
      <c r="H917" s="165"/>
      <c r="I917" s="68" t="s">
        <v>23</v>
      </c>
      <c r="J917" s="165"/>
      <c r="K917" s="24" t="s">
        <v>31</v>
      </c>
      <c r="L917" s="167"/>
      <c r="M917" s="168"/>
      <c r="N917" s="163" t="s">
        <v>1957</v>
      </c>
      <c r="O917" s="68" t="s">
        <v>417</v>
      </c>
      <c r="P917" s="165"/>
      <c r="Q917" s="14" t="b">
        <f t="shared" si="1"/>
        <v>0</v>
      </c>
      <c r="R917" s="15" t="b">
        <f t="shared" si="2"/>
        <v>0</v>
      </c>
      <c r="S917" s="15" t="str">
        <f t="shared" si="3"/>
        <v>PENDING</v>
      </c>
    </row>
    <row r="918" ht="15.75" customHeight="1">
      <c r="A918" s="165" t="s">
        <v>1958</v>
      </c>
      <c r="B918" s="163"/>
      <c r="C918" s="164"/>
      <c r="D918" s="164"/>
      <c r="E918" s="165"/>
      <c r="F918" s="165"/>
      <c r="G918" s="166"/>
      <c r="H918" s="165"/>
      <c r="I918" s="68" t="s">
        <v>23</v>
      </c>
      <c r="J918" s="165"/>
      <c r="K918" s="24" t="s">
        <v>31</v>
      </c>
      <c r="L918" s="167"/>
      <c r="M918" s="168"/>
      <c r="N918" s="163" t="s">
        <v>1957</v>
      </c>
      <c r="O918" s="68" t="s">
        <v>417</v>
      </c>
      <c r="P918" s="165"/>
      <c r="Q918" s="14" t="b">
        <f t="shared" si="1"/>
        <v>0</v>
      </c>
      <c r="R918" s="15" t="b">
        <f t="shared" si="2"/>
        <v>0</v>
      </c>
      <c r="S918" s="15" t="str">
        <f t="shared" si="3"/>
        <v>PENDING</v>
      </c>
    </row>
    <row r="919" ht="15.75" customHeight="1">
      <c r="A919" s="165" t="s">
        <v>1959</v>
      </c>
      <c r="B919" s="163"/>
      <c r="C919" s="164"/>
      <c r="D919" s="164"/>
      <c r="E919" s="165"/>
      <c r="F919" s="165"/>
      <c r="G919" s="166"/>
      <c r="H919" s="165"/>
      <c r="I919" s="68" t="s">
        <v>23</v>
      </c>
      <c r="J919" s="165"/>
      <c r="K919" s="24" t="s">
        <v>31</v>
      </c>
      <c r="L919" s="167"/>
      <c r="M919" s="168"/>
      <c r="N919" s="163" t="s">
        <v>1957</v>
      </c>
      <c r="O919" s="68" t="s">
        <v>417</v>
      </c>
      <c r="P919" s="165"/>
      <c r="Q919" s="14" t="b">
        <f t="shared" si="1"/>
        <v>0</v>
      </c>
      <c r="R919" s="15" t="b">
        <f t="shared" si="2"/>
        <v>0</v>
      </c>
      <c r="S919" s="15" t="str">
        <f t="shared" si="3"/>
        <v>PENDING</v>
      </c>
    </row>
    <row r="920" ht="15.75" customHeight="1">
      <c r="A920" s="165" t="s">
        <v>1960</v>
      </c>
      <c r="B920" s="163"/>
      <c r="C920" s="164"/>
      <c r="D920" s="164"/>
      <c r="E920" s="165"/>
      <c r="F920" s="165"/>
      <c r="G920" s="166"/>
      <c r="H920" s="165"/>
      <c r="I920" s="68" t="s">
        <v>23</v>
      </c>
      <c r="J920" s="165"/>
      <c r="K920" s="24" t="s">
        <v>31</v>
      </c>
      <c r="L920" s="167"/>
      <c r="M920" s="168"/>
      <c r="N920" s="163" t="s">
        <v>1957</v>
      </c>
      <c r="O920" s="68" t="s">
        <v>417</v>
      </c>
      <c r="P920" s="165"/>
      <c r="Q920" s="14" t="b">
        <f t="shared" si="1"/>
        <v>0</v>
      </c>
      <c r="R920" s="15" t="b">
        <f t="shared" si="2"/>
        <v>0</v>
      </c>
      <c r="S920" s="15" t="str">
        <f t="shared" si="3"/>
        <v>PENDING</v>
      </c>
    </row>
    <row r="921" ht="15.75" customHeight="1">
      <c r="A921" s="165" t="s">
        <v>1961</v>
      </c>
      <c r="B921" s="163"/>
      <c r="C921" s="164"/>
      <c r="D921" s="164"/>
      <c r="E921" s="165"/>
      <c r="F921" s="165"/>
      <c r="G921" s="166"/>
      <c r="H921" s="165"/>
      <c r="I921" s="68" t="s">
        <v>23</v>
      </c>
      <c r="J921" s="165"/>
      <c r="K921" s="24" t="s">
        <v>31</v>
      </c>
      <c r="L921" s="167"/>
      <c r="M921" s="168"/>
      <c r="N921" s="163" t="s">
        <v>1957</v>
      </c>
      <c r="O921" s="68" t="s">
        <v>417</v>
      </c>
      <c r="P921" s="165"/>
      <c r="Q921" s="14" t="b">
        <f t="shared" si="1"/>
        <v>0</v>
      </c>
      <c r="R921" s="15" t="b">
        <f t="shared" si="2"/>
        <v>0</v>
      </c>
      <c r="S921" s="15" t="str">
        <f t="shared" si="3"/>
        <v>PENDING</v>
      </c>
    </row>
    <row r="922" ht="15.75" customHeight="1">
      <c r="A922" s="165" t="s">
        <v>1962</v>
      </c>
      <c r="B922" s="163"/>
      <c r="C922" s="164"/>
      <c r="D922" s="164"/>
      <c r="E922" s="165"/>
      <c r="F922" s="165"/>
      <c r="G922" s="166"/>
      <c r="H922" s="165"/>
      <c r="I922" s="68" t="s">
        <v>23</v>
      </c>
      <c r="J922" s="165"/>
      <c r="K922" s="24" t="s">
        <v>31</v>
      </c>
      <c r="L922" s="167"/>
      <c r="M922" s="168"/>
      <c r="N922" s="163" t="s">
        <v>1957</v>
      </c>
      <c r="O922" s="68" t="s">
        <v>417</v>
      </c>
      <c r="P922" s="165"/>
      <c r="Q922" s="14" t="b">
        <f t="shared" si="1"/>
        <v>0</v>
      </c>
      <c r="R922" s="15" t="b">
        <f t="shared" si="2"/>
        <v>0</v>
      </c>
      <c r="S922" s="15" t="str">
        <f t="shared" si="3"/>
        <v>PENDING</v>
      </c>
    </row>
    <row r="923" ht="15.75" customHeight="1">
      <c r="A923" s="165" t="s">
        <v>1963</v>
      </c>
      <c r="B923" s="163"/>
      <c r="C923" s="164"/>
      <c r="D923" s="164"/>
      <c r="E923" s="165"/>
      <c r="F923" s="165"/>
      <c r="G923" s="166"/>
      <c r="H923" s="165"/>
      <c r="I923" s="68" t="s">
        <v>23</v>
      </c>
      <c r="J923" s="165"/>
      <c r="K923" s="24" t="s">
        <v>31</v>
      </c>
      <c r="L923" s="167"/>
      <c r="M923" s="168"/>
      <c r="N923" s="163" t="s">
        <v>1957</v>
      </c>
      <c r="O923" s="68" t="s">
        <v>417</v>
      </c>
      <c r="P923" s="165"/>
      <c r="Q923" s="14" t="b">
        <f t="shared" si="1"/>
        <v>0</v>
      </c>
      <c r="R923" s="15" t="b">
        <f t="shared" si="2"/>
        <v>0</v>
      </c>
      <c r="S923" s="15" t="str">
        <f t="shared" si="3"/>
        <v>PENDING</v>
      </c>
    </row>
    <row r="924" ht="15.75" customHeight="1">
      <c r="A924" s="165" t="s">
        <v>1964</v>
      </c>
      <c r="B924" s="163"/>
      <c r="C924" s="164"/>
      <c r="D924" s="164"/>
      <c r="E924" s="165"/>
      <c r="F924" s="165"/>
      <c r="G924" s="166"/>
      <c r="H924" s="165"/>
      <c r="I924" s="68" t="s">
        <v>23</v>
      </c>
      <c r="J924" s="165"/>
      <c r="K924" s="24" t="s">
        <v>31</v>
      </c>
      <c r="L924" s="167"/>
      <c r="M924" s="168"/>
      <c r="N924" s="163" t="s">
        <v>1957</v>
      </c>
      <c r="O924" s="68" t="s">
        <v>417</v>
      </c>
      <c r="P924" s="165"/>
      <c r="Q924" s="14" t="b">
        <f t="shared" si="1"/>
        <v>0</v>
      </c>
      <c r="R924" s="15" t="b">
        <f t="shared" si="2"/>
        <v>0</v>
      </c>
      <c r="S924" s="15" t="str">
        <f t="shared" si="3"/>
        <v>PENDING</v>
      </c>
    </row>
    <row r="925" ht="15.75" customHeight="1">
      <c r="A925" s="165" t="s">
        <v>1965</v>
      </c>
      <c r="B925" s="163"/>
      <c r="C925" s="164"/>
      <c r="D925" s="164"/>
      <c r="E925" s="165"/>
      <c r="F925" s="165"/>
      <c r="G925" s="166"/>
      <c r="H925" s="165"/>
      <c r="I925" s="68" t="s">
        <v>23</v>
      </c>
      <c r="J925" s="165"/>
      <c r="K925" s="24" t="s">
        <v>31</v>
      </c>
      <c r="L925" s="167"/>
      <c r="M925" s="168"/>
      <c r="N925" s="163" t="s">
        <v>1957</v>
      </c>
      <c r="O925" s="68" t="s">
        <v>417</v>
      </c>
      <c r="P925" s="165"/>
      <c r="Q925" s="14" t="b">
        <f t="shared" si="1"/>
        <v>0</v>
      </c>
      <c r="R925" s="15" t="b">
        <f t="shared" si="2"/>
        <v>0</v>
      </c>
      <c r="S925" s="15" t="str">
        <f t="shared" si="3"/>
        <v>PENDING</v>
      </c>
    </row>
    <row r="926" ht="15.75" customHeight="1">
      <c r="A926" s="165" t="s">
        <v>1966</v>
      </c>
      <c r="B926" s="163"/>
      <c r="C926" s="164"/>
      <c r="D926" s="164"/>
      <c r="E926" s="165"/>
      <c r="F926" s="165"/>
      <c r="G926" s="166"/>
      <c r="H926" s="165"/>
      <c r="I926" s="68" t="s">
        <v>23</v>
      </c>
      <c r="J926" s="165"/>
      <c r="K926" s="24" t="s">
        <v>31</v>
      </c>
      <c r="L926" s="167"/>
      <c r="M926" s="168"/>
      <c r="N926" s="163" t="s">
        <v>1957</v>
      </c>
      <c r="O926" s="68" t="s">
        <v>417</v>
      </c>
      <c r="P926" s="165"/>
      <c r="Q926" s="14" t="b">
        <f t="shared" si="1"/>
        <v>0</v>
      </c>
      <c r="R926" s="15" t="b">
        <f t="shared" si="2"/>
        <v>0</v>
      </c>
      <c r="S926" s="15" t="str">
        <f t="shared" si="3"/>
        <v>PENDING</v>
      </c>
    </row>
    <row r="927" ht="15.75" customHeight="1">
      <c r="A927" s="24" t="s">
        <v>1967</v>
      </c>
      <c r="B927" s="25" t="s">
        <v>1968</v>
      </c>
      <c r="C927" s="26">
        <v>45965.0</v>
      </c>
      <c r="D927" s="26">
        <v>45965.0</v>
      </c>
      <c r="E927" s="24" t="s">
        <v>21</v>
      </c>
      <c r="F927" s="24">
        <v>48.0</v>
      </c>
      <c r="G927" s="27">
        <v>110.0</v>
      </c>
      <c r="H927" s="24" t="s">
        <v>1724</v>
      </c>
      <c r="I927" s="28" t="s">
        <v>23</v>
      </c>
      <c r="J927" s="28" t="s">
        <v>35</v>
      </c>
      <c r="K927" s="28" t="s">
        <v>49</v>
      </c>
      <c r="M927" s="29"/>
      <c r="N927" s="25"/>
      <c r="O927" s="28" t="s">
        <v>27</v>
      </c>
      <c r="P927" s="24" t="s">
        <v>1724</v>
      </c>
      <c r="Q927" s="14" t="b">
        <f t="shared" si="1"/>
        <v>0</v>
      </c>
      <c r="R927" s="15" t="b">
        <f t="shared" si="2"/>
        <v>0</v>
      </c>
      <c r="S927" s="15" t="str">
        <f t="shared" si="3"/>
        <v>PENDING</v>
      </c>
    </row>
    <row r="928" ht="15.75" customHeight="1">
      <c r="A928" s="24" t="s">
        <v>1969</v>
      </c>
      <c r="B928" s="25" t="s">
        <v>1970</v>
      </c>
      <c r="C928" s="26">
        <v>45965.0</v>
      </c>
      <c r="D928" s="26">
        <v>45965.0</v>
      </c>
      <c r="E928" s="24" t="s">
        <v>1287</v>
      </c>
      <c r="F928" s="24">
        <v>40.0</v>
      </c>
      <c r="G928" s="27">
        <v>50.0</v>
      </c>
      <c r="H928" s="24" t="s">
        <v>1724</v>
      </c>
      <c r="I928" s="28" t="s">
        <v>23</v>
      </c>
      <c r="J928" s="28" t="s">
        <v>35</v>
      </c>
      <c r="K928" s="28" t="s">
        <v>482</v>
      </c>
      <c r="M928" s="29"/>
      <c r="N928" s="25"/>
      <c r="O928" s="28" t="s">
        <v>27</v>
      </c>
      <c r="P928" s="24" t="s">
        <v>1724</v>
      </c>
      <c r="Q928" s="14" t="b">
        <f t="shared" si="1"/>
        <v>0</v>
      </c>
      <c r="R928" s="15" t="b">
        <f t="shared" si="2"/>
        <v>0</v>
      </c>
      <c r="S928" s="15" t="str">
        <f t="shared" si="3"/>
        <v>PENDING</v>
      </c>
    </row>
    <row r="929" ht="15.75" customHeight="1">
      <c r="A929" s="24" t="s">
        <v>1971</v>
      </c>
      <c r="B929" s="25" t="s">
        <v>1972</v>
      </c>
      <c r="C929" s="26">
        <v>45965.0</v>
      </c>
      <c r="D929" s="26">
        <v>45965.0</v>
      </c>
      <c r="E929" s="24" t="s">
        <v>21</v>
      </c>
      <c r="F929" s="24">
        <v>24.0</v>
      </c>
      <c r="G929" s="27">
        <v>110.0</v>
      </c>
      <c r="H929" s="24" t="s">
        <v>1724</v>
      </c>
      <c r="I929" s="28" t="s">
        <v>23</v>
      </c>
      <c r="J929" s="28" t="s">
        <v>35</v>
      </c>
      <c r="K929" s="28" t="s">
        <v>84</v>
      </c>
      <c r="M929" s="29" t="s">
        <v>1973</v>
      </c>
      <c r="N929" s="25"/>
      <c r="O929" s="28" t="s">
        <v>27</v>
      </c>
      <c r="P929" s="24" t="s">
        <v>1724</v>
      </c>
      <c r="Q929" s="14" t="b">
        <f t="shared" si="1"/>
        <v>0</v>
      </c>
      <c r="R929" s="15" t="b">
        <f t="shared" si="2"/>
        <v>0</v>
      </c>
      <c r="S929" s="15" t="str">
        <f t="shared" si="3"/>
        <v>PENDING</v>
      </c>
    </row>
    <row r="930" ht="15.75" customHeight="1">
      <c r="A930" s="24" t="s">
        <v>1971</v>
      </c>
      <c r="B930" s="25" t="s">
        <v>1972</v>
      </c>
      <c r="C930" s="26">
        <v>45965.0</v>
      </c>
      <c r="D930" s="26">
        <v>45965.0</v>
      </c>
      <c r="E930" s="24" t="s">
        <v>1287</v>
      </c>
      <c r="F930" s="24">
        <v>40.0</v>
      </c>
      <c r="G930" s="27">
        <v>50.0</v>
      </c>
      <c r="H930" s="24" t="s">
        <v>1724</v>
      </c>
      <c r="I930" s="28" t="s">
        <v>23</v>
      </c>
      <c r="J930" s="28" t="s">
        <v>35</v>
      </c>
      <c r="K930" s="28" t="s">
        <v>84</v>
      </c>
      <c r="M930" s="29" t="s">
        <v>1974</v>
      </c>
      <c r="N930" s="29" t="s">
        <v>1974</v>
      </c>
      <c r="O930" s="28" t="s">
        <v>27</v>
      </c>
      <c r="P930" s="24" t="s">
        <v>1724</v>
      </c>
      <c r="Q930" s="14" t="b">
        <f t="shared" si="1"/>
        <v>0</v>
      </c>
      <c r="R930" s="15" t="b">
        <f t="shared" si="2"/>
        <v>0</v>
      </c>
      <c r="S930" s="15" t="str">
        <f t="shared" si="3"/>
        <v>PENDING</v>
      </c>
    </row>
    <row r="931" ht="15.75" customHeight="1">
      <c r="A931" s="7" t="s">
        <v>1975</v>
      </c>
      <c r="B931" s="8" t="s">
        <v>1976</v>
      </c>
      <c r="C931" s="9">
        <v>45965.0</v>
      </c>
      <c r="D931" s="9">
        <v>45965.0</v>
      </c>
      <c r="E931" s="7" t="s">
        <v>1287</v>
      </c>
      <c r="F931" s="7">
        <v>40.0</v>
      </c>
      <c r="G931" s="10">
        <v>50.0</v>
      </c>
      <c r="H931" s="7" t="s">
        <v>1847</v>
      </c>
      <c r="I931" s="11" t="s">
        <v>23</v>
      </c>
      <c r="J931" s="11" t="s">
        <v>30</v>
      </c>
      <c r="K931" s="11" t="s">
        <v>25</v>
      </c>
      <c r="L931" s="16"/>
      <c r="M931" s="12" t="s">
        <v>1977</v>
      </c>
      <c r="N931" s="13"/>
      <c r="O931" s="11" t="s">
        <v>27</v>
      </c>
      <c r="P931" s="7" t="s">
        <v>1847</v>
      </c>
      <c r="Q931" s="14" t="b">
        <f t="shared" si="1"/>
        <v>1</v>
      </c>
      <c r="R931" s="15" t="b">
        <f t="shared" si="2"/>
        <v>0</v>
      </c>
      <c r="S931" s="15" t="str">
        <f t="shared" si="3"/>
        <v>APPROVED</v>
      </c>
    </row>
    <row r="932" ht="15.75" customHeight="1">
      <c r="A932" s="24" t="s">
        <v>1978</v>
      </c>
      <c r="B932" s="25" t="s">
        <v>1979</v>
      </c>
      <c r="C932" s="26">
        <v>45966.0</v>
      </c>
      <c r="D932" s="26">
        <v>45966.0</v>
      </c>
      <c r="E932" s="24" t="s">
        <v>1287</v>
      </c>
      <c r="F932" s="24">
        <v>40.0</v>
      </c>
      <c r="G932" s="27">
        <v>50.0</v>
      </c>
      <c r="H932" s="24" t="s">
        <v>1724</v>
      </c>
      <c r="I932" s="28" t="s">
        <v>23</v>
      </c>
      <c r="J932" s="28" t="s">
        <v>35</v>
      </c>
      <c r="K932" s="28" t="s">
        <v>84</v>
      </c>
      <c r="M932" s="29" t="s">
        <v>1980</v>
      </c>
      <c r="N932" s="25"/>
      <c r="O932" s="28" t="s">
        <v>27</v>
      </c>
      <c r="P932" s="24" t="s">
        <v>1724</v>
      </c>
      <c r="Q932" s="14" t="b">
        <f t="shared" si="1"/>
        <v>0</v>
      </c>
      <c r="R932" s="15" t="b">
        <f t="shared" si="2"/>
        <v>0</v>
      </c>
      <c r="S932" s="15" t="str">
        <f t="shared" si="3"/>
        <v>PENDING</v>
      </c>
    </row>
    <row r="933" ht="15.75" customHeight="1">
      <c r="A933" s="24" t="s">
        <v>1981</v>
      </c>
      <c r="B933" s="115" t="s">
        <v>1982</v>
      </c>
      <c r="C933" s="26">
        <v>45966.0</v>
      </c>
      <c r="D933" s="26">
        <v>45966.0</v>
      </c>
      <c r="E933" s="24" t="s">
        <v>21</v>
      </c>
      <c r="F933" s="24">
        <v>144.0</v>
      </c>
      <c r="G933" s="27">
        <v>115.0</v>
      </c>
      <c r="H933" s="24" t="s">
        <v>715</v>
      </c>
      <c r="I933" s="28" t="s">
        <v>23</v>
      </c>
      <c r="J933" s="28" t="s">
        <v>172</v>
      </c>
      <c r="K933" s="28" t="s">
        <v>49</v>
      </c>
      <c r="M933" s="29"/>
      <c r="N933" s="25"/>
      <c r="O933" s="28" t="s">
        <v>27</v>
      </c>
      <c r="P933" s="24" t="s">
        <v>715</v>
      </c>
      <c r="Q933" s="14" t="b">
        <f t="shared" si="1"/>
        <v>0</v>
      </c>
      <c r="R933" s="15" t="b">
        <f t="shared" si="2"/>
        <v>0</v>
      </c>
      <c r="S933" s="15" t="str">
        <f t="shared" si="3"/>
        <v>PENDING</v>
      </c>
    </row>
    <row r="934" ht="15.75" customHeight="1">
      <c r="A934" s="24" t="s">
        <v>1983</v>
      </c>
      <c r="B934" s="115" t="s">
        <v>1984</v>
      </c>
      <c r="C934" s="26">
        <v>45967.0</v>
      </c>
      <c r="D934" s="26">
        <v>45967.0</v>
      </c>
      <c r="E934" s="24" t="s">
        <v>21</v>
      </c>
      <c r="F934" s="24">
        <v>24.0</v>
      </c>
      <c r="G934" s="27">
        <v>120.0</v>
      </c>
      <c r="H934" s="24" t="s">
        <v>1724</v>
      </c>
      <c r="I934" s="28" t="s">
        <v>23</v>
      </c>
      <c r="J934" s="28" t="s">
        <v>35</v>
      </c>
      <c r="K934" s="28" t="s">
        <v>482</v>
      </c>
      <c r="M934" s="29"/>
      <c r="N934" s="25"/>
      <c r="O934" s="28" t="s">
        <v>27</v>
      </c>
      <c r="P934" s="24" t="s">
        <v>1724</v>
      </c>
      <c r="Q934" s="14" t="b">
        <f t="shared" si="1"/>
        <v>0</v>
      </c>
      <c r="R934" s="15" t="b">
        <f t="shared" si="2"/>
        <v>0</v>
      </c>
      <c r="S934" s="15" t="str">
        <f t="shared" si="3"/>
        <v>PENDING</v>
      </c>
    </row>
    <row r="935" ht="15.75" customHeight="1">
      <c r="A935" s="24" t="s">
        <v>1983</v>
      </c>
      <c r="B935" s="115" t="s">
        <v>1984</v>
      </c>
      <c r="C935" s="26">
        <v>45967.0</v>
      </c>
      <c r="D935" s="26">
        <v>45967.0</v>
      </c>
      <c r="E935" s="24" t="s">
        <v>1287</v>
      </c>
      <c r="F935" s="24">
        <v>40.0</v>
      </c>
      <c r="G935" s="27">
        <v>50.0</v>
      </c>
      <c r="H935" s="24" t="s">
        <v>1724</v>
      </c>
      <c r="I935" s="28" t="s">
        <v>23</v>
      </c>
      <c r="J935" s="28" t="s">
        <v>35</v>
      </c>
      <c r="K935" s="28" t="s">
        <v>482</v>
      </c>
      <c r="M935" s="29"/>
      <c r="N935" s="25"/>
      <c r="O935" s="28" t="s">
        <v>27</v>
      </c>
      <c r="P935" s="24" t="s">
        <v>1724</v>
      </c>
      <c r="Q935" s="14" t="b">
        <f t="shared" si="1"/>
        <v>0</v>
      </c>
      <c r="R935" s="15" t="b">
        <f t="shared" si="2"/>
        <v>0</v>
      </c>
      <c r="S935" s="15" t="str">
        <f t="shared" si="3"/>
        <v>PENDING</v>
      </c>
    </row>
    <row r="936" ht="15.75" customHeight="1">
      <c r="A936" s="24" t="s">
        <v>1985</v>
      </c>
      <c r="B936" s="25" t="s">
        <v>1986</v>
      </c>
      <c r="C936" s="26">
        <v>45969.0</v>
      </c>
      <c r="D936" s="26">
        <v>45969.0</v>
      </c>
      <c r="E936" s="24" t="s">
        <v>21</v>
      </c>
      <c r="F936" s="24">
        <v>24.0</v>
      </c>
      <c r="G936" s="27">
        <v>115.0</v>
      </c>
      <c r="H936" s="24" t="s">
        <v>177</v>
      </c>
      <c r="I936" s="28" t="s">
        <v>23</v>
      </c>
      <c r="J936" s="28" t="s">
        <v>172</v>
      </c>
      <c r="K936" s="28" t="s">
        <v>482</v>
      </c>
      <c r="M936" s="29"/>
      <c r="N936" s="25"/>
      <c r="O936" s="28" t="s">
        <v>27</v>
      </c>
      <c r="P936" s="24" t="s">
        <v>177</v>
      </c>
      <c r="Q936" s="14" t="b">
        <f t="shared" si="1"/>
        <v>0</v>
      </c>
      <c r="R936" s="15" t="b">
        <f t="shared" si="2"/>
        <v>0</v>
      </c>
      <c r="S936" s="15" t="str">
        <f t="shared" si="3"/>
        <v>PENDING</v>
      </c>
    </row>
    <row r="937" ht="15.75" customHeight="1">
      <c r="A937" s="24" t="s">
        <v>1985</v>
      </c>
      <c r="B937" s="25" t="s">
        <v>1986</v>
      </c>
      <c r="C937" s="26">
        <v>45969.0</v>
      </c>
      <c r="D937" s="26">
        <v>45969.0</v>
      </c>
      <c r="E937" s="24" t="s">
        <v>1287</v>
      </c>
      <c r="F937" s="24">
        <v>40.0</v>
      </c>
      <c r="G937" s="27">
        <v>47.0</v>
      </c>
      <c r="H937" s="24" t="s">
        <v>177</v>
      </c>
      <c r="I937" s="28" t="s">
        <v>23</v>
      </c>
      <c r="J937" s="28" t="s">
        <v>172</v>
      </c>
      <c r="K937" s="28" t="s">
        <v>482</v>
      </c>
      <c r="M937" s="29"/>
      <c r="N937" s="25"/>
      <c r="O937" s="28" t="s">
        <v>27</v>
      </c>
      <c r="P937" s="24" t="s">
        <v>177</v>
      </c>
      <c r="Q937" s="14" t="b">
        <f t="shared" si="1"/>
        <v>0</v>
      </c>
      <c r="R937" s="15" t="b">
        <f t="shared" si="2"/>
        <v>0</v>
      </c>
      <c r="S937" s="15" t="str">
        <f t="shared" si="3"/>
        <v>PENDING</v>
      </c>
    </row>
    <row r="938" ht="15.75" customHeight="1">
      <c r="A938" s="24" t="s">
        <v>1987</v>
      </c>
      <c r="B938" s="25" t="s">
        <v>288</v>
      </c>
      <c r="C938" s="26">
        <v>45972.0</v>
      </c>
      <c r="D938" s="26">
        <v>45972.0</v>
      </c>
      <c r="E938" s="24" t="s">
        <v>21</v>
      </c>
      <c r="F938" s="24">
        <v>48.0</v>
      </c>
      <c r="G938" s="27">
        <v>118.18</v>
      </c>
      <c r="H938" s="24" t="s">
        <v>177</v>
      </c>
      <c r="I938" s="28" t="s">
        <v>23</v>
      </c>
      <c r="J938" s="28" t="s">
        <v>172</v>
      </c>
      <c r="K938" s="28" t="s">
        <v>482</v>
      </c>
      <c r="M938" s="29"/>
      <c r="N938" s="25"/>
      <c r="O938" s="28" t="s">
        <v>27</v>
      </c>
      <c r="P938" s="24" t="s">
        <v>177</v>
      </c>
      <c r="Q938" s="14" t="b">
        <f t="shared" si="1"/>
        <v>0</v>
      </c>
      <c r="R938" s="15" t="b">
        <f t="shared" si="2"/>
        <v>0</v>
      </c>
      <c r="S938" s="15" t="str">
        <f t="shared" si="3"/>
        <v>PENDING</v>
      </c>
    </row>
    <row r="939" ht="15.75" customHeight="1">
      <c r="A939" s="24" t="s">
        <v>1988</v>
      </c>
      <c r="B939" s="115" t="s">
        <v>151</v>
      </c>
      <c r="C939" s="26">
        <v>45972.0</v>
      </c>
      <c r="D939" s="26">
        <v>45972.0</v>
      </c>
      <c r="E939" s="24" t="s">
        <v>21</v>
      </c>
      <c r="F939" s="24">
        <v>48.0</v>
      </c>
      <c r="G939" s="27">
        <v>118.0</v>
      </c>
      <c r="H939" s="24" t="s">
        <v>177</v>
      </c>
      <c r="I939" s="28" t="s">
        <v>23</v>
      </c>
      <c r="J939" s="28" t="s">
        <v>172</v>
      </c>
      <c r="K939" s="28" t="s">
        <v>482</v>
      </c>
      <c r="M939" s="29"/>
      <c r="N939" s="29" t="s">
        <v>1989</v>
      </c>
      <c r="O939" s="28" t="s">
        <v>27</v>
      </c>
      <c r="P939" s="24" t="s">
        <v>177</v>
      </c>
      <c r="Q939" s="14" t="b">
        <f t="shared" si="1"/>
        <v>0</v>
      </c>
      <c r="R939" s="15" t="b">
        <f t="shared" si="2"/>
        <v>0</v>
      </c>
      <c r="S939" s="15" t="str">
        <f t="shared" si="3"/>
        <v>PENDING</v>
      </c>
    </row>
    <row r="940" ht="15.75" customHeight="1">
      <c r="A940" s="24" t="s">
        <v>1988</v>
      </c>
      <c r="B940" s="115" t="s">
        <v>151</v>
      </c>
      <c r="C940" s="26">
        <v>45972.0</v>
      </c>
      <c r="D940" s="26">
        <v>45972.0</v>
      </c>
      <c r="E940" s="24" t="s">
        <v>1287</v>
      </c>
      <c r="F940" s="24">
        <v>200.0</v>
      </c>
      <c r="G940" s="27">
        <v>49.64</v>
      </c>
      <c r="H940" s="24" t="s">
        <v>177</v>
      </c>
      <c r="I940" s="28" t="s">
        <v>23</v>
      </c>
      <c r="J940" s="28" t="s">
        <v>172</v>
      </c>
      <c r="K940" s="28" t="s">
        <v>482</v>
      </c>
      <c r="M940" s="29"/>
      <c r="N940" s="29" t="s">
        <v>1989</v>
      </c>
      <c r="O940" s="28" t="s">
        <v>27</v>
      </c>
      <c r="P940" s="24" t="s">
        <v>177</v>
      </c>
      <c r="Q940" s="14" t="b">
        <f t="shared" si="1"/>
        <v>0</v>
      </c>
      <c r="R940" s="15" t="b">
        <f t="shared" si="2"/>
        <v>0</v>
      </c>
      <c r="S940" s="15" t="str">
        <f t="shared" si="3"/>
        <v>PENDING</v>
      </c>
    </row>
    <row r="941" ht="15.75" customHeight="1">
      <c r="A941" s="24" t="s">
        <v>1990</v>
      </c>
      <c r="B941" s="115" t="s">
        <v>306</v>
      </c>
      <c r="C941" s="26">
        <v>45972.0</v>
      </c>
      <c r="D941" s="26">
        <v>45972.0</v>
      </c>
      <c r="E941" s="24" t="s">
        <v>21</v>
      </c>
      <c r="F941" s="24">
        <v>24.0</v>
      </c>
      <c r="G941" s="27">
        <v>118.18</v>
      </c>
      <c r="H941" s="24" t="s">
        <v>177</v>
      </c>
      <c r="I941" s="28" t="s">
        <v>23</v>
      </c>
      <c r="J941" s="28" t="s">
        <v>172</v>
      </c>
      <c r="K941" s="28" t="s">
        <v>482</v>
      </c>
      <c r="M941" s="29"/>
      <c r="N941" s="25"/>
      <c r="O941" s="28" t="s">
        <v>27</v>
      </c>
      <c r="P941" s="24" t="s">
        <v>177</v>
      </c>
      <c r="Q941" s="14" t="b">
        <f t="shared" si="1"/>
        <v>0</v>
      </c>
      <c r="R941" s="15" t="b">
        <f t="shared" si="2"/>
        <v>0</v>
      </c>
      <c r="S941" s="15" t="str">
        <f t="shared" si="3"/>
        <v>PENDING</v>
      </c>
    </row>
    <row r="942" ht="15.75" customHeight="1">
      <c r="A942" s="7" t="s">
        <v>1991</v>
      </c>
      <c r="B942" s="8" t="s">
        <v>622</v>
      </c>
      <c r="C942" s="9">
        <v>45973.0</v>
      </c>
      <c r="D942" s="9">
        <v>45973.0</v>
      </c>
      <c r="E942" s="7" t="s">
        <v>1287</v>
      </c>
      <c r="F942" s="7">
        <v>20.0</v>
      </c>
      <c r="G942" s="10">
        <v>49.64</v>
      </c>
      <c r="H942" s="7" t="s">
        <v>177</v>
      </c>
      <c r="I942" s="11" t="s">
        <v>23</v>
      </c>
      <c r="J942" s="11" t="s">
        <v>30</v>
      </c>
      <c r="K942" s="11" t="s">
        <v>25</v>
      </c>
      <c r="L942" s="16"/>
      <c r="M942" s="12" t="s">
        <v>976</v>
      </c>
      <c r="N942" s="13"/>
      <c r="O942" s="11" t="s">
        <v>27</v>
      </c>
      <c r="P942" s="7" t="s">
        <v>177</v>
      </c>
      <c r="Q942" s="14" t="b">
        <f t="shared" si="1"/>
        <v>1</v>
      </c>
      <c r="R942" s="15" t="b">
        <f t="shared" si="2"/>
        <v>0</v>
      </c>
      <c r="S942" s="15" t="str">
        <f t="shared" si="3"/>
        <v>APPROVED</v>
      </c>
    </row>
    <row r="943" ht="15.75" customHeight="1">
      <c r="A943" s="24" t="s">
        <v>1992</v>
      </c>
      <c r="B943" s="25" t="s">
        <v>1993</v>
      </c>
      <c r="C943" s="26">
        <v>45973.0</v>
      </c>
      <c r="D943" s="26">
        <v>45973.0</v>
      </c>
      <c r="E943" s="24" t="s">
        <v>21</v>
      </c>
      <c r="F943" s="24">
        <v>24.0</v>
      </c>
      <c r="G943" s="27">
        <v>118.0</v>
      </c>
      <c r="H943" s="24" t="s">
        <v>177</v>
      </c>
      <c r="I943" s="28" t="s">
        <v>23</v>
      </c>
      <c r="J943" s="28" t="s">
        <v>172</v>
      </c>
      <c r="K943" s="28" t="s">
        <v>482</v>
      </c>
      <c r="M943" s="29"/>
      <c r="N943" s="25"/>
      <c r="O943" s="28" t="s">
        <v>27</v>
      </c>
      <c r="P943" s="24" t="s">
        <v>177</v>
      </c>
      <c r="Q943" s="14" t="b">
        <f t="shared" si="1"/>
        <v>0</v>
      </c>
      <c r="R943" s="15" t="b">
        <f t="shared" si="2"/>
        <v>0</v>
      </c>
      <c r="S943" s="15" t="str">
        <f t="shared" si="3"/>
        <v>PENDING</v>
      </c>
    </row>
    <row r="944" ht="15.75" customHeight="1">
      <c r="A944" s="24" t="s">
        <v>1992</v>
      </c>
      <c r="B944" s="25" t="s">
        <v>1993</v>
      </c>
      <c r="C944" s="26">
        <v>45973.0</v>
      </c>
      <c r="D944" s="26">
        <v>45973.0</v>
      </c>
      <c r="E944" s="24" t="s">
        <v>1287</v>
      </c>
      <c r="F944" s="24">
        <v>20.0</v>
      </c>
      <c r="G944" s="27">
        <v>49.64</v>
      </c>
      <c r="H944" s="24" t="s">
        <v>177</v>
      </c>
      <c r="I944" s="28" t="s">
        <v>23</v>
      </c>
      <c r="J944" s="28" t="s">
        <v>172</v>
      </c>
      <c r="K944" s="28" t="s">
        <v>482</v>
      </c>
      <c r="M944" s="29"/>
      <c r="N944" s="25"/>
      <c r="O944" s="28" t="s">
        <v>27</v>
      </c>
      <c r="P944" s="24" t="s">
        <v>177</v>
      </c>
      <c r="Q944" s="14" t="b">
        <f t="shared" si="1"/>
        <v>0</v>
      </c>
      <c r="R944" s="15" t="b">
        <f t="shared" si="2"/>
        <v>0</v>
      </c>
      <c r="S944" s="15" t="str">
        <f t="shared" si="3"/>
        <v>PENDING</v>
      </c>
    </row>
    <row r="945" ht="15.75" customHeight="1">
      <c r="A945" s="24" t="s">
        <v>1994</v>
      </c>
      <c r="B945" s="115" t="s">
        <v>858</v>
      </c>
      <c r="C945" s="26">
        <v>45973.0</v>
      </c>
      <c r="D945" s="26">
        <v>45973.0</v>
      </c>
      <c r="E945" s="24" t="s">
        <v>21</v>
      </c>
      <c r="F945" s="24">
        <v>24.0</v>
      </c>
      <c r="G945" s="27">
        <v>118.18</v>
      </c>
      <c r="H945" s="24" t="s">
        <v>177</v>
      </c>
      <c r="I945" s="28" t="s">
        <v>23</v>
      </c>
      <c r="J945" s="28" t="s">
        <v>172</v>
      </c>
      <c r="K945" s="28" t="s">
        <v>84</v>
      </c>
      <c r="M945" s="29" t="s">
        <v>1995</v>
      </c>
      <c r="N945" s="25"/>
      <c r="O945" s="28" t="s">
        <v>27</v>
      </c>
      <c r="P945" s="24" t="s">
        <v>177</v>
      </c>
      <c r="Q945" s="14" t="b">
        <f t="shared" si="1"/>
        <v>0</v>
      </c>
      <c r="R945" s="15" t="b">
        <f t="shared" si="2"/>
        <v>0</v>
      </c>
      <c r="S945" s="15" t="str">
        <f t="shared" si="3"/>
        <v>PENDING</v>
      </c>
    </row>
    <row r="946" ht="15.75" customHeight="1">
      <c r="A946" s="24" t="s">
        <v>1996</v>
      </c>
      <c r="B946" s="25" t="s">
        <v>1997</v>
      </c>
      <c r="C946" s="26">
        <v>45973.0</v>
      </c>
      <c r="D946" s="26">
        <v>45973.0</v>
      </c>
      <c r="E946" s="24" t="s">
        <v>21</v>
      </c>
      <c r="F946" s="24">
        <v>24.0</v>
      </c>
      <c r="G946" s="27">
        <v>118.0</v>
      </c>
      <c r="H946" s="24" t="s">
        <v>177</v>
      </c>
      <c r="I946" s="28" t="s">
        <v>23</v>
      </c>
      <c r="J946" s="28" t="s">
        <v>172</v>
      </c>
      <c r="K946" s="28" t="s">
        <v>482</v>
      </c>
      <c r="M946" s="29"/>
      <c r="N946" s="25"/>
      <c r="O946" s="28" t="s">
        <v>27</v>
      </c>
      <c r="P946" s="24" t="s">
        <v>177</v>
      </c>
      <c r="Q946" s="14" t="b">
        <f t="shared" si="1"/>
        <v>0</v>
      </c>
      <c r="R946" s="15" t="b">
        <f t="shared" si="2"/>
        <v>0</v>
      </c>
      <c r="S946" s="15" t="str">
        <f t="shared" si="3"/>
        <v>PENDING</v>
      </c>
    </row>
    <row r="947" ht="15.75" customHeight="1">
      <c r="A947" s="24" t="s">
        <v>1998</v>
      </c>
      <c r="B947" s="25" t="s">
        <v>1951</v>
      </c>
      <c r="C947" s="26">
        <v>45974.0</v>
      </c>
      <c r="D947" s="26">
        <v>45974.0</v>
      </c>
      <c r="E947" s="24" t="s">
        <v>21</v>
      </c>
      <c r="F947" s="24">
        <v>150.0</v>
      </c>
      <c r="G947" s="27">
        <v>119.0</v>
      </c>
      <c r="H947" s="24" t="s">
        <v>715</v>
      </c>
      <c r="I947" s="28" t="s">
        <v>23</v>
      </c>
      <c r="J947" s="28" t="s">
        <v>172</v>
      </c>
      <c r="K947" s="28" t="s">
        <v>482</v>
      </c>
      <c r="M947" s="29"/>
      <c r="N947" s="25"/>
      <c r="O947" s="28" t="s">
        <v>27</v>
      </c>
      <c r="P947" s="24" t="s">
        <v>715</v>
      </c>
      <c r="Q947" s="14" t="b">
        <f t="shared" si="1"/>
        <v>0</v>
      </c>
      <c r="R947" s="15" t="b">
        <f t="shared" si="2"/>
        <v>0</v>
      </c>
      <c r="S947" s="15" t="str">
        <f t="shared" si="3"/>
        <v>PENDING</v>
      </c>
    </row>
    <row r="948" ht="15.75" customHeight="1">
      <c r="A948" s="24" t="s">
        <v>1999</v>
      </c>
      <c r="B948" s="25" t="s">
        <v>2000</v>
      </c>
      <c r="C948" s="26">
        <v>45974.0</v>
      </c>
      <c r="D948" s="26"/>
      <c r="E948" s="24" t="s">
        <v>21</v>
      </c>
      <c r="F948" s="24">
        <v>168.0</v>
      </c>
      <c r="G948" s="27">
        <v>105.0</v>
      </c>
      <c r="H948" s="24" t="s">
        <v>1182</v>
      </c>
      <c r="I948" s="28" t="s">
        <v>23</v>
      </c>
      <c r="J948" s="24"/>
      <c r="K948" s="28" t="s">
        <v>49</v>
      </c>
      <c r="M948" s="29"/>
      <c r="N948" s="25"/>
      <c r="O948" s="28" t="s">
        <v>1271</v>
      </c>
      <c r="P948" s="24" t="s">
        <v>1182</v>
      </c>
      <c r="Q948" s="14" t="b">
        <f t="shared" si="1"/>
        <v>0</v>
      </c>
      <c r="R948" s="15" t="b">
        <f t="shared" si="2"/>
        <v>0</v>
      </c>
      <c r="S948" s="15" t="str">
        <f t="shared" si="3"/>
        <v>PENDING</v>
      </c>
    </row>
    <row r="949" ht="15.75" customHeight="1">
      <c r="A949" s="24" t="s">
        <v>1999</v>
      </c>
      <c r="B949" s="25" t="s">
        <v>2000</v>
      </c>
      <c r="C949" s="26">
        <v>45974.0</v>
      </c>
      <c r="D949" s="26"/>
      <c r="E949" s="24" t="s">
        <v>1287</v>
      </c>
      <c r="F949" s="24">
        <v>840.0</v>
      </c>
      <c r="G949" s="27">
        <v>43.0</v>
      </c>
      <c r="H949" s="24" t="s">
        <v>1182</v>
      </c>
      <c r="I949" s="28" t="s">
        <v>23</v>
      </c>
      <c r="J949" s="24"/>
      <c r="K949" s="28" t="s">
        <v>49</v>
      </c>
      <c r="M949" s="29"/>
      <c r="N949" s="25"/>
      <c r="O949" s="28" t="s">
        <v>1271</v>
      </c>
      <c r="P949" s="24" t="s">
        <v>1182</v>
      </c>
      <c r="Q949" s="14" t="b">
        <f t="shared" si="1"/>
        <v>0</v>
      </c>
      <c r="R949" s="15" t="b">
        <f t="shared" si="2"/>
        <v>0</v>
      </c>
      <c r="S949" s="15" t="str">
        <f t="shared" si="3"/>
        <v>PENDING</v>
      </c>
    </row>
    <row r="950" ht="15.75" customHeight="1">
      <c r="A950" s="24" t="s">
        <v>2001</v>
      </c>
      <c r="B950" s="115" t="s">
        <v>1476</v>
      </c>
      <c r="C950" s="26">
        <v>45974.0</v>
      </c>
      <c r="D950" s="26"/>
      <c r="E950" s="24" t="s">
        <v>21</v>
      </c>
      <c r="F950" s="24">
        <v>24.0</v>
      </c>
      <c r="G950" s="27">
        <v>118.0</v>
      </c>
      <c r="H950" s="24" t="s">
        <v>1376</v>
      </c>
      <c r="I950" s="28" t="s">
        <v>23</v>
      </c>
      <c r="J950" s="28" t="s">
        <v>172</v>
      </c>
      <c r="K950" s="28" t="s">
        <v>482</v>
      </c>
      <c r="M950" s="29"/>
      <c r="N950" s="25"/>
      <c r="O950" s="28" t="s">
        <v>27</v>
      </c>
      <c r="P950" s="24" t="s">
        <v>1376</v>
      </c>
      <c r="Q950" s="14" t="b">
        <f t="shared" si="1"/>
        <v>0</v>
      </c>
      <c r="R950" s="15" t="b">
        <f t="shared" si="2"/>
        <v>0</v>
      </c>
      <c r="S950" s="15" t="str">
        <f t="shared" si="3"/>
        <v>PENDING</v>
      </c>
    </row>
    <row r="951" ht="15.75" customHeight="1">
      <c r="A951" s="24" t="s">
        <v>2002</v>
      </c>
      <c r="B951" s="115" t="s">
        <v>1383</v>
      </c>
      <c r="C951" s="26">
        <v>45974.0</v>
      </c>
      <c r="D951" s="26"/>
      <c r="E951" s="24" t="s">
        <v>21</v>
      </c>
      <c r="F951" s="24">
        <v>24.0</v>
      </c>
      <c r="G951" s="27">
        <v>118.0</v>
      </c>
      <c r="H951" s="24" t="s">
        <v>1376</v>
      </c>
      <c r="I951" s="28" t="s">
        <v>23</v>
      </c>
      <c r="J951" s="28" t="s">
        <v>172</v>
      </c>
      <c r="K951" s="28" t="s">
        <v>49</v>
      </c>
      <c r="M951" s="29"/>
      <c r="N951" s="29" t="s">
        <v>2003</v>
      </c>
      <c r="O951" s="28" t="s">
        <v>27</v>
      </c>
      <c r="P951" s="24" t="s">
        <v>1376</v>
      </c>
      <c r="Q951" s="14" t="b">
        <f t="shared" si="1"/>
        <v>0</v>
      </c>
      <c r="R951" s="15" t="b">
        <f t="shared" si="2"/>
        <v>0</v>
      </c>
      <c r="S951" s="15" t="str">
        <f t="shared" si="3"/>
        <v>PENDING</v>
      </c>
    </row>
    <row r="952" ht="15.75" customHeight="1">
      <c r="A952" s="24" t="s">
        <v>2002</v>
      </c>
      <c r="B952" s="115" t="s">
        <v>1383</v>
      </c>
      <c r="C952" s="26">
        <v>45974.0</v>
      </c>
      <c r="D952" s="26"/>
      <c r="E952" s="24" t="s">
        <v>1287</v>
      </c>
      <c r="F952" s="24">
        <v>40.0</v>
      </c>
      <c r="G952" s="27">
        <v>49.66</v>
      </c>
      <c r="H952" s="24" t="s">
        <v>1376</v>
      </c>
      <c r="I952" s="28" t="s">
        <v>23</v>
      </c>
      <c r="J952" s="28" t="s">
        <v>172</v>
      </c>
      <c r="K952" s="28" t="s">
        <v>49</v>
      </c>
      <c r="M952" s="29"/>
      <c r="N952" s="25"/>
      <c r="O952" s="28" t="s">
        <v>27</v>
      </c>
      <c r="P952" s="24" t="s">
        <v>1376</v>
      </c>
      <c r="Q952" s="14" t="b">
        <f t="shared" si="1"/>
        <v>0</v>
      </c>
      <c r="R952" s="15" t="b">
        <f t="shared" si="2"/>
        <v>0</v>
      </c>
      <c r="S952" s="15" t="str">
        <f t="shared" si="3"/>
        <v>PENDING</v>
      </c>
    </row>
    <row r="953" ht="15.75" customHeight="1">
      <c r="A953" s="24" t="s">
        <v>2004</v>
      </c>
      <c r="B953" s="25" t="s">
        <v>189</v>
      </c>
      <c r="C953" s="26">
        <v>45974.0</v>
      </c>
      <c r="D953" s="26"/>
      <c r="E953" s="24" t="s">
        <v>21</v>
      </c>
      <c r="F953" s="24">
        <v>96.0</v>
      </c>
      <c r="G953" s="27">
        <v>118.0</v>
      </c>
      <c r="H953" s="24" t="s">
        <v>177</v>
      </c>
      <c r="I953" s="28" t="s">
        <v>23</v>
      </c>
      <c r="J953" s="28" t="s">
        <v>172</v>
      </c>
      <c r="K953" s="28" t="s">
        <v>49</v>
      </c>
      <c r="M953" s="29" t="s">
        <v>2005</v>
      </c>
      <c r="N953" s="25"/>
      <c r="O953" s="28" t="s">
        <v>1271</v>
      </c>
      <c r="P953" s="24" t="s">
        <v>177</v>
      </c>
      <c r="Q953" s="14" t="b">
        <f t="shared" si="1"/>
        <v>0</v>
      </c>
      <c r="R953" s="15" t="b">
        <f t="shared" si="2"/>
        <v>0</v>
      </c>
      <c r="S953" s="15" t="str">
        <f t="shared" si="3"/>
        <v>PENDING</v>
      </c>
    </row>
    <row r="954" ht="15.75" customHeight="1">
      <c r="A954" s="24" t="s">
        <v>2004</v>
      </c>
      <c r="B954" s="25" t="s">
        <v>189</v>
      </c>
      <c r="C954" s="26">
        <v>45974.0</v>
      </c>
      <c r="D954" s="26"/>
      <c r="E954" s="24" t="s">
        <v>1287</v>
      </c>
      <c r="F954" s="24">
        <v>40.0</v>
      </c>
      <c r="G954" s="27">
        <v>0.0</v>
      </c>
      <c r="H954" s="24" t="s">
        <v>177</v>
      </c>
      <c r="I954" s="28" t="s">
        <v>23</v>
      </c>
      <c r="J954" s="28" t="s">
        <v>30</v>
      </c>
      <c r="K954" s="24" t="s">
        <v>31</v>
      </c>
      <c r="M954" s="29" t="s">
        <v>2005</v>
      </c>
      <c r="N954" s="25"/>
      <c r="O954" s="28" t="s">
        <v>1271</v>
      </c>
      <c r="P954" s="24" t="s">
        <v>177</v>
      </c>
      <c r="Q954" s="14" t="b">
        <f t="shared" si="1"/>
        <v>0</v>
      </c>
      <c r="R954" s="15" t="b">
        <f t="shared" si="2"/>
        <v>0</v>
      </c>
      <c r="S954" s="15" t="str">
        <f t="shared" si="3"/>
        <v>PENDING</v>
      </c>
    </row>
    <row r="955" ht="15.75" customHeight="1">
      <c r="A955" s="24" t="s">
        <v>2006</v>
      </c>
      <c r="B955" s="25" t="s">
        <v>1379</v>
      </c>
      <c r="C955" s="26">
        <v>45974.0</v>
      </c>
      <c r="D955" s="26"/>
      <c r="E955" s="24" t="s">
        <v>21</v>
      </c>
      <c r="F955" s="24">
        <v>48.0</v>
      </c>
      <c r="G955" s="27">
        <v>118.0</v>
      </c>
      <c r="H955" s="24" t="s">
        <v>1376</v>
      </c>
      <c r="I955" s="28" t="s">
        <v>23</v>
      </c>
      <c r="J955" s="28" t="s">
        <v>172</v>
      </c>
      <c r="K955" s="28" t="s">
        <v>482</v>
      </c>
      <c r="M955" s="29"/>
      <c r="N955" s="25"/>
      <c r="O955" s="28" t="s">
        <v>27</v>
      </c>
      <c r="P955" s="24" t="s">
        <v>1376</v>
      </c>
      <c r="Q955" s="14" t="b">
        <f t="shared" si="1"/>
        <v>0</v>
      </c>
      <c r="R955" s="15" t="b">
        <f t="shared" si="2"/>
        <v>0</v>
      </c>
      <c r="S955" s="15" t="str">
        <f t="shared" si="3"/>
        <v>PENDING</v>
      </c>
    </row>
    <row r="956" ht="15.75" customHeight="1">
      <c r="A956" s="24" t="s">
        <v>2007</v>
      </c>
      <c r="B956" s="115" t="s">
        <v>1482</v>
      </c>
      <c r="C956" s="26">
        <v>45974.0</v>
      </c>
      <c r="D956" s="26"/>
      <c r="E956" s="24" t="s">
        <v>21</v>
      </c>
      <c r="F956" s="24">
        <v>48.0</v>
      </c>
      <c r="G956" s="27">
        <v>118.0</v>
      </c>
      <c r="H956" s="24" t="s">
        <v>1376</v>
      </c>
      <c r="I956" s="28" t="s">
        <v>23</v>
      </c>
      <c r="J956" s="28" t="s">
        <v>172</v>
      </c>
      <c r="K956" s="28" t="s">
        <v>482</v>
      </c>
      <c r="M956" s="29"/>
      <c r="N956" s="25"/>
      <c r="O956" s="28" t="s">
        <v>27</v>
      </c>
      <c r="P956" s="24" t="s">
        <v>1376</v>
      </c>
      <c r="Q956" s="14" t="b">
        <f t="shared" si="1"/>
        <v>0</v>
      </c>
      <c r="R956" s="15" t="b">
        <f t="shared" si="2"/>
        <v>0</v>
      </c>
      <c r="S956" s="15" t="str">
        <f t="shared" si="3"/>
        <v>PENDING</v>
      </c>
    </row>
    <row r="957" ht="15.75" customHeight="1">
      <c r="A957" s="24" t="s">
        <v>2008</v>
      </c>
      <c r="B957" s="25" t="s">
        <v>2009</v>
      </c>
      <c r="C957" s="26">
        <v>45974.0</v>
      </c>
      <c r="D957" s="26">
        <v>45974.0</v>
      </c>
      <c r="E957" s="24" t="s">
        <v>21</v>
      </c>
      <c r="F957" s="24">
        <v>24.0</v>
      </c>
      <c r="G957" s="27">
        <v>118.0</v>
      </c>
      <c r="H957" s="24" t="s">
        <v>177</v>
      </c>
      <c r="I957" s="28" t="s">
        <v>23</v>
      </c>
      <c r="J957" s="28" t="s">
        <v>172</v>
      </c>
      <c r="K957" s="28" t="s">
        <v>482</v>
      </c>
      <c r="M957" s="29"/>
      <c r="N957" s="25"/>
      <c r="O957" s="28" t="s">
        <v>27</v>
      </c>
      <c r="P957" s="24" t="s">
        <v>177</v>
      </c>
      <c r="Q957" s="14" t="b">
        <f t="shared" si="1"/>
        <v>0</v>
      </c>
      <c r="R957" s="15" t="b">
        <f t="shared" si="2"/>
        <v>0</v>
      </c>
      <c r="S957" s="15" t="str">
        <f t="shared" si="3"/>
        <v>PENDING</v>
      </c>
    </row>
    <row r="958" ht="15.75" customHeight="1">
      <c r="A958" s="24" t="s">
        <v>2008</v>
      </c>
      <c r="B958" s="25" t="s">
        <v>2009</v>
      </c>
      <c r="C958" s="26">
        <v>45974.0</v>
      </c>
      <c r="D958" s="26">
        <v>45974.0</v>
      </c>
      <c r="E958" s="24" t="s">
        <v>1287</v>
      </c>
      <c r="F958" s="24">
        <v>40.0</v>
      </c>
      <c r="G958" s="27">
        <v>49.64</v>
      </c>
      <c r="H958" s="24" t="s">
        <v>177</v>
      </c>
      <c r="I958" s="28" t="s">
        <v>23</v>
      </c>
      <c r="J958" s="28" t="s">
        <v>172</v>
      </c>
      <c r="K958" s="28" t="s">
        <v>482</v>
      </c>
      <c r="M958" s="29"/>
      <c r="N958" s="25"/>
      <c r="O958" s="28" t="s">
        <v>27</v>
      </c>
      <c r="P958" s="24" t="s">
        <v>177</v>
      </c>
      <c r="Q958" s="14" t="b">
        <f t="shared" si="1"/>
        <v>0</v>
      </c>
      <c r="R958" s="15" t="b">
        <f t="shared" si="2"/>
        <v>0</v>
      </c>
      <c r="S958" s="15" t="str">
        <f t="shared" si="3"/>
        <v>PENDING</v>
      </c>
    </row>
    <row r="959" ht="15.75" customHeight="1">
      <c r="A959" s="24" t="s">
        <v>2010</v>
      </c>
      <c r="B959" s="25" t="s">
        <v>2011</v>
      </c>
      <c r="C959" s="26">
        <v>45974.0</v>
      </c>
      <c r="D959" s="26">
        <v>45974.0</v>
      </c>
      <c r="E959" s="24" t="s">
        <v>21</v>
      </c>
      <c r="F959" s="24">
        <v>24.0</v>
      </c>
      <c r="G959" s="27">
        <v>118.0</v>
      </c>
      <c r="H959" s="24" t="s">
        <v>177</v>
      </c>
      <c r="I959" s="28" t="s">
        <v>23</v>
      </c>
      <c r="J959" s="28" t="s">
        <v>172</v>
      </c>
      <c r="K959" s="28" t="s">
        <v>482</v>
      </c>
      <c r="M959" s="29"/>
      <c r="N959" s="25"/>
      <c r="O959" s="28" t="s">
        <v>27</v>
      </c>
      <c r="P959" s="24" t="s">
        <v>177</v>
      </c>
      <c r="Q959" s="14" t="b">
        <f t="shared" si="1"/>
        <v>0</v>
      </c>
      <c r="R959" s="15" t="b">
        <f t="shared" si="2"/>
        <v>0</v>
      </c>
      <c r="S959" s="15" t="str">
        <f t="shared" si="3"/>
        <v>PENDING</v>
      </c>
    </row>
    <row r="960" ht="15.75" customHeight="1">
      <c r="A960" s="24" t="s">
        <v>2010</v>
      </c>
      <c r="B960" s="25" t="s">
        <v>2011</v>
      </c>
      <c r="C960" s="26">
        <v>45974.0</v>
      </c>
      <c r="D960" s="26">
        <v>45974.0</v>
      </c>
      <c r="E960" s="24" t="s">
        <v>1287</v>
      </c>
      <c r="F960" s="24">
        <v>40.0</v>
      </c>
      <c r="G960" s="27">
        <v>49.64</v>
      </c>
      <c r="H960" s="24" t="s">
        <v>177</v>
      </c>
      <c r="I960" s="28" t="s">
        <v>23</v>
      </c>
      <c r="J960" s="28" t="s">
        <v>172</v>
      </c>
      <c r="K960" s="28" t="s">
        <v>482</v>
      </c>
      <c r="M960" s="29"/>
      <c r="N960" s="25"/>
      <c r="O960" s="28" t="s">
        <v>27</v>
      </c>
      <c r="P960" s="24" t="s">
        <v>177</v>
      </c>
      <c r="Q960" s="14" t="b">
        <f t="shared" si="1"/>
        <v>0</v>
      </c>
      <c r="R960" s="15" t="b">
        <f t="shared" si="2"/>
        <v>0</v>
      </c>
      <c r="S960" s="15" t="str">
        <f t="shared" si="3"/>
        <v>PENDING</v>
      </c>
    </row>
    <row r="961" ht="15.75" customHeight="1">
      <c r="A961" s="24" t="s">
        <v>2012</v>
      </c>
      <c r="B961" s="25" t="s">
        <v>1087</v>
      </c>
      <c r="C961" s="26">
        <v>45975.0</v>
      </c>
      <c r="D961" s="26">
        <v>45975.0</v>
      </c>
      <c r="E961" s="24" t="s">
        <v>21</v>
      </c>
      <c r="F961" s="24">
        <v>48.0</v>
      </c>
      <c r="G961" s="27">
        <v>118.18</v>
      </c>
      <c r="H961" s="24" t="s">
        <v>1376</v>
      </c>
      <c r="I961" s="28" t="s">
        <v>23</v>
      </c>
      <c r="J961" s="28" t="s">
        <v>172</v>
      </c>
      <c r="K961" s="28" t="s">
        <v>482</v>
      </c>
      <c r="M961" s="29"/>
      <c r="N961" s="25"/>
      <c r="O961" s="28" t="s">
        <v>27</v>
      </c>
      <c r="P961" s="24" t="s">
        <v>1376</v>
      </c>
      <c r="Q961" s="14" t="b">
        <f t="shared" si="1"/>
        <v>0</v>
      </c>
      <c r="R961" s="15" t="b">
        <f t="shared" si="2"/>
        <v>0</v>
      </c>
      <c r="S961" s="15" t="str">
        <f t="shared" si="3"/>
        <v>PENDING</v>
      </c>
    </row>
    <row r="962" ht="15.75" customHeight="1">
      <c r="A962" s="24" t="s">
        <v>2013</v>
      </c>
      <c r="B962" s="25" t="s">
        <v>2014</v>
      </c>
      <c r="C962" s="26">
        <v>45978.0</v>
      </c>
      <c r="D962" s="26">
        <v>45978.0</v>
      </c>
      <c r="E962" s="24" t="s">
        <v>21</v>
      </c>
      <c r="F962" s="24">
        <v>15.0</v>
      </c>
      <c r="G962" s="27">
        <v>135.0</v>
      </c>
      <c r="H962" s="24" t="s">
        <v>22</v>
      </c>
      <c r="I962" s="28" t="s">
        <v>23</v>
      </c>
      <c r="J962" s="28" t="s">
        <v>30</v>
      </c>
      <c r="K962" s="28" t="s">
        <v>25</v>
      </c>
      <c r="M962" s="29"/>
      <c r="N962" s="25"/>
      <c r="O962" s="28" t="s">
        <v>27</v>
      </c>
      <c r="P962" s="24" t="s">
        <v>22</v>
      </c>
      <c r="Q962" s="14" t="b">
        <f t="shared" si="1"/>
        <v>1</v>
      </c>
      <c r="R962" s="15" t="b">
        <f t="shared" si="2"/>
        <v>0</v>
      </c>
      <c r="S962" s="15" t="str">
        <f t="shared" si="3"/>
        <v>APPROVED</v>
      </c>
    </row>
    <row r="963" ht="15.75" customHeight="1">
      <c r="A963" s="24" t="s">
        <v>2015</v>
      </c>
      <c r="B963" s="115" t="s">
        <v>1589</v>
      </c>
      <c r="C963" s="26">
        <v>45979.0</v>
      </c>
      <c r="D963" s="26">
        <v>45979.0</v>
      </c>
      <c r="E963" s="24" t="s">
        <v>1287</v>
      </c>
      <c r="F963" s="24">
        <v>40.0</v>
      </c>
      <c r="G963" s="27">
        <v>49.66</v>
      </c>
      <c r="H963" s="24" t="s">
        <v>1376</v>
      </c>
      <c r="I963" s="28" t="s">
        <v>23</v>
      </c>
      <c r="J963" s="28" t="s">
        <v>172</v>
      </c>
      <c r="K963" s="28" t="s">
        <v>49</v>
      </c>
      <c r="M963" s="29"/>
      <c r="N963" s="25"/>
      <c r="O963" s="28" t="s">
        <v>27</v>
      </c>
      <c r="P963" s="24" t="s">
        <v>1376</v>
      </c>
      <c r="Q963" s="14" t="b">
        <f t="shared" si="1"/>
        <v>0</v>
      </c>
      <c r="R963" s="15" t="b">
        <f t="shared" si="2"/>
        <v>0</v>
      </c>
      <c r="S963" s="15" t="str">
        <f t="shared" si="3"/>
        <v>PENDING</v>
      </c>
    </row>
    <row r="964" ht="15.75" customHeight="1">
      <c r="A964" s="24" t="s">
        <v>2016</v>
      </c>
      <c r="B964" s="115" t="s">
        <v>1454</v>
      </c>
      <c r="C964" s="26">
        <v>45979.0</v>
      </c>
      <c r="D964" s="26"/>
      <c r="E964" s="24" t="s">
        <v>21</v>
      </c>
      <c r="F964" s="24">
        <v>48.0</v>
      </c>
      <c r="G964" s="27">
        <v>118.18</v>
      </c>
      <c r="H964" s="24" t="s">
        <v>1376</v>
      </c>
      <c r="I964" s="28" t="s">
        <v>23</v>
      </c>
      <c r="J964" s="28" t="s">
        <v>172</v>
      </c>
      <c r="K964" s="28" t="s">
        <v>84</v>
      </c>
      <c r="M964" s="29" t="s">
        <v>1455</v>
      </c>
      <c r="N964" s="25"/>
      <c r="O964" s="28" t="s">
        <v>27</v>
      </c>
      <c r="P964" s="24" t="s">
        <v>1376</v>
      </c>
      <c r="Q964" s="14" t="b">
        <f t="shared" si="1"/>
        <v>0</v>
      </c>
      <c r="R964" s="15" t="b">
        <f t="shared" si="2"/>
        <v>0</v>
      </c>
      <c r="S964" s="15" t="str">
        <f t="shared" si="3"/>
        <v>PENDING</v>
      </c>
    </row>
    <row r="965" ht="15.75" customHeight="1">
      <c r="A965" s="155" t="s">
        <v>2017</v>
      </c>
      <c r="B965" s="156" t="s">
        <v>1830</v>
      </c>
      <c r="C965" s="157">
        <v>45976.0</v>
      </c>
      <c r="D965" s="157">
        <v>45976.0</v>
      </c>
      <c r="E965" s="155"/>
      <c r="F965" s="155">
        <v>600.0</v>
      </c>
      <c r="G965" s="158"/>
      <c r="H965" s="159" t="s">
        <v>1724</v>
      </c>
      <c r="I965" s="159" t="s">
        <v>23</v>
      </c>
      <c r="J965" s="159" t="s">
        <v>30</v>
      </c>
      <c r="K965" s="155" t="s">
        <v>31</v>
      </c>
      <c r="L965" s="160"/>
      <c r="M965" s="161"/>
      <c r="N965" s="162"/>
      <c r="O965" s="159" t="s">
        <v>27</v>
      </c>
      <c r="P965" s="159" t="s">
        <v>1724</v>
      </c>
      <c r="Q965" s="14" t="b">
        <f t="shared" si="1"/>
        <v>0</v>
      </c>
      <c r="R965" s="15" t="b">
        <f t="shared" si="2"/>
        <v>0</v>
      </c>
      <c r="S965" s="15" t="str">
        <f t="shared" si="3"/>
        <v>PENDING</v>
      </c>
    </row>
    <row r="966" ht="15.75" customHeight="1">
      <c r="A966" s="24" t="s">
        <v>2018</v>
      </c>
      <c r="B966" s="25" t="s">
        <v>1670</v>
      </c>
      <c r="C966" s="26">
        <v>45979.0</v>
      </c>
      <c r="D966" s="26"/>
      <c r="E966" s="24" t="s">
        <v>21</v>
      </c>
      <c r="F966" s="24">
        <v>120.0</v>
      </c>
      <c r="G966" s="27">
        <v>110.0</v>
      </c>
      <c r="H966" s="24" t="s">
        <v>177</v>
      </c>
      <c r="I966" s="28" t="s">
        <v>23</v>
      </c>
      <c r="J966" s="28" t="s">
        <v>172</v>
      </c>
      <c r="K966" s="28" t="s">
        <v>49</v>
      </c>
      <c r="M966" s="29"/>
      <c r="N966" s="29" t="s">
        <v>2019</v>
      </c>
      <c r="O966" s="28" t="s">
        <v>27</v>
      </c>
      <c r="P966" s="24" t="s">
        <v>177</v>
      </c>
      <c r="Q966" s="14" t="b">
        <f t="shared" si="1"/>
        <v>0</v>
      </c>
      <c r="R966" s="15" t="b">
        <f t="shared" si="2"/>
        <v>0</v>
      </c>
      <c r="S966" s="15" t="str">
        <f t="shared" si="3"/>
        <v>PENDING</v>
      </c>
    </row>
    <row r="967" ht="15.75" customHeight="1">
      <c r="A967" s="24" t="s">
        <v>2020</v>
      </c>
      <c r="B967" s="115" t="s">
        <v>276</v>
      </c>
      <c r="C967" s="26">
        <v>45979.0</v>
      </c>
      <c r="D967" s="26"/>
      <c r="E967" s="24" t="s">
        <v>21</v>
      </c>
      <c r="F967" s="24">
        <v>144.0</v>
      </c>
      <c r="G967" s="27">
        <v>119.0</v>
      </c>
      <c r="H967" s="24" t="s">
        <v>177</v>
      </c>
      <c r="I967" s="28" t="s">
        <v>23</v>
      </c>
      <c r="J967" s="28" t="s">
        <v>172</v>
      </c>
      <c r="K967" s="28" t="s">
        <v>49</v>
      </c>
      <c r="M967" s="29"/>
      <c r="N967" s="25"/>
      <c r="O967" s="28" t="s">
        <v>1271</v>
      </c>
      <c r="P967" s="24" t="s">
        <v>177</v>
      </c>
      <c r="Q967" s="14" t="b">
        <f t="shared" si="1"/>
        <v>0</v>
      </c>
      <c r="R967" s="15" t="b">
        <f t="shared" si="2"/>
        <v>0</v>
      </c>
      <c r="S967" s="15" t="str">
        <f t="shared" si="3"/>
        <v>PENDING</v>
      </c>
    </row>
    <row r="968" ht="15.75" customHeight="1">
      <c r="A968" s="24" t="s">
        <v>2021</v>
      </c>
      <c r="B968" s="25" t="s">
        <v>119</v>
      </c>
      <c r="C968" s="26">
        <v>45979.0</v>
      </c>
      <c r="D968" s="26"/>
      <c r="E968" s="24" t="s">
        <v>21</v>
      </c>
      <c r="F968" s="24">
        <v>144.0</v>
      </c>
      <c r="G968" s="27">
        <v>118.18</v>
      </c>
      <c r="H968" s="24" t="s">
        <v>177</v>
      </c>
      <c r="I968" s="28" t="s">
        <v>23</v>
      </c>
      <c r="J968" s="28" t="s">
        <v>172</v>
      </c>
      <c r="K968" s="28" t="s">
        <v>49</v>
      </c>
      <c r="M968" s="29"/>
      <c r="N968" s="25"/>
      <c r="O968" s="28" t="s">
        <v>1271</v>
      </c>
      <c r="P968" s="24" t="s">
        <v>177</v>
      </c>
      <c r="Q968" s="14" t="b">
        <f t="shared" si="1"/>
        <v>0</v>
      </c>
      <c r="R968" s="15" t="b">
        <f t="shared" si="2"/>
        <v>0</v>
      </c>
      <c r="S968" s="15" t="str">
        <f t="shared" si="3"/>
        <v>PENDING</v>
      </c>
    </row>
    <row r="969" ht="15.75" customHeight="1">
      <c r="A969" s="24" t="s">
        <v>2022</v>
      </c>
      <c r="B969" s="25" t="s">
        <v>1651</v>
      </c>
      <c r="C969" s="26">
        <v>45980.0</v>
      </c>
      <c r="D969" s="26"/>
      <c r="E969" s="24" t="s">
        <v>21</v>
      </c>
      <c r="F969" s="24">
        <v>144.0</v>
      </c>
      <c r="G969" s="27">
        <v>118.0</v>
      </c>
      <c r="H969" s="24" t="s">
        <v>1376</v>
      </c>
      <c r="I969" s="28" t="s">
        <v>23</v>
      </c>
      <c r="J969" s="28" t="s">
        <v>172</v>
      </c>
      <c r="K969" s="28" t="s">
        <v>49</v>
      </c>
      <c r="M969" s="29"/>
      <c r="N969" s="29" t="s">
        <v>2023</v>
      </c>
      <c r="O969" s="28" t="s">
        <v>1271</v>
      </c>
      <c r="P969" s="24" t="s">
        <v>1376</v>
      </c>
      <c r="Q969" s="14" t="b">
        <f t="shared" si="1"/>
        <v>0</v>
      </c>
      <c r="R969" s="15" t="b">
        <f t="shared" si="2"/>
        <v>0</v>
      </c>
      <c r="S969" s="15" t="str">
        <f t="shared" si="3"/>
        <v>PENDING</v>
      </c>
    </row>
    <row r="970" ht="15.75" customHeight="1">
      <c r="A970" s="24" t="s">
        <v>2024</v>
      </c>
      <c r="B970" s="25" t="s">
        <v>2025</v>
      </c>
      <c r="C970" s="26">
        <v>45980.0</v>
      </c>
      <c r="D970" s="26"/>
      <c r="E970" s="24" t="s">
        <v>21</v>
      </c>
      <c r="F970" s="24">
        <v>48.0</v>
      </c>
      <c r="G970" s="27">
        <v>118.0</v>
      </c>
      <c r="H970" s="24" t="s">
        <v>1376</v>
      </c>
      <c r="I970" s="28" t="s">
        <v>23</v>
      </c>
      <c r="J970" s="28" t="s">
        <v>172</v>
      </c>
      <c r="K970" s="28" t="s">
        <v>49</v>
      </c>
      <c r="M970" s="29"/>
      <c r="N970" s="25"/>
      <c r="O970" s="28" t="s">
        <v>1271</v>
      </c>
      <c r="P970" s="24" t="s">
        <v>1376</v>
      </c>
      <c r="Q970" s="14" t="b">
        <f t="shared" si="1"/>
        <v>0</v>
      </c>
      <c r="R970" s="15" t="b">
        <f t="shared" si="2"/>
        <v>0</v>
      </c>
      <c r="S970" s="15" t="str">
        <f t="shared" si="3"/>
        <v>PENDING</v>
      </c>
    </row>
    <row r="971" ht="15.75" customHeight="1">
      <c r="A971" s="24" t="s">
        <v>2026</v>
      </c>
      <c r="B971" s="25" t="s">
        <v>1375</v>
      </c>
      <c r="C971" s="26">
        <v>45983.0</v>
      </c>
      <c r="D971" s="26">
        <v>45983.0</v>
      </c>
      <c r="E971" s="24" t="s">
        <v>21</v>
      </c>
      <c r="F971" s="24">
        <v>432.0</v>
      </c>
      <c r="G971" s="27">
        <v>118.0</v>
      </c>
      <c r="H971" s="24" t="s">
        <v>1376</v>
      </c>
      <c r="I971" s="28" t="s">
        <v>23</v>
      </c>
      <c r="J971" s="28" t="s">
        <v>172</v>
      </c>
      <c r="K971" s="28" t="s">
        <v>84</v>
      </c>
      <c r="M971" s="29" t="s">
        <v>2027</v>
      </c>
      <c r="N971" s="29" t="s">
        <v>1731</v>
      </c>
      <c r="O971" s="28" t="s">
        <v>27</v>
      </c>
      <c r="P971" s="24" t="s">
        <v>1376</v>
      </c>
      <c r="Q971" s="14" t="b">
        <f t="shared" si="1"/>
        <v>0</v>
      </c>
      <c r="R971" s="15" t="b">
        <f t="shared" si="2"/>
        <v>0</v>
      </c>
      <c r="S971" s="15" t="str">
        <f t="shared" si="3"/>
        <v>PENDING</v>
      </c>
    </row>
    <row r="972" ht="15.75" customHeight="1">
      <c r="A972" s="24" t="s">
        <v>2028</v>
      </c>
      <c r="B972" s="25" t="s">
        <v>2029</v>
      </c>
      <c r="C972" s="26">
        <v>45980.0</v>
      </c>
      <c r="D972" s="26">
        <v>45980.0</v>
      </c>
      <c r="E972" s="24" t="s">
        <v>21</v>
      </c>
      <c r="F972" s="24">
        <v>24.0</v>
      </c>
      <c r="G972" s="27">
        <v>120.0</v>
      </c>
      <c r="H972" s="24" t="s">
        <v>1847</v>
      </c>
      <c r="I972" s="28" t="s">
        <v>23</v>
      </c>
      <c r="J972" s="28" t="s">
        <v>35</v>
      </c>
      <c r="K972" s="28" t="s">
        <v>49</v>
      </c>
      <c r="M972" s="29"/>
      <c r="N972" s="25"/>
      <c r="O972" s="28" t="s">
        <v>27</v>
      </c>
      <c r="P972" s="24" t="s">
        <v>1847</v>
      </c>
      <c r="Q972" s="14" t="b">
        <f t="shared" si="1"/>
        <v>0</v>
      </c>
      <c r="R972" s="15" t="b">
        <f t="shared" si="2"/>
        <v>0</v>
      </c>
      <c r="S972" s="15" t="str">
        <f t="shared" si="3"/>
        <v>PENDING</v>
      </c>
    </row>
    <row r="973" ht="15.75" customHeight="1">
      <c r="A973" s="24" t="s">
        <v>2028</v>
      </c>
      <c r="B973" s="25" t="s">
        <v>2029</v>
      </c>
      <c r="C973" s="26">
        <v>45980.0</v>
      </c>
      <c r="D973" s="26">
        <v>45980.0</v>
      </c>
      <c r="E973" s="24" t="s">
        <v>1287</v>
      </c>
      <c r="F973" s="24">
        <v>40.0</v>
      </c>
      <c r="G973" s="27">
        <v>60.0</v>
      </c>
      <c r="H973" s="24" t="s">
        <v>1847</v>
      </c>
      <c r="I973" s="28" t="s">
        <v>23</v>
      </c>
      <c r="J973" s="28" t="s">
        <v>35</v>
      </c>
      <c r="K973" s="28" t="s">
        <v>49</v>
      </c>
      <c r="M973" s="29"/>
      <c r="N973" s="25"/>
      <c r="O973" s="28" t="s">
        <v>27</v>
      </c>
      <c r="P973" s="24" t="s">
        <v>1847</v>
      </c>
      <c r="Q973" s="14" t="b">
        <f t="shared" si="1"/>
        <v>0</v>
      </c>
      <c r="R973" s="15" t="b">
        <f t="shared" si="2"/>
        <v>0</v>
      </c>
      <c r="S973" s="15" t="str">
        <f t="shared" si="3"/>
        <v>PENDING</v>
      </c>
    </row>
    <row r="974" ht="15.75" customHeight="1">
      <c r="A974" s="24" t="s">
        <v>2028</v>
      </c>
      <c r="B974" s="25" t="s">
        <v>1535</v>
      </c>
      <c r="C974" s="26">
        <v>45985.0</v>
      </c>
      <c r="D974" s="26">
        <v>45985.0</v>
      </c>
      <c r="E974" s="24" t="s">
        <v>21</v>
      </c>
      <c r="F974" s="24">
        <v>96.0</v>
      </c>
      <c r="G974" s="27">
        <v>118.0</v>
      </c>
      <c r="H974" s="24" t="s">
        <v>1376</v>
      </c>
      <c r="I974" s="28" t="s">
        <v>23</v>
      </c>
      <c r="J974" s="28" t="s">
        <v>172</v>
      </c>
      <c r="K974" s="28" t="s">
        <v>49</v>
      </c>
      <c r="M974" s="29"/>
      <c r="N974" s="25"/>
      <c r="O974" s="28" t="s">
        <v>1271</v>
      </c>
      <c r="P974" s="24" t="s">
        <v>1376</v>
      </c>
      <c r="Q974" s="14" t="b">
        <f t="shared" si="1"/>
        <v>0</v>
      </c>
      <c r="R974" s="15" t="b">
        <f t="shared" si="2"/>
        <v>0</v>
      </c>
      <c r="S974" s="15" t="str">
        <f t="shared" si="3"/>
        <v>PENDING</v>
      </c>
    </row>
    <row r="975" ht="15.75" customHeight="1">
      <c r="A975" s="24" t="s">
        <v>2028</v>
      </c>
      <c r="B975" s="25" t="s">
        <v>1535</v>
      </c>
      <c r="C975" s="26">
        <v>45985.0</v>
      </c>
      <c r="D975" s="26">
        <v>45985.0</v>
      </c>
      <c r="E975" s="24" t="s">
        <v>1287</v>
      </c>
      <c r="F975" s="24">
        <v>80.0</v>
      </c>
      <c r="G975" s="27">
        <v>49.66</v>
      </c>
      <c r="H975" s="24" t="s">
        <v>1376</v>
      </c>
      <c r="I975" s="28" t="s">
        <v>23</v>
      </c>
      <c r="J975" s="28" t="s">
        <v>172</v>
      </c>
      <c r="K975" s="28" t="s">
        <v>49</v>
      </c>
      <c r="M975" s="29"/>
      <c r="N975" s="25"/>
      <c r="O975" s="28" t="s">
        <v>1271</v>
      </c>
      <c r="P975" s="24" t="s">
        <v>1376</v>
      </c>
      <c r="Q975" s="14" t="b">
        <f t="shared" si="1"/>
        <v>0</v>
      </c>
      <c r="R975" s="15" t="b">
        <f t="shared" si="2"/>
        <v>0</v>
      </c>
      <c r="S975" s="15" t="str">
        <f t="shared" si="3"/>
        <v>PENDING</v>
      </c>
    </row>
    <row r="976" ht="15.75" customHeight="1">
      <c r="A976" s="24" t="s">
        <v>2030</v>
      </c>
      <c r="B976" s="25" t="s">
        <v>2031</v>
      </c>
      <c r="C976" s="26">
        <v>45990.0</v>
      </c>
      <c r="D976" s="26"/>
      <c r="E976" s="24" t="s">
        <v>21</v>
      </c>
      <c r="F976" s="24">
        <v>24.0</v>
      </c>
      <c r="G976" s="27">
        <v>118.0</v>
      </c>
      <c r="H976" s="24" t="s">
        <v>177</v>
      </c>
      <c r="I976" s="28" t="s">
        <v>23</v>
      </c>
      <c r="J976" s="28" t="s">
        <v>172</v>
      </c>
      <c r="K976" s="28" t="s">
        <v>49</v>
      </c>
      <c r="M976" s="29"/>
      <c r="N976" s="25"/>
      <c r="O976" s="28" t="s">
        <v>1271</v>
      </c>
      <c r="P976" s="24" t="s">
        <v>177</v>
      </c>
      <c r="Q976" s="14" t="b">
        <f t="shared" si="1"/>
        <v>0</v>
      </c>
      <c r="R976" s="15" t="b">
        <f t="shared" si="2"/>
        <v>0</v>
      </c>
      <c r="S976" s="15" t="str">
        <f t="shared" si="3"/>
        <v>PENDING</v>
      </c>
    </row>
    <row r="977" ht="15.75" customHeight="1">
      <c r="A977" s="24" t="s">
        <v>2030</v>
      </c>
      <c r="B977" s="25" t="s">
        <v>2031</v>
      </c>
      <c r="C977" s="26">
        <v>45990.0</v>
      </c>
      <c r="D977" s="26"/>
      <c r="E977" s="24" t="s">
        <v>1287</v>
      </c>
      <c r="F977" s="24">
        <v>40.0</v>
      </c>
      <c r="G977" s="27">
        <v>49.0</v>
      </c>
      <c r="H977" s="24" t="s">
        <v>177</v>
      </c>
      <c r="I977" s="28" t="s">
        <v>23</v>
      </c>
      <c r="J977" s="28" t="s">
        <v>172</v>
      </c>
      <c r="K977" s="28" t="s">
        <v>49</v>
      </c>
      <c r="M977" s="29"/>
      <c r="N977" s="25"/>
      <c r="O977" s="28" t="s">
        <v>1271</v>
      </c>
      <c r="P977" s="24" t="s">
        <v>177</v>
      </c>
      <c r="Q977" s="14" t="b">
        <f t="shared" si="1"/>
        <v>0</v>
      </c>
      <c r="R977" s="15" t="b">
        <f t="shared" si="2"/>
        <v>0</v>
      </c>
      <c r="S977" s="15" t="str">
        <f t="shared" si="3"/>
        <v>PENDING</v>
      </c>
    </row>
    <row r="978" ht="15.75" customHeight="1">
      <c r="A978" s="24" t="s">
        <v>2032</v>
      </c>
      <c r="B978" s="115" t="s">
        <v>791</v>
      </c>
      <c r="C978" s="26">
        <v>45990.0</v>
      </c>
      <c r="D978" s="26"/>
      <c r="E978" s="24" t="s">
        <v>21</v>
      </c>
      <c r="F978" s="24">
        <v>48.0</v>
      </c>
      <c r="G978" s="27">
        <v>118.18</v>
      </c>
      <c r="H978" s="24" t="s">
        <v>177</v>
      </c>
      <c r="I978" s="28" t="s">
        <v>23</v>
      </c>
      <c r="J978" s="28" t="s">
        <v>172</v>
      </c>
      <c r="K978" s="28" t="s">
        <v>49</v>
      </c>
      <c r="M978" s="29"/>
      <c r="N978" s="25"/>
      <c r="O978" s="28" t="s">
        <v>1271</v>
      </c>
      <c r="P978" s="24" t="s">
        <v>177</v>
      </c>
      <c r="Q978" s="14" t="b">
        <f t="shared" si="1"/>
        <v>0</v>
      </c>
      <c r="R978" s="15" t="b">
        <f t="shared" si="2"/>
        <v>0</v>
      </c>
      <c r="S978" s="15" t="str">
        <f t="shared" si="3"/>
        <v>PENDING</v>
      </c>
    </row>
    <row r="979" ht="15.75" customHeight="1">
      <c r="A979" s="24" t="s">
        <v>2033</v>
      </c>
      <c r="B979" s="115" t="s">
        <v>194</v>
      </c>
      <c r="C979" s="26">
        <v>45990.0</v>
      </c>
      <c r="D979" s="26"/>
      <c r="E979" s="24" t="s">
        <v>21</v>
      </c>
      <c r="F979" s="24">
        <v>48.0</v>
      </c>
      <c r="G979" s="27">
        <v>118.0</v>
      </c>
      <c r="H979" s="24" t="s">
        <v>177</v>
      </c>
      <c r="I979" s="28" t="s">
        <v>23</v>
      </c>
      <c r="J979" s="28" t="s">
        <v>172</v>
      </c>
      <c r="K979" s="28" t="s">
        <v>49</v>
      </c>
      <c r="M979" s="29"/>
      <c r="N979" s="25"/>
      <c r="O979" s="28" t="s">
        <v>1271</v>
      </c>
      <c r="P979" s="24" t="s">
        <v>177</v>
      </c>
      <c r="Q979" s="14" t="b">
        <f t="shared" si="1"/>
        <v>0</v>
      </c>
      <c r="R979" s="15" t="b">
        <f t="shared" si="2"/>
        <v>0</v>
      </c>
      <c r="S979" s="15" t="str">
        <f t="shared" si="3"/>
        <v>PENDING</v>
      </c>
    </row>
    <row r="980" ht="15.75" customHeight="1">
      <c r="A980" s="24" t="s">
        <v>2034</v>
      </c>
      <c r="B980" s="115" t="s">
        <v>1255</v>
      </c>
      <c r="C980" s="26">
        <v>45990.0</v>
      </c>
      <c r="D980" s="26"/>
      <c r="E980" s="24" t="s">
        <v>21</v>
      </c>
      <c r="F980" s="24">
        <v>48.0</v>
      </c>
      <c r="G980" s="27">
        <v>118.0</v>
      </c>
      <c r="H980" s="24" t="s">
        <v>177</v>
      </c>
      <c r="I980" s="28" t="s">
        <v>23</v>
      </c>
      <c r="J980" s="28" t="s">
        <v>172</v>
      </c>
      <c r="K980" s="28" t="s">
        <v>49</v>
      </c>
      <c r="M980" s="29"/>
      <c r="N980" s="25"/>
      <c r="O980" s="28" t="s">
        <v>1271</v>
      </c>
      <c r="P980" s="24" t="s">
        <v>177</v>
      </c>
      <c r="Q980" s="14" t="b">
        <f t="shared" si="1"/>
        <v>0</v>
      </c>
      <c r="R980" s="15" t="b">
        <f t="shared" si="2"/>
        <v>0</v>
      </c>
      <c r="S980" s="15" t="str">
        <f t="shared" si="3"/>
        <v>PENDING</v>
      </c>
    </row>
    <row r="981" ht="15.75" customHeight="1">
      <c r="A981" s="24" t="s">
        <v>2035</v>
      </c>
      <c r="B981" s="25" t="s">
        <v>2036</v>
      </c>
      <c r="C981" s="26">
        <v>45990.0</v>
      </c>
      <c r="D981" s="26"/>
      <c r="E981" s="24" t="s">
        <v>21</v>
      </c>
      <c r="F981" s="24">
        <v>48.0</v>
      </c>
      <c r="G981" s="27">
        <v>118.0</v>
      </c>
      <c r="H981" s="24" t="s">
        <v>177</v>
      </c>
      <c r="I981" s="28" t="s">
        <v>23</v>
      </c>
      <c r="J981" s="28" t="s">
        <v>172</v>
      </c>
      <c r="K981" s="28" t="s">
        <v>49</v>
      </c>
      <c r="M981" s="29"/>
      <c r="N981" s="25"/>
      <c r="O981" s="28" t="s">
        <v>1271</v>
      </c>
      <c r="P981" s="24" t="s">
        <v>177</v>
      </c>
      <c r="Q981" s="14" t="b">
        <f t="shared" si="1"/>
        <v>0</v>
      </c>
      <c r="R981" s="15" t="b">
        <f t="shared" si="2"/>
        <v>0</v>
      </c>
      <c r="S981" s="15" t="str">
        <f t="shared" si="3"/>
        <v>PENDING</v>
      </c>
    </row>
    <row r="982" ht="15.75" customHeight="1">
      <c r="A982" s="24" t="s">
        <v>2037</v>
      </c>
      <c r="B982" s="25" t="s">
        <v>799</v>
      </c>
      <c r="C982" s="26">
        <v>45990.0</v>
      </c>
      <c r="D982" s="26"/>
      <c r="E982" s="24" t="s">
        <v>21</v>
      </c>
      <c r="F982" s="24">
        <v>24.0</v>
      </c>
      <c r="G982" s="27">
        <v>118.18</v>
      </c>
      <c r="H982" s="24" t="s">
        <v>177</v>
      </c>
      <c r="I982" s="28" t="s">
        <v>23</v>
      </c>
      <c r="J982" s="28" t="s">
        <v>172</v>
      </c>
      <c r="K982" s="28" t="s">
        <v>49</v>
      </c>
      <c r="M982" s="29"/>
      <c r="N982" s="25"/>
      <c r="O982" s="28" t="s">
        <v>1271</v>
      </c>
      <c r="P982" s="24" t="s">
        <v>177</v>
      </c>
      <c r="Q982" s="14" t="b">
        <f t="shared" si="1"/>
        <v>0</v>
      </c>
      <c r="R982" s="15" t="b">
        <f t="shared" si="2"/>
        <v>0</v>
      </c>
      <c r="S982" s="15" t="str">
        <f t="shared" si="3"/>
        <v>PENDING</v>
      </c>
    </row>
    <row r="983" ht="15.75" customHeight="1">
      <c r="A983" s="24" t="s">
        <v>2038</v>
      </c>
      <c r="B983" s="25" t="s">
        <v>394</v>
      </c>
      <c r="C983" s="26">
        <v>45990.0</v>
      </c>
      <c r="D983" s="26"/>
      <c r="E983" s="24" t="s">
        <v>21</v>
      </c>
      <c r="F983" s="24">
        <v>24.0</v>
      </c>
      <c r="G983" s="27">
        <v>118.18</v>
      </c>
      <c r="H983" s="24" t="s">
        <v>177</v>
      </c>
      <c r="I983" s="28" t="s">
        <v>23</v>
      </c>
      <c r="J983" s="28" t="s">
        <v>172</v>
      </c>
      <c r="K983" s="28" t="s">
        <v>49</v>
      </c>
      <c r="M983" s="29"/>
      <c r="N983" s="25"/>
      <c r="O983" s="28" t="s">
        <v>1271</v>
      </c>
      <c r="P983" s="24" t="s">
        <v>177</v>
      </c>
      <c r="Q983" s="14" t="b">
        <f t="shared" si="1"/>
        <v>0</v>
      </c>
      <c r="R983" s="15" t="b">
        <f t="shared" si="2"/>
        <v>0</v>
      </c>
      <c r="S983" s="15" t="str">
        <f t="shared" si="3"/>
        <v>PENDING</v>
      </c>
    </row>
    <row r="984" ht="15.75" customHeight="1">
      <c r="A984" s="24" t="s">
        <v>2038</v>
      </c>
      <c r="B984" s="25" t="s">
        <v>394</v>
      </c>
      <c r="C984" s="26">
        <v>45990.0</v>
      </c>
      <c r="D984" s="26"/>
      <c r="E984" s="24" t="s">
        <v>1287</v>
      </c>
      <c r="F984" s="24">
        <v>20.0</v>
      </c>
      <c r="G984" s="27">
        <v>49.64</v>
      </c>
      <c r="H984" s="24" t="s">
        <v>177</v>
      </c>
      <c r="I984" s="28" t="s">
        <v>23</v>
      </c>
      <c r="J984" s="28" t="s">
        <v>172</v>
      </c>
      <c r="K984" s="28" t="s">
        <v>49</v>
      </c>
      <c r="M984" s="29"/>
      <c r="N984" s="25"/>
      <c r="O984" s="28" t="s">
        <v>1271</v>
      </c>
      <c r="P984" s="24" t="s">
        <v>177</v>
      </c>
      <c r="Q984" s="14" t="b">
        <f t="shared" si="1"/>
        <v>0</v>
      </c>
      <c r="R984" s="15" t="b">
        <f t="shared" si="2"/>
        <v>0</v>
      </c>
      <c r="S984" s="15" t="str">
        <f t="shared" si="3"/>
        <v>PENDING</v>
      </c>
    </row>
    <row r="985" ht="15.75" customHeight="1">
      <c r="A985" s="24" t="s">
        <v>2039</v>
      </c>
      <c r="B985" s="115" t="s">
        <v>491</v>
      </c>
      <c r="C985" s="26">
        <v>45990.0</v>
      </c>
      <c r="D985" s="26"/>
      <c r="E985" s="24" t="s">
        <v>21</v>
      </c>
      <c r="F985" s="24">
        <v>48.0</v>
      </c>
      <c r="G985" s="27">
        <v>118.0</v>
      </c>
      <c r="H985" s="24" t="s">
        <v>177</v>
      </c>
      <c r="I985" s="28" t="s">
        <v>23</v>
      </c>
      <c r="J985" s="28" t="s">
        <v>172</v>
      </c>
      <c r="K985" s="28" t="s">
        <v>49</v>
      </c>
      <c r="M985" s="29"/>
      <c r="N985" s="25"/>
      <c r="O985" s="28" t="s">
        <v>1271</v>
      </c>
      <c r="P985" s="24" t="s">
        <v>177</v>
      </c>
      <c r="Q985" s="14" t="b">
        <f t="shared" si="1"/>
        <v>0</v>
      </c>
      <c r="R985" s="15" t="b">
        <f t="shared" si="2"/>
        <v>0</v>
      </c>
      <c r="S985" s="15" t="str">
        <f t="shared" si="3"/>
        <v>PENDING</v>
      </c>
    </row>
    <row r="986" ht="15.75" customHeight="1">
      <c r="A986" s="24" t="s">
        <v>2039</v>
      </c>
      <c r="B986" s="115" t="s">
        <v>491</v>
      </c>
      <c r="C986" s="26">
        <v>45990.0</v>
      </c>
      <c r="D986" s="26"/>
      <c r="E986" s="24" t="s">
        <v>1287</v>
      </c>
      <c r="F986" s="24">
        <v>280.0</v>
      </c>
      <c r="G986" s="27">
        <v>43.0</v>
      </c>
      <c r="H986" s="24" t="s">
        <v>177</v>
      </c>
      <c r="I986" s="28" t="s">
        <v>23</v>
      </c>
      <c r="J986" s="28" t="s">
        <v>172</v>
      </c>
      <c r="K986" s="28" t="s">
        <v>49</v>
      </c>
      <c r="M986" s="29"/>
      <c r="N986" s="25"/>
      <c r="O986" s="28" t="s">
        <v>1271</v>
      </c>
      <c r="P986" s="24" t="s">
        <v>177</v>
      </c>
      <c r="Q986" s="14" t="b">
        <f t="shared" si="1"/>
        <v>0</v>
      </c>
      <c r="R986" s="15" t="b">
        <f t="shared" si="2"/>
        <v>0</v>
      </c>
      <c r="S986" s="15" t="str">
        <f t="shared" si="3"/>
        <v>PENDING</v>
      </c>
    </row>
    <row r="987" ht="15.75" customHeight="1">
      <c r="A987" s="24" t="s">
        <v>2040</v>
      </c>
      <c r="B987" s="115" t="s">
        <v>132</v>
      </c>
      <c r="C987" s="26">
        <v>45990.0</v>
      </c>
      <c r="D987" s="26"/>
      <c r="E987" s="24" t="s">
        <v>21</v>
      </c>
      <c r="F987" s="24">
        <v>96.0</v>
      </c>
      <c r="G987" s="27">
        <v>118.18</v>
      </c>
      <c r="H987" s="24" t="s">
        <v>177</v>
      </c>
      <c r="I987" s="28" t="s">
        <v>23</v>
      </c>
      <c r="J987" s="28" t="s">
        <v>172</v>
      </c>
      <c r="K987" s="28" t="s">
        <v>49</v>
      </c>
      <c r="M987" s="29"/>
      <c r="N987" s="29" t="s">
        <v>2041</v>
      </c>
      <c r="O987" s="28" t="s">
        <v>1271</v>
      </c>
      <c r="P987" s="24" t="s">
        <v>177</v>
      </c>
      <c r="Q987" s="14" t="b">
        <f t="shared" si="1"/>
        <v>0</v>
      </c>
      <c r="R987" s="15" t="b">
        <f t="shared" si="2"/>
        <v>0</v>
      </c>
      <c r="S987" s="15" t="str">
        <f t="shared" si="3"/>
        <v>PENDING</v>
      </c>
    </row>
    <row r="988" ht="15.75" customHeight="1">
      <c r="A988" s="24" t="s">
        <v>2040</v>
      </c>
      <c r="B988" s="115" t="s">
        <v>132</v>
      </c>
      <c r="C988" s="26">
        <v>45990.0</v>
      </c>
      <c r="D988" s="26"/>
      <c r="E988" s="24" t="s">
        <v>1287</v>
      </c>
      <c r="F988" s="24">
        <v>40.0</v>
      </c>
      <c r="G988" s="27">
        <v>0.0</v>
      </c>
      <c r="H988" s="24" t="s">
        <v>177</v>
      </c>
      <c r="I988" s="28" t="s">
        <v>23</v>
      </c>
      <c r="J988" s="28" t="s">
        <v>172</v>
      </c>
      <c r="K988" s="28" t="s">
        <v>49</v>
      </c>
      <c r="M988" s="29"/>
      <c r="N988" s="29" t="s">
        <v>2041</v>
      </c>
      <c r="O988" s="28" t="s">
        <v>1271</v>
      </c>
      <c r="P988" s="24" t="s">
        <v>177</v>
      </c>
      <c r="Q988" s="14" t="b">
        <f t="shared" si="1"/>
        <v>0</v>
      </c>
      <c r="R988" s="15" t="b">
        <f t="shared" si="2"/>
        <v>0</v>
      </c>
      <c r="S988" s="15" t="str">
        <f t="shared" si="3"/>
        <v>PENDING</v>
      </c>
    </row>
    <row r="989" ht="15.75" customHeight="1">
      <c r="A989" s="24" t="s">
        <v>2042</v>
      </c>
      <c r="B989" s="170" t="s">
        <v>2043</v>
      </c>
      <c r="C989" s="171">
        <v>45989.0</v>
      </c>
      <c r="D989" s="26"/>
      <c r="E989" s="170" t="s">
        <v>21</v>
      </c>
      <c r="F989" s="172">
        <v>480.0</v>
      </c>
      <c r="G989" s="173">
        <v>100.0</v>
      </c>
      <c r="H989" s="170" t="s">
        <v>1847</v>
      </c>
      <c r="I989" s="174" t="s">
        <v>23</v>
      </c>
      <c r="J989" s="28" t="s">
        <v>24</v>
      </c>
      <c r="K989" s="28" t="s">
        <v>49</v>
      </c>
      <c r="M989" s="29"/>
      <c r="N989" s="29" t="s">
        <v>2041</v>
      </c>
      <c r="O989" s="28" t="s">
        <v>1271</v>
      </c>
      <c r="P989" s="170" t="s">
        <v>1847</v>
      </c>
      <c r="Q989" s="14" t="b">
        <f t="shared" si="1"/>
        <v>0</v>
      </c>
      <c r="R989" s="15" t="b">
        <f t="shared" si="2"/>
        <v>0</v>
      </c>
      <c r="S989" s="15" t="str">
        <f t="shared" si="3"/>
        <v>PENDING</v>
      </c>
    </row>
    <row r="990" ht="15.75" customHeight="1">
      <c r="A990" s="24" t="s">
        <v>2042</v>
      </c>
      <c r="B990" s="170" t="s">
        <v>2043</v>
      </c>
      <c r="C990" s="171">
        <v>45989.0</v>
      </c>
      <c r="D990" s="26"/>
      <c r="E990" s="170" t="s">
        <v>1287</v>
      </c>
      <c r="F990" s="172">
        <v>800.0</v>
      </c>
      <c r="G990" s="173">
        <v>45.0</v>
      </c>
      <c r="H990" s="170" t="s">
        <v>1847</v>
      </c>
      <c r="I990" s="174" t="s">
        <v>23</v>
      </c>
      <c r="J990" s="28" t="s">
        <v>24</v>
      </c>
      <c r="K990" s="28" t="s">
        <v>49</v>
      </c>
      <c r="M990" s="29"/>
      <c r="N990" s="29" t="s">
        <v>2041</v>
      </c>
      <c r="O990" s="28" t="s">
        <v>1271</v>
      </c>
      <c r="P990" s="170" t="s">
        <v>1847</v>
      </c>
      <c r="Q990" s="14" t="b">
        <f t="shared" si="1"/>
        <v>0</v>
      </c>
      <c r="R990" s="15" t="b">
        <f t="shared" si="2"/>
        <v>0</v>
      </c>
      <c r="S990" s="15" t="str">
        <f t="shared" si="3"/>
        <v>PENDING</v>
      </c>
    </row>
    <row r="991" ht="15.75" customHeight="1">
      <c r="A991" s="24" t="s">
        <v>2042</v>
      </c>
      <c r="B991" s="170" t="s">
        <v>2043</v>
      </c>
      <c r="C991" s="171">
        <v>45989.0</v>
      </c>
      <c r="D991" s="26"/>
      <c r="E991" s="170" t="s">
        <v>1287</v>
      </c>
      <c r="F991" s="172">
        <v>200.0</v>
      </c>
      <c r="G991" s="173">
        <v>0.0</v>
      </c>
      <c r="H991" s="170" t="s">
        <v>1847</v>
      </c>
      <c r="I991" s="174" t="s">
        <v>23</v>
      </c>
      <c r="J991" s="28" t="s">
        <v>24</v>
      </c>
      <c r="K991" s="28" t="s">
        <v>49</v>
      </c>
      <c r="M991" s="29"/>
      <c r="N991" s="29" t="s">
        <v>2041</v>
      </c>
      <c r="O991" s="28" t="s">
        <v>1271</v>
      </c>
      <c r="P991" s="170" t="s">
        <v>1847</v>
      </c>
      <c r="Q991" s="14" t="b">
        <f t="shared" si="1"/>
        <v>0</v>
      </c>
      <c r="R991" s="15" t="b">
        <f t="shared" si="2"/>
        <v>0</v>
      </c>
      <c r="S991" s="15" t="str">
        <f t="shared" si="3"/>
        <v>PENDING</v>
      </c>
    </row>
    <row r="992" ht="15.75" customHeight="1">
      <c r="A992" s="24" t="s">
        <v>2044</v>
      </c>
      <c r="B992" s="170" t="s">
        <v>2045</v>
      </c>
      <c r="C992" s="171">
        <v>45989.0</v>
      </c>
      <c r="D992" s="26"/>
      <c r="E992" s="170" t="s">
        <v>21</v>
      </c>
      <c r="F992" s="172">
        <v>720.0</v>
      </c>
      <c r="G992" s="173">
        <v>95.0</v>
      </c>
      <c r="H992" s="170" t="s">
        <v>1847</v>
      </c>
      <c r="I992" s="174" t="s">
        <v>23</v>
      </c>
      <c r="J992" s="28" t="s">
        <v>24</v>
      </c>
      <c r="K992" s="28" t="s">
        <v>49</v>
      </c>
      <c r="M992" s="29"/>
      <c r="N992" s="29" t="s">
        <v>2041</v>
      </c>
      <c r="O992" s="28" t="s">
        <v>1271</v>
      </c>
      <c r="P992" s="170" t="s">
        <v>1847</v>
      </c>
      <c r="Q992" s="14" t="b">
        <f t="shared" si="1"/>
        <v>0</v>
      </c>
      <c r="R992" s="15" t="b">
        <f t="shared" si="2"/>
        <v>0</v>
      </c>
      <c r="S992" s="15" t="str">
        <f t="shared" si="3"/>
        <v>PENDING</v>
      </c>
    </row>
    <row r="993" ht="15.75" customHeight="1">
      <c r="A993" s="24" t="s">
        <v>2044</v>
      </c>
      <c r="B993" s="170" t="s">
        <v>2045</v>
      </c>
      <c r="C993" s="171">
        <v>45989.0</v>
      </c>
      <c r="D993" s="26"/>
      <c r="E993" s="170" t="s">
        <v>1287</v>
      </c>
      <c r="F993" s="172">
        <v>400.0</v>
      </c>
      <c r="G993" s="173">
        <v>40.0</v>
      </c>
      <c r="H993" s="170" t="s">
        <v>1847</v>
      </c>
      <c r="I993" s="174" t="s">
        <v>23</v>
      </c>
      <c r="J993" s="28" t="s">
        <v>24</v>
      </c>
      <c r="K993" s="28" t="s">
        <v>49</v>
      </c>
      <c r="M993" s="29"/>
      <c r="N993" s="29" t="s">
        <v>2041</v>
      </c>
      <c r="O993" s="28" t="s">
        <v>1271</v>
      </c>
      <c r="P993" s="170" t="s">
        <v>1847</v>
      </c>
      <c r="Q993" s="14" t="b">
        <f t="shared" si="1"/>
        <v>0</v>
      </c>
      <c r="R993" s="15" t="b">
        <f t="shared" si="2"/>
        <v>0</v>
      </c>
      <c r="S993" s="15" t="str">
        <f t="shared" si="3"/>
        <v>PENDING</v>
      </c>
    </row>
    <row r="994" ht="15.75" customHeight="1">
      <c r="A994" s="24" t="s">
        <v>2046</v>
      </c>
      <c r="B994" s="170" t="s">
        <v>2047</v>
      </c>
      <c r="C994" s="171">
        <v>45989.0</v>
      </c>
      <c r="D994" s="26"/>
      <c r="E994" s="170" t="s">
        <v>21</v>
      </c>
      <c r="F994" s="172">
        <v>480.0</v>
      </c>
      <c r="G994" s="173">
        <v>105.0</v>
      </c>
      <c r="H994" s="170" t="s">
        <v>1847</v>
      </c>
      <c r="I994" s="174" t="s">
        <v>23</v>
      </c>
      <c r="J994" s="28" t="s">
        <v>24</v>
      </c>
      <c r="K994" s="28" t="s">
        <v>49</v>
      </c>
      <c r="M994" s="29"/>
      <c r="N994" s="29" t="s">
        <v>2041</v>
      </c>
      <c r="O994" s="28" t="s">
        <v>1271</v>
      </c>
      <c r="P994" s="170" t="s">
        <v>1847</v>
      </c>
      <c r="Q994" s="14" t="b">
        <f t="shared" si="1"/>
        <v>0</v>
      </c>
      <c r="R994" s="15" t="b">
        <f t="shared" si="2"/>
        <v>0</v>
      </c>
      <c r="S994" s="15" t="str">
        <f t="shared" si="3"/>
        <v>PENDING</v>
      </c>
    </row>
    <row r="995" ht="15.75" customHeight="1">
      <c r="A995" s="24" t="s">
        <v>2046</v>
      </c>
      <c r="B995" s="170" t="s">
        <v>2047</v>
      </c>
      <c r="C995" s="171">
        <v>45989.0</v>
      </c>
      <c r="D995" s="26"/>
      <c r="E995" s="170" t="s">
        <v>1287</v>
      </c>
      <c r="F995" s="172">
        <v>800.0</v>
      </c>
      <c r="G995" s="173">
        <v>45.0</v>
      </c>
      <c r="H995" s="170" t="s">
        <v>1847</v>
      </c>
      <c r="I995" s="174" t="s">
        <v>23</v>
      </c>
      <c r="J995" s="28" t="s">
        <v>24</v>
      </c>
      <c r="K995" s="28" t="s">
        <v>49</v>
      </c>
      <c r="M995" s="29"/>
      <c r="N995" s="29" t="s">
        <v>2041</v>
      </c>
      <c r="O995" s="28" t="s">
        <v>1271</v>
      </c>
      <c r="P995" s="170" t="s">
        <v>1847</v>
      </c>
      <c r="Q995" s="14" t="b">
        <f t="shared" si="1"/>
        <v>0</v>
      </c>
      <c r="R995" s="15" t="b">
        <f t="shared" si="2"/>
        <v>0</v>
      </c>
      <c r="S995" s="15" t="str">
        <f t="shared" si="3"/>
        <v>PENDING</v>
      </c>
    </row>
    <row r="996" ht="15.75" customHeight="1">
      <c r="A996" s="24" t="s">
        <v>2048</v>
      </c>
      <c r="B996" s="170" t="s">
        <v>2049</v>
      </c>
      <c r="C996" s="171">
        <v>45989.0</v>
      </c>
      <c r="D996" s="26"/>
      <c r="E996" s="170" t="s">
        <v>21</v>
      </c>
      <c r="F996" s="172">
        <v>240.0</v>
      </c>
      <c r="G996" s="173">
        <v>110.0</v>
      </c>
      <c r="H996" s="170" t="s">
        <v>1724</v>
      </c>
      <c r="I996" s="174" t="s">
        <v>23</v>
      </c>
      <c r="J996" s="28" t="s">
        <v>172</v>
      </c>
      <c r="K996" s="28" t="s">
        <v>49</v>
      </c>
      <c r="M996" s="29"/>
      <c r="N996" s="25"/>
      <c r="O996" s="28" t="s">
        <v>1271</v>
      </c>
      <c r="P996" s="170" t="s">
        <v>1724</v>
      </c>
      <c r="Q996" s="14" t="b">
        <f t="shared" si="1"/>
        <v>0</v>
      </c>
      <c r="R996" s="15" t="b">
        <f t="shared" si="2"/>
        <v>0</v>
      </c>
      <c r="S996" s="15" t="str">
        <f t="shared" si="3"/>
        <v>PENDING</v>
      </c>
    </row>
    <row r="997" ht="15.75" customHeight="1">
      <c r="A997" s="24" t="s">
        <v>2048</v>
      </c>
      <c r="B997" s="170" t="s">
        <v>2049</v>
      </c>
      <c r="C997" s="171">
        <v>45989.0</v>
      </c>
      <c r="D997" s="26"/>
      <c r="E997" s="170" t="s">
        <v>1287</v>
      </c>
      <c r="F997" s="172">
        <v>200.0</v>
      </c>
      <c r="G997" s="173">
        <v>45.0</v>
      </c>
      <c r="H997" s="170" t="s">
        <v>1724</v>
      </c>
      <c r="I997" s="174" t="s">
        <v>23</v>
      </c>
      <c r="J997" s="28" t="s">
        <v>172</v>
      </c>
      <c r="K997" s="28" t="s">
        <v>49</v>
      </c>
      <c r="M997" s="29"/>
      <c r="N997" s="25"/>
      <c r="O997" s="28" t="s">
        <v>1271</v>
      </c>
      <c r="P997" s="170" t="s">
        <v>1724</v>
      </c>
      <c r="Q997" s="14" t="b">
        <f t="shared" si="1"/>
        <v>0</v>
      </c>
      <c r="R997" s="15" t="b">
        <f t="shared" si="2"/>
        <v>0</v>
      </c>
      <c r="S997" s="15" t="str">
        <f t="shared" si="3"/>
        <v>PENDING</v>
      </c>
    </row>
    <row r="998" ht="15.75" customHeight="1">
      <c r="A998" s="24" t="s">
        <v>2050</v>
      </c>
      <c r="B998" s="174" t="s">
        <v>1101</v>
      </c>
      <c r="C998" s="171">
        <v>45989.0</v>
      </c>
      <c r="D998" s="26"/>
      <c r="E998" s="170" t="s">
        <v>21</v>
      </c>
      <c r="F998" s="172">
        <v>24.0</v>
      </c>
      <c r="G998" s="173">
        <v>115.0</v>
      </c>
      <c r="H998" s="170" t="s">
        <v>715</v>
      </c>
      <c r="I998" s="174" t="s">
        <v>23</v>
      </c>
      <c r="J998" s="28" t="s">
        <v>48</v>
      </c>
      <c r="K998" s="28" t="s">
        <v>49</v>
      </c>
      <c r="M998" s="29"/>
      <c r="N998" s="25"/>
      <c r="O998" s="28" t="s">
        <v>1271</v>
      </c>
      <c r="P998" s="170" t="s">
        <v>715</v>
      </c>
      <c r="Q998" s="14" t="b">
        <f t="shared" si="1"/>
        <v>0</v>
      </c>
      <c r="R998" s="15" t="b">
        <f t="shared" si="2"/>
        <v>0</v>
      </c>
      <c r="S998" s="15" t="str">
        <f t="shared" si="3"/>
        <v>PENDING</v>
      </c>
    </row>
    <row r="999" ht="15.75" customHeight="1">
      <c r="A999" s="24" t="s">
        <v>2051</v>
      </c>
      <c r="B999" s="174" t="s">
        <v>999</v>
      </c>
      <c r="C999" s="171">
        <v>45989.0</v>
      </c>
      <c r="D999" s="26"/>
      <c r="E999" s="170" t="s">
        <v>21</v>
      </c>
      <c r="F999" s="172">
        <v>288.0</v>
      </c>
      <c r="G999" s="173">
        <v>110.0</v>
      </c>
      <c r="H999" s="170" t="s">
        <v>715</v>
      </c>
      <c r="I999" s="174" t="s">
        <v>23</v>
      </c>
      <c r="J999" s="28" t="s">
        <v>172</v>
      </c>
      <c r="K999" s="28" t="s">
        <v>49</v>
      </c>
      <c r="M999" s="29"/>
      <c r="N999" s="25"/>
      <c r="O999" s="28" t="s">
        <v>1271</v>
      </c>
      <c r="P999" s="170" t="s">
        <v>715</v>
      </c>
      <c r="Q999" s="14" t="b">
        <f t="shared" si="1"/>
        <v>0</v>
      </c>
      <c r="R999" s="15" t="b">
        <f t="shared" si="2"/>
        <v>0</v>
      </c>
      <c r="S999" s="15" t="str">
        <f t="shared" si="3"/>
        <v>PENDING</v>
      </c>
    </row>
    <row r="1000" ht="15.75" customHeight="1">
      <c r="A1000" s="24" t="s">
        <v>2052</v>
      </c>
      <c r="B1000" s="174" t="s">
        <v>837</v>
      </c>
      <c r="C1000" s="171">
        <v>45989.0</v>
      </c>
      <c r="D1000" s="26"/>
      <c r="E1000" s="170" t="s">
        <v>21</v>
      </c>
      <c r="F1000" s="172">
        <v>24.0</v>
      </c>
      <c r="G1000" s="173">
        <v>119.0</v>
      </c>
      <c r="H1000" s="170" t="s">
        <v>715</v>
      </c>
      <c r="I1000" s="174" t="s">
        <v>23</v>
      </c>
      <c r="J1000" s="28" t="s">
        <v>172</v>
      </c>
      <c r="K1000" s="28" t="s">
        <v>49</v>
      </c>
      <c r="M1000" s="29"/>
      <c r="N1000" s="25"/>
      <c r="O1000" s="28" t="s">
        <v>1271</v>
      </c>
      <c r="P1000" s="170" t="s">
        <v>715</v>
      </c>
      <c r="Q1000" s="14" t="b">
        <f t="shared" si="1"/>
        <v>0</v>
      </c>
      <c r="R1000" s="15" t="b">
        <f t="shared" si="2"/>
        <v>0</v>
      </c>
      <c r="S1000" s="15" t="str">
        <f t="shared" si="3"/>
        <v>PENDING</v>
      </c>
    </row>
    <row r="1001" ht="15.75" customHeight="1">
      <c r="A1001" s="24" t="s">
        <v>2053</v>
      </c>
      <c r="B1001" s="170" t="s">
        <v>2054</v>
      </c>
      <c r="C1001" s="171">
        <v>45989.0</v>
      </c>
      <c r="D1001" s="26"/>
      <c r="E1001" s="170" t="s">
        <v>21</v>
      </c>
      <c r="F1001" s="172">
        <v>96.0</v>
      </c>
      <c r="G1001" s="173">
        <v>118.0</v>
      </c>
      <c r="H1001" s="170" t="s">
        <v>715</v>
      </c>
      <c r="I1001" s="174" t="s">
        <v>23</v>
      </c>
      <c r="J1001" s="28" t="s">
        <v>35</v>
      </c>
      <c r="K1001" s="28" t="s">
        <v>49</v>
      </c>
      <c r="M1001" s="29"/>
      <c r="N1001" s="25"/>
      <c r="O1001" s="28" t="s">
        <v>1271</v>
      </c>
      <c r="P1001" s="170" t="s">
        <v>715</v>
      </c>
      <c r="Q1001" s="14" t="b">
        <f t="shared" si="1"/>
        <v>0</v>
      </c>
      <c r="R1001" s="15" t="b">
        <f t="shared" si="2"/>
        <v>0</v>
      </c>
      <c r="S1001" s="15" t="str">
        <f t="shared" si="3"/>
        <v>PENDING</v>
      </c>
    </row>
    <row r="1002" ht="15.75" customHeight="1">
      <c r="A1002" s="24" t="s">
        <v>2055</v>
      </c>
      <c r="B1002" s="174" t="s">
        <v>1161</v>
      </c>
      <c r="C1002" s="171">
        <v>45989.0</v>
      </c>
      <c r="D1002" s="26"/>
      <c r="E1002" s="170" t="s">
        <v>21</v>
      </c>
      <c r="F1002" s="172">
        <v>24.0</v>
      </c>
      <c r="G1002" s="173">
        <v>119.0</v>
      </c>
      <c r="H1002" s="170" t="s">
        <v>715</v>
      </c>
      <c r="I1002" s="174" t="s">
        <v>23</v>
      </c>
      <c r="J1002" s="28" t="s">
        <v>172</v>
      </c>
      <c r="K1002" s="28" t="s">
        <v>49</v>
      </c>
      <c r="M1002" s="29"/>
      <c r="N1002" s="25"/>
      <c r="O1002" s="28" t="s">
        <v>1271</v>
      </c>
      <c r="P1002" s="170" t="s">
        <v>715</v>
      </c>
      <c r="Q1002" s="14" t="b">
        <f t="shared" si="1"/>
        <v>0</v>
      </c>
      <c r="R1002" s="15" t="b">
        <f t="shared" si="2"/>
        <v>0</v>
      </c>
      <c r="S1002" s="15" t="str">
        <f t="shared" si="3"/>
        <v>PENDING</v>
      </c>
    </row>
    <row r="1003" ht="15.75" customHeight="1">
      <c r="A1003" s="24" t="s">
        <v>2056</v>
      </c>
      <c r="B1003" s="170" t="s">
        <v>1826</v>
      </c>
      <c r="C1003" s="171">
        <v>45989.0</v>
      </c>
      <c r="D1003" s="26"/>
      <c r="E1003" s="170" t="s">
        <v>21</v>
      </c>
      <c r="F1003" s="172">
        <v>24.0</v>
      </c>
      <c r="G1003" s="173">
        <v>115.0</v>
      </c>
      <c r="H1003" s="170" t="s">
        <v>715</v>
      </c>
      <c r="I1003" s="174" t="s">
        <v>23</v>
      </c>
      <c r="J1003" s="28" t="s">
        <v>30</v>
      </c>
      <c r="K1003" s="28" t="s">
        <v>49</v>
      </c>
      <c r="M1003" s="29"/>
      <c r="N1003" s="25"/>
      <c r="O1003" s="28" t="s">
        <v>1271</v>
      </c>
      <c r="P1003" s="170" t="s">
        <v>715</v>
      </c>
      <c r="Q1003" s="14" t="b">
        <f t="shared" si="1"/>
        <v>0</v>
      </c>
      <c r="R1003" s="15" t="b">
        <f t="shared" si="2"/>
        <v>0</v>
      </c>
      <c r="S1003" s="15" t="str">
        <f t="shared" si="3"/>
        <v>PENDING</v>
      </c>
    </row>
    <row r="1004" ht="15.75" customHeight="1">
      <c r="A1004" s="24" t="s">
        <v>2057</v>
      </c>
      <c r="B1004" s="170" t="s">
        <v>2058</v>
      </c>
      <c r="C1004" s="171">
        <v>45989.0</v>
      </c>
      <c r="D1004" s="26"/>
      <c r="E1004" s="170" t="s">
        <v>21</v>
      </c>
      <c r="F1004" s="172">
        <v>24.0</v>
      </c>
      <c r="G1004" s="173">
        <v>125.0</v>
      </c>
      <c r="H1004" s="170" t="s">
        <v>715</v>
      </c>
      <c r="I1004" s="174" t="s">
        <v>23</v>
      </c>
      <c r="J1004" s="28" t="s">
        <v>48</v>
      </c>
      <c r="K1004" s="28" t="s">
        <v>49</v>
      </c>
      <c r="M1004" s="29"/>
      <c r="N1004" s="25"/>
      <c r="O1004" s="28" t="s">
        <v>1271</v>
      </c>
      <c r="P1004" s="170" t="s">
        <v>715</v>
      </c>
      <c r="Q1004" s="14" t="b">
        <f t="shared" si="1"/>
        <v>0</v>
      </c>
      <c r="R1004" s="15" t="b">
        <f t="shared" si="2"/>
        <v>0</v>
      </c>
      <c r="S1004" s="15" t="str">
        <f t="shared" si="3"/>
        <v>PENDING</v>
      </c>
    </row>
    <row r="1005" ht="15.75" customHeight="1">
      <c r="A1005" s="24" t="s">
        <v>2059</v>
      </c>
      <c r="B1005" s="170" t="s">
        <v>2060</v>
      </c>
      <c r="C1005" s="171">
        <v>45990.0</v>
      </c>
      <c r="D1005" s="26"/>
      <c r="E1005" s="170" t="s">
        <v>1287</v>
      </c>
      <c r="F1005" s="172">
        <v>40.0</v>
      </c>
      <c r="G1005" s="173">
        <v>50.0</v>
      </c>
      <c r="H1005" s="170" t="s">
        <v>1724</v>
      </c>
      <c r="I1005" s="174" t="s">
        <v>23</v>
      </c>
      <c r="J1005" s="28" t="s">
        <v>30</v>
      </c>
      <c r="K1005" s="28" t="s">
        <v>49</v>
      </c>
      <c r="M1005" s="29"/>
      <c r="N1005" s="25"/>
      <c r="O1005" s="28" t="s">
        <v>1271</v>
      </c>
      <c r="P1005" s="170" t="s">
        <v>1724</v>
      </c>
      <c r="Q1005" s="14" t="b">
        <f t="shared" si="1"/>
        <v>0</v>
      </c>
      <c r="R1005" s="15" t="b">
        <f t="shared" si="2"/>
        <v>0</v>
      </c>
      <c r="S1005" s="15" t="str">
        <f t="shared" si="3"/>
        <v>PENDING</v>
      </c>
    </row>
    <row r="1006" ht="15.75" customHeight="1">
      <c r="A1006" s="24" t="s">
        <v>2061</v>
      </c>
      <c r="B1006" s="170" t="s">
        <v>2062</v>
      </c>
      <c r="C1006" s="171">
        <v>45990.0</v>
      </c>
      <c r="D1006" s="26"/>
      <c r="E1006" s="170" t="s">
        <v>21</v>
      </c>
      <c r="F1006" s="172">
        <v>24.0</v>
      </c>
      <c r="G1006" s="173">
        <v>120.0</v>
      </c>
      <c r="H1006" s="170" t="s">
        <v>1724</v>
      </c>
      <c r="I1006" s="174" t="s">
        <v>23</v>
      </c>
      <c r="J1006" s="28" t="s">
        <v>24</v>
      </c>
      <c r="K1006" s="28" t="s">
        <v>49</v>
      </c>
      <c r="M1006" s="29"/>
      <c r="N1006" s="25"/>
      <c r="O1006" s="28" t="s">
        <v>1271</v>
      </c>
      <c r="P1006" s="170" t="s">
        <v>1724</v>
      </c>
      <c r="Q1006" s="14" t="b">
        <f t="shared" si="1"/>
        <v>0</v>
      </c>
      <c r="R1006" s="15" t="b">
        <f t="shared" si="2"/>
        <v>0</v>
      </c>
      <c r="S1006" s="15" t="str">
        <f t="shared" si="3"/>
        <v>PENDING</v>
      </c>
    </row>
    <row r="1007" ht="15.75" customHeight="1">
      <c r="A1007" s="24" t="s">
        <v>2061</v>
      </c>
      <c r="B1007" s="170" t="s">
        <v>2062</v>
      </c>
      <c r="C1007" s="171">
        <v>45990.0</v>
      </c>
      <c r="D1007" s="26"/>
      <c r="E1007" s="170" t="s">
        <v>1287</v>
      </c>
      <c r="F1007" s="172">
        <v>40.0</v>
      </c>
      <c r="G1007" s="173">
        <v>50.0</v>
      </c>
      <c r="H1007" s="170" t="s">
        <v>1724</v>
      </c>
      <c r="I1007" s="174" t="s">
        <v>23</v>
      </c>
      <c r="J1007" s="28" t="s">
        <v>24</v>
      </c>
      <c r="K1007" s="28" t="s">
        <v>49</v>
      </c>
      <c r="M1007" s="29"/>
      <c r="N1007" s="25"/>
      <c r="O1007" s="28" t="s">
        <v>1271</v>
      </c>
      <c r="P1007" s="170" t="s">
        <v>1724</v>
      </c>
      <c r="Q1007" s="14" t="b">
        <f t="shared" si="1"/>
        <v>0</v>
      </c>
      <c r="R1007" s="15" t="b">
        <f t="shared" si="2"/>
        <v>0</v>
      </c>
      <c r="S1007" s="15" t="str">
        <f t="shared" si="3"/>
        <v>PENDING</v>
      </c>
    </row>
    <row r="1008" ht="15.75" customHeight="1">
      <c r="A1008" s="24" t="s">
        <v>2063</v>
      </c>
      <c r="B1008" s="170" t="s">
        <v>2064</v>
      </c>
      <c r="C1008" s="171">
        <v>45990.0</v>
      </c>
      <c r="D1008" s="26"/>
      <c r="E1008" s="170" t="s">
        <v>21</v>
      </c>
      <c r="F1008" s="172">
        <v>24.0</v>
      </c>
      <c r="G1008" s="173">
        <v>120.0</v>
      </c>
      <c r="H1008" s="170" t="s">
        <v>1724</v>
      </c>
      <c r="I1008" s="174" t="s">
        <v>23</v>
      </c>
      <c r="J1008" s="28" t="s">
        <v>24</v>
      </c>
      <c r="K1008" s="28" t="s">
        <v>49</v>
      </c>
      <c r="M1008" s="29"/>
      <c r="N1008" s="25"/>
      <c r="O1008" s="28" t="s">
        <v>1271</v>
      </c>
      <c r="P1008" s="170" t="s">
        <v>1724</v>
      </c>
      <c r="Q1008" s="14" t="b">
        <f t="shared" si="1"/>
        <v>0</v>
      </c>
      <c r="R1008" s="15" t="b">
        <f t="shared" si="2"/>
        <v>0</v>
      </c>
      <c r="S1008" s="15" t="str">
        <f t="shared" si="3"/>
        <v>PENDING</v>
      </c>
    </row>
    <row r="1009" ht="15.75" customHeight="1">
      <c r="A1009" s="24" t="s">
        <v>2063</v>
      </c>
      <c r="B1009" s="170" t="s">
        <v>2064</v>
      </c>
      <c r="C1009" s="171">
        <v>45990.0</v>
      </c>
      <c r="D1009" s="26"/>
      <c r="E1009" s="170" t="s">
        <v>1287</v>
      </c>
      <c r="F1009" s="172">
        <v>40.0</v>
      </c>
      <c r="G1009" s="173">
        <v>50.0</v>
      </c>
      <c r="H1009" s="170" t="s">
        <v>1724</v>
      </c>
      <c r="I1009" s="174" t="s">
        <v>23</v>
      </c>
      <c r="J1009" s="28" t="s">
        <v>24</v>
      </c>
      <c r="K1009" s="28" t="s">
        <v>49</v>
      </c>
      <c r="M1009" s="29"/>
      <c r="N1009" s="25"/>
      <c r="O1009" s="28" t="s">
        <v>1271</v>
      </c>
      <c r="P1009" s="170" t="s">
        <v>1724</v>
      </c>
      <c r="Q1009" s="14" t="b">
        <f t="shared" si="1"/>
        <v>0</v>
      </c>
      <c r="R1009" s="15" t="b">
        <f t="shared" si="2"/>
        <v>0</v>
      </c>
      <c r="S1009" s="15" t="str">
        <f t="shared" si="3"/>
        <v>PENDING</v>
      </c>
    </row>
    <row r="1010" ht="15.75" customHeight="1">
      <c r="A1010" s="24" t="s">
        <v>2065</v>
      </c>
      <c r="B1010" s="170" t="s">
        <v>2066</v>
      </c>
      <c r="C1010" s="171">
        <v>45990.0</v>
      </c>
      <c r="D1010" s="26"/>
      <c r="E1010" s="170" t="s">
        <v>21</v>
      </c>
      <c r="F1010" s="172">
        <v>24.0</v>
      </c>
      <c r="G1010" s="173">
        <v>120.0</v>
      </c>
      <c r="H1010" s="170" t="s">
        <v>1724</v>
      </c>
      <c r="I1010" s="174" t="s">
        <v>23</v>
      </c>
      <c r="J1010" s="28" t="s">
        <v>24</v>
      </c>
      <c r="K1010" s="28" t="s">
        <v>49</v>
      </c>
      <c r="M1010" s="29"/>
      <c r="N1010" s="25"/>
      <c r="O1010" s="28" t="s">
        <v>1271</v>
      </c>
      <c r="P1010" s="170" t="s">
        <v>1724</v>
      </c>
      <c r="Q1010" s="14" t="b">
        <f t="shared" si="1"/>
        <v>0</v>
      </c>
      <c r="R1010" s="15" t="b">
        <f t="shared" si="2"/>
        <v>0</v>
      </c>
      <c r="S1010" s="15" t="str">
        <f t="shared" si="3"/>
        <v>PENDING</v>
      </c>
    </row>
    <row r="1011" ht="15.75" customHeight="1">
      <c r="A1011" s="24" t="s">
        <v>2065</v>
      </c>
      <c r="B1011" s="170" t="s">
        <v>2066</v>
      </c>
      <c r="C1011" s="171">
        <v>45990.0</v>
      </c>
      <c r="D1011" s="26"/>
      <c r="E1011" s="170" t="s">
        <v>1287</v>
      </c>
      <c r="F1011" s="172">
        <v>40.0</v>
      </c>
      <c r="G1011" s="173">
        <v>50.0</v>
      </c>
      <c r="H1011" s="170" t="s">
        <v>1724</v>
      </c>
      <c r="I1011" s="174" t="s">
        <v>23</v>
      </c>
      <c r="J1011" s="28" t="s">
        <v>24</v>
      </c>
      <c r="K1011" s="28" t="s">
        <v>49</v>
      </c>
      <c r="M1011" s="29"/>
      <c r="N1011" s="25"/>
      <c r="O1011" s="28" t="s">
        <v>1271</v>
      </c>
      <c r="P1011" s="170" t="s">
        <v>1724</v>
      </c>
      <c r="Q1011" s="14" t="b">
        <f t="shared" si="1"/>
        <v>0</v>
      </c>
      <c r="R1011" s="15" t="b">
        <f t="shared" si="2"/>
        <v>0</v>
      </c>
      <c r="S1011" s="15" t="str">
        <f t="shared" si="3"/>
        <v>PENDING</v>
      </c>
    </row>
    <row r="1012" ht="15.75" customHeight="1">
      <c r="A1012" s="24" t="s">
        <v>2067</v>
      </c>
      <c r="B1012" s="170" t="s">
        <v>2068</v>
      </c>
      <c r="C1012" s="171">
        <v>45990.0</v>
      </c>
      <c r="D1012" s="26"/>
      <c r="E1012" s="170" t="s">
        <v>21</v>
      </c>
      <c r="F1012" s="172">
        <v>120.0</v>
      </c>
      <c r="G1012" s="173">
        <v>110.0</v>
      </c>
      <c r="H1012" s="170" t="s">
        <v>1724</v>
      </c>
      <c r="I1012" s="174" t="s">
        <v>23</v>
      </c>
      <c r="J1012" s="28" t="s">
        <v>35</v>
      </c>
      <c r="K1012" s="28" t="s">
        <v>49</v>
      </c>
      <c r="M1012" s="29"/>
      <c r="N1012" s="25"/>
      <c r="O1012" s="28" t="s">
        <v>1271</v>
      </c>
      <c r="P1012" s="170" t="s">
        <v>1724</v>
      </c>
      <c r="Q1012" s="14" t="b">
        <f t="shared" si="1"/>
        <v>0</v>
      </c>
      <c r="R1012" s="15" t="b">
        <f t="shared" si="2"/>
        <v>0</v>
      </c>
      <c r="S1012" s="15" t="str">
        <f t="shared" si="3"/>
        <v>PENDING</v>
      </c>
    </row>
    <row r="1013" ht="15.75" customHeight="1">
      <c r="A1013" s="24" t="s">
        <v>2067</v>
      </c>
      <c r="B1013" s="170" t="s">
        <v>2068</v>
      </c>
      <c r="C1013" s="171">
        <v>45990.0</v>
      </c>
      <c r="D1013" s="26"/>
      <c r="E1013" s="170" t="s">
        <v>1287</v>
      </c>
      <c r="F1013" s="172">
        <v>200.0</v>
      </c>
      <c r="G1013" s="173">
        <v>50.0</v>
      </c>
      <c r="H1013" s="170" t="s">
        <v>1724</v>
      </c>
      <c r="I1013" s="174" t="s">
        <v>23</v>
      </c>
      <c r="J1013" s="28" t="s">
        <v>35</v>
      </c>
      <c r="K1013" s="28" t="s">
        <v>49</v>
      </c>
      <c r="M1013" s="29"/>
      <c r="N1013" s="25"/>
      <c r="O1013" s="28" t="s">
        <v>1271</v>
      </c>
      <c r="P1013" s="170" t="s">
        <v>1724</v>
      </c>
      <c r="Q1013" s="14" t="b">
        <f t="shared" si="1"/>
        <v>0</v>
      </c>
      <c r="R1013" s="15" t="b">
        <f t="shared" si="2"/>
        <v>0</v>
      </c>
      <c r="S1013" s="15" t="str">
        <f t="shared" si="3"/>
        <v>PENDING</v>
      </c>
    </row>
    <row r="1014" ht="15.75" customHeight="1">
      <c r="A1014" s="24" t="s">
        <v>2069</v>
      </c>
      <c r="B1014" s="170" t="s">
        <v>2070</v>
      </c>
      <c r="C1014" s="171">
        <v>45990.0</v>
      </c>
      <c r="D1014" s="26"/>
      <c r="E1014" s="170" t="s">
        <v>1287</v>
      </c>
      <c r="F1014" s="172">
        <v>40.0</v>
      </c>
      <c r="G1014" s="173">
        <v>60.0</v>
      </c>
      <c r="H1014" s="170" t="s">
        <v>1724</v>
      </c>
      <c r="I1014" s="174" t="s">
        <v>23</v>
      </c>
      <c r="J1014" s="28" t="s">
        <v>35</v>
      </c>
      <c r="K1014" s="28" t="s">
        <v>49</v>
      </c>
      <c r="M1014" s="29"/>
      <c r="N1014" s="25"/>
      <c r="O1014" s="28" t="s">
        <v>1271</v>
      </c>
      <c r="P1014" s="170" t="s">
        <v>1724</v>
      </c>
      <c r="Q1014" s="14" t="b">
        <f t="shared" si="1"/>
        <v>0</v>
      </c>
      <c r="R1014" s="15" t="b">
        <f t="shared" si="2"/>
        <v>0</v>
      </c>
      <c r="S1014" s="15" t="str">
        <f t="shared" si="3"/>
        <v>PENDING</v>
      </c>
    </row>
    <row r="1015" ht="15.75" customHeight="1">
      <c r="A1015" s="24" t="s">
        <v>2071</v>
      </c>
      <c r="B1015" s="170" t="s">
        <v>2072</v>
      </c>
      <c r="C1015" s="171">
        <v>45990.0</v>
      </c>
      <c r="D1015" s="26"/>
      <c r="E1015" s="170" t="s">
        <v>21</v>
      </c>
      <c r="F1015" s="172">
        <v>24.0</v>
      </c>
      <c r="G1015" s="173">
        <v>118.0</v>
      </c>
      <c r="H1015" s="170" t="s">
        <v>1376</v>
      </c>
      <c r="I1015" s="174" t="s">
        <v>23</v>
      </c>
      <c r="J1015" s="24"/>
      <c r="K1015" s="28" t="s">
        <v>49</v>
      </c>
      <c r="M1015" s="29"/>
      <c r="N1015" s="25"/>
      <c r="O1015" s="28" t="s">
        <v>1271</v>
      </c>
      <c r="P1015" s="170" t="s">
        <v>1376</v>
      </c>
      <c r="Q1015" s="14" t="b">
        <f t="shared" si="1"/>
        <v>0</v>
      </c>
      <c r="R1015" s="15" t="b">
        <f t="shared" si="2"/>
        <v>0</v>
      </c>
      <c r="S1015" s="15" t="str">
        <f t="shared" si="3"/>
        <v>PENDING</v>
      </c>
    </row>
    <row r="1016" ht="15.75" customHeight="1">
      <c r="A1016" s="24" t="s">
        <v>2073</v>
      </c>
      <c r="B1016" s="174" t="s">
        <v>1228</v>
      </c>
      <c r="C1016" s="171">
        <v>45990.0</v>
      </c>
      <c r="D1016" s="26"/>
      <c r="E1016" s="170" t="s">
        <v>21</v>
      </c>
      <c r="F1016" s="172">
        <v>96.0</v>
      </c>
      <c r="G1016" s="173">
        <v>118.0</v>
      </c>
      <c r="H1016" s="170" t="s">
        <v>1376</v>
      </c>
      <c r="I1016" s="174" t="s">
        <v>23</v>
      </c>
      <c r="J1016" s="28" t="s">
        <v>172</v>
      </c>
      <c r="K1016" s="28" t="s">
        <v>49</v>
      </c>
      <c r="M1016" s="29"/>
      <c r="N1016" s="25"/>
      <c r="O1016" s="28" t="s">
        <v>1271</v>
      </c>
      <c r="P1016" s="170" t="s">
        <v>1376</v>
      </c>
      <c r="Q1016" s="14" t="b">
        <f t="shared" si="1"/>
        <v>0</v>
      </c>
      <c r="R1016" s="15" t="b">
        <f t="shared" si="2"/>
        <v>0</v>
      </c>
      <c r="S1016" s="15" t="str">
        <f t="shared" si="3"/>
        <v>PENDING</v>
      </c>
    </row>
    <row r="1017" ht="15.75" customHeight="1">
      <c r="A1017" s="24" t="s">
        <v>2073</v>
      </c>
      <c r="B1017" s="174" t="s">
        <v>1228</v>
      </c>
      <c r="C1017" s="171">
        <v>45990.0</v>
      </c>
      <c r="D1017" s="26"/>
      <c r="E1017" s="170" t="s">
        <v>1287</v>
      </c>
      <c r="F1017" s="172">
        <v>80.0</v>
      </c>
      <c r="G1017" s="173">
        <v>49.66</v>
      </c>
      <c r="H1017" s="170" t="s">
        <v>1376</v>
      </c>
      <c r="I1017" s="174" t="s">
        <v>23</v>
      </c>
      <c r="J1017" s="28" t="s">
        <v>172</v>
      </c>
      <c r="K1017" s="28" t="s">
        <v>49</v>
      </c>
      <c r="M1017" s="29"/>
      <c r="N1017" s="25"/>
      <c r="O1017" s="28" t="s">
        <v>1271</v>
      </c>
      <c r="P1017" s="170" t="s">
        <v>1376</v>
      </c>
      <c r="Q1017" s="14" t="b">
        <f t="shared" si="1"/>
        <v>0</v>
      </c>
      <c r="R1017" s="15" t="b">
        <f t="shared" si="2"/>
        <v>0</v>
      </c>
      <c r="S1017" s="15" t="str">
        <f t="shared" si="3"/>
        <v>PENDING</v>
      </c>
    </row>
    <row r="1018" ht="15.75" customHeight="1">
      <c r="A1018" s="24" t="s">
        <v>2074</v>
      </c>
      <c r="B1018" s="174" t="s">
        <v>29</v>
      </c>
      <c r="C1018" s="171">
        <v>45992.0</v>
      </c>
      <c r="D1018" s="26"/>
      <c r="E1018" s="170" t="s">
        <v>1287</v>
      </c>
      <c r="F1018" s="172">
        <v>320.0</v>
      </c>
      <c r="G1018" s="173">
        <v>45.0</v>
      </c>
      <c r="H1018" s="170" t="s">
        <v>22</v>
      </c>
      <c r="I1018" s="174" t="s">
        <v>23</v>
      </c>
      <c r="J1018" s="28" t="s">
        <v>70</v>
      </c>
      <c r="K1018" s="28" t="s">
        <v>49</v>
      </c>
      <c r="M1018" s="29"/>
      <c r="N1018" s="29" t="s">
        <v>2075</v>
      </c>
      <c r="O1018" s="28" t="s">
        <v>27</v>
      </c>
      <c r="P1018" s="170" t="s">
        <v>22</v>
      </c>
      <c r="Q1018" s="14" t="b">
        <f t="shared" si="1"/>
        <v>0</v>
      </c>
      <c r="R1018" s="15" t="b">
        <f t="shared" si="2"/>
        <v>0</v>
      </c>
      <c r="S1018" s="15" t="str">
        <f t="shared" si="3"/>
        <v>PENDING</v>
      </c>
    </row>
    <row r="1019" ht="15.75" customHeight="1">
      <c r="A1019" s="24" t="s">
        <v>2076</v>
      </c>
      <c r="B1019" s="174" t="s">
        <v>29</v>
      </c>
      <c r="C1019" s="171">
        <v>45992.0</v>
      </c>
      <c r="D1019" s="26"/>
      <c r="E1019" s="170" t="s">
        <v>1287</v>
      </c>
      <c r="F1019" s="172">
        <v>480.0</v>
      </c>
      <c r="G1019" s="173">
        <v>100.0</v>
      </c>
      <c r="H1019" s="170" t="s">
        <v>22</v>
      </c>
      <c r="I1019" s="174" t="s">
        <v>23</v>
      </c>
      <c r="J1019" s="28" t="s">
        <v>70</v>
      </c>
      <c r="K1019" s="28" t="s">
        <v>49</v>
      </c>
      <c r="M1019" s="29"/>
      <c r="N1019" s="29" t="s">
        <v>2075</v>
      </c>
      <c r="O1019" s="28" t="s">
        <v>1271</v>
      </c>
      <c r="P1019" s="170" t="s">
        <v>22</v>
      </c>
      <c r="Q1019" s="14" t="b">
        <f t="shared" si="1"/>
        <v>0</v>
      </c>
      <c r="R1019" s="15" t="b">
        <f t="shared" si="2"/>
        <v>0</v>
      </c>
      <c r="S1019" s="15" t="str">
        <f t="shared" si="3"/>
        <v>PENDING</v>
      </c>
    </row>
    <row r="1020" ht="15.75" customHeight="1">
      <c r="A1020" s="24" t="s">
        <v>2030</v>
      </c>
      <c r="B1020" s="25" t="s">
        <v>373</v>
      </c>
      <c r="C1020" s="26">
        <v>45992.0</v>
      </c>
      <c r="D1020" s="26">
        <v>45992.0</v>
      </c>
      <c r="E1020" s="24" t="s">
        <v>1287</v>
      </c>
      <c r="F1020" s="24">
        <v>20.0</v>
      </c>
      <c r="G1020" s="27">
        <v>47.0</v>
      </c>
      <c r="H1020" s="24" t="s">
        <v>177</v>
      </c>
      <c r="I1020" s="28" t="s">
        <v>23</v>
      </c>
      <c r="J1020" s="28" t="s">
        <v>172</v>
      </c>
      <c r="K1020" s="28" t="s">
        <v>49</v>
      </c>
      <c r="M1020" s="29"/>
      <c r="N1020" s="25"/>
      <c r="O1020" s="28" t="s">
        <v>27</v>
      </c>
      <c r="P1020" s="24" t="s">
        <v>177</v>
      </c>
      <c r="Q1020" s="14" t="b">
        <f t="shared" si="1"/>
        <v>0</v>
      </c>
      <c r="R1020" s="15" t="b">
        <f t="shared" si="2"/>
        <v>0</v>
      </c>
      <c r="S1020" s="15" t="str">
        <f t="shared" si="3"/>
        <v>PENDING</v>
      </c>
    </row>
    <row r="1021" ht="15.75" customHeight="1">
      <c r="A1021" s="24" t="s">
        <v>2013</v>
      </c>
      <c r="B1021" s="25" t="s">
        <v>2077</v>
      </c>
      <c r="C1021" s="26">
        <v>45992.0</v>
      </c>
      <c r="D1021" s="26">
        <v>45992.0</v>
      </c>
      <c r="E1021" s="24" t="s">
        <v>1287</v>
      </c>
      <c r="F1021" s="24">
        <v>20.0</v>
      </c>
      <c r="G1021" s="27">
        <v>47.0</v>
      </c>
      <c r="H1021" s="24" t="s">
        <v>177</v>
      </c>
      <c r="I1021" s="28" t="s">
        <v>23</v>
      </c>
      <c r="J1021" s="28" t="s">
        <v>172</v>
      </c>
      <c r="K1021" s="28" t="s">
        <v>49</v>
      </c>
      <c r="M1021" s="29"/>
      <c r="N1021" s="25"/>
      <c r="O1021" s="28" t="s">
        <v>27</v>
      </c>
      <c r="P1021" s="24" t="s">
        <v>177</v>
      </c>
      <c r="Q1021" s="14" t="b">
        <f t="shared" si="1"/>
        <v>0</v>
      </c>
      <c r="R1021" s="15" t="b">
        <f t="shared" si="2"/>
        <v>0</v>
      </c>
      <c r="S1021" s="15" t="str">
        <f t="shared" si="3"/>
        <v>PENDING</v>
      </c>
    </row>
    <row r="1022" ht="15.75" customHeight="1">
      <c r="A1022" s="24" t="s">
        <v>2078</v>
      </c>
      <c r="B1022" s="115" t="s">
        <v>1788</v>
      </c>
      <c r="C1022" s="26">
        <v>45995.0</v>
      </c>
      <c r="D1022" s="26"/>
      <c r="E1022" s="24" t="s">
        <v>21</v>
      </c>
      <c r="F1022" s="24">
        <v>48.0</v>
      </c>
      <c r="G1022" s="27">
        <v>118.0</v>
      </c>
      <c r="H1022" s="24" t="s">
        <v>1376</v>
      </c>
      <c r="I1022" s="28" t="s">
        <v>23</v>
      </c>
      <c r="J1022" s="28" t="s">
        <v>172</v>
      </c>
      <c r="K1022" s="28" t="s">
        <v>49</v>
      </c>
      <c r="M1022" s="29"/>
      <c r="N1022" s="25"/>
      <c r="O1022" s="28" t="s">
        <v>1271</v>
      </c>
      <c r="P1022" s="24" t="s">
        <v>1376</v>
      </c>
      <c r="Q1022" s="14" t="b">
        <f t="shared" si="1"/>
        <v>0</v>
      </c>
      <c r="R1022" s="15" t="b">
        <f t="shared" si="2"/>
        <v>0</v>
      </c>
      <c r="S1022" s="15" t="str">
        <f t="shared" si="3"/>
        <v>PENDING</v>
      </c>
    </row>
    <row r="1023" ht="15.75" customHeight="1">
      <c r="A1023" s="24" t="s">
        <v>2078</v>
      </c>
      <c r="B1023" s="115" t="s">
        <v>1788</v>
      </c>
      <c r="C1023" s="26">
        <v>45995.0</v>
      </c>
      <c r="D1023" s="26"/>
      <c r="E1023" s="24" t="s">
        <v>1287</v>
      </c>
      <c r="F1023" s="24">
        <v>24.0</v>
      </c>
      <c r="G1023" s="27"/>
      <c r="H1023" s="24" t="s">
        <v>1376</v>
      </c>
      <c r="I1023" s="28" t="s">
        <v>23</v>
      </c>
      <c r="J1023" s="28" t="s">
        <v>172</v>
      </c>
      <c r="K1023" s="28" t="s">
        <v>49</v>
      </c>
      <c r="M1023" s="29"/>
      <c r="N1023" s="25"/>
      <c r="O1023" s="28" t="s">
        <v>1271</v>
      </c>
      <c r="P1023" s="24" t="s">
        <v>1376</v>
      </c>
      <c r="Q1023" s="14" t="b">
        <f t="shared" si="1"/>
        <v>0</v>
      </c>
      <c r="R1023" s="15" t="b">
        <f t="shared" si="2"/>
        <v>0</v>
      </c>
      <c r="S1023" s="15" t="str">
        <f t="shared" si="3"/>
        <v>PENDING</v>
      </c>
    </row>
    <row r="1024" ht="15.75" customHeight="1">
      <c r="A1024" s="24" t="s">
        <v>2079</v>
      </c>
      <c r="B1024" s="115" t="s">
        <v>1875</v>
      </c>
      <c r="C1024" s="26">
        <v>45995.0</v>
      </c>
      <c r="D1024" s="26"/>
      <c r="E1024" s="24" t="s">
        <v>21</v>
      </c>
      <c r="F1024" s="24">
        <v>144.0</v>
      </c>
      <c r="G1024" s="27">
        <v>118.0</v>
      </c>
      <c r="H1024" s="24" t="s">
        <v>1376</v>
      </c>
      <c r="I1024" s="28" t="s">
        <v>23</v>
      </c>
      <c r="J1024" s="28" t="s">
        <v>24</v>
      </c>
      <c r="K1024" s="28" t="s">
        <v>49</v>
      </c>
      <c r="M1024" s="29"/>
      <c r="N1024" s="29" t="s">
        <v>2080</v>
      </c>
      <c r="O1024" s="28" t="s">
        <v>1271</v>
      </c>
      <c r="P1024" s="24" t="s">
        <v>1376</v>
      </c>
      <c r="Q1024" s="14" t="b">
        <f t="shared" si="1"/>
        <v>0</v>
      </c>
      <c r="R1024" s="15" t="b">
        <f t="shared" si="2"/>
        <v>0</v>
      </c>
      <c r="S1024" s="15" t="str">
        <f t="shared" si="3"/>
        <v>PENDING</v>
      </c>
    </row>
    <row r="1025" ht="15.75" customHeight="1">
      <c r="A1025" s="24" t="s">
        <v>2081</v>
      </c>
      <c r="B1025" s="115" t="s">
        <v>829</v>
      </c>
      <c r="C1025" s="26">
        <v>45995.0</v>
      </c>
      <c r="D1025" s="26"/>
      <c r="E1025" s="24" t="s">
        <v>21</v>
      </c>
      <c r="F1025" s="24">
        <v>48.0</v>
      </c>
      <c r="G1025" s="27">
        <v>128.25</v>
      </c>
      <c r="H1025" s="24" t="s">
        <v>22</v>
      </c>
      <c r="I1025" s="28" t="s">
        <v>23</v>
      </c>
      <c r="J1025" s="28" t="s">
        <v>172</v>
      </c>
      <c r="K1025" s="28" t="s">
        <v>49</v>
      </c>
      <c r="M1025" s="29"/>
      <c r="N1025" s="25"/>
      <c r="O1025" s="28" t="s">
        <v>1271</v>
      </c>
      <c r="P1025" s="24" t="s">
        <v>22</v>
      </c>
      <c r="Q1025" s="14" t="b">
        <f t="shared" si="1"/>
        <v>0</v>
      </c>
      <c r="R1025" s="15" t="b">
        <f t="shared" si="2"/>
        <v>0</v>
      </c>
      <c r="S1025" s="15" t="str">
        <f t="shared" si="3"/>
        <v>PENDING</v>
      </c>
    </row>
    <row r="1026" ht="15.75" customHeight="1">
      <c r="A1026" s="24" t="s">
        <v>2082</v>
      </c>
      <c r="B1026" s="25" t="s">
        <v>1812</v>
      </c>
      <c r="C1026" s="26">
        <v>45995.0</v>
      </c>
      <c r="D1026" s="26"/>
      <c r="E1026" s="24" t="s">
        <v>21</v>
      </c>
      <c r="F1026" s="24">
        <v>264.0</v>
      </c>
      <c r="G1026" s="27">
        <v>118.18</v>
      </c>
      <c r="H1026" s="24" t="s">
        <v>1387</v>
      </c>
      <c r="I1026" s="28" t="s">
        <v>23</v>
      </c>
      <c r="J1026" s="28" t="s">
        <v>172</v>
      </c>
      <c r="K1026" s="28" t="s">
        <v>49</v>
      </c>
      <c r="M1026" s="29"/>
      <c r="N1026" s="25"/>
      <c r="O1026" s="28" t="s">
        <v>1271</v>
      </c>
      <c r="P1026" s="24" t="s">
        <v>1387</v>
      </c>
      <c r="Q1026" s="14" t="b">
        <f t="shared" si="1"/>
        <v>0</v>
      </c>
      <c r="R1026" s="15" t="b">
        <f t="shared" si="2"/>
        <v>0</v>
      </c>
      <c r="S1026" s="15" t="str">
        <f t="shared" si="3"/>
        <v>PENDING</v>
      </c>
    </row>
    <row r="1027" ht="15.75" customHeight="1">
      <c r="A1027" s="24" t="s">
        <v>2083</v>
      </c>
      <c r="B1027" s="115" t="s">
        <v>1923</v>
      </c>
      <c r="C1027" s="26">
        <v>45992.0</v>
      </c>
      <c r="D1027" s="26"/>
      <c r="E1027" s="24" t="s">
        <v>21</v>
      </c>
      <c r="F1027" s="24">
        <v>264.0</v>
      </c>
      <c r="G1027" s="27">
        <v>100.0</v>
      </c>
      <c r="H1027" s="24" t="s">
        <v>1847</v>
      </c>
      <c r="I1027" s="28" t="s">
        <v>23</v>
      </c>
      <c r="J1027" s="28" t="s">
        <v>24</v>
      </c>
      <c r="K1027" s="28" t="s">
        <v>49</v>
      </c>
      <c r="M1027" s="29"/>
      <c r="N1027" s="29" t="s">
        <v>2084</v>
      </c>
      <c r="O1027" s="28" t="s">
        <v>1271</v>
      </c>
      <c r="P1027" s="24" t="s">
        <v>1847</v>
      </c>
      <c r="Q1027" s="14" t="b">
        <f t="shared" si="1"/>
        <v>0</v>
      </c>
      <c r="R1027" s="15" t="b">
        <f t="shared" si="2"/>
        <v>0</v>
      </c>
      <c r="S1027" s="15" t="str">
        <f t="shared" si="3"/>
        <v>PENDING</v>
      </c>
    </row>
    <row r="1028" ht="15.75" customHeight="1">
      <c r="A1028" s="24" t="s">
        <v>2083</v>
      </c>
      <c r="B1028" s="115" t="s">
        <v>1923</v>
      </c>
      <c r="C1028" s="26">
        <v>45992.0</v>
      </c>
      <c r="D1028" s="26"/>
      <c r="E1028" s="24" t="s">
        <v>1287</v>
      </c>
      <c r="F1028" s="24">
        <v>640.0</v>
      </c>
      <c r="G1028" s="27">
        <v>40.0</v>
      </c>
      <c r="H1028" s="24" t="s">
        <v>1847</v>
      </c>
      <c r="I1028" s="28" t="s">
        <v>23</v>
      </c>
      <c r="J1028" s="28" t="s">
        <v>24</v>
      </c>
      <c r="K1028" s="28" t="s">
        <v>49</v>
      </c>
      <c r="M1028" s="29"/>
      <c r="N1028" s="29" t="s">
        <v>2084</v>
      </c>
      <c r="O1028" s="28" t="s">
        <v>1271</v>
      </c>
      <c r="P1028" s="24" t="s">
        <v>1847</v>
      </c>
      <c r="Q1028" s="14" t="b">
        <f t="shared" si="1"/>
        <v>0</v>
      </c>
      <c r="R1028" s="15" t="b">
        <f t="shared" si="2"/>
        <v>0</v>
      </c>
      <c r="S1028" s="15" t="str">
        <f t="shared" si="3"/>
        <v>PENDING</v>
      </c>
    </row>
    <row r="1029" ht="15.75" customHeight="1">
      <c r="A1029" s="24" t="s">
        <v>2085</v>
      </c>
      <c r="B1029" s="115" t="s">
        <v>1624</v>
      </c>
      <c r="C1029" s="26">
        <v>46001.0</v>
      </c>
      <c r="D1029" s="26">
        <v>46001.0</v>
      </c>
      <c r="E1029" s="24" t="s">
        <v>1287</v>
      </c>
      <c r="F1029" s="24">
        <v>40.0</v>
      </c>
      <c r="G1029" s="27">
        <v>49.66</v>
      </c>
      <c r="H1029" s="24" t="s">
        <v>1376</v>
      </c>
      <c r="I1029" s="28" t="s">
        <v>23</v>
      </c>
      <c r="J1029" s="28" t="s">
        <v>172</v>
      </c>
      <c r="K1029" s="28" t="s">
        <v>49</v>
      </c>
      <c r="M1029" s="29"/>
      <c r="N1029" s="25"/>
      <c r="O1029" s="28" t="s">
        <v>27</v>
      </c>
      <c r="P1029" s="24" t="s">
        <v>1376</v>
      </c>
      <c r="Q1029" s="14" t="b">
        <f t="shared" si="1"/>
        <v>0</v>
      </c>
      <c r="R1029" s="15" t="b">
        <f t="shared" si="2"/>
        <v>0</v>
      </c>
      <c r="S1029" s="15" t="str">
        <f t="shared" si="3"/>
        <v>PENDING</v>
      </c>
    </row>
    <row r="1030" ht="15.75" customHeight="1">
      <c r="A1030" s="24" t="s">
        <v>2086</v>
      </c>
      <c r="B1030" s="25" t="s">
        <v>1574</v>
      </c>
      <c r="C1030" s="26">
        <v>46010.0</v>
      </c>
      <c r="D1030" s="26">
        <v>46010.0</v>
      </c>
      <c r="E1030" s="24" t="s">
        <v>1287</v>
      </c>
      <c r="F1030" s="24">
        <v>40.0</v>
      </c>
      <c r="G1030" s="27">
        <v>49.66</v>
      </c>
      <c r="H1030" s="24" t="s">
        <v>1376</v>
      </c>
      <c r="I1030" s="28" t="s">
        <v>23</v>
      </c>
      <c r="J1030" s="28" t="s">
        <v>172</v>
      </c>
      <c r="K1030" s="28" t="s">
        <v>49</v>
      </c>
      <c r="M1030" s="29"/>
      <c r="N1030" s="25"/>
      <c r="O1030" s="28" t="s">
        <v>27</v>
      </c>
      <c r="P1030" s="24" t="s">
        <v>1376</v>
      </c>
      <c r="Q1030" s="14" t="b">
        <f t="shared" si="1"/>
        <v>0</v>
      </c>
      <c r="R1030" s="15" t="b">
        <f t="shared" si="2"/>
        <v>0</v>
      </c>
      <c r="S1030" s="15" t="str">
        <f t="shared" si="3"/>
        <v>PENDING</v>
      </c>
    </row>
    <row r="1031" ht="15.75" customHeight="1">
      <c r="A1031" s="24" t="s">
        <v>2087</v>
      </c>
      <c r="B1031" s="25" t="s">
        <v>2014</v>
      </c>
      <c r="C1031" s="26">
        <v>46010.0</v>
      </c>
      <c r="D1031" s="26">
        <v>46010.0</v>
      </c>
      <c r="E1031" s="24" t="s">
        <v>1287</v>
      </c>
      <c r="F1031" s="24">
        <v>24.0</v>
      </c>
      <c r="G1031" s="27">
        <v>135.0</v>
      </c>
      <c r="H1031" s="24" t="s">
        <v>22</v>
      </c>
      <c r="I1031" s="28" t="s">
        <v>23</v>
      </c>
      <c r="J1031" s="28" t="s">
        <v>30</v>
      </c>
      <c r="K1031" s="28" t="s">
        <v>49</v>
      </c>
      <c r="M1031" s="29"/>
      <c r="N1031" s="25"/>
      <c r="O1031" s="28" t="s">
        <v>27</v>
      </c>
      <c r="P1031" s="24" t="s">
        <v>22</v>
      </c>
      <c r="Q1031" s="14" t="b">
        <f t="shared" si="1"/>
        <v>0</v>
      </c>
      <c r="R1031" s="15" t="b">
        <f t="shared" si="2"/>
        <v>0</v>
      </c>
      <c r="S1031" s="15" t="str">
        <f t="shared" si="3"/>
        <v>PENDING</v>
      </c>
    </row>
    <row r="1032" ht="15.75" customHeight="1">
      <c r="A1032" s="24"/>
      <c r="B1032" s="25"/>
      <c r="C1032" s="26"/>
      <c r="D1032" s="26"/>
      <c r="E1032" s="24"/>
      <c r="F1032" s="24"/>
      <c r="G1032" s="27"/>
      <c r="H1032" s="24"/>
      <c r="I1032" s="24"/>
      <c r="J1032" s="24"/>
      <c r="K1032" s="24"/>
      <c r="M1032" s="29"/>
      <c r="N1032" s="25"/>
      <c r="O1032" s="24"/>
      <c r="P1032" s="24"/>
      <c r="Q1032" s="14"/>
    </row>
    <row r="1033" ht="15.75" customHeight="1">
      <c r="A1033" s="24"/>
      <c r="B1033" s="25"/>
      <c r="C1033" s="26"/>
      <c r="D1033" s="26"/>
      <c r="E1033" s="24"/>
      <c r="F1033" s="24"/>
      <c r="G1033" s="27"/>
      <c r="H1033" s="24"/>
      <c r="I1033" s="24"/>
      <c r="J1033" s="24"/>
      <c r="K1033" s="24"/>
      <c r="M1033" s="29"/>
      <c r="N1033" s="25"/>
      <c r="O1033" s="24"/>
      <c r="P1033" s="24"/>
      <c r="Q1033" s="14"/>
    </row>
    <row r="1034" ht="15.75" customHeight="1">
      <c r="A1034" s="24"/>
      <c r="B1034" s="25"/>
      <c r="C1034" s="26"/>
      <c r="D1034" s="26"/>
      <c r="E1034" s="24"/>
      <c r="F1034" s="24"/>
      <c r="G1034" s="27"/>
      <c r="H1034" s="24"/>
      <c r="I1034" s="24"/>
      <c r="J1034" s="24"/>
      <c r="K1034" s="24"/>
      <c r="M1034" s="29"/>
      <c r="N1034" s="25"/>
      <c r="O1034" s="24"/>
      <c r="P1034" s="24"/>
      <c r="Q1034" s="14"/>
    </row>
    <row r="1035" ht="15.75" customHeight="1">
      <c r="A1035" s="24"/>
      <c r="B1035" s="25"/>
      <c r="C1035" s="26"/>
      <c r="D1035" s="26"/>
      <c r="E1035" s="24"/>
      <c r="F1035" s="24"/>
      <c r="G1035" s="27"/>
      <c r="H1035" s="24"/>
      <c r="I1035" s="24"/>
      <c r="J1035" s="24"/>
      <c r="K1035" s="24"/>
      <c r="M1035" s="29"/>
      <c r="N1035" s="25"/>
      <c r="O1035" s="24"/>
      <c r="P1035" s="24"/>
      <c r="Q1035" s="14"/>
    </row>
    <row r="1036" ht="15.75" customHeight="1">
      <c r="A1036" s="24"/>
      <c r="B1036" s="25"/>
      <c r="C1036" s="26"/>
      <c r="D1036" s="26"/>
      <c r="E1036" s="24"/>
      <c r="F1036" s="24"/>
      <c r="G1036" s="27"/>
      <c r="H1036" s="24"/>
      <c r="I1036" s="24"/>
      <c r="J1036" s="24"/>
      <c r="K1036" s="24"/>
      <c r="M1036" s="29"/>
      <c r="N1036" s="25"/>
      <c r="O1036" s="24"/>
      <c r="P1036" s="24"/>
      <c r="Q1036" s="14"/>
    </row>
    <row r="1037" ht="15.75" customHeight="1">
      <c r="A1037" s="24"/>
      <c r="B1037" s="25"/>
      <c r="C1037" s="26"/>
      <c r="D1037" s="26"/>
      <c r="E1037" s="24"/>
      <c r="F1037" s="24"/>
      <c r="G1037" s="27"/>
      <c r="H1037" s="24"/>
      <c r="I1037" s="24"/>
      <c r="J1037" s="24"/>
      <c r="K1037" s="24"/>
      <c r="M1037" s="29"/>
      <c r="N1037" s="25"/>
      <c r="O1037" s="24"/>
      <c r="P1037" s="24"/>
      <c r="Q1037" s="14"/>
    </row>
    <row r="1038" ht="15.75" customHeight="1">
      <c r="A1038" s="24"/>
      <c r="B1038" s="25"/>
      <c r="C1038" s="26"/>
      <c r="D1038" s="26"/>
      <c r="E1038" s="24"/>
      <c r="F1038" s="24"/>
      <c r="G1038" s="27"/>
      <c r="H1038" s="24"/>
      <c r="I1038" s="24"/>
      <c r="J1038" s="24"/>
      <c r="K1038" s="24"/>
      <c r="M1038" s="29"/>
      <c r="N1038" s="25"/>
      <c r="O1038" s="24"/>
      <c r="P1038" s="24"/>
    </row>
    <row r="1039" ht="15.75" customHeight="1">
      <c r="A1039" s="24"/>
      <c r="B1039" s="25"/>
      <c r="C1039" s="26"/>
      <c r="D1039" s="26"/>
      <c r="E1039" s="24"/>
      <c r="F1039" s="24"/>
      <c r="G1039" s="27"/>
      <c r="H1039" s="24"/>
      <c r="I1039" s="24"/>
      <c r="J1039" s="24"/>
      <c r="K1039" s="24"/>
      <c r="M1039" s="29"/>
      <c r="N1039" s="25"/>
      <c r="O1039" s="24"/>
      <c r="P1039" s="24"/>
    </row>
    <row r="1040" ht="15.75" customHeight="1">
      <c r="A1040" s="24"/>
      <c r="B1040" s="25"/>
      <c r="C1040" s="26"/>
      <c r="D1040" s="26"/>
      <c r="E1040" s="24"/>
      <c r="F1040" s="24"/>
      <c r="G1040" s="27"/>
      <c r="H1040" s="24"/>
      <c r="I1040" s="24"/>
      <c r="J1040" s="24"/>
      <c r="K1040" s="24"/>
      <c r="M1040" s="29"/>
      <c r="N1040" s="25"/>
      <c r="O1040" s="24"/>
      <c r="P1040" s="24"/>
    </row>
    <row r="1041" ht="15.75" customHeight="1">
      <c r="A1041" s="24"/>
      <c r="B1041" s="25"/>
      <c r="C1041" s="26"/>
      <c r="D1041" s="26"/>
      <c r="E1041" s="24"/>
      <c r="F1041" s="24"/>
      <c r="G1041" s="27"/>
      <c r="H1041" s="24"/>
      <c r="I1041" s="24"/>
      <c r="J1041" s="24"/>
      <c r="K1041" s="24"/>
      <c r="M1041" s="29"/>
      <c r="N1041" s="25"/>
      <c r="O1041" s="24"/>
      <c r="P1041" s="24"/>
    </row>
    <row r="1042" ht="15.75" customHeight="1">
      <c r="A1042" s="24"/>
      <c r="B1042" s="25"/>
      <c r="C1042" s="26"/>
      <c r="D1042" s="26"/>
      <c r="E1042" s="24"/>
      <c r="F1042" s="24"/>
      <c r="G1042" s="27"/>
      <c r="H1042" s="24"/>
      <c r="I1042" s="24"/>
      <c r="J1042" s="24"/>
      <c r="K1042" s="24"/>
      <c r="M1042" s="29"/>
      <c r="N1042" s="25"/>
      <c r="O1042" s="24"/>
      <c r="P1042" s="24"/>
    </row>
    <row r="1043" ht="15.75" customHeight="1">
      <c r="A1043" s="24"/>
      <c r="B1043" s="25"/>
      <c r="C1043" s="26"/>
      <c r="D1043" s="26"/>
      <c r="E1043" s="24"/>
      <c r="F1043" s="24"/>
      <c r="G1043" s="27"/>
      <c r="H1043" s="24"/>
      <c r="I1043" s="24"/>
      <c r="J1043" s="24"/>
      <c r="K1043" s="24"/>
      <c r="M1043" s="29"/>
      <c r="N1043" s="25"/>
      <c r="O1043" s="24"/>
      <c r="P1043" s="24"/>
    </row>
    <row r="1044" ht="15.75" customHeight="1">
      <c r="A1044" s="24"/>
      <c r="B1044" s="25"/>
      <c r="C1044" s="26"/>
      <c r="D1044" s="26"/>
      <c r="E1044" s="24"/>
      <c r="F1044" s="24"/>
      <c r="G1044" s="27"/>
      <c r="H1044" s="24"/>
      <c r="I1044" s="24"/>
      <c r="J1044" s="24"/>
      <c r="K1044" s="24"/>
      <c r="M1044" s="29"/>
      <c r="N1044" s="25"/>
      <c r="O1044" s="24"/>
      <c r="P1044" s="24"/>
    </row>
    <row r="1045" ht="15.75" customHeight="1">
      <c r="A1045" s="24"/>
      <c r="B1045" s="25"/>
      <c r="C1045" s="26"/>
      <c r="D1045" s="26"/>
      <c r="E1045" s="24"/>
      <c r="F1045" s="24"/>
      <c r="G1045" s="27"/>
      <c r="H1045" s="24"/>
      <c r="I1045" s="24"/>
      <c r="J1045" s="24"/>
      <c r="K1045" s="24"/>
      <c r="M1045" s="29"/>
      <c r="N1045" s="25"/>
      <c r="O1045" s="24"/>
      <c r="P1045" s="24"/>
    </row>
    <row r="1046" ht="15.75" customHeight="1">
      <c r="A1046" s="24"/>
      <c r="B1046" s="25"/>
      <c r="C1046" s="26"/>
      <c r="D1046" s="26"/>
      <c r="E1046" s="24"/>
      <c r="F1046" s="24"/>
      <c r="G1046" s="27"/>
      <c r="H1046" s="24"/>
      <c r="I1046" s="24"/>
      <c r="J1046" s="24"/>
      <c r="K1046" s="24"/>
      <c r="M1046" s="29"/>
      <c r="N1046" s="25"/>
      <c r="O1046" s="24"/>
      <c r="P1046" s="24"/>
    </row>
    <row r="1047" ht="15.75" customHeight="1">
      <c r="A1047" s="24"/>
      <c r="B1047" s="25"/>
      <c r="C1047" s="26"/>
      <c r="D1047" s="26"/>
      <c r="E1047" s="24"/>
      <c r="F1047" s="24"/>
      <c r="G1047" s="27"/>
      <c r="H1047" s="24"/>
      <c r="I1047" s="24"/>
      <c r="J1047" s="24"/>
      <c r="K1047" s="24"/>
      <c r="M1047" s="29"/>
      <c r="N1047" s="25"/>
      <c r="O1047" s="24"/>
      <c r="P1047" s="24"/>
    </row>
    <row r="1048" ht="15.75" customHeight="1">
      <c r="A1048" s="24"/>
      <c r="B1048" s="25"/>
      <c r="C1048" s="26"/>
      <c r="D1048" s="26"/>
      <c r="E1048" s="24"/>
      <c r="F1048" s="24"/>
      <c r="G1048" s="27"/>
      <c r="H1048" s="24"/>
      <c r="I1048" s="24"/>
      <c r="J1048" s="24"/>
      <c r="K1048" s="24"/>
      <c r="M1048" s="29"/>
      <c r="N1048" s="25"/>
      <c r="O1048" s="24"/>
      <c r="P1048" s="24"/>
    </row>
    <row r="1049" ht="15.75" customHeight="1">
      <c r="A1049" s="24"/>
      <c r="B1049" s="25"/>
      <c r="C1049" s="26"/>
      <c r="D1049" s="26"/>
      <c r="E1049" s="24"/>
      <c r="F1049" s="24"/>
      <c r="G1049" s="27"/>
      <c r="H1049" s="24"/>
      <c r="I1049" s="24"/>
      <c r="J1049" s="24"/>
      <c r="K1049" s="24"/>
      <c r="M1049" s="29"/>
      <c r="N1049" s="25"/>
      <c r="O1049" s="24"/>
      <c r="P1049" s="24"/>
    </row>
    <row r="1050" ht="15.75" customHeight="1">
      <c r="A1050" s="24"/>
      <c r="B1050" s="25"/>
      <c r="C1050" s="26"/>
      <c r="D1050" s="26"/>
      <c r="E1050" s="24"/>
      <c r="F1050" s="24"/>
      <c r="G1050" s="27"/>
      <c r="H1050" s="24"/>
      <c r="I1050" s="24"/>
      <c r="J1050" s="24"/>
      <c r="K1050" s="24"/>
      <c r="M1050" s="29"/>
      <c r="N1050" s="25"/>
      <c r="O1050" s="24"/>
      <c r="P1050" s="24"/>
    </row>
    <row r="1051" ht="15.75" customHeight="1">
      <c r="A1051" s="24"/>
      <c r="B1051" s="25"/>
      <c r="C1051" s="26"/>
      <c r="D1051" s="26"/>
      <c r="E1051" s="24"/>
      <c r="F1051" s="24"/>
      <c r="G1051" s="27"/>
      <c r="H1051" s="24"/>
      <c r="I1051" s="24"/>
      <c r="J1051" s="24"/>
      <c r="K1051" s="24"/>
      <c r="M1051" s="29"/>
      <c r="N1051" s="25"/>
      <c r="O1051" s="24"/>
      <c r="P1051" s="24"/>
    </row>
    <row r="1052" ht="15.75" customHeight="1">
      <c r="A1052" s="24"/>
      <c r="B1052" s="25"/>
      <c r="C1052" s="26"/>
      <c r="D1052" s="26"/>
      <c r="E1052" s="24"/>
      <c r="F1052" s="24"/>
      <c r="G1052" s="27"/>
      <c r="H1052" s="24"/>
      <c r="I1052" s="24"/>
      <c r="J1052" s="24"/>
      <c r="K1052" s="24"/>
      <c r="M1052" s="29"/>
      <c r="N1052" s="25"/>
      <c r="O1052" s="24"/>
      <c r="P1052" s="24"/>
    </row>
    <row r="1053" ht="15.75" customHeight="1">
      <c r="A1053" s="24"/>
      <c r="B1053" s="25"/>
      <c r="C1053" s="26"/>
      <c r="D1053" s="26"/>
      <c r="E1053" s="24"/>
      <c r="F1053" s="24"/>
      <c r="G1053" s="27"/>
      <c r="H1053" s="24"/>
      <c r="I1053" s="24"/>
      <c r="J1053" s="24"/>
      <c r="K1053" s="24"/>
      <c r="M1053" s="29"/>
      <c r="N1053" s="25"/>
      <c r="O1053" s="24"/>
      <c r="P1053" s="24"/>
    </row>
    <row r="1054" ht="15.75" customHeight="1">
      <c r="A1054" s="24"/>
      <c r="B1054" s="25"/>
      <c r="C1054" s="26"/>
      <c r="D1054" s="26"/>
      <c r="E1054" s="24"/>
      <c r="F1054" s="24"/>
      <c r="G1054" s="27"/>
      <c r="H1054" s="24"/>
      <c r="I1054" s="24"/>
      <c r="J1054" s="24"/>
      <c r="K1054" s="24"/>
      <c r="M1054" s="29"/>
      <c r="N1054" s="25"/>
      <c r="O1054" s="24"/>
      <c r="P1054" s="24"/>
    </row>
    <row r="1055" ht="15.75" customHeight="1">
      <c r="A1055" s="24"/>
      <c r="B1055" s="25"/>
      <c r="C1055" s="26"/>
      <c r="D1055" s="26"/>
      <c r="E1055" s="24"/>
      <c r="F1055" s="24"/>
      <c r="G1055" s="27"/>
      <c r="H1055" s="24"/>
      <c r="I1055" s="24"/>
      <c r="J1055" s="24"/>
      <c r="K1055" s="24"/>
      <c r="M1055" s="29"/>
      <c r="N1055" s="25"/>
      <c r="O1055" s="24"/>
      <c r="P1055" s="24"/>
    </row>
    <row r="1056" ht="15.75" customHeight="1">
      <c r="A1056" s="24"/>
      <c r="B1056" s="25"/>
      <c r="C1056" s="26"/>
      <c r="D1056" s="26"/>
      <c r="E1056" s="24"/>
      <c r="F1056" s="24"/>
      <c r="G1056" s="27"/>
      <c r="H1056" s="24"/>
      <c r="I1056" s="24"/>
      <c r="J1056" s="24"/>
      <c r="K1056" s="24"/>
      <c r="M1056" s="29"/>
      <c r="N1056" s="25"/>
      <c r="O1056" s="24"/>
      <c r="P1056" s="24"/>
    </row>
    <row r="1057" ht="15.75" customHeight="1">
      <c r="A1057" s="24"/>
      <c r="B1057" s="25"/>
      <c r="C1057" s="26"/>
      <c r="D1057" s="26"/>
      <c r="E1057" s="24"/>
      <c r="F1057" s="24"/>
      <c r="G1057" s="27"/>
      <c r="H1057" s="24"/>
      <c r="I1057" s="24"/>
      <c r="J1057" s="24"/>
      <c r="K1057" s="24"/>
      <c r="M1057" s="29"/>
      <c r="N1057" s="25"/>
      <c r="O1057" s="24"/>
      <c r="P1057" s="24"/>
    </row>
    <row r="1058" ht="15.75" customHeight="1">
      <c r="A1058" s="24"/>
      <c r="B1058" s="25"/>
      <c r="C1058" s="26"/>
      <c r="D1058" s="26"/>
      <c r="E1058" s="24"/>
      <c r="F1058" s="24"/>
      <c r="G1058" s="27"/>
      <c r="H1058" s="24"/>
      <c r="I1058" s="24"/>
      <c r="J1058" s="24"/>
      <c r="K1058" s="24"/>
      <c r="M1058" s="29"/>
      <c r="N1058" s="25"/>
      <c r="O1058" s="24"/>
      <c r="P1058" s="24"/>
    </row>
    <row r="1059" ht="15.75" customHeight="1">
      <c r="A1059" s="24"/>
      <c r="B1059" s="25"/>
      <c r="C1059" s="26"/>
      <c r="D1059" s="26"/>
      <c r="E1059" s="24"/>
      <c r="F1059" s="24"/>
      <c r="G1059" s="27"/>
      <c r="H1059" s="24"/>
      <c r="I1059" s="24"/>
      <c r="J1059" s="24"/>
      <c r="K1059" s="24"/>
      <c r="M1059" s="29"/>
      <c r="N1059" s="25"/>
      <c r="O1059" s="24"/>
      <c r="P1059" s="24"/>
    </row>
    <row r="1060" ht="15.75" customHeight="1">
      <c r="A1060" s="24"/>
      <c r="B1060" s="25"/>
      <c r="C1060" s="26"/>
      <c r="D1060" s="26"/>
      <c r="E1060" s="24"/>
      <c r="F1060" s="24"/>
      <c r="G1060" s="27"/>
      <c r="H1060" s="24"/>
      <c r="I1060" s="24"/>
      <c r="J1060" s="24"/>
      <c r="K1060" s="24"/>
      <c r="M1060" s="29"/>
      <c r="N1060" s="25"/>
      <c r="O1060" s="24"/>
      <c r="P1060" s="24"/>
    </row>
    <row r="1061" ht="15.75" customHeight="1">
      <c r="A1061" s="24"/>
      <c r="B1061" s="25"/>
      <c r="C1061" s="26"/>
      <c r="D1061" s="26"/>
      <c r="E1061" s="24"/>
      <c r="F1061" s="24"/>
      <c r="G1061" s="27"/>
      <c r="H1061" s="24"/>
      <c r="I1061" s="24"/>
      <c r="J1061" s="24"/>
      <c r="K1061" s="24"/>
      <c r="M1061" s="29"/>
      <c r="N1061" s="25"/>
      <c r="O1061" s="24"/>
      <c r="P1061" s="24"/>
    </row>
    <row r="1062" ht="15.75" customHeight="1">
      <c r="A1062" s="24"/>
      <c r="B1062" s="25"/>
      <c r="C1062" s="26"/>
      <c r="D1062" s="26"/>
      <c r="E1062" s="24"/>
      <c r="F1062" s="24"/>
      <c r="G1062" s="27"/>
      <c r="H1062" s="24"/>
      <c r="I1062" s="24"/>
      <c r="J1062" s="24"/>
      <c r="K1062" s="24"/>
      <c r="M1062" s="29"/>
      <c r="N1062" s="25"/>
      <c r="O1062" s="24"/>
      <c r="P1062" s="24"/>
    </row>
    <row r="1063" ht="15.75" customHeight="1">
      <c r="A1063" s="24"/>
      <c r="B1063" s="25"/>
      <c r="C1063" s="26"/>
      <c r="D1063" s="26"/>
      <c r="E1063" s="24"/>
      <c r="F1063" s="24"/>
      <c r="G1063" s="27"/>
      <c r="H1063" s="24"/>
      <c r="I1063" s="24"/>
      <c r="J1063" s="24"/>
      <c r="K1063" s="24"/>
      <c r="M1063" s="29"/>
      <c r="N1063" s="25"/>
      <c r="O1063" s="24"/>
      <c r="P1063" s="24"/>
    </row>
    <row r="1064" ht="15.75" customHeight="1">
      <c r="A1064" s="24"/>
      <c r="B1064" s="25"/>
      <c r="C1064" s="26"/>
      <c r="D1064" s="26"/>
      <c r="E1064" s="24"/>
      <c r="F1064" s="24"/>
      <c r="G1064" s="27"/>
      <c r="H1064" s="24"/>
      <c r="I1064" s="24"/>
      <c r="J1064" s="24"/>
      <c r="K1064" s="24"/>
      <c r="M1064" s="29"/>
      <c r="N1064" s="25"/>
      <c r="O1064" s="24"/>
      <c r="P1064" s="24"/>
    </row>
    <row r="1065" ht="15.75" customHeight="1">
      <c r="A1065" s="24"/>
      <c r="B1065" s="25"/>
      <c r="C1065" s="26"/>
      <c r="D1065" s="26"/>
      <c r="E1065" s="24"/>
      <c r="F1065" s="24"/>
      <c r="G1065" s="27"/>
      <c r="H1065" s="24"/>
      <c r="I1065" s="24"/>
      <c r="J1065" s="24"/>
      <c r="K1065" s="24"/>
      <c r="M1065" s="29"/>
      <c r="N1065" s="25"/>
      <c r="O1065" s="24"/>
      <c r="P1065" s="24"/>
    </row>
    <row r="1066" ht="15.75" customHeight="1">
      <c r="A1066" s="24"/>
      <c r="B1066" s="25"/>
      <c r="C1066" s="26"/>
      <c r="D1066" s="26"/>
      <c r="E1066" s="24"/>
      <c r="F1066" s="24"/>
      <c r="G1066" s="27"/>
      <c r="H1066" s="24"/>
      <c r="I1066" s="24"/>
      <c r="J1066" s="24"/>
      <c r="K1066" s="24"/>
      <c r="M1066" s="29"/>
      <c r="N1066" s="25"/>
      <c r="O1066" s="24"/>
      <c r="P1066" s="24"/>
    </row>
    <row r="1067" ht="15.75" customHeight="1">
      <c r="A1067" s="24"/>
      <c r="B1067" s="25"/>
      <c r="C1067" s="26"/>
      <c r="D1067" s="26"/>
      <c r="E1067" s="24"/>
      <c r="F1067" s="24"/>
      <c r="G1067" s="27"/>
      <c r="H1067" s="24"/>
      <c r="I1067" s="24"/>
      <c r="J1067" s="24"/>
      <c r="K1067" s="24"/>
      <c r="M1067" s="29"/>
      <c r="N1067" s="25"/>
      <c r="O1067" s="24"/>
      <c r="P1067" s="24"/>
    </row>
    <row r="1068" ht="15.75" customHeight="1">
      <c r="A1068" s="24"/>
      <c r="B1068" s="25"/>
      <c r="C1068" s="26"/>
      <c r="D1068" s="26"/>
      <c r="E1068" s="24"/>
      <c r="F1068" s="24"/>
      <c r="G1068" s="27"/>
      <c r="H1068" s="24"/>
      <c r="I1068" s="24"/>
      <c r="J1068" s="24"/>
      <c r="K1068" s="24"/>
      <c r="M1068" s="29"/>
      <c r="N1068" s="25"/>
      <c r="O1068" s="24"/>
      <c r="P1068" s="24"/>
    </row>
    <row r="1069" ht="15.75" customHeight="1">
      <c r="A1069" s="24"/>
      <c r="B1069" s="25"/>
      <c r="C1069" s="26"/>
      <c r="D1069" s="26"/>
      <c r="E1069" s="24"/>
      <c r="F1069" s="24"/>
      <c r="G1069" s="27"/>
      <c r="H1069" s="24"/>
      <c r="I1069" s="24"/>
      <c r="J1069" s="24"/>
      <c r="K1069" s="24"/>
      <c r="M1069" s="29"/>
      <c r="N1069" s="25"/>
      <c r="O1069" s="24"/>
      <c r="P1069" s="24"/>
    </row>
    <row r="1070" ht="15.75" customHeight="1">
      <c r="A1070" s="24"/>
      <c r="B1070" s="25"/>
      <c r="C1070" s="26"/>
      <c r="D1070" s="26"/>
      <c r="E1070" s="24"/>
      <c r="F1070" s="24"/>
      <c r="G1070" s="27"/>
      <c r="H1070" s="24"/>
      <c r="I1070" s="24"/>
      <c r="J1070" s="24"/>
      <c r="K1070" s="24"/>
      <c r="M1070" s="29"/>
      <c r="N1070" s="25"/>
      <c r="O1070" s="24"/>
      <c r="P1070" s="24"/>
    </row>
    <row r="1071" ht="15.75" customHeight="1">
      <c r="A1071" s="24"/>
      <c r="B1071" s="25"/>
      <c r="C1071" s="26"/>
      <c r="D1071" s="26"/>
      <c r="E1071" s="24"/>
      <c r="F1071" s="24"/>
      <c r="G1071" s="27"/>
      <c r="H1071" s="24"/>
      <c r="I1071" s="24"/>
      <c r="J1071" s="24"/>
      <c r="K1071" s="24"/>
      <c r="M1071" s="29"/>
      <c r="N1071" s="25"/>
      <c r="O1071" s="24"/>
      <c r="P1071" s="24"/>
    </row>
    <row r="1072" ht="15.75" customHeight="1">
      <c r="A1072" s="24"/>
      <c r="B1072" s="25"/>
      <c r="C1072" s="26"/>
      <c r="D1072" s="26"/>
      <c r="E1072" s="24"/>
      <c r="F1072" s="24"/>
      <c r="G1072" s="27"/>
      <c r="H1072" s="24"/>
      <c r="I1072" s="24"/>
      <c r="J1072" s="24"/>
      <c r="K1072" s="24"/>
      <c r="M1072" s="29"/>
      <c r="N1072" s="25"/>
      <c r="O1072" s="24"/>
      <c r="P1072" s="24"/>
    </row>
    <row r="1073" ht="15.75" customHeight="1">
      <c r="A1073" s="24"/>
      <c r="B1073" s="25"/>
      <c r="C1073" s="26"/>
      <c r="D1073" s="26"/>
      <c r="E1073" s="24"/>
      <c r="F1073" s="24"/>
      <c r="G1073" s="27"/>
      <c r="H1073" s="24"/>
      <c r="I1073" s="24"/>
      <c r="J1073" s="24"/>
      <c r="K1073" s="24"/>
      <c r="M1073" s="29"/>
      <c r="N1073" s="25"/>
      <c r="O1073" s="24"/>
      <c r="P1073" s="24"/>
    </row>
    <row r="1074" ht="15.75" customHeight="1">
      <c r="A1074" s="24"/>
      <c r="B1074" s="25"/>
      <c r="C1074" s="26"/>
      <c r="D1074" s="26"/>
      <c r="E1074" s="24"/>
      <c r="F1074" s="24"/>
      <c r="G1074" s="27"/>
      <c r="H1074" s="24"/>
      <c r="I1074" s="24"/>
      <c r="J1074" s="24"/>
      <c r="K1074" s="24"/>
      <c r="M1074" s="29"/>
      <c r="N1074" s="25"/>
      <c r="O1074" s="24"/>
      <c r="P1074" s="24"/>
    </row>
    <row r="1075" ht="15.75" customHeight="1">
      <c r="A1075" s="24"/>
      <c r="B1075" s="25"/>
      <c r="C1075" s="26"/>
      <c r="D1075" s="26"/>
      <c r="E1075" s="24"/>
      <c r="F1075" s="24"/>
      <c r="G1075" s="27"/>
      <c r="H1075" s="24"/>
      <c r="I1075" s="24"/>
      <c r="J1075" s="24"/>
      <c r="K1075" s="24"/>
      <c r="M1075" s="29"/>
      <c r="N1075" s="25"/>
      <c r="O1075" s="24"/>
      <c r="P1075" s="24"/>
    </row>
    <row r="1076" ht="15.75" customHeight="1">
      <c r="A1076" s="24"/>
      <c r="B1076" s="25"/>
      <c r="C1076" s="26"/>
      <c r="D1076" s="26"/>
      <c r="E1076" s="24"/>
      <c r="F1076" s="24"/>
      <c r="G1076" s="27"/>
      <c r="H1076" s="24"/>
      <c r="I1076" s="24"/>
      <c r="J1076" s="24"/>
      <c r="K1076" s="24"/>
      <c r="M1076" s="29"/>
      <c r="N1076" s="25"/>
      <c r="O1076" s="24"/>
      <c r="P1076" s="24"/>
    </row>
    <row r="1077" ht="15.75" customHeight="1">
      <c r="A1077" s="24"/>
      <c r="B1077" s="25"/>
      <c r="C1077" s="26"/>
      <c r="D1077" s="26"/>
      <c r="E1077" s="24"/>
      <c r="F1077" s="24"/>
      <c r="G1077" s="27"/>
      <c r="H1077" s="24"/>
      <c r="I1077" s="24"/>
      <c r="J1077" s="24"/>
      <c r="K1077" s="24"/>
      <c r="M1077" s="29"/>
      <c r="N1077" s="25"/>
      <c r="O1077" s="24"/>
      <c r="P1077" s="24"/>
    </row>
    <row r="1078" ht="15.75" customHeight="1">
      <c r="A1078" s="24"/>
      <c r="B1078" s="25"/>
      <c r="C1078" s="26"/>
      <c r="D1078" s="26"/>
      <c r="E1078" s="24"/>
      <c r="F1078" s="24"/>
      <c r="G1078" s="27"/>
      <c r="H1078" s="24"/>
      <c r="I1078" s="24"/>
      <c r="J1078" s="24"/>
      <c r="K1078" s="24"/>
      <c r="M1078" s="29"/>
      <c r="N1078" s="25"/>
      <c r="O1078" s="24"/>
      <c r="P1078" s="24"/>
    </row>
    <row r="1079" ht="15.75" customHeight="1">
      <c r="A1079" s="24"/>
      <c r="B1079" s="25"/>
      <c r="C1079" s="26"/>
      <c r="D1079" s="26"/>
      <c r="E1079" s="24"/>
      <c r="F1079" s="24"/>
      <c r="G1079" s="27"/>
      <c r="H1079" s="24"/>
      <c r="I1079" s="24"/>
      <c r="J1079" s="24"/>
      <c r="K1079" s="24"/>
      <c r="M1079" s="29"/>
      <c r="N1079" s="25"/>
      <c r="O1079" s="24"/>
      <c r="P1079" s="24"/>
    </row>
    <row r="1080" ht="15.75" customHeight="1">
      <c r="A1080" s="24"/>
      <c r="B1080" s="25"/>
      <c r="C1080" s="26"/>
      <c r="D1080" s="26"/>
      <c r="E1080" s="24"/>
      <c r="F1080" s="24"/>
      <c r="G1080" s="27"/>
      <c r="H1080" s="24"/>
      <c r="I1080" s="24"/>
      <c r="J1080" s="24"/>
      <c r="K1080" s="24"/>
      <c r="M1080" s="29"/>
      <c r="N1080" s="25"/>
      <c r="O1080" s="24"/>
      <c r="P1080" s="24"/>
    </row>
    <row r="1081" ht="15.75" customHeight="1">
      <c r="A1081" s="24"/>
      <c r="B1081" s="25"/>
      <c r="C1081" s="26"/>
      <c r="D1081" s="26"/>
      <c r="E1081" s="24"/>
      <c r="F1081" s="24"/>
      <c r="G1081" s="27"/>
      <c r="H1081" s="24"/>
      <c r="I1081" s="24"/>
      <c r="J1081" s="24"/>
      <c r="K1081" s="24"/>
      <c r="M1081" s="29"/>
      <c r="N1081" s="25"/>
      <c r="O1081" s="24"/>
      <c r="P1081" s="24"/>
    </row>
    <row r="1082" ht="15.75" customHeight="1">
      <c r="A1082" s="24"/>
      <c r="B1082" s="25"/>
      <c r="C1082" s="26"/>
      <c r="D1082" s="26"/>
      <c r="E1082" s="24"/>
      <c r="F1082" s="24"/>
      <c r="G1082" s="27"/>
      <c r="H1082" s="24"/>
      <c r="I1082" s="24"/>
      <c r="J1082" s="24"/>
      <c r="K1082" s="24"/>
      <c r="M1082" s="29"/>
      <c r="N1082" s="25"/>
      <c r="O1082" s="24"/>
      <c r="P1082" s="24"/>
    </row>
    <row r="1083" ht="15.75" customHeight="1">
      <c r="A1083" s="24"/>
      <c r="B1083" s="25"/>
      <c r="C1083" s="26"/>
      <c r="D1083" s="26"/>
      <c r="E1083" s="24"/>
      <c r="F1083" s="24"/>
      <c r="G1083" s="27"/>
      <c r="H1083" s="24"/>
      <c r="I1083" s="24"/>
      <c r="J1083" s="24"/>
      <c r="K1083" s="24"/>
      <c r="M1083" s="29"/>
      <c r="N1083" s="25"/>
      <c r="O1083" s="24"/>
      <c r="P1083" s="24"/>
    </row>
    <row r="1084" ht="15.75" customHeight="1">
      <c r="A1084" s="24"/>
      <c r="B1084" s="25"/>
      <c r="C1084" s="26"/>
      <c r="D1084" s="26"/>
      <c r="E1084" s="24"/>
      <c r="F1084" s="24"/>
      <c r="G1084" s="27"/>
      <c r="H1084" s="24"/>
      <c r="I1084" s="24"/>
      <c r="J1084" s="24"/>
      <c r="K1084" s="24"/>
      <c r="M1084" s="29"/>
      <c r="N1084" s="25"/>
      <c r="O1084" s="24"/>
      <c r="P1084" s="24"/>
    </row>
    <row r="1085" ht="15.75" customHeight="1">
      <c r="A1085" s="24"/>
      <c r="B1085" s="25"/>
      <c r="C1085" s="26"/>
      <c r="D1085" s="26"/>
      <c r="E1085" s="24"/>
      <c r="F1085" s="24"/>
      <c r="G1085" s="27"/>
      <c r="H1085" s="24"/>
      <c r="I1085" s="24"/>
      <c r="J1085" s="24"/>
      <c r="K1085" s="24"/>
      <c r="M1085" s="29"/>
      <c r="N1085" s="25"/>
      <c r="O1085" s="24"/>
      <c r="P1085" s="24"/>
    </row>
    <row r="1086" ht="15.75" customHeight="1">
      <c r="A1086" s="24"/>
      <c r="B1086" s="25"/>
      <c r="C1086" s="26"/>
      <c r="D1086" s="26"/>
      <c r="E1086" s="24"/>
      <c r="F1086" s="24"/>
      <c r="G1086" s="27"/>
      <c r="H1086" s="24"/>
      <c r="I1086" s="24"/>
      <c r="J1086" s="24"/>
      <c r="K1086" s="24"/>
      <c r="M1086" s="29"/>
      <c r="N1086" s="25"/>
      <c r="O1086" s="24"/>
      <c r="P1086" s="24"/>
    </row>
    <row r="1087" ht="15.75" customHeight="1">
      <c r="A1087" s="24"/>
      <c r="B1087" s="25"/>
      <c r="C1087" s="26"/>
      <c r="D1087" s="26"/>
      <c r="E1087" s="24"/>
      <c r="F1087" s="24"/>
      <c r="G1087" s="27"/>
      <c r="H1087" s="24"/>
      <c r="I1087" s="24"/>
      <c r="J1087" s="24"/>
      <c r="K1087" s="24"/>
      <c r="M1087" s="29"/>
      <c r="N1087" s="25"/>
      <c r="O1087" s="24"/>
      <c r="P1087" s="24"/>
    </row>
    <row r="1088" ht="15.75" customHeight="1">
      <c r="A1088" s="24"/>
      <c r="B1088" s="25"/>
      <c r="C1088" s="26"/>
      <c r="D1088" s="26"/>
      <c r="E1088" s="24"/>
      <c r="F1088" s="24"/>
      <c r="G1088" s="27"/>
      <c r="H1088" s="24"/>
      <c r="I1088" s="24"/>
      <c r="J1088" s="24"/>
      <c r="K1088" s="24"/>
      <c r="M1088" s="29"/>
      <c r="N1088" s="25"/>
      <c r="O1088" s="24"/>
      <c r="P1088" s="24"/>
    </row>
    <row r="1089" ht="15.75" customHeight="1">
      <c r="A1089" s="24"/>
      <c r="B1089" s="25"/>
      <c r="C1089" s="26"/>
      <c r="D1089" s="26"/>
      <c r="E1089" s="24"/>
      <c r="F1089" s="24"/>
      <c r="G1089" s="27"/>
      <c r="H1089" s="24"/>
      <c r="I1089" s="24"/>
      <c r="J1089" s="24"/>
      <c r="K1089" s="24"/>
      <c r="M1089" s="29"/>
      <c r="N1089" s="25"/>
      <c r="O1089" s="24"/>
      <c r="P1089" s="24"/>
    </row>
    <row r="1090" ht="15.75" customHeight="1">
      <c r="A1090" s="24"/>
      <c r="B1090" s="25"/>
      <c r="C1090" s="26"/>
      <c r="D1090" s="26"/>
      <c r="E1090" s="24"/>
      <c r="F1090" s="24"/>
      <c r="G1090" s="27"/>
      <c r="H1090" s="24"/>
      <c r="I1090" s="24"/>
      <c r="J1090" s="24"/>
      <c r="K1090" s="24"/>
      <c r="M1090" s="29"/>
      <c r="N1090" s="25"/>
      <c r="O1090" s="24"/>
      <c r="P1090" s="24"/>
    </row>
    <row r="1091" ht="15.75" customHeight="1">
      <c r="A1091" s="24"/>
      <c r="B1091" s="25"/>
      <c r="C1091" s="26"/>
      <c r="D1091" s="26"/>
      <c r="E1091" s="24"/>
      <c r="F1091" s="24"/>
      <c r="G1091" s="27"/>
      <c r="H1091" s="24"/>
      <c r="I1091" s="24"/>
      <c r="J1091" s="24"/>
      <c r="K1091" s="24"/>
      <c r="M1091" s="29"/>
      <c r="N1091" s="25"/>
      <c r="O1091" s="24"/>
      <c r="P1091" s="24"/>
    </row>
    <row r="1092" ht="15.75" customHeight="1">
      <c r="A1092" s="24"/>
      <c r="B1092" s="25"/>
      <c r="C1092" s="26"/>
      <c r="D1092" s="26"/>
      <c r="E1092" s="24"/>
      <c r="F1092" s="24"/>
      <c r="G1092" s="27"/>
      <c r="H1092" s="24"/>
      <c r="I1092" s="24"/>
      <c r="J1092" s="24"/>
      <c r="K1092" s="24"/>
      <c r="M1092" s="29"/>
      <c r="N1092" s="25"/>
      <c r="O1092" s="24"/>
      <c r="P1092" s="24"/>
    </row>
    <row r="1093" ht="15.75" customHeight="1">
      <c r="A1093" s="24"/>
      <c r="B1093" s="25"/>
      <c r="C1093" s="26"/>
      <c r="D1093" s="26"/>
      <c r="E1093" s="24"/>
      <c r="F1093" s="24"/>
      <c r="G1093" s="27"/>
      <c r="H1093" s="24"/>
      <c r="I1093" s="24"/>
      <c r="J1093" s="24"/>
      <c r="K1093" s="24"/>
      <c r="M1093" s="29"/>
      <c r="N1093" s="25"/>
      <c r="O1093" s="24"/>
      <c r="P1093" s="24"/>
    </row>
    <row r="1094" ht="15.75" customHeight="1">
      <c r="A1094" s="24"/>
      <c r="B1094" s="25"/>
      <c r="C1094" s="26"/>
      <c r="D1094" s="26"/>
      <c r="E1094" s="24"/>
      <c r="F1094" s="24"/>
      <c r="G1094" s="27"/>
      <c r="H1094" s="24"/>
      <c r="I1094" s="24"/>
      <c r="J1094" s="24"/>
      <c r="K1094" s="24"/>
      <c r="M1094" s="29"/>
      <c r="N1094" s="25"/>
      <c r="O1094" s="24"/>
      <c r="P1094" s="24"/>
    </row>
    <row r="1095" ht="15.75" customHeight="1">
      <c r="A1095" s="24"/>
      <c r="B1095" s="25"/>
      <c r="C1095" s="26"/>
      <c r="D1095" s="26"/>
      <c r="E1095" s="24"/>
      <c r="F1095" s="24"/>
      <c r="G1095" s="27"/>
      <c r="H1095" s="24"/>
      <c r="I1095" s="24"/>
      <c r="J1095" s="24"/>
      <c r="K1095" s="24"/>
      <c r="M1095" s="29"/>
      <c r="N1095" s="25"/>
      <c r="O1095" s="24"/>
      <c r="P1095" s="24"/>
    </row>
    <row r="1096" ht="15.75" customHeight="1">
      <c r="A1096" s="24"/>
      <c r="B1096" s="25"/>
      <c r="C1096" s="26"/>
      <c r="D1096" s="26"/>
      <c r="E1096" s="24"/>
      <c r="F1096" s="24"/>
      <c r="G1096" s="27"/>
      <c r="H1096" s="24"/>
      <c r="I1096" s="24"/>
      <c r="J1096" s="24"/>
      <c r="K1096" s="24"/>
      <c r="M1096" s="29"/>
      <c r="N1096" s="25"/>
      <c r="O1096" s="24"/>
      <c r="P1096" s="24"/>
    </row>
    <row r="1097" ht="15.75" customHeight="1">
      <c r="A1097" s="24"/>
      <c r="B1097" s="25"/>
      <c r="C1097" s="26"/>
      <c r="D1097" s="26"/>
      <c r="E1097" s="24"/>
      <c r="F1097" s="24"/>
      <c r="G1097" s="27"/>
      <c r="H1097" s="24"/>
      <c r="I1097" s="24"/>
      <c r="J1097" s="24"/>
      <c r="K1097" s="24"/>
      <c r="M1097" s="29"/>
      <c r="N1097" s="25"/>
      <c r="O1097" s="24"/>
      <c r="P1097" s="24"/>
    </row>
    <row r="1098" ht="15.75" customHeight="1">
      <c r="A1098" s="24"/>
      <c r="B1098" s="25"/>
      <c r="C1098" s="26"/>
      <c r="D1098" s="26"/>
      <c r="E1098" s="24"/>
      <c r="F1098" s="24"/>
      <c r="G1098" s="27"/>
      <c r="H1098" s="24"/>
      <c r="I1098" s="24"/>
      <c r="J1098" s="24"/>
      <c r="K1098" s="24"/>
      <c r="M1098" s="29"/>
      <c r="N1098" s="25"/>
      <c r="O1098" s="24"/>
      <c r="P1098" s="24"/>
    </row>
    <row r="1099" ht="15.75" customHeight="1">
      <c r="A1099" s="24"/>
      <c r="B1099" s="25"/>
      <c r="C1099" s="26"/>
      <c r="D1099" s="26"/>
      <c r="E1099" s="24"/>
      <c r="F1099" s="24"/>
      <c r="G1099" s="27"/>
      <c r="H1099" s="24"/>
      <c r="I1099" s="24"/>
      <c r="J1099" s="24"/>
      <c r="K1099" s="24"/>
      <c r="M1099" s="29"/>
      <c r="N1099" s="25"/>
      <c r="O1099" s="24"/>
      <c r="P1099" s="24"/>
    </row>
    <row r="1100" ht="15.75" customHeight="1">
      <c r="A1100" s="24"/>
      <c r="B1100" s="25"/>
      <c r="C1100" s="26"/>
      <c r="D1100" s="26"/>
      <c r="E1100" s="24"/>
      <c r="F1100" s="24"/>
      <c r="G1100" s="27"/>
      <c r="H1100" s="24"/>
      <c r="I1100" s="24"/>
      <c r="J1100" s="24"/>
      <c r="K1100" s="24"/>
      <c r="M1100" s="29"/>
      <c r="N1100" s="25"/>
      <c r="O1100" s="24"/>
      <c r="P1100" s="24"/>
    </row>
    <row r="1101" ht="15.75" customHeight="1">
      <c r="A1101" s="24"/>
      <c r="B1101" s="25"/>
      <c r="C1101" s="26"/>
      <c r="D1101" s="26"/>
      <c r="E1101" s="24"/>
      <c r="F1101" s="24"/>
      <c r="G1101" s="27"/>
      <c r="H1101" s="24"/>
      <c r="I1101" s="24"/>
      <c r="J1101" s="24"/>
      <c r="K1101" s="24"/>
      <c r="M1101" s="29"/>
      <c r="N1101" s="25"/>
      <c r="O1101" s="24"/>
      <c r="P1101" s="24"/>
    </row>
    <row r="1102" ht="15.75" customHeight="1">
      <c r="A1102" s="24"/>
      <c r="B1102" s="25"/>
      <c r="C1102" s="26"/>
      <c r="D1102" s="26"/>
      <c r="E1102" s="24"/>
      <c r="F1102" s="24"/>
      <c r="G1102" s="27"/>
      <c r="H1102" s="24"/>
      <c r="I1102" s="24"/>
      <c r="J1102" s="24"/>
      <c r="K1102" s="24"/>
      <c r="M1102" s="29"/>
      <c r="N1102" s="25"/>
      <c r="O1102" s="24"/>
      <c r="P1102" s="24"/>
    </row>
    <row r="1103" ht="15.75" customHeight="1">
      <c r="A1103" s="24"/>
      <c r="B1103" s="25"/>
      <c r="C1103" s="26"/>
      <c r="D1103" s="26"/>
      <c r="E1103" s="24"/>
      <c r="F1103" s="24"/>
      <c r="G1103" s="27"/>
      <c r="H1103" s="24"/>
      <c r="I1103" s="24"/>
      <c r="J1103" s="24"/>
      <c r="K1103" s="24"/>
      <c r="M1103" s="29"/>
      <c r="N1103" s="25"/>
      <c r="O1103" s="24"/>
      <c r="P1103" s="24"/>
    </row>
    <row r="1104" ht="15.75" customHeight="1">
      <c r="A1104" s="24"/>
      <c r="B1104" s="25"/>
      <c r="C1104" s="26"/>
      <c r="D1104" s="26"/>
      <c r="E1104" s="24"/>
      <c r="F1104" s="24"/>
      <c r="G1104" s="27"/>
      <c r="H1104" s="24"/>
      <c r="I1104" s="24"/>
      <c r="J1104" s="24"/>
      <c r="K1104" s="24"/>
      <c r="M1104" s="29"/>
      <c r="N1104" s="25"/>
      <c r="O1104" s="24"/>
      <c r="P1104" s="24"/>
    </row>
    <row r="1105" ht="15.75" customHeight="1">
      <c r="A1105" s="24"/>
      <c r="B1105" s="25"/>
      <c r="C1105" s="26"/>
      <c r="D1105" s="26"/>
      <c r="E1105" s="24"/>
      <c r="F1105" s="24"/>
      <c r="G1105" s="27"/>
      <c r="H1105" s="24"/>
      <c r="I1105" s="24"/>
      <c r="J1105" s="24"/>
      <c r="K1105" s="24"/>
      <c r="M1105" s="29"/>
      <c r="N1105" s="25"/>
      <c r="O1105" s="24"/>
      <c r="P1105" s="24"/>
    </row>
    <row r="1106" ht="15.75" customHeight="1">
      <c r="A1106" s="24"/>
      <c r="B1106" s="25"/>
      <c r="C1106" s="26"/>
      <c r="D1106" s="26"/>
      <c r="E1106" s="24"/>
      <c r="F1106" s="24"/>
      <c r="G1106" s="27"/>
      <c r="H1106" s="24"/>
      <c r="I1106" s="24"/>
      <c r="J1106" s="24"/>
      <c r="K1106" s="24"/>
      <c r="M1106" s="29"/>
      <c r="N1106" s="25"/>
      <c r="O1106" s="24"/>
      <c r="P1106" s="24"/>
    </row>
    <row r="1107" ht="15.75" customHeight="1">
      <c r="A1107" s="24"/>
      <c r="B1107" s="25"/>
      <c r="C1107" s="26"/>
      <c r="D1107" s="26"/>
      <c r="E1107" s="24"/>
      <c r="F1107" s="24"/>
      <c r="G1107" s="27"/>
      <c r="H1107" s="24"/>
      <c r="I1107" s="24"/>
      <c r="J1107" s="24"/>
      <c r="K1107" s="24"/>
      <c r="M1107" s="29"/>
      <c r="N1107" s="25"/>
      <c r="O1107" s="24"/>
      <c r="P1107" s="24"/>
    </row>
    <row r="1108" ht="15.75" customHeight="1">
      <c r="A1108" s="24"/>
      <c r="B1108" s="25"/>
      <c r="C1108" s="26"/>
      <c r="D1108" s="26"/>
      <c r="E1108" s="24"/>
      <c r="F1108" s="24"/>
      <c r="G1108" s="27"/>
      <c r="H1108" s="24"/>
      <c r="I1108" s="24"/>
      <c r="J1108" s="24"/>
      <c r="K1108" s="24"/>
      <c r="M1108" s="29"/>
      <c r="N1108" s="25"/>
      <c r="O1108" s="24"/>
      <c r="P1108" s="24"/>
    </row>
    <row r="1109" ht="15.75" customHeight="1">
      <c r="A1109" s="24"/>
      <c r="B1109" s="25"/>
      <c r="C1109" s="26"/>
      <c r="D1109" s="26"/>
      <c r="E1109" s="24"/>
      <c r="F1109" s="24"/>
      <c r="G1109" s="27"/>
      <c r="H1109" s="24"/>
      <c r="I1109" s="24"/>
      <c r="J1109" s="24"/>
      <c r="K1109" s="24"/>
      <c r="M1109" s="29"/>
      <c r="N1109" s="25"/>
      <c r="O1109" s="24"/>
      <c r="P1109" s="24"/>
    </row>
    <row r="1110" ht="15.75" customHeight="1">
      <c r="A1110" s="24"/>
      <c r="B1110" s="25"/>
      <c r="C1110" s="26"/>
      <c r="D1110" s="26"/>
      <c r="E1110" s="24"/>
      <c r="F1110" s="24"/>
      <c r="G1110" s="27"/>
      <c r="H1110" s="24"/>
      <c r="I1110" s="24"/>
      <c r="J1110" s="24"/>
      <c r="K1110" s="24"/>
      <c r="M1110" s="29"/>
      <c r="N1110" s="25"/>
      <c r="O1110" s="24"/>
      <c r="P1110" s="24"/>
    </row>
    <row r="1111" ht="15.75" customHeight="1">
      <c r="A1111" s="24"/>
      <c r="B1111" s="25"/>
      <c r="C1111" s="26"/>
      <c r="D1111" s="26"/>
      <c r="E1111" s="24"/>
      <c r="F1111" s="24"/>
      <c r="G1111" s="27"/>
      <c r="H1111" s="24"/>
      <c r="I1111" s="24"/>
      <c r="J1111" s="24"/>
      <c r="K1111" s="24"/>
      <c r="M1111" s="29"/>
      <c r="N1111" s="25"/>
      <c r="O1111" s="24"/>
      <c r="P1111" s="24"/>
    </row>
    <row r="1112" ht="15.75" customHeight="1">
      <c r="A1112" s="24"/>
      <c r="B1112" s="25"/>
      <c r="C1112" s="26"/>
      <c r="D1112" s="26"/>
      <c r="E1112" s="24"/>
      <c r="F1112" s="24"/>
      <c r="G1112" s="27"/>
      <c r="H1112" s="24"/>
      <c r="I1112" s="24"/>
      <c r="J1112" s="24"/>
      <c r="K1112" s="24"/>
      <c r="M1112" s="29"/>
      <c r="N1112" s="25"/>
      <c r="O1112" s="24"/>
      <c r="P1112" s="24"/>
    </row>
    <row r="1113" ht="15.75" customHeight="1">
      <c r="A1113" s="24"/>
      <c r="B1113" s="25"/>
      <c r="C1113" s="26"/>
      <c r="D1113" s="26"/>
      <c r="E1113" s="24"/>
      <c r="F1113" s="24"/>
      <c r="G1113" s="27"/>
      <c r="H1113" s="24"/>
      <c r="I1113" s="24"/>
      <c r="J1113" s="24"/>
      <c r="K1113" s="24"/>
      <c r="M1113" s="29"/>
      <c r="N1113" s="25"/>
      <c r="O1113" s="24"/>
      <c r="P1113" s="24"/>
    </row>
    <row r="1114" ht="15.75" customHeight="1">
      <c r="A1114" s="24"/>
      <c r="B1114" s="25"/>
      <c r="C1114" s="26"/>
      <c r="D1114" s="26"/>
      <c r="E1114" s="24"/>
      <c r="F1114" s="24"/>
      <c r="G1114" s="27"/>
      <c r="H1114" s="24"/>
      <c r="I1114" s="24"/>
      <c r="J1114" s="24"/>
      <c r="K1114" s="24"/>
      <c r="M1114" s="29"/>
      <c r="N1114" s="25"/>
      <c r="O1114" s="24"/>
      <c r="P1114" s="24"/>
    </row>
    <row r="1115" ht="15.75" customHeight="1">
      <c r="A1115" s="24"/>
      <c r="B1115" s="25"/>
      <c r="C1115" s="26"/>
      <c r="D1115" s="26"/>
      <c r="E1115" s="24"/>
      <c r="F1115" s="24"/>
      <c r="G1115" s="27"/>
      <c r="H1115" s="24"/>
      <c r="I1115" s="24"/>
      <c r="J1115" s="24"/>
      <c r="K1115" s="24"/>
      <c r="M1115" s="29"/>
      <c r="N1115" s="25"/>
      <c r="O1115" s="24"/>
      <c r="P1115" s="24"/>
    </row>
    <row r="1116" ht="15.75" customHeight="1">
      <c r="A1116" s="24"/>
      <c r="B1116" s="25"/>
      <c r="C1116" s="26"/>
      <c r="D1116" s="26"/>
      <c r="E1116" s="24"/>
      <c r="F1116" s="24"/>
      <c r="G1116" s="27"/>
      <c r="H1116" s="24"/>
      <c r="I1116" s="24"/>
      <c r="J1116" s="24"/>
      <c r="K1116" s="24"/>
      <c r="M1116" s="29"/>
      <c r="N1116" s="25"/>
      <c r="O1116" s="24"/>
      <c r="P1116" s="24"/>
    </row>
    <row r="1117" ht="15.75" customHeight="1">
      <c r="A1117" s="24"/>
      <c r="B1117" s="25"/>
      <c r="C1117" s="26"/>
      <c r="D1117" s="26"/>
      <c r="E1117" s="24"/>
      <c r="F1117" s="24"/>
      <c r="G1117" s="27"/>
      <c r="H1117" s="24"/>
      <c r="I1117" s="24"/>
      <c r="J1117" s="24"/>
      <c r="K1117" s="24"/>
      <c r="M1117" s="29"/>
      <c r="N1117" s="25"/>
      <c r="O1117" s="24"/>
      <c r="P1117" s="24"/>
    </row>
    <row r="1118" ht="15.75" customHeight="1">
      <c r="A1118" s="24"/>
      <c r="B1118" s="25"/>
      <c r="C1118" s="26"/>
      <c r="D1118" s="26"/>
      <c r="E1118" s="24"/>
      <c r="F1118" s="24"/>
      <c r="G1118" s="27"/>
      <c r="H1118" s="24"/>
      <c r="I1118" s="24"/>
      <c r="J1118" s="24"/>
      <c r="K1118" s="24"/>
      <c r="M1118" s="29"/>
      <c r="N1118" s="25"/>
      <c r="O1118" s="24"/>
      <c r="P1118" s="24"/>
    </row>
    <row r="1119" ht="15.75" customHeight="1">
      <c r="A1119" s="24"/>
      <c r="B1119" s="25"/>
      <c r="C1119" s="26"/>
      <c r="D1119" s="26"/>
      <c r="E1119" s="24"/>
      <c r="F1119" s="24"/>
      <c r="G1119" s="27"/>
      <c r="H1119" s="24"/>
      <c r="I1119" s="24"/>
      <c r="J1119" s="24"/>
      <c r="K1119" s="24"/>
      <c r="M1119" s="29"/>
      <c r="N1119" s="25"/>
      <c r="O1119" s="24"/>
      <c r="P1119" s="24"/>
    </row>
    <row r="1120" ht="15.75" customHeight="1">
      <c r="A1120" s="24"/>
      <c r="B1120" s="25"/>
      <c r="C1120" s="26"/>
      <c r="D1120" s="26"/>
      <c r="E1120" s="24"/>
      <c r="F1120" s="24"/>
      <c r="G1120" s="27"/>
      <c r="H1120" s="24"/>
      <c r="I1120" s="24"/>
      <c r="J1120" s="24"/>
      <c r="K1120" s="24"/>
      <c r="M1120" s="29"/>
      <c r="N1120" s="25"/>
      <c r="O1120" s="24"/>
      <c r="P1120" s="24"/>
    </row>
    <row r="1121" ht="15.75" customHeight="1">
      <c r="A1121" s="24"/>
      <c r="B1121" s="25"/>
      <c r="C1121" s="26"/>
      <c r="D1121" s="26"/>
      <c r="E1121" s="24"/>
      <c r="F1121" s="24"/>
      <c r="G1121" s="27"/>
      <c r="H1121" s="24"/>
      <c r="I1121" s="24"/>
      <c r="J1121" s="24"/>
      <c r="K1121" s="24"/>
      <c r="M1121" s="29"/>
      <c r="N1121" s="25"/>
      <c r="O1121" s="24"/>
      <c r="P1121" s="24"/>
    </row>
    <row r="1122" ht="15.75" customHeight="1">
      <c r="A1122" s="24"/>
      <c r="B1122" s="25"/>
      <c r="C1122" s="26"/>
      <c r="D1122" s="26"/>
      <c r="E1122" s="24"/>
      <c r="F1122" s="24"/>
      <c r="G1122" s="27"/>
      <c r="H1122" s="24"/>
      <c r="I1122" s="24"/>
      <c r="J1122" s="24"/>
      <c r="K1122" s="24"/>
      <c r="M1122" s="29"/>
      <c r="N1122" s="25"/>
      <c r="O1122" s="24"/>
      <c r="P1122" s="24"/>
    </row>
    <row r="1123" ht="15.75" customHeight="1">
      <c r="A1123" s="24"/>
      <c r="B1123" s="25"/>
      <c r="C1123" s="26"/>
      <c r="D1123" s="26"/>
      <c r="E1123" s="24"/>
      <c r="F1123" s="24"/>
      <c r="G1123" s="27"/>
      <c r="H1123" s="24"/>
      <c r="I1123" s="24"/>
      <c r="J1123" s="24"/>
      <c r="K1123" s="24"/>
      <c r="M1123" s="29"/>
      <c r="N1123" s="25"/>
      <c r="O1123" s="24"/>
      <c r="P1123" s="24"/>
    </row>
    <row r="1124" ht="15.75" customHeight="1">
      <c r="A1124" s="24"/>
      <c r="B1124" s="25"/>
      <c r="C1124" s="26"/>
      <c r="D1124" s="26"/>
      <c r="E1124" s="24"/>
      <c r="F1124" s="24"/>
      <c r="G1124" s="27"/>
      <c r="H1124" s="24"/>
      <c r="I1124" s="24"/>
      <c r="J1124" s="24"/>
      <c r="K1124" s="24"/>
      <c r="M1124" s="29"/>
      <c r="N1124" s="25"/>
      <c r="O1124" s="24"/>
      <c r="P1124" s="24"/>
    </row>
    <row r="1125" ht="15.75" customHeight="1">
      <c r="A1125" s="24"/>
      <c r="B1125" s="25"/>
      <c r="C1125" s="26"/>
      <c r="D1125" s="26"/>
      <c r="E1125" s="24"/>
      <c r="F1125" s="24"/>
      <c r="G1125" s="27"/>
      <c r="H1125" s="24"/>
      <c r="I1125" s="24"/>
      <c r="J1125" s="24"/>
      <c r="K1125" s="24"/>
      <c r="M1125" s="29"/>
      <c r="N1125" s="25"/>
      <c r="O1125" s="24"/>
      <c r="P1125" s="24"/>
    </row>
    <row r="1126" ht="15.75" customHeight="1">
      <c r="A1126" s="24"/>
      <c r="B1126" s="25"/>
      <c r="C1126" s="26"/>
      <c r="D1126" s="26"/>
      <c r="E1126" s="24"/>
      <c r="F1126" s="24"/>
      <c r="G1126" s="27"/>
      <c r="H1126" s="24"/>
      <c r="I1126" s="24"/>
      <c r="J1126" s="24"/>
      <c r="K1126" s="24"/>
      <c r="M1126" s="29"/>
      <c r="N1126" s="25"/>
      <c r="O1126" s="24"/>
      <c r="P1126" s="24"/>
    </row>
    <row r="1127" ht="15.75" customHeight="1">
      <c r="A1127" s="24"/>
      <c r="B1127" s="25"/>
      <c r="C1127" s="26"/>
      <c r="D1127" s="26"/>
      <c r="E1127" s="24"/>
      <c r="F1127" s="24"/>
      <c r="G1127" s="27"/>
      <c r="H1127" s="24"/>
      <c r="I1127" s="24"/>
      <c r="J1127" s="24"/>
      <c r="K1127" s="24"/>
      <c r="M1127" s="29"/>
      <c r="N1127" s="25"/>
      <c r="O1127" s="24"/>
      <c r="P1127" s="24"/>
    </row>
    <row r="1128" ht="15.75" customHeight="1">
      <c r="A1128" s="24"/>
      <c r="B1128" s="25"/>
      <c r="C1128" s="26"/>
      <c r="D1128" s="26"/>
      <c r="E1128" s="24"/>
      <c r="F1128" s="24"/>
      <c r="G1128" s="27"/>
      <c r="H1128" s="24"/>
      <c r="I1128" s="24"/>
      <c r="J1128" s="24"/>
      <c r="K1128" s="24"/>
      <c r="M1128" s="29"/>
      <c r="N1128" s="25"/>
      <c r="O1128" s="24"/>
      <c r="P1128" s="24"/>
    </row>
    <row r="1129" ht="15.75" customHeight="1">
      <c r="A1129" s="24"/>
      <c r="B1129" s="25"/>
      <c r="C1129" s="26"/>
      <c r="D1129" s="26"/>
      <c r="E1129" s="24"/>
      <c r="F1129" s="24"/>
      <c r="G1129" s="27"/>
      <c r="H1129" s="24"/>
      <c r="I1129" s="24"/>
      <c r="J1129" s="24"/>
      <c r="K1129" s="24"/>
      <c r="M1129" s="29"/>
      <c r="N1129" s="25"/>
      <c r="O1129" s="24"/>
      <c r="P1129" s="24"/>
    </row>
    <row r="1130" ht="15.75" customHeight="1">
      <c r="A1130" s="24"/>
      <c r="B1130" s="25"/>
      <c r="C1130" s="26"/>
      <c r="D1130" s="26"/>
      <c r="E1130" s="24"/>
      <c r="F1130" s="24"/>
      <c r="G1130" s="27"/>
      <c r="H1130" s="24"/>
      <c r="I1130" s="24"/>
      <c r="J1130" s="24"/>
      <c r="K1130" s="24"/>
      <c r="M1130" s="29"/>
      <c r="N1130" s="25"/>
      <c r="O1130" s="24"/>
      <c r="P1130" s="24"/>
    </row>
    <row r="1131" ht="15.75" customHeight="1">
      <c r="A1131" s="24"/>
      <c r="B1131" s="25"/>
      <c r="C1131" s="26"/>
      <c r="D1131" s="26"/>
      <c r="E1131" s="24"/>
      <c r="F1131" s="24"/>
      <c r="G1131" s="27"/>
      <c r="H1131" s="24"/>
      <c r="I1131" s="24"/>
      <c r="J1131" s="24"/>
      <c r="K1131" s="24"/>
      <c r="M1131" s="29"/>
      <c r="N1131" s="25"/>
      <c r="O1131" s="24"/>
      <c r="P1131" s="24"/>
    </row>
    <row r="1132" ht="15.75" customHeight="1">
      <c r="A1132" s="24"/>
      <c r="B1132" s="25"/>
      <c r="C1132" s="26"/>
      <c r="D1132" s="26"/>
      <c r="E1132" s="24"/>
      <c r="F1132" s="24"/>
      <c r="G1132" s="27"/>
      <c r="H1132" s="24"/>
      <c r="I1132" s="24"/>
      <c r="J1132" s="24"/>
      <c r="K1132" s="24"/>
      <c r="M1132" s="29"/>
      <c r="N1132" s="25"/>
      <c r="O1132" s="24"/>
      <c r="P1132" s="24"/>
    </row>
    <row r="1133" ht="15.75" customHeight="1">
      <c r="A1133" s="24"/>
      <c r="B1133" s="25"/>
      <c r="C1133" s="26"/>
      <c r="D1133" s="26"/>
      <c r="E1133" s="24"/>
      <c r="F1133" s="24"/>
      <c r="G1133" s="27"/>
      <c r="H1133" s="24"/>
      <c r="I1133" s="24"/>
      <c r="J1133" s="24"/>
      <c r="K1133" s="24"/>
      <c r="M1133" s="29"/>
      <c r="N1133" s="25"/>
      <c r="O1133" s="24"/>
      <c r="P1133" s="24"/>
    </row>
    <row r="1134" ht="15.75" customHeight="1">
      <c r="A1134" s="24"/>
      <c r="B1134" s="25"/>
      <c r="C1134" s="26"/>
      <c r="D1134" s="26"/>
      <c r="E1134" s="24"/>
      <c r="F1134" s="24"/>
      <c r="G1134" s="27"/>
      <c r="H1134" s="24"/>
      <c r="I1134" s="24"/>
      <c r="J1134" s="24"/>
      <c r="K1134" s="24"/>
      <c r="M1134" s="29"/>
      <c r="N1134" s="25"/>
      <c r="O1134" s="24"/>
      <c r="P1134" s="24"/>
    </row>
    <row r="1135" ht="15.75" customHeight="1">
      <c r="A1135" s="24"/>
      <c r="B1135" s="25"/>
      <c r="C1135" s="26"/>
      <c r="D1135" s="26"/>
      <c r="E1135" s="24"/>
      <c r="F1135" s="24"/>
      <c r="G1135" s="27"/>
      <c r="H1135" s="24"/>
      <c r="I1135" s="24"/>
      <c r="J1135" s="24"/>
      <c r="K1135" s="24"/>
      <c r="M1135" s="29"/>
      <c r="N1135" s="25"/>
      <c r="O1135" s="24"/>
      <c r="P1135" s="24"/>
    </row>
    <row r="1136" ht="15.75" customHeight="1">
      <c r="A1136" s="24"/>
      <c r="B1136" s="25"/>
      <c r="C1136" s="26"/>
      <c r="D1136" s="26"/>
      <c r="E1136" s="24"/>
      <c r="F1136" s="24"/>
      <c r="G1136" s="27"/>
      <c r="H1136" s="24"/>
      <c r="I1136" s="24"/>
      <c r="J1136" s="24"/>
      <c r="K1136" s="24"/>
      <c r="M1136" s="29"/>
      <c r="N1136" s="25"/>
      <c r="O1136" s="24"/>
      <c r="P1136" s="24"/>
    </row>
    <row r="1137" ht="15.75" customHeight="1">
      <c r="A1137" s="24"/>
      <c r="B1137" s="25"/>
      <c r="C1137" s="26"/>
      <c r="D1137" s="26"/>
      <c r="E1137" s="24"/>
      <c r="F1137" s="24"/>
      <c r="G1137" s="27"/>
      <c r="H1137" s="24"/>
      <c r="I1137" s="24"/>
      <c r="J1137" s="24"/>
      <c r="K1137" s="24"/>
      <c r="M1137" s="29"/>
      <c r="N1137" s="25"/>
      <c r="O1137" s="24"/>
      <c r="P1137" s="24"/>
    </row>
    <row r="1138" ht="15.75" customHeight="1">
      <c r="A1138" s="24"/>
      <c r="B1138" s="25"/>
      <c r="C1138" s="26"/>
      <c r="D1138" s="26"/>
      <c r="E1138" s="24"/>
      <c r="F1138" s="24"/>
      <c r="G1138" s="27"/>
      <c r="H1138" s="24"/>
      <c r="I1138" s="24"/>
      <c r="J1138" s="24"/>
      <c r="K1138" s="24"/>
      <c r="M1138" s="29"/>
      <c r="N1138" s="25"/>
      <c r="O1138" s="24"/>
      <c r="P1138" s="24"/>
    </row>
    <row r="1139" ht="15.75" customHeight="1">
      <c r="A1139" s="24"/>
      <c r="B1139" s="25"/>
      <c r="C1139" s="26"/>
      <c r="D1139" s="26"/>
      <c r="E1139" s="24"/>
      <c r="F1139" s="24"/>
      <c r="G1139" s="27"/>
      <c r="H1139" s="24"/>
      <c r="I1139" s="24"/>
      <c r="J1139" s="24"/>
      <c r="K1139" s="24"/>
      <c r="M1139" s="29"/>
      <c r="N1139" s="25"/>
      <c r="O1139" s="24"/>
      <c r="P1139" s="24"/>
    </row>
    <row r="1140" ht="15.75" customHeight="1">
      <c r="A1140" s="24"/>
      <c r="B1140" s="25"/>
      <c r="C1140" s="26"/>
      <c r="D1140" s="26"/>
      <c r="E1140" s="24"/>
      <c r="F1140" s="24"/>
      <c r="G1140" s="27"/>
      <c r="H1140" s="24"/>
      <c r="I1140" s="24"/>
      <c r="J1140" s="24"/>
      <c r="K1140" s="24"/>
      <c r="M1140" s="29"/>
      <c r="N1140" s="25"/>
      <c r="O1140" s="24"/>
      <c r="P1140" s="24"/>
    </row>
    <row r="1141" ht="15.75" customHeight="1">
      <c r="A1141" s="24"/>
      <c r="B1141" s="25"/>
      <c r="C1141" s="26"/>
      <c r="D1141" s="26"/>
      <c r="E1141" s="24"/>
      <c r="F1141" s="24"/>
      <c r="G1141" s="27"/>
      <c r="H1141" s="24"/>
      <c r="I1141" s="24"/>
      <c r="J1141" s="24"/>
      <c r="K1141" s="24"/>
      <c r="M1141" s="29"/>
      <c r="N1141" s="25"/>
      <c r="O1141" s="24"/>
      <c r="P1141" s="24"/>
    </row>
    <row r="1142" ht="15.75" customHeight="1">
      <c r="A1142" s="24"/>
      <c r="B1142" s="25"/>
      <c r="C1142" s="26"/>
      <c r="D1142" s="26"/>
      <c r="E1142" s="24"/>
      <c r="F1142" s="24"/>
      <c r="G1142" s="27"/>
      <c r="H1142" s="24"/>
      <c r="I1142" s="24"/>
      <c r="J1142" s="24"/>
      <c r="K1142" s="24"/>
      <c r="M1142" s="29"/>
      <c r="N1142" s="25"/>
      <c r="O1142" s="24"/>
      <c r="P1142" s="24"/>
    </row>
    <row r="1143" ht="15.75" customHeight="1">
      <c r="A1143" s="24"/>
      <c r="B1143" s="25"/>
      <c r="C1143" s="26"/>
      <c r="D1143" s="26"/>
      <c r="E1143" s="24"/>
      <c r="F1143" s="24"/>
      <c r="G1143" s="27"/>
      <c r="H1143" s="24"/>
      <c r="I1143" s="24"/>
      <c r="J1143" s="24"/>
      <c r="K1143" s="24"/>
      <c r="M1143" s="29"/>
      <c r="N1143" s="25"/>
      <c r="O1143" s="24"/>
      <c r="P1143" s="24"/>
    </row>
    <row r="1144" ht="15.75" customHeight="1">
      <c r="A1144" s="24"/>
      <c r="B1144" s="25"/>
      <c r="C1144" s="26"/>
      <c r="D1144" s="26"/>
      <c r="E1144" s="24"/>
      <c r="F1144" s="24"/>
      <c r="G1144" s="27"/>
      <c r="H1144" s="24"/>
      <c r="I1144" s="24"/>
      <c r="J1144" s="24"/>
      <c r="K1144" s="24"/>
      <c r="M1144" s="29"/>
      <c r="N1144" s="25"/>
      <c r="O1144" s="24"/>
      <c r="P1144" s="24"/>
    </row>
    <row r="1145" ht="15.75" customHeight="1">
      <c r="A1145" s="24"/>
      <c r="B1145" s="25"/>
      <c r="C1145" s="26"/>
      <c r="D1145" s="26"/>
      <c r="E1145" s="24"/>
      <c r="F1145" s="24"/>
      <c r="G1145" s="27"/>
      <c r="H1145" s="24"/>
      <c r="I1145" s="24"/>
      <c r="J1145" s="24"/>
      <c r="K1145" s="24"/>
      <c r="M1145" s="29"/>
      <c r="N1145" s="25"/>
      <c r="O1145" s="24"/>
      <c r="P1145" s="24"/>
    </row>
    <row r="1146" ht="15.75" customHeight="1">
      <c r="A1146" s="24"/>
      <c r="B1146" s="25"/>
      <c r="C1146" s="26"/>
      <c r="D1146" s="26"/>
      <c r="E1146" s="24"/>
      <c r="F1146" s="24"/>
      <c r="G1146" s="27"/>
      <c r="H1146" s="24"/>
      <c r="I1146" s="24"/>
      <c r="J1146" s="24"/>
      <c r="K1146" s="24"/>
      <c r="M1146" s="29"/>
      <c r="N1146" s="25"/>
      <c r="O1146" s="24"/>
      <c r="P1146" s="24"/>
    </row>
    <row r="1147" ht="15.75" customHeight="1">
      <c r="A1147" s="24"/>
      <c r="B1147" s="25"/>
      <c r="C1147" s="26"/>
      <c r="D1147" s="26"/>
      <c r="E1147" s="24"/>
      <c r="F1147" s="24"/>
      <c r="G1147" s="27"/>
      <c r="H1147" s="24"/>
      <c r="I1147" s="24"/>
      <c r="J1147" s="24"/>
      <c r="K1147" s="24"/>
      <c r="M1147" s="29"/>
      <c r="N1147" s="25"/>
      <c r="O1147" s="24"/>
      <c r="P1147" s="24"/>
    </row>
    <row r="1148" ht="15.75" customHeight="1">
      <c r="A1148" s="24"/>
      <c r="B1148" s="25"/>
      <c r="C1148" s="26"/>
      <c r="D1148" s="26"/>
      <c r="E1148" s="24"/>
      <c r="F1148" s="24"/>
      <c r="G1148" s="27"/>
      <c r="H1148" s="24"/>
      <c r="I1148" s="24"/>
      <c r="J1148" s="24"/>
      <c r="K1148" s="24"/>
      <c r="M1148" s="29"/>
      <c r="N1148" s="25"/>
      <c r="O1148" s="24"/>
      <c r="P1148" s="24"/>
    </row>
    <row r="1149" ht="15.75" customHeight="1">
      <c r="A1149" s="24"/>
      <c r="B1149" s="25"/>
      <c r="C1149" s="26"/>
      <c r="D1149" s="26"/>
      <c r="E1149" s="24"/>
      <c r="F1149" s="24"/>
      <c r="G1149" s="27"/>
      <c r="H1149" s="24"/>
      <c r="I1149" s="24"/>
      <c r="J1149" s="24"/>
      <c r="K1149" s="24"/>
      <c r="M1149" s="29"/>
      <c r="N1149" s="25"/>
      <c r="O1149" s="24"/>
      <c r="P1149" s="24"/>
    </row>
    <row r="1150" ht="15.75" customHeight="1">
      <c r="A1150" s="24"/>
      <c r="B1150" s="25"/>
      <c r="C1150" s="26"/>
      <c r="D1150" s="26"/>
      <c r="E1150" s="24"/>
      <c r="F1150" s="24"/>
      <c r="G1150" s="27"/>
      <c r="H1150" s="24"/>
      <c r="I1150" s="24"/>
      <c r="J1150" s="24"/>
      <c r="K1150" s="24"/>
      <c r="M1150" s="29"/>
      <c r="N1150" s="25"/>
      <c r="O1150" s="24"/>
      <c r="P1150" s="24"/>
    </row>
    <row r="1151" ht="15.75" customHeight="1">
      <c r="A1151" s="24"/>
      <c r="B1151" s="25"/>
      <c r="C1151" s="26"/>
      <c r="D1151" s="26"/>
      <c r="E1151" s="24"/>
      <c r="F1151" s="24"/>
      <c r="G1151" s="27"/>
      <c r="H1151" s="24"/>
      <c r="I1151" s="24"/>
      <c r="J1151" s="24"/>
      <c r="K1151" s="24"/>
      <c r="M1151" s="29"/>
      <c r="N1151" s="25"/>
      <c r="O1151" s="24"/>
      <c r="P1151" s="24"/>
    </row>
    <row r="1152" ht="15.75" customHeight="1">
      <c r="A1152" s="24"/>
      <c r="B1152" s="25"/>
      <c r="C1152" s="26"/>
      <c r="D1152" s="26"/>
      <c r="E1152" s="24"/>
      <c r="F1152" s="24"/>
      <c r="G1152" s="27"/>
      <c r="H1152" s="24"/>
      <c r="I1152" s="24"/>
      <c r="J1152" s="24"/>
      <c r="K1152" s="24"/>
      <c r="M1152" s="29"/>
      <c r="N1152" s="25"/>
      <c r="O1152" s="24"/>
      <c r="P1152" s="24"/>
    </row>
    <row r="1153" ht="15.75" customHeight="1">
      <c r="A1153" s="24"/>
      <c r="B1153" s="25"/>
      <c r="C1153" s="26"/>
      <c r="D1153" s="26"/>
      <c r="E1153" s="24"/>
      <c r="F1153" s="24"/>
      <c r="G1153" s="27"/>
      <c r="H1153" s="24"/>
      <c r="I1153" s="24"/>
      <c r="J1153" s="24"/>
      <c r="K1153" s="24"/>
      <c r="M1153" s="29"/>
      <c r="N1153" s="25"/>
      <c r="O1153" s="24"/>
      <c r="P1153" s="24"/>
    </row>
    <row r="1154" ht="15.75" customHeight="1">
      <c r="A1154" s="24"/>
      <c r="B1154" s="25"/>
      <c r="C1154" s="26"/>
      <c r="D1154" s="26"/>
      <c r="E1154" s="24"/>
      <c r="F1154" s="24"/>
      <c r="G1154" s="27"/>
      <c r="H1154" s="24"/>
      <c r="I1154" s="24"/>
      <c r="J1154" s="24"/>
      <c r="K1154" s="24"/>
      <c r="M1154" s="29"/>
      <c r="N1154" s="25"/>
      <c r="O1154" s="24"/>
      <c r="P1154" s="24"/>
    </row>
    <row r="1155" ht="15.75" customHeight="1">
      <c r="A1155" s="24"/>
      <c r="B1155" s="25"/>
      <c r="C1155" s="26"/>
      <c r="D1155" s="26"/>
      <c r="E1155" s="24"/>
      <c r="F1155" s="24"/>
      <c r="G1155" s="27"/>
      <c r="H1155" s="24"/>
      <c r="I1155" s="24"/>
      <c r="J1155" s="24"/>
      <c r="K1155" s="24"/>
      <c r="M1155" s="29"/>
      <c r="N1155" s="25"/>
      <c r="O1155" s="24"/>
      <c r="P1155" s="24"/>
    </row>
    <row r="1156" ht="15.75" customHeight="1">
      <c r="A1156" s="24"/>
      <c r="B1156" s="25"/>
      <c r="C1156" s="26"/>
      <c r="D1156" s="26"/>
      <c r="E1156" s="24"/>
      <c r="F1156" s="24"/>
      <c r="G1156" s="27"/>
      <c r="H1156" s="24"/>
      <c r="I1156" s="24"/>
      <c r="J1156" s="24"/>
      <c r="K1156" s="24"/>
      <c r="M1156" s="29"/>
      <c r="N1156" s="25"/>
      <c r="O1156" s="24"/>
      <c r="P1156" s="24"/>
    </row>
    <row r="1157" ht="15.75" customHeight="1">
      <c r="A1157" s="24"/>
      <c r="B1157" s="25"/>
      <c r="C1157" s="26"/>
      <c r="D1157" s="26"/>
      <c r="E1157" s="24"/>
      <c r="F1157" s="24"/>
      <c r="G1157" s="27"/>
      <c r="H1157" s="24"/>
      <c r="I1157" s="24"/>
      <c r="J1157" s="24"/>
      <c r="K1157" s="24"/>
      <c r="M1157" s="29"/>
      <c r="N1157" s="25"/>
      <c r="O1157" s="24"/>
      <c r="P1157" s="24"/>
    </row>
    <row r="1158" ht="15.75" customHeight="1">
      <c r="A1158" s="24"/>
      <c r="B1158" s="25"/>
      <c r="C1158" s="26"/>
      <c r="D1158" s="26"/>
      <c r="E1158" s="24"/>
      <c r="F1158" s="24"/>
      <c r="G1158" s="27"/>
      <c r="H1158" s="24"/>
      <c r="I1158" s="24"/>
      <c r="J1158" s="24"/>
      <c r="K1158" s="24"/>
      <c r="M1158" s="29"/>
      <c r="N1158" s="25"/>
      <c r="O1158" s="24"/>
      <c r="P1158" s="24"/>
    </row>
    <row r="1159" ht="15.75" customHeight="1">
      <c r="A1159" s="24"/>
      <c r="B1159" s="25"/>
      <c r="C1159" s="26"/>
      <c r="D1159" s="26"/>
      <c r="E1159" s="24"/>
      <c r="F1159" s="24"/>
      <c r="G1159" s="27"/>
      <c r="H1159" s="24"/>
      <c r="I1159" s="24"/>
      <c r="J1159" s="24"/>
      <c r="K1159" s="24"/>
      <c r="M1159" s="29"/>
      <c r="N1159" s="25"/>
      <c r="O1159" s="24"/>
      <c r="P1159" s="24"/>
    </row>
    <row r="1160" ht="15.75" customHeight="1">
      <c r="A1160" s="24"/>
      <c r="B1160" s="25"/>
      <c r="C1160" s="26"/>
      <c r="D1160" s="26"/>
      <c r="E1160" s="24"/>
      <c r="F1160" s="24"/>
      <c r="G1160" s="27"/>
      <c r="H1160" s="24"/>
      <c r="I1160" s="24"/>
      <c r="J1160" s="24"/>
      <c r="K1160" s="24"/>
      <c r="M1160" s="29"/>
      <c r="N1160" s="25"/>
      <c r="O1160" s="24"/>
      <c r="P1160" s="24"/>
    </row>
    <row r="1161" ht="15.75" customHeight="1">
      <c r="A1161" s="24"/>
      <c r="B1161" s="25"/>
      <c r="C1161" s="26"/>
      <c r="D1161" s="26"/>
      <c r="E1161" s="24"/>
      <c r="F1161" s="24"/>
      <c r="G1161" s="27"/>
      <c r="H1161" s="24"/>
      <c r="I1161" s="24"/>
      <c r="J1161" s="24"/>
      <c r="K1161" s="24"/>
      <c r="M1161" s="29"/>
      <c r="N1161" s="25"/>
      <c r="O1161" s="24"/>
      <c r="P1161" s="24"/>
    </row>
    <row r="1162" ht="15.75" customHeight="1">
      <c r="A1162" s="24"/>
      <c r="B1162" s="25"/>
      <c r="C1162" s="26"/>
      <c r="D1162" s="26"/>
      <c r="E1162" s="24"/>
      <c r="F1162" s="24"/>
      <c r="G1162" s="27"/>
      <c r="H1162" s="24"/>
      <c r="I1162" s="24"/>
      <c r="J1162" s="24"/>
      <c r="K1162" s="24"/>
      <c r="M1162" s="29"/>
      <c r="N1162" s="25"/>
      <c r="O1162" s="24"/>
      <c r="P1162" s="24"/>
    </row>
    <row r="1163" ht="15.75" customHeight="1">
      <c r="A1163" s="24"/>
      <c r="B1163" s="25"/>
      <c r="C1163" s="26"/>
      <c r="D1163" s="26"/>
      <c r="E1163" s="24"/>
      <c r="F1163" s="24"/>
      <c r="G1163" s="27"/>
      <c r="H1163" s="24"/>
      <c r="I1163" s="24"/>
      <c r="J1163" s="24"/>
      <c r="K1163" s="24"/>
      <c r="M1163" s="29"/>
      <c r="N1163" s="25"/>
      <c r="O1163" s="24"/>
      <c r="P1163" s="24"/>
    </row>
    <row r="1164" ht="15.75" customHeight="1">
      <c r="A1164" s="24"/>
      <c r="B1164" s="25"/>
      <c r="C1164" s="26"/>
      <c r="D1164" s="26"/>
      <c r="E1164" s="24"/>
      <c r="F1164" s="24"/>
      <c r="G1164" s="27"/>
      <c r="H1164" s="24"/>
      <c r="I1164" s="24"/>
      <c r="J1164" s="24"/>
      <c r="K1164" s="24"/>
      <c r="M1164" s="29"/>
      <c r="N1164" s="25"/>
      <c r="O1164" s="24"/>
      <c r="P1164" s="24"/>
    </row>
    <row r="1165" ht="15.75" customHeight="1">
      <c r="A1165" s="24"/>
      <c r="B1165" s="25"/>
      <c r="C1165" s="26"/>
      <c r="D1165" s="26"/>
      <c r="E1165" s="24"/>
      <c r="F1165" s="24"/>
      <c r="G1165" s="27"/>
      <c r="H1165" s="24"/>
      <c r="I1165" s="24"/>
      <c r="J1165" s="24"/>
      <c r="K1165" s="24"/>
      <c r="M1165" s="29"/>
      <c r="N1165" s="25"/>
      <c r="O1165" s="24"/>
      <c r="P1165" s="24"/>
    </row>
    <row r="1166" ht="15.75" customHeight="1">
      <c r="A1166" s="24"/>
      <c r="B1166" s="25"/>
      <c r="C1166" s="26"/>
      <c r="D1166" s="26"/>
      <c r="E1166" s="24"/>
      <c r="F1166" s="24"/>
      <c r="G1166" s="27"/>
      <c r="H1166" s="24"/>
      <c r="I1166" s="24"/>
      <c r="J1166" s="24"/>
      <c r="K1166" s="24"/>
      <c r="M1166" s="29"/>
      <c r="N1166" s="25"/>
      <c r="O1166" s="24"/>
      <c r="P1166" s="24"/>
    </row>
    <row r="1167" ht="15.75" customHeight="1">
      <c r="A1167" s="24"/>
      <c r="B1167" s="25"/>
      <c r="C1167" s="26"/>
      <c r="D1167" s="26"/>
      <c r="E1167" s="24"/>
      <c r="F1167" s="24"/>
      <c r="G1167" s="27"/>
      <c r="H1167" s="24"/>
      <c r="I1167" s="24"/>
      <c r="J1167" s="24"/>
      <c r="K1167" s="24"/>
      <c r="M1167" s="29"/>
      <c r="N1167" s="25"/>
      <c r="O1167" s="24"/>
      <c r="P1167" s="24"/>
    </row>
    <row r="1168" ht="15.75" customHeight="1">
      <c r="A1168" s="24"/>
      <c r="B1168" s="25"/>
      <c r="C1168" s="26"/>
      <c r="D1168" s="26"/>
      <c r="E1168" s="24"/>
      <c r="F1168" s="24"/>
      <c r="G1168" s="27"/>
      <c r="H1168" s="24"/>
      <c r="I1168" s="24"/>
      <c r="J1168" s="24"/>
      <c r="K1168" s="24"/>
      <c r="M1168" s="29"/>
      <c r="N1168" s="25"/>
      <c r="O1168" s="24"/>
      <c r="P1168" s="24"/>
    </row>
    <row r="1169" ht="15.75" customHeight="1">
      <c r="A1169" s="24"/>
      <c r="B1169" s="25"/>
      <c r="C1169" s="26"/>
      <c r="D1169" s="26"/>
      <c r="E1169" s="24"/>
      <c r="F1169" s="24"/>
      <c r="G1169" s="27"/>
      <c r="H1169" s="24"/>
      <c r="I1169" s="24"/>
      <c r="J1169" s="24"/>
      <c r="K1169" s="24"/>
      <c r="M1169" s="29"/>
      <c r="N1169" s="25"/>
      <c r="O1169" s="24"/>
      <c r="P1169" s="24"/>
    </row>
    <row r="1170" ht="15.75" customHeight="1">
      <c r="A1170" s="24"/>
      <c r="B1170" s="25"/>
      <c r="C1170" s="26"/>
      <c r="D1170" s="26"/>
      <c r="E1170" s="24"/>
      <c r="F1170" s="24"/>
      <c r="G1170" s="27"/>
      <c r="H1170" s="24"/>
      <c r="I1170" s="24"/>
      <c r="J1170" s="24"/>
      <c r="K1170" s="24"/>
      <c r="M1170" s="29"/>
      <c r="N1170" s="25"/>
      <c r="O1170" s="24"/>
      <c r="P1170" s="24"/>
    </row>
    <row r="1171" ht="15.75" customHeight="1">
      <c r="A1171" s="24"/>
      <c r="B1171" s="25"/>
      <c r="C1171" s="26"/>
      <c r="D1171" s="26"/>
      <c r="E1171" s="24"/>
      <c r="F1171" s="24"/>
      <c r="G1171" s="27"/>
      <c r="H1171" s="24"/>
      <c r="I1171" s="24"/>
      <c r="J1171" s="24"/>
      <c r="K1171" s="24"/>
      <c r="M1171" s="29"/>
      <c r="N1171" s="25"/>
      <c r="O1171" s="24"/>
      <c r="P1171" s="24"/>
    </row>
    <row r="1172" ht="15.75" customHeight="1">
      <c r="A1172" s="24"/>
      <c r="B1172" s="25"/>
      <c r="C1172" s="26"/>
      <c r="D1172" s="26"/>
      <c r="E1172" s="24"/>
      <c r="F1172" s="24"/>
      <c r="G1172" s="27"/>
      <c r="H1172" s="24"/>
      <c r="I1172" s="24"/>
      <c r="J1172" s="24"/>
      <c r="K1172" s="24"/>
      <c r="M1172" s="29"/>
      <c r="N1172" s="25"/>
      <c r="O1172" s="24"/>
      <c r="P1172" s="24"/>
    </row>
    <row r="1173" ht="15.75" customHeight="1">
      <c r="A1173" s="24"/>
      <c r="B1173" s="25"/>
      <c r="C1173" s="26"/>
      <c r="D1173" s="26"/>
      <c r="E1173" s="24"/>
      <c r="F1173" s="24"/>
      <c r="G1173" s="27"/>
      <c r="H1173" s="24"/>
      <c r="I1173" s="24"/>
      <c r="J1173" s="24"/>
      <c r="K1173" s="24"/>
      <c r="M1173" s="29"/>
      <c r="N1173" s="25"/>
      <c r="O1173" s="24"/>
      <c r="P1173" s="24"/>
    </row>
    <row r="1174" ht="15.75" customHeight="1">
      <c r="A1174" s="24"/>
      <c r="B1174" s="25"/>
      <c r="C1174" s="26"/>
      <c r="D1174" s="26"/>
      <c r="E1174" s="24"/>
      <c r="F1174" s="24"/>
      <c r="G1174" s="27"/>
      <c r="H1174" s="24"/>
      <c r="I1174" s="24"/>
      <c r="J1174" s="24"/>
      <c r="K1174" s="24"/>
      <c r="M1174" s="29"/>
      <c r="N1174" s="25"/>
      <c r="O1174" s="24"/>
      <c r="P1174" s="24"/>
    </row>
    <row r="1175" ht="15.75" customHeight="1">
      <c r="A1175" s="24"/>
      <c r="B1175" s="25"/>
      <c r="C1175" s="26"/>
      <c r="D1175" s="26"/>
      <c r="E1175" s="24"/>
      <c r="F1175" s="24"/>
      <c r="G1175" s="27"/>
      <c r="H1175" s="24"/>
      <c r="I1175" s="24"/>
      <c r="J1175" s="24"/>
      <c r="K1175" s="24"/>
      <c r="M1175" s="29"/>
      <c r="N1175" s="25"/>
      <c r="O1175" s="24"/>
      <c r="P1175" s="24"/>
    </row>
    <row r="1176" ht="15.75" customHeight="1">
      <c r="A1176" s="24"/>
      <c r="B1176" s="25"/>
      <c r="C1176" s="26"/>
      <c r="D1176" s="26"/>
      <c r="E1176" s="24"/>
      <c r="F1176" s="24"/>
      <c r="G1176" s="27"/>
      <c r="H1176" s="24"/>
      <c r="I1176" s="24"/>
      <c r="J1176" s="24"/>
      <c r="K1176" s="24"/>
      <c r="M1176" s="29"/>
      <c r="N1176" s="25"/>
      <c r="O1176" s="24"/>
      <c r="P1176" s="24"/>
    </row>
    <row r="1177" ht="15.75" customHeight="1">
      <c r="A1177" s="24"/>
      <c r="B1177" s="25"/>
      <c r="C1177" s="26"/>
      <c r="D1177" s="26"/>
      <c r="E1177" s="24"/>
      <c r="F1177" s="24"/>
      <c r="G1177" s="27"/>
      <c r="H1177" s="24"/>
      <c r="I1177" s="24"/>
      <c r="J1177" s="24"/>
      <c r="K1177" s="24"/>
      <c r="M1177" s="29"/>
      <c r="N1177" s="25"/>
      <c r="O1177" s="24"/>
      <c r="P1177" s="24"/>
    </row>
    <row r="1178" ht="15.75" customHeight="1">
      <c r="A1178" s="24"/>
      <c r="B1178" s="25"/>
      <c r="C1178" s="26"/>
      <c r="D1178" s="26"/>
      <c r="E1178" s="24"/>
      <c r="F1178" s="24"/>
      <c r="G1178" s="27"/>
      <c r="H1178" s="24"/>
      <c r="I1178" s="24"/>
      <c r="J1178" s="24"/>
      <c r="K1178" s="24"/>
      <c r="M1178" s="29"/>
      <c r="N1178" s="25"/>
      <c r="O1178" s="24"/>
      <c r="P1178" s="24"/>
    </row>
    <row r="1179" ht="15.75" customHeight="1">
      <c r="A1179" s="24"/>
      <c r="B1179" s="25"/>
      <c r="C1179" s="26"/>
      <c r="D1179" s="26"/>
      <c r="E1179" s="24"/>
      <c r="F1179" s="24"/>
      <c r="G1179" s="27"/>
      <c r="H1179" s="24"/>
      <c r="I1179" s="24"/>
      <c r="J1179" s="24"/>
      <c r="K1179" s="24"/>
      <c r="M1179" s="29"/>
      <c r="N1179" s="25"/>
      <c r="O1179" s="24"/>
      <c r="P1179" s="24"/>
    </row>
    <row r="1180" ht="15.75" customHeight="1">
      <c r="A1180" s="24"/>
      <c r="B1180" s="25"/>
      <c r="C1180" s="26"/>
      <c r="D1180" s="26"/>
      <c r="E1180" s="24"/>
      <c r="F1180" s="24"/>
      <c r="G1180" s="27"/>
      <c r="H1180" s="24"/>
      <c r="I1180" s="24"/>
      <c r="J1180" s="24"/>
      <c r="K1180" s="24"/>
      <c r="M1180" s="29"/>
      <c r="N1180" s="25"/>
      <c r="O1180" s="24"/>
      <c r="P1180" s="24"/>
    </row>
    <row r="1181" ht="15.75" customHeight="1">
      <c r="A1181" s="24"/>
      <c r="B1181" s="25"/>
      <c r="C1181" s="26"/>
      <c r="D1181" s="26"/>
      <c r="E1181" s="24"/>
      <c r="F1181" s="24"/>
      <c r="G1181" s="27"/>
      <c r="H1181" s="24"/>
      <c r="I1181" s="24"/>
      <c r="J1181" s="24"/>
      <c r="K1181" s="24"/>
      <c r="M1181" s="29"/>
      <c r="N1181" s="25"/>
      <c r="O1181" s="24"/>
      <c r="P1181" s="24"/>
    </row>
    <row r="1182" ht="15.75" customHeight="1">
      <c r="A1182" s="24"/>
      <c r="B1182" s="25"/>
      <c r="C1182" s="26"/>
      <c r="D1182" s="26"/>
      <c r="E1182" s="24"/>
      <c r="F1182" s="24"/>
      <c r="G1182" s="27"/>
      <c r="H1182" s="24"/>
      <c r="I1182" s="24"/>
      <c r="J1182" s="24"/>
      <c r="K1182" s="24"/>
      <c r="M1182" s="29"/>
      <c r="N1182" s="25"/>
      <c r="O1182" s="24"/>
      <c r="P1182" s="24"/>
    </row>
    <row r="1183" ht="15.75" customHeight="1">
      <c r="A1183" s="24"/>
      <c r="B1183" s="25"/>
      <c r="C1183" s="26"/>
      <c r="D1183" s="26"/>
      <c r="E1183" s="24"/>
      <c r="F1183" s="24"/>
      <c r="G1183" s="27"/>
      <c r="H1183" s="24"/>
      <c r="I1183" s="24"/>
      <c r="J1183" s="24"/>
      <c r="K1183" s="24"/>
      <c r="M1183" s="29"/>
      <c r="N1183" s="25"/>
      <c r="O1183" s="24"/>
      <c r="P1183" s="24"/>
    </row>
    <row r="1184" ht="15.75" customHeight="1">
      <c r="A1184" s="24"/>
      <c r="B1184" s="25"/>
      <c r="C1184" s="26"/>
      <c r="D1184" s="26"/>
      <c r="E1184" s="24"/>
      <c r="F1184" s="24"/>
      <c r="G1184" s="27"/>
      <c r="H1184" s="24"/>
      <c r="I1184" s="24"/>
      <c r="J1184" s="24"/>
      <c r="K1184" s="24"/>
      <c r="M1184" s="29"/>
      <c r="N1184" s="25"/>
      <c r="O1184" s="24"/>
      <c r="P1184" s="24"/>
    </row>
    <row r="1185" ht="15.75" customHeight="1">
      <c r="A1185" s="24"/>
      <c r="B1185" s="25"/>
      <c r="C1185" s="26"/>
      <c r="D1185" s="26"/>
      <c r="E1185" s="24"/>
      <c r="F1185" s="24"/>
      <c r="G1185" s="27"/>
      <c r="H1185" s="24"/>
      <c r="I1185" s="24"/>
      <c r="J1185" s="24"/>
      <c r="K1185" s="24"/>
      <c r="M1185" s="29"/>
      <c r="N1185" s="25"/>
      <c r="O1185" s="24"/>
      <c r="P1185" s="24"/>
    </row>
    <row r="1186" ht="15.75" customHeight="1">
      <c r="A1186" s="24"/>
      <c r="B1186" s="25"/>
      <c r="C1186" s="26"/>
      <c r="D1186" s="26"/>
      <c r="E1186" s="24"/>
      <c r="F1186" s="24"/>
      <c r="G1186" s="27"/>
      <c r="H1186" s="24"/>
      <c r="I1186" s="24"/>
      <c r="J1186" s="24"/>
      <c r="K1186" s="24"/>
      <c r="M1186" s="29"/>
      <c r="N1186" s="25"/>
      <c r="O1186" s="24"/>
      <c r="P1186" s="24"/>
    </row>
    <row r="1187" ht="15.75" customHeight="1">
      <c r="A1187" s="24"/>
      <c r="B1187" s="25"/>
      <c r="C1187" s="26"/>
      <c r="D1187" s="26"/>
      <c r="E1187" s="24"/>
      <c r="F1187" s="24"/>
      <c r="G1187" s="27"/>
      <c r="H1187" s="24"/>
      <c r="I1187" s="24"/>
      <c r="J1187" s="24"/>
      <c r="K1187" s="24"/>
      <c r="M1187" s="29"/>
      <c r="N1187" s="25"/>
      <c r="O1187" s="24"/>
      <c r="P1187" s="24"/>
    </row>
    <row r="1188" ht="15.75" customHeight="1">
      <c r="A1188" s="24"/>
      <c r="B1188" s="25"/>
      <c r="C1188" s="26"/>
      <c r="D1188" s="26"/>
      <c r="E1188" s="24"/>
      <c r="F1188" s="24"/>
      <c r="G1188" s="27"/>
      <c r="H1188" s="24"/>
      <c r="I1188" s="24"/>
      <c r="J1188" s="24"/>
      <c r="K1188" s="24"/>
      <c r="M1188" s="29"/>
      <c r="N1188" s="25"/>
      <c r="O1188" s="24"/>
      <c r="P1188" s="24"/>
    </row>
    <row r="1189" ht="15.75" customHeight="1">
      <c r="A1189" s="24"/>
      <c r="B1189" s="25"/>
      <c r="C1189" s="26"/>
      <c r="D1189" s="26"/>
      <c r="E1189" s="24"/>
      <c r="F1189" s="24"/>
      <c r="G1189" s="27"/>
      <c r="H1189" s="24"/>
      <c r="I1189" s="24"/>
      <c r="J1189" s="24"/>
      <c r="K1189" s="24"/>
      <c r="M1189" s="29"/>
      <c r="N1189" s="25"/>
      <c r="O1189" s="24"/>
      <c r="P1189" s="24"/>
    </row>
    <row r="1190" ht="15.75" customHeight="1">
      <c r="A1190" s="24"/>
      <c r="B1190" s="25"/>
      <c r="C1190" s="26"/>
      <c r="D1190" s="26"/>
      <c r="E1190" s="24"/>
      <c r="F1190" s="24"/>
      <c r="G1190" s="27"/>
      <c r="H1190" s="24"/>
      <c r="I1190" s="24"/>
      <c r="J1190" s="24"/>
      <c r="K1190" s="24"/>
      <c r="M1190" s="29"/>
      <c r="N1190" s="25"/>
      <c r="O1190" s="24"/>
      <c r="P1190" s="24"/>
    </row>
    <row r="1191" ht="15.75" customHeight="1">
      <c r="A1191" s="24"/>
      <c r="B1191" s="25"/>
      <c r="C1191" s="26"/>
      <c r="D1191" s="26"/>
      <c r="E1191" s="24"/>
      <c r="F1191" s="24"/>
      <c r="G1191" s="27"/>
      <c r="H1191" s="24"/>
      <c r="I1191" s="24"/>
      <c r="J1191" s="24"/>
      <c r="K1191" s="24"/>
      <c r="M1191" s="29"/>
      <c r="N1191" s="25"/>
      <c r="O1191" s="24"/>
      <c r="P1191" s="24"/>
    </row>
    <row r="1192" ht="15.75" customHeight="1">
      <c r="A1192" s="24"/>
      <c r="B1192" s="25"/>
      <c r="C1192" s="26"/>
      <c r="D1192" s="26"/>
      <c r="E1192" s="24"/>
      <c r="F1192" s="24"/>
      <c r="G1192" s="27"/>
      <c r="H1192" s="24"/>
      <c r="I1192" s="24"/>
      <c r="J1192" s="24"/>
      <c r="K1192" s="24"/>
      <c r="M1192" s="29"/>
      <c r="N1192" s="25"/>
      <c r="O1192" s="24"/>
      <c r="P1192" s="24"/>
    </row>
    <row r="1193" ht="15.75" customHeight="1">
      <c r="A1193" s="24"/>
      <c r="B1193" s="25"/>
      <c r="C1193" s="26"/>
      <c r="D1193" s="26"/>
      <c r="E1193" s="24"/>
      <c r="F1193" s="24"/>
      <c r="G1193" s="27"/>
      <c r="H1193" s="24"/>
      <c r="I1193" s="24"/>
      <c r="J1193" s="24"/>
      <c r="K1193" s="24"/>
      <c r="M1193" s="29"/>
      <c r="N1193" s="25"/>
      <c r="O1193" s="24"/>
      <c r="P1193" s="24"/>
    </row>
    <row r="1194" ht="15.75" customHeight="1">
      <c r="A1194" s="24"/>
      <c r="B1194" s="25"/>
      <c r="C1194" s="26"/>
      <c r="D1194" s="26"/>
      <c r="E1194" s="24"/>
      <c r="F1194" s="24"/>
      <c r="G1194" s="27"/>
      <c r="H1194" s="24"/>
      <c r="I1194" s="24"/>
      <c r="J1194" s="24"/>
      <c r="K1194" s="24"/>
      <c r="M1194" s="29"/>
      <c r="N1194" s="25"/>
      <c r="O1194" s="24"/>
      <c r="P1194" s="24"/>
    </row>
    <row r="1195" ht="15.75" customHeight="1">
      <c r="A1195" s="24"/>
      <c r="B1195" s="25"/>
      <c r="C1195" s="26"/>
      <c r="D1195" s="26"/>
      <c r="E1195" s="24"/>
      <c r="F1195" s="24"/>
      <c r="G1195" s="27"/>
      <c r="H1195" s="24"/>
      <c r="I1195" s="24"/>
      <c r="J1195" s="24"/>
      <c r="K1195" s="24"/>
      <c r="M1195" s="29"/>
      <c r="N1195" s="25"/>
      <c r="O1195" s="24"/>
      <c r="P1195" s="24"/>
    </row>
    <row r="1196" ht="15.75" customHeight="1">
      <c r="A1196" s="24"/>
      <c r="B1196" s="25"/>
      <c r="C1196" s="26"/>
      <c r="D1196" s="26"/>
      <c r="E1196" s="24"/>
      <c r="F1196" s="24"/>
      <c r="G1196" s="27"/>
      <c r="H1196" s="24"/>
      <c r="I1196" s="24"/>
      <c r="J1196" s="24"/>
      <c r="K1196" s="24"/>
      <c r="M1196" s="29"/>
      <c r="N1196" s="25"/>
      <c r="O1196" s="24"/>
      <c r="P1196" s="24"/>
    </row>
    <row r="1197" ht="15.75" customHeight="1">
      <c r="A1197" s="24"/>
      <c r="B1197" s="25"/>
      <c r="C1197" s="26"/>
      <c r="D1197" s="26"/>
      <c r="E1197" s="24"/>
      <c r="F1197" s="24"/>
      <c r="G1197" s="27"/>
      <c r="H1197" s="24"/>
      <c r="I1197" s="24"/>
      <c r="J1197" s="24"/>
      <c r="K1197" s="24"/>
      <c r="M1197" s="29"/>
      <c r="N1197" s="25"/>
      <c r="O1197" s="24"/>
      <c r="P1197" s="24"/>
    </row>
    <row r="1198" ht="15.75" customHeight="1">
      <c r="A1198" s="24"/>
      <c r="B1198" s="25"/>
      <c r="C1198" s="26"/>
      <c r="D1198" s="26"/>
      <c r="E1198" s="24"/>
      <c r="F1198" s="24"/>
      <c r="G1198" s="27"/>
      <c r="H1198" s="24"/>
      <c r="I1198" s="24"/>
      <c r="J1198" s="24"/>
      <c r="K1198" s="24"/>
      <c r="M1198" s="29"/>
      <c r="N1198" s="25"/>
      <c r="O1198" s="24"/>
      <c r="P1198" s="24"/>
    </row>
    <row r="1199" ht="15.75" customHeight="1">
      <c r="A1199" s="24"/>
      <c r="B1199" s="25"/>
      <c r="C1199" s="26"/>
      <c r="D1199" s="26"/>
      <c r="E1199" s="24"/>
      <c r="F1199" s="24"/>
      <c r="G1199" s="27"/>
      <c r="H1199" s="24"/>
      <c r="I1199" s="24"/>
      <c r="J1199" s="24"/>
      <c r="K1199" s="24"/>
      <c r="M1199" s="29"/>
      <c r="N1199" s="25"/>
      <c r="O1199" s="24"/>
      <c r="P1199" s="24"/>
    </row>
    <row r="1200" ht="15.75" customHeight="1">
      <c r="A1200" s="24"/>
      <c r="B1200" s="25"/>
      <c r="C1200" s="26"/>
      <c r="D1200" s="26"/>
      <c r="E1200" s="24"/>
      <c r="F1200" s="24"/>
      <c r="G1200" s="27"/>
      <c r="H1200" s="24"/>
      <c r="I1200" s="24"/>
      <c r="J1200" s="24"/>
      <c r="K1200" s="24"/>
      <c r="M1200" s="29"/>
      <c r="N1200" s="25"/>
      <c r="O1200" s="24"/>
      <c r="P1200" s="24"/>
    </row>
    <row r="1201" ht="15.75" customHeight="1">
      <c r="A1201" s="24"/>
      <c r="B1201" s="25"/>
      <c r="C1201" s="26"/>
      <c r="D1201" s="26"/>
      <c r="E1201" s="24"/>
      <c r="F1201" s="24"/>
      <c r="G1201" s="27"/>
      <c r="H1201" s="24"/>
      <c r="I1201" s="24"/>
      <c r="J1201" s="24"/>
      <c r="K1201" s="24"/>
      <c r="M1201" s="29"/>
      <c r="N1201" s="25"/>
      <c r="O1201" s="24"/>
      <c r="P1201" s="24"/>
    </row>
    <row r="1202" ht="15.75" customHeight="1">
      <c r="A1202" s="24"/>
      <c r="B1202" s="25"/>
      <c r="C1202" s="26"/>
      <c r="D1202" s="26"/>
      <c r="E1202" s="24"/>
      <c r="F1202" s="24"/>
      <c r="G1202" s="27"/>
      <c r="H1202" s="24"/>
      <c r="I1202" s="24"/>
      <c r="J1202" s="24"/>
      <c r="K1202" s="24"/>
      <c r="M1202" s="29"/>
      <c r="N1202" s="25"/>
      <c r="O1202" s="24"/>
      <c r="P1202" s="24"/>
    </row>
    <row r="1203" ht="15.75" customHeight="1">
      <c r="A1203" s="24"/>
      <c r="B1203" s="25"/>
      <c r="C1203" s="26"/>
      <c r="D1203" s="26"/>
      <c r="E1203" s="24"/>
      <c r="F1203" s="24"/>
      <c r="G1203" s="27"/>
      <c r="H1203" s="24"/>
      <c r="I1203" s="24"/>
      <c r="J1203" s="24"/>
      <c r="K1203" s="24"/>
      <c r="M1203" s="29"/>
      <c r="N1203" s="25"/>
      <c r="O1203" s="24"/>
      <c r="P1203" s="24"/>
    </row>
    <row r="1204" ht="15.75" customHeight="1">
      <c r="A1204" s="24"/>
      <c r="B1204" s="25"/>
      <c r="C1204" s="26"/>
      <c r="D1204" s="26"/>
      <c r="E1204" s="24"/>
      <c r="F1204" s="24"/>
      <c r="G1204" s="27"/>
      <c r="H1204" s="24"/>
      <c r="I1204" s="24"/>
      <c r="J1204" s="24"/>
      <c r="K1204" s="24"/>
      <c r="M1204" s="29"/>
      <c r="N1204" s="25"/>
      <c r="O1204" s="24"/>
      <c r="P1204" s="24"/>
    </row>
    <row r="1205" ht="15.75" customHeight="1">
      <c r="A1205" s="24"/>
      <c r="B1205" s="25"/>
      <c r="C1205" s="26"/>
      <c r="D1205" s="26"/>
      <c r="E1205" s="24"/>
      <c r="F1205" s="24"/>
      <c r="G1205" s="27"/>
      <c r="H1205" s="24"/>
      <c r="I1205" s="24"/>
      <c r="J1205" s="24"/>
      <c r="K1205" s="24"/>
      <c r="M1205" s="29"/>
      <c r="N1205" s="25"/>
      <c r="O1205" s="24"/>
      <c r="P1205" s="24"/>
    </row>
    <row r="1206" ht="15.75" customHeight="1">
      <c r="A1206" s="24"/>
      <c r="B1206" s="25"/>
      <c r="C1206" s="26"/>
      <c r="D1206" s="26"/>
      <c r="E1206" s="24"/>
      <c r="F1206" s="24"/>
      <c r="G1206" s="27"/>
      <c r="H1206" s="24"/>
      <c r="I1206" s="24"/>
      <c r="J1206" s="24"/>
      <c r="K1206" s="24"/>
      <c r="M1206" s="29"/>
      <c r="N1206" s="25"/>
      <c r="O1206" s="24"/>
      <c r="P1206" s="24"/>
    </row>
    <row r="1207" ht="15.75" customHeight="1">
      <c r="A1207" s="24"/>
      <c r="B1207" s="25"/>
      <c r="C1207" s="26"/>
      <c r="D1207" s="26"/>
      <c r="E1207" s="24"/>
      <c r="F1207" s="24"/>
      <c r="G1207" s="27"/>
      <c r="H1207" s="24"/>
      <c r="I1207" s="24"/>
      <c r="J1207" s="24"/>
      <c r="K1207" s="24"/>
      <c r="M1207" s="29"/>
      <c r="N1207" s="25"/>
      <c r="O1207" s="24"/>
      <c r="P1207" s="24"/>
    </row>
    <row r="1208" ht="15.75" customHeight="1">
      <c r="A1208" s="24"/>
      <c r="B1208" s="25"/>
      <c r="C1208" s="26"/>
      <c r="D1208" s="26"/>
      <c r="E1208" s="24"/>
      <c r="F1208" s="24"/>
      <c r="G1208" s="27"/>
      <c r="H1208" s="24"/>
      <c r="I1208" s="24"/>
      <c r="J1208" s="24"/>
      <c r="K1208" s="24"/>
      <c r="M1208" s="29"/>
      <c r="N1208" s="25"/>
      <c r="O1208" s="24"/>
      <c r="P1208" s="24"/>
    </row>
    <row r="1209" ht="15.75" customHeight="1">
      <c r="A1209" s="24"/>
      <c r="B1209" s="25"/>
      <c r="C1209" s="26"/>
      <c r="D1209" s="26"/>
      <c r="E1209" s="24"/>
      <c r="F1209" s="24"/>
      <c r="G1209" s="27"/>
      <c r="H1209" s="24"/>
      <c r="I1209" s="24"/>
      <c r="J1209" s="24"/>
      <c r="K1209" s="24"/>
      <c r="M1209" s="29"/>
      <c r="N1209" s="25"/>
      <c r="O1209" s="24"/>
      <c r="P1209" s="24"/>
    </row>
    <row r="1210" ht="15.75" customHeight="1">
      <c r="A1210" s="24"/>
      <c r="B1210" s="25"/>
      <c r="C1210" s="26"/>
      <c r="D1210" s="26"/>
      <c r="E1210" s="24"/>
      <c r="F1210" s="24"/>
      <c r="G1210" s="27"/>
      <c r="H1210" s="24"/>
      <c r="I1210" s="24"/>
      <c r="J1210" s="24"/>
      <c r="K1210" s="24"/>
      <c r="M1210" s="29"/>
      <c r="N1210" s="25"/>
      <c r="O1210" s="24"/>
      <c r="P1210" s="24"/>
    </row>
    <row r="1211" ht="15.75" customHeight="1">
      <c r="A1211" s="24"/>
      <c r="B1211" s="25"/>
      <c r="C1211" s="26"/>
      <c r="D1211" s="26"/>
      <c r="E1211" s="24"/>
      <c r="F1211" s="24"/>
      <c r="G1211" s="27"/>
      <c r="H1211" s="24"/>
      <c r="I1211" s="24"/>
      <c r="J1211" s="24"/>
      <c r="K1211" s="24"/>
      <c r="M1211" s="29"/>
      <c r="N1211" s="25"/>
      <c r="O1211" s="24"/>
      <c r="P1211" s="24"/>
    </row>
    <row r="1212" ht="15.75" customHeight="1">
      <c r="A1212" s="24"/>
      <c r="B1212" s="25"/>
      <c r="C1212" s="26"/>
      <c r="D1212" s="26"/>
      <c r="E1212" s="24"/>
      <c r="F1212" s="24"/>
      <c r="G1212" s="27"/>
      <c r="H1212" s="24"/>
      <c r="I1212" s="24"/>
      <c r="J1212" s="24"/>
      <c r="K1212" s="24"/>
      <c r="M1212" s="29"/>
      <c r="N1212" s="25"/>
      <c r="O1212" s="24"/>
      <c r="P1212" s="24"/>
    </row>
    <row r="1213" ht="15.75" customHeight="1">
      <c r="A1213" s="24"/>
      <c r="B1213" s="25"/>
      <c r="C1213" s="26"/>
      <c r="D1213" s="26"/>
      <c r="E1213" s="24"/>
      <c r="F1213" s="24"/>
      <c r="G1213" s="27"/>
      <c r="H1213" s="24"/>
      <c r="I1213" s="24"/>
      <c r="J1213" s="24"/>
      <c r="K1213" s="24"/>
      <c r="M1213" s="29"/>
      <c r="N1213" s="25"/>
      <c r="O1213" s="24"/>
      <c r="P1213" s="24"/>
    </row>
    <row r="1214" ht="15.75" customHeight="1">
      <c r="A1214" s="24"/>
      <c r="B1214" s="25"/>
      <c r="C1214" s="26"/>
      <c r="D1214" s="26"/>
      <c r="E1214" s="24"/>
      <c r="F1214" s="24"/>
      <c r="G1214" s="27"/>
      <c r="H1214" s="24"/>
      <c r="I1214" s="24"/>
      <c r="J1214" s="24"/>
      <c r="K1214" s="24"/>
      <c r="M1214" s="29"/>
      <c r="N1214" s="25"/>
      <c r="O1214" s="24"/>
      <c r="P1214" s="24"/>
    </row>
    <row r="1215" ht="15.75" customHeight="1">
      <c r="A1215" s="24"/>
      <c r="B1215" s="25"/>
      <c r="C1215" s="26"/>
      <c r="D1215" s="26"/>
      <c r="E1215" s="24"/>
      <c r="F1215" s="24"/>
      <c r="G1215" s="27"/>
      <c r="H1215" s="24"/>
      <c r="I1215" s="24"/>
      <c r="J1215" s="24"/>
      <c r="K1215" s="24"/>
      <c r="M1215" s="29"/>
      <c r="N1215" s="25"/>
      <c r="O1215" s="24"/>
      <c r="P1215" s="24"/>
    </row>
    <row r="1216" ht="15.75" customHeight="1">
      <c r="A1216" s="24"/>
      <c r="B1216" s="25"/>
      <c r="C1216" s="26"/>
      <c r="D1216" s="26"/>
      <c r="E1216" s="24"/>
      <c r="F1216" s="24"/>
      <c r="G1216" s="27"/>
      <c r="H1216" s="24"/>
      <c r="I1216" s="24"/>
      <c r="J1216" s="24"/>
      <c r="K1216" s="24"/>
      <c r="M1216" s="29"/>
      <c r="N1216" s="25"/>
      <c r="O1216" s="24"/>
      <c r="P1216" s="24"/>
    </row>
    <row r="1217" ht="15.75" customHeight="1">
      <c r="A1217" s="24"/>
      <c r="B1217" s="25"/>
      <c r="C1217" s="26"/>
      <c r="D1217" s="26"/>
      <c r="E1217" s="24"/>
      <c r="F1217" s="24"/>
      <c r="G1217" s="27"/>
      <c r="H1217" s="24"/>
      <c r="I1217" s="24"/>
      <c r="J1217" s="24"/>
      <c r="K1217" s="24"/>
      <c r="M1217" s="29"/>
      <c r="N1217" s="25"/>
      <c r="O1217" s="24"/>
      <c r="P1217" s="24"/>
    </row>
    <row r="1218" ht="15.75" customHeight="1">
      <c r="A1218" s="24"/>
      <c r="B1218" s="25"/>
      <c r="C1218" s="26"/>
      <c r="D1218" s="26"/>
      <c r="E1218" s="24"/>
      <c r="F1218" s="24"/>
      <c r="G1218" s="27"/>
      <c r="H1218" s="24"/>
      <c r="I1218" s="24"/>
      <c r="J1218" s="24"/>
      <c r="K1218" s="24"/>
      <c r="M1218" s="29"/>
      <c r="N1218" s="25"/>
      <c r="O1218" s="24"/>
      <c r="P1218" s="24"/>
    </row>
    <row r="1219" ht="15.75" customHeight="1">
      <c r="A1219" s="24"/>
      <c r="B1219" s="25"/>
      <c r="C1219" s="26"/>
      <c r="D1219" s="26"/>
      <c r="E1219" s="24"/>
      <c r="F1219" s="24"/>
      <c r="G1219" s="27"/>
      <c r="H1219" s="24"/>
      <c r="I1219" s="24"/>
      <c r="J1219" s="24"/>
      <c r="K1219" s="24"/>
      <c r="M1219" s="29"/>
      <c r="N1219" s="25"/>
      <c r="O1219" s="24"/>
      <c r="P1219" s="24"/>
    </row>
    <row r="1220" ht="15.75" customHeight="1">
      <c r="A1220" s="24"/>
      <c r="B1220" s="25"/>
      <c r="C1220" s="26"/>
      <c r="D1220" s="26"/>
      <c r="E1220" s="24"/>
      <c r="F1220" s="24"/>
      <c r="G1220" s="27"/>
      <c r="H1220" s="24"/>
      <c r="I1220" s="24"/>
      <c r="J1220" s="24"/>
      <c r="K1220" s="24"/>
      <c r="M1220" s="29"/>
      <c r="N1220" s="25"/>
      <c r="O1220" s="24"/>
      <c r="P1220" s="24"/>
    </row>
    <row r="1221" ht="15.75" customHeight="1">
      <c r="A1221" s="24"/>
      <c r="B1221" s="25"/>
      <c r="C1221" s="26"/>
      <c r="D1221" s="26"/>
      <c r="E1221" s="24"/>
      <c r="F1221" s="24"/>
      <c r="G1221" s="27"/>
      <c r="H1221" s="24"/>
      <c r="I1221" s="24"/>
      <c r="J1221" s="24"/>
      <c r="K1221" s="24"/>
      <c r="M1221" s="29"/>
      <c r="N1221" s="25"/>
      <c r="O1221" s="24"/>
      <c r="P1221" s="24"/>
    </row>
    <row r="1222" ht="15.75" customHeight="1">
      <c r="A1222" s="24"/>
      <c r="B1222" s="25"/>
      <c r="C1222" s="26"/>
      <c r="D1222" s="26"/>
      <c r="E1222" s="24"/>
      <c r="F1222" s="24"/>
      <c r="G1222" s="27"/>
      <c r="H1222" s="24"/>
      <c r="I1222" s="24"/>
      <c r="J1222" s="24"/>
      <c r="K1222" s="24"/>
      <c r="M1222" s="29"/>
      <c r="N1222" s="25"/>
      <c r="O1222" s="24"/>
      <c r="P1222" s="24"/>
    </row>
    <row r="1223" ht="15.75" customHeight="1">
      <c r="A1223" s="24"/>
      <c r="B1223" s="25"/>
      <c r="C1223" s="26"/>
      <c r="D1223" s="26"/>
      <c r="E1223" s="24"/>
      <c r="F1223" s="24"/>
      <c r="G1223" s="27"/>
      <c r="H1223" s="24"/>
      <c r="I1223" s="24"/>
      <c r="J1223" s="24"/>
      <c r="K1223" s="24"/>
      <c r="M1223" s="29"/>
      <c r="N1223" s="25"/>
      <c r="O1223" s="24"/>
      <c r="P1223" s="24"/>
    </row>
    <row r="1224" ht="15.75" customHeight="1">
      <c r="A1224" s="24"/>
      <c r="B1224" s="25"/>
      <c r="C1224" s="26"/>
      <c r="D1224" s="26"/>
      <c r="E1224" s="24"/>
      <c r="F1224" s="24"/>
      <c r="G1224" s="27"/>
      <c r="H1224" s="24"/>
      <c r="I1224" s="24"/>
      <c r="J1224" s="24"/>
      <c r="K1224" s="24"/>
      <c r="M1224" s="29"/>
      <c r="N1224" s="25"/>
      <c r="O1224" s="24"/>
      <c r="P1224" s="24"/>
    </row>
    <row r="1225" ht="15.75" customHeight="1">
      <c r="A1225" s="24"/>
      <c r="B1225" s="25"/>
      <c r="C1225" s="26"/>
      <c r="D1225" s="26"/>
      <c r="E1225" s="24"/>
      <c r="F1225" s="24"/>
      <c r="G1225" s="27"/>
      <c r="H1225" s="24"/>
      <c r="I1225" s="24"/>
      <c r="J1225" s="24"/>
      <c r="K1225" s="24"/>
      <c r="M1225" s="29"/>
      <c r="N1225" s="25"/>
      <c r="O1225" s="24"/>
      <c r="P1225" s="24"/>
    </row>
    <row r="1226" ht="15.75" customHeight="1">
      <c r="A1226" s="24"/>
      <c r="B1226" s="25"/>
      <c r="C1226" s="26"/>
      <c r="D1226" s="26"/>
      <c r="E1226" s="24"/>
      <c r="F1226" s="24"/>
      <c r="G1226" s="27"/>
      <c r="H1226" s="24"/>
      <c r="I1226" s="24"/>
      <c r="J1226" s="24"/>
      <c r="K1226" s="24"/>
      <c r="M1226" s="29"/>
      <c r="N1226" s="25"/>
      <c r="O1226" s="24"/>
      <c r="P1226" s="24"/>
    </row>
    <row r="1227" ht="15.75" customHeight="1">
      <c r="A1227" s="24"/>
      <c r="B1227" s="25"/>
      <c r="C1227" s="26"/>
      <c r="D1227" s="26"/>
      <c r="E1227" s="24"/>
      <c r="F1227" s="24"/>
      <c r="G1227" s="27"/>
      <c r="H1227" s="24"/>
      <c r="I1227" s="24"/>
      <c r="J1227" s="24"/>
      <c r="K1227" s="24"/>
      <c r="M1227" s="29"/>
      <c r="N1227" s="25"/>
      <c r="O1227" s="24"/>
      <c r="P1227" s="24"/>
    </row>
    <row r="1228" ht="15.75" customHeight="1">
      <c r="A1228" s="24"/>
      <c r="B1228" s="25"/>
      <c r="C1228" s="26"/>
      <c r="D1228" s="26"/>
      <c r="E1228" s="24"/>
      <c r="F1228" s="24"/>
      <c r="G1228" s="27"/>
      <c r="H1228" s="24"/>
      <c r="I1228" s="24"/>
      <c r="J1228" s="24"/>
      <c r="K1228" s="24"/>
      <c r="M1228" s="29"/>
      <c r="N1228" s="25"/>
      <c r="O1228" s="24"/>
      <c r="P1228" s="24"/>
    </row>
    <row r="1229" ht="15.75" customHeight="1">
      <c r="A1229" s="24"/>
      <c r="B1229" s="25"/>
      <c r="C1229" s="26"/>
      <c r="D1229" s="26"/>
      <c r="E1229" s="24"/>
      <c r="F1229" s="24"/>
      <c r="G1229" s="27"/>
      <c r="H1229" s="24"/>
      <c r="I1229" s="24"/>
      <c r="J1229" s="24"/>
      <c r="K1229" s="24"/>
      <c r="M1229" s="29"/>
      <c r="N1229" s="25"/>
      <c r="O1229" s="24"/>
      <c r="P1229" s="24"/>
    </row>
    <row r="1230" ht="15.75" customHeight="1">
      <c r="A1230" s="24"/>
      <c r="B1230" s="25"/>
      <c r="C1230" s="26"/>
      <c r="D1230" s="26"/>
      <c r="E1230" s="24"/>
      <c r="F1230" s="24"/>
      <c r="G1230" s="27"/>
      <c r="H1230" s="24"/>
      <c r="I1230" s="24"/>
      <c r="J1230" s="24"/>
      <c r="K1230" s="24"/>
      <c r="M1230" s="29"/>
      <c r="N1230" s="25"/>
      <c r="O1230" s="24"/>
      <c r="P1230" s="24"/>
    </row>
    <row r="1231" ht="15.75" customHeight="1">
      <c r="A1231" s="24"/>
      <c r="B1231" s="25"/>
      <c r="C1231" s="26"/>
      <c r="D1231" s="26"/>
      <c r="E1231" s="24"/>
      <c r="F1231" s="24"/>
      <c r="G1231" s="27"/>
      <c r="H1231" s="24"/>
      <c r="I1231" s="24"/>
      <c r="J1231" s="24"/>
      <c r="K1231" s="24"/>
      <c r="M1231" s="29"/>
      <c r="N1231" s="25"/>
      <c r="O1231" s="24"/>
      <c r="P1231" s="24"/>
    </row>
    <row r="1232" ht="15.75" customHeight="1">
      <c r="A1232" s="24"/>
      <c r="B1232" s="25"/>
      <c r="C1232" s="26"/>
      <c r="D1232" s="26"/>
      <c r="E1232" s="24"/>
      <c r="F1232" s="24"/>
      <c r="G1232" s="27"/>
      <c r="H1232" s="24"/>
      <c r="I1232" s="24"/>
      <c r="J1232" s="24"/>
      <c r="K1232" s="24"/>
      <c r="M1232" s="29"/>
      <c r="N1232" s="25"/>
      <c r="O1232" s="24"/>
      <c r="P1232" s="24"/>
    </row>
    <row r="1233" ht="15.75" customHeight="1">
      <c r="A1233" s="24"/>
      <c r="B1233" s="25"/>
      <c r="C1233" s="26"/>
      <c r="D1233" s="26"/>
      <c r="E1233" s="24"/>
      <c r="F1233" s="24"/>
      <c r="G1233" s="27"/>
      <c r="H1233" s="24"/>
      <c r="I1233" s="24"/>
      <c r="J1233" s="24"/>
      <c r="K1233" s="24"/>
      <c r="M1233" s="29"/>
      <c r="N1233" s="25"/>
      <c r="O1233" s="24"/>
      <c r="P1233" s="24"/>
    </row>
    <row r="1234" ht="15.75" customHeight="1">
      <c r="A1234" s="24"/>
      <c r="B1234" s="25"/>
      <c r="C1234" s="26"/>
      <c r="D1234" s="26"/>
      <c r="E1234" s="24"/>
      <c r="F1234" s="24"/>
      <c r="G1234" s="27"/>
      <c r="H1234" s="24"/>
      <c r="I1234" s="24"/>
      <c r="J1234" s="24"/>
      <c r="K1234" s="24"/>
      <c r="M1234" s="29"/>
      <c r="N1234" s="25"/>
      <c r="O1234" s="24"/>
      <c r="P1234" s="24"/>
    </row>
    <row r="1235" ht="15.75" customHeight="1">
      <c r="A1235" s="24"/>
      <c r="B1235" s="25"/>
      <c r="C1235" s="26"/>
      <c r="D1235" s="26"/>
      <c r="E1235" s="24"/>
      <c r="F1235" s="24"/>
      <c r="G1235" s="27"/>
      <c r="H1235" s="24"/>
      <c r="I1235" s="24"/>
      <c r="J1235" s="24"/>
      <c r="K1235" s="24"/>
      <c r="M1235" s="29"/>
      <c r="N1235" s="25"/>
      <c r="O1235" s="24"/>
      <c r="P1235" s="24"/>
    </row>
    <row r="1236" ht="15.75" customHeight="1">
      <c r="A1236" s="24"/>
      <c r="B1236" s="25"/>
      <c r="C1236" s="26"/>
      <c r="D1236" s="26"/>
      <c r="E1236" s="24"/>
      <c r="F1236" s="24"/>
      <c r="G1236" s="27"/>
      <c r="H1236" s="24"/>
      <c r="I1236" s="24"/>
      <c r="J1236" s="24"/>
      <c r="K1236" s="24"/>
      <c r="M1236" s="29"/>
      <c r="N1236" s="25"/>
      <c r="O1236" s="24"/>
      <c r="P1236" s="24"/>
    </row>
    <row r="1237" ht="15.75" customHeight="1">
      <c r="A1237" s="24"/>
      <c r="B1237" s="25"/>
      <c r="C1237" s="26"/>
      <c r="D1237" s="26"/>
      <c r="E1237" s="24"/>
      <c r="F1237" s="24"/>
      <c r="G1237" s="27"/>
      <c r="H1237" s="24"/>
      <c r="I1237" s="24"/>
      <c r="J1237" s="24"/>
      <c r="K1237" s="24"/>
      <c r="M1237" s="29"/>
      <c r="N1237" s="25"/>
      <c r="O1237" s="24"/>
      <c r="P1237" s="24"/>
    </row>
  </sheetData>
  <dataValidations>
    <dataValidation type="list" allowBlank="1" sqref="J2:J1237">
      <formula1>"CASH,DAYS_15,DAYS_30,DAYS_60,DAYS_90,DAYS_120"</formula1>
    </dataValidation>
    <dataValidation type="list" allowBlank="1" showErrorMessage="1" sqref="B2:B1031">
      <formula1>clients!A$2:A1237</formula1>
    </dataValidation>
    <dataValidation type="list" allowBlank="1" showErrorMessage="1" sqref="P2:P1031 H2:H1237">
      <formula1>Users!$A$2:$A2036</formula1>
    </dataValidation>
    <dataValidation type="list" allowBlank="1" showErrorMessage="1" sqref="O2:O1237">
      <formula1>"FOR_DELIVERY,DELIVERED,NEW_DR"</formula1>
    </dataValidation>
    <dataValidation type="list" allowBlank="1" sqref="K2:K1237">
      <formula1>"FOR_COLLECTION,COUNTERED,FOR_DEPOSIT,DEPOSITED,N/A"</formula1>
    </dataValidation>
    <dataValidation type="list" allowBlank="1" showErrorMessage="1" sqref="E2:E1237">
      <formula1>products!$A$2:$A1237</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9.63"/>
    <col customWidth="1" min="2" max="2" width="40.25"/>
    <col customWidth="1" min="3" max="3" width="12.63"/>
    <col customWidth="1" min="4" max="4" width="14.63"/>
    <col customWidth="1" min="7" max="8" width="22.13"/>
    <col customWidth="1" hidden="1" min="9" max="9" width="16.5"/>
    <col customWidth="1" hidden="1" min="10" max="10" width="27.13"/>
    <col customWidth="1" hidden="1" min="11" max="11" width="25.5"/>
    <col customWidth="1" min="12" max="12" width="22.13"/>
    <col hidden="1" min="13" max="13" width="12.63"/>
  </cols>
  <sheetData>
    <row r="1" ht="15.75" customHeight="1">
      <c r="A1" s="1" t="s">
        <v>0</v>
      </c>
      <c r="B1" s="1" t="s">
        <v>1</v>
      </c>
      <c r="C1" s="1" t="s">
        <v>2</v>
      </c>
      <c r="D1" s="2" t="s">
        <v>3</v>
      </c>
      <c r="E1" s="2" t="s">
        <v>7</v>
      </c>
      <c r="F1" s="1" t="s">
        <v>8</v>
      </c>
      <c r="G1" s="1" t="s">
        <v>9</v>
      </c>
      <c r="H1" s="1" t="s">
        <v>10</v>
      </c>
      <c r="I1" s="5" t="s">
        <v>11</v>
      </c>
      <c r="J1" s="6" t="s">
        <v>12</v>
      </c>
      <c r="K1" s="1" t="s">
        <v>13</v>
      </c>
      <c r="L1" s="1" t="s">
        <v>14</v>
      </c>
      <c r="M1" s="1" t="s">
        <v>15</v>
      </c>
      <c r="N1" s="1" t="s">
        <v>16</v>
      </c>
      <c r="O1" s="1" t="s">
        <v>17</v>
      </c>
      <c r="P1" s="1" t="s">
        <v>18</v>
      </c>
    </row>
    <row r="2" ht="15.75" customHeight="1">
      <c r="A2" s="7" t="s">
        <v>19</v>
      </c>
      <c r="B2" s="8" t="s">
        <v>20</v>
      </c>
      <c r="C2" s="9">
        <v>45710.0</v>
      </c>
      <c r="D2" s="9"/>
      <c r="E2" s="7" t="s">
        <v>22</v>
      </c>
      <c r="F2" s="11" t="s">
        <v>23</v>
      </c>
      <c r="G2" s="11" t="s">
        <v>24</v>
      </c>
      <c r="H2" s="11" t="s">
        <v>25</v>
      </c>
      <c r="I2" s="7"/>
      <c r="J2" s="12" t="s">
        <v>26</v>
      </c>
      <c r="K2" s="13"/>
      <c r="L2" s="11" t="s">
        <v>27</v>
      </c>
      <c r="M2" s="7" t="s">
        <v>22</v>
      </c>
      <c r="N2" s="14" t="b">
        <f t="shared" ref="N2:N78" si="1">if(H2=$H$2,TRUE,O2)</f>
        <v>1</v>
      </c>
      <c r="O2" s="15" t="b">
        <f t="shared" ref="O2:O862" si="2">L2="Cancelled"</f>
        <v>0</v>
      </c>
      <c r="P2" s="15" t="str">
        <f t="shared" ref="P2:P862" si="3">if(H2="DEPOSITED","APPROVED","PENDING")</f>
        <v>APPROVED</v>
      </c>
    </row>
    <row r="3" ht="15.75" customHeight="1">
      <c r="A3" s="7" t="s">
        <v>28</v>
      </c>
      <c r="B3" s="8" t="s">
        <v>29</v>
      </c>
      <c r="C3" s="9">
        <v>45710.0</v>
      </c>
      <c r="D3" s="9"/>
      <c r="E3" s="7" t="s">
        <v>22</v>
      </c>
      <c r="F3" s="11" t="s">
        <v>23</v>
      </c>
      <c r="G3" s="11" t="s">
        <v>30</v>
      </c>
      <c r="H3" s="11" t="s">
        <v>25</v>
      </c>
      <c r="I3" s="16"/>
      <c r="J3" s="12" t="s">
        <v>32</v>
      </c>
      <c r="K3" s="13"/>
      <c r="L3" s="11" t="s">
        <v>27</v>
      </c>
      <c r="M3" s="7" t="s">
        <v>22</v>
      </c>
      <c r="N3" s="14" t="b">
        <f t="shared" si="1"/>
        <v>1</v>
      </c>
      <c r="O3" s="15" t="b">
        <f t="shared" si="2"/>
        <v>0</v>
      </c>
      <c r="P3" s="15" t="str">
        <f t="shared" si="3"/>
        <v>APPROVED</v>
      </c>
    </row>
    <row r="4" ht="15.75" customHeight="1">
      <c r="A4" s="7" t="s">
        <v>33</v>
      </c>
      <c r="B4" s="8" t="s">
        <v>34</v>
      </c>
      <c r="C4" s="9">
        <v>45710.0</v>
      </c>
      <c r="D4" s="9"/>
      <c r="E4" s="7" t="s">
        <v>22</v>
      </c>
      <c r="F4" s="11" t="s">
        <v>23</v>
      </c>
      <c r="G4" s="11" t="s">
        <v>35</v>
      </c>
      <c r="H4" s="11" t="s">
        <v>25</v>
      </c>
      <c r="I4" s="7"/>
      <c r="J4" s="12" t="s">
        <v>36</v>
      </c>
      <c r="K4" s="13"/>
      <c r="L4" s="11" t="s">
        <v>27</v>
      </c>
      <c r="M4" s="7" t="s">
        <v>22</v>
      </c>
      <c r="N4" s="14" t="b">
        <f t="shared" si="1"/>
        <v>1</v>
      </c>
      <c r="O4" s="15" t="b">
        <f t="shared" si="2"/>
        <v>0</v>
      </c>
      <c r="P4" s="15" t="str">
        <f t="shared" si="3"/>
        <v>APPROVED</v>
      </c>
    </row>
    <row r="5" ht="15.75" customHeight="1">
      <c r="A5" s="7" t="s">
        <v>37</v>
      </c>
      <c r="B5" s="13" t="s">
        <v>38</v>
      </c>
      <c r="C5" s="9"/>
      <c r="D5" s="9"/>
      <c r="E5" s="7"/>
      <c r="F5" s="11" t="s">
        <v>23</v>
      </c>
      <c r="G5" s="11" t="s">
        <v>30</v>
      </c>
      <c r="H5" s="11" t="s">
        <v>25</v>
      </c>
      <c r="I5" s="7"/>
      <c r="J5" s="12" t="s">
        <v>32</v>
      </c>
      <c r="K5" s="13"/>
      <c r="L5" s="11" t="s">
        <v>27</v>
      </c>
      <c r="M5" s="7"/>
      <c r="N5" s="14" t="b">
        <f t="shared" si="1"/>
        <v>1</v>
      </c>
      <c r="O5" s="15" t="b">
        <f t="shared" si="2"/>
        <v>0</v>
      </c>
      <c r="P5" s="15" t="str">
        <f t="shared" si="3"/>
        <v>APPROVED</v>
      </c>
    </row>
    <row r="6" ht="15.75" customHeight="1">
      <c r="A6" s="7" t="s">
        <v>39</v>
      </c>
      <c r="B6" s="13" t="s">
        <v>40</v>
      </c>
      <c r="C6" s="9"/>
      <c r="D6" s="9"/>
      <c r="E6" s="7"/>
      <c r="F6" s="11" t="s">
        <v>23</v>
      </c>
      <c r="G6" s="11" t="s">
        <v>30</v>
      </c>
      <c r="H6" s="11" t="s">
        <v>25</v>
      </c>
      <c r="I6" s="7"/>
      <c r="J6" s="12" t="s">
        <v>32</v>
      </c>
      <c r="K6" s="13"/>
      <c r="L6" s="11" t="s">
        <v>27</v>
      </c>
      <c r="M6" s="7"/>
      <c r="N6" s="14" t="b">
        <f t="shared" si="1"/>
        <v>1</v>
      </c>
      <c r="O6" s="15" t="b">
        <f t="shared" si="2"/>
        <v>0</v>
      </c>
      <c r="P6" s="15" t="str">
        <f t="shared" si="3"/>
        <v>APPROVED</v>
      </c>
    </row>
    <row r="7" ht="15.75" customHeight="1">
      <c r="A7" s="7" t="s">
        <v>41</v>
      </c>
      <c r="B7" s="13" t="s">
        <v>42</v>
      </c>
      <c r="C7" s="9">
        <v>45710.0</v>
      </c>
      <c r="D7" s="9"/>
      <c r="E7" s="7" t="s">
        <v>22</v>
      </c>
      <c r="F7" s="11" t="s">
        <v>23</v>
      </c>
      <c r="G7" s="11" t="s">
        <v>24</v>
      </c>
      <c r="H7" s="11" t="s">
        <v>25</v>
      </c>
      <c r="I7" s="7"/>
      <c r="J7" s="12" t="s">
        <v>43</v>
      </c>
      <c r="K7" s="13"/>
      <c r="L7" s="17" t="s">
        <v>27</v>
      </c>
      <c r="M7" s="7" t="s">
        <v>22</v>
      </c>
      <c r="N7" s="14" t="b">
        <f t="shared" si="1"/>
        <v>1</v>
      </c>
      <c r="O7" s="15" t="b">
        <f t="shared" si="2"/>
        <v>0</v>
      </c>
      <c r="P7" s="15" t="str">
        <f t="shared" si="3"/>
        <v>APPROVED</v>
      </c>
    </row>
    <row r="8" ht="15.75" customHeight="1">
      <c r="A8" s="7" t="s">
        <v>44</v>
      </c>
      <c r="B8" s="8" t="s">
        <v>29</v>
      </c>
      <c r="C8" s="9">
        <v>45713.0</v>
      </c>
      <c r="D8" s="9"/>
      <c r="E8" s="7" t="s">
        <v>22</v>
      </c>
      <c r="F8" s="11" t="s">
        <v>23</v>
      </c>
      <c r="G8" s="11" t="s">
        <v>35</v>
      </c>
      <c r="H8" s="11" t="s">
        <v>25</v>
      </c>
      <c r="I8" s="7"/>
      <c r="J8" s="12" t="s">
        <v>45</v>
      </c>
      <c r="K8" s="13"/>
      <c r="L8" s="11" t="s">
        <v>27</v>
      </c>
      <c r="M8" s="7" t="s">
        <v>22</v>
      </c>
      <c r="N8" s="14" t="b">
        <f t="shared" si="1"/>
        <v>1</v>
      </c>
      <c r="O8" s="15" t="b">
        <f t="shared" si="2"/>
        <v>0</v>
      </c>
      <c r="P8" s="15" t="str">
        <f t="shared" si="3"/>
        <v>APPROVED</v>
      </c>
    </row>
    <row r="9" ht="15.75" customHeight="1">
      <c r="A9" s="18" t="s">
        <v>46</v>
      </c>
      <c r="B9" s="19" t="s">
        <v>47</v>
      </c>
      <c r="C9" s="20">
        <v>45713.0</v>
      </c>
      <c r="D9" s="20"/>
      <c r="E9" s="18" t="s">
        <v>22</v>
      </c>
      <c r="F9" s="22" t="s">
        <v>23</v>
      </c>
      <c r="G9" s="22" t="s">
        <v>48</v>
      </c>
      <c r="H9" s="22" t="s">
        <v>49</v>
      </c>
      <c r="I9" s="18" t="s">
        <v>50</v>
      </c>
      <c r="J9" s="23" t="s">
        <v>51</v>
      </c>
      <c r="K9" s="19"/>
      <c r="L9" s="22" t="s">
        <v>27</v>
      </c>
      <c r="M9" s="18" t="s">
        <v>22</v>
      </c>
      <c r="N9" s="14" t="b">
        <f t="shared" si="1"/>
        <v>0</v>
      </c>
      <c r="O9" s="15" t="b">
        <f t="shared" si="2"/>
        <v>0</v>
      </c>
      <c r="P9" s="15" t="str">
        <f t="shared" si="3"/>
        <v>PENDING</v>
      </c>
    </row>
    <row r="10" ht="15.75" customHeight="1">
      <c r="A10" s="7" t="s">
        <v>52</v>
      </c>
      <c r="B10" s="13" t="s">
        <v>53</v>
      </c>
      <c r="C10" s="9">
        <v>45713.0</v>
      </c>
      <c r="D10" s="9"/>
      <c r="E10" s="7" t="s">
        <v>22</v>
      </c>
      <c r="F10" s="11" t="s">
        <v>23</v>
      </c>
      <c r="G10" s="11" t="s">
        <v>30</v>
      </c>
      <c r="H10" s="11" t="s">
        <v>25</v>
      </c>
      <c r="I10" s="7"/>
      <c r="J10" s="12" t="s">
        <v>54</v>
      </c>
      <c r="K10" s="13"/>
      <c r="L10" s="11" t="s">
        <v>27</v>
      </c>
      <c r="M10" s="7" t="s">
        <v>22</v>
      </c>
      <c r="N10" s="14" t="b">
        <f t="shared" si="1"/>
        <v>1</v>
      </c>
      <c r="O10" s="15" t="b">
        <f t="shared" si="2"/>
        <v>0</v>
      </c>
      <c r="P10" s="15" t="str">
        <f t="shared" si="3"/>
        <v>APPROVED</v>
      </c>
    </row>
    <row r="11" ht="15.75" customHeight="1">
      <c r="A11" s="7" t="s">
        <v>55</v>
      </c>
      <c r="B11" s="13" t="s">
        <v>56</v>
      </c>
      <c r="C11" s="9"/>
      <c r="D11" s="9"/>
      <c r="E11" s="7" t="s">
        <v>22</v>
      </c>
      <c r="F11" s="11" t="s">
        <v>23</v>
      </c>
      <c r="G11" s="11" t="s">
        <v>30</v>
      </c>
      <c r="H11" s="11" t="s">
        <v>25</v>
      </c>
      <c r="I11" s="7"/>
      <c r="J11" s="12"/>
      <c r="K11" s="13"/>
      <c r="L11" s="11" t="s">
        <v>27</v>
      </c>
      <c r="M11" s="7" t="s">
        <v>22</v>
      </c>
      <c r="N11" s="14" t="b">
        <f t="shared" si="1"/>
        <v>1</v>
      </c>
      <c r="O11" s="15" t="b">
        <f t="shared" si="2"/>
        <v>0</v>
      </c>
      <c r="P11" s="15" t="str">
        <f t="shared" si="3"/>
        <v>APPROVED</v>
      </c>
    </row>
    <row r="12" ht="15.75" customHeight="1">
      <c r="A12" s="7" t="s">
        <v>57</v>
      </c>
      <c r="B12" s="13" t="s">
        <v>58</v>
      </c>
      <c r="C12" s="9"/>
      <c r="D12" s="9"/>
      <c r="E12" s="7" t="s">
        <v>22</v>
      </c>
      <c r="F12" s="11" t="s">
        <v>23</v>
      </c>
      <c r="G12" s="11" t="s">
        <v>30</v>
      </c>
      <c r="H12" s="11" t="s">
        <v>25</v>
      </c>
      <c r="I12" s="7"/>
      <c r="J12" s="12"/>
      <c r="K12" s="13"/>
      <c r="L12" s="11" t="s">
        <v>27</v>
      </c>
      <c r="M12" s="7" t="s">
        <v>22</v>
      </c>
      <c r="N12" s="14" t="b">
        <f t="shared" si="1"/>
        <v>1</v>
      </c>
      <c r="O12" s="15" t="b">
        <f t="shared" si="2"/>
        <v>0</v>
      </c>
      <c r="P12" s="15" t="str">
        <f t="shared" si="3"/>
        <v>APPROVED</v>
      </c>
    </row>
    <row r="13" ht="15.75" customHeight="1">
      <c r="A13" s="7" t="s">
        <v>59</v>
      </c>
      <c r="B13" s="8" t="s">
        <v>60</v>
      </c>
      <c r="C13" s="9"/>
      <c r="D13" s="9"/>
      <c r="E13" s="7" t="s">
        <v>22</v>
      </c>
      <c r="F13" s="11" t="s">
        <v>23</v>
      </c>
      <c r="G13" s="11" t="s">
        <v>30</v>
      </c>
      <c r="H13" s="11" t="s">
        <v>25</v>
      </c>
      <c r="I13" s="7"/>
      <c r="J13" s="12"/>
      <c r="K13" s="13"/>
      <c r="L13" s="11" t="s">
        <v>27</v>
      </c>
      <c r="M13" s="7" t="s">
        <v>22</v>
      </c>
      <c r="N13" s="14" t="b">
        <f t="shared" si="1"/>
        <v>1</v>
      </c>
      <c r="O13" s="15" t="b">
        <f t="shared" si="2"/>
        <v>0</v>
      </c>
      <c r="P13" s="15" t="str">
        <f t="shared" si="3"/>
        <v>APPROVED</v>
      </c>
    </row>
    <row r="14" ht="15.75" customHeight="1">
      <c r="A14" s="7" t="s">
        <v>61</v>
      </c>
      <c r="B14" s="13" t="s">
        <v>62</v>
      </c>
      <c r="C14" s="9"/>
      <c r="D14" s="9"/>
      <c r="E14" s="7" t="s">
        <v>22</v>
      </c>
      <c r="F14" s="11" t="s">
        <v>23</v>
      </c>
      <c r="G14" s="11" t="s">
        <v>30</v>
      </c>
      <c r="H14" s="11" t="s">
        <v>25</v>
      </c>
      <c r="I14" s="7" t="s">
        <v>63</v>
      </c>
      <c r="J14" s="12" t="s">
        <v>64</v>
      </c>
      <c r="K14" s="13"/>
      <c r="L14" s="11" t="s">
        <v>27</v>
      </c>
      <c r="M14" s="7" t="s">
        <v>22</v>
      </c>
      <c r="N14" s="14" t="b">
        <f t="shared" si="1"/>
        <v>1</v>
      </c>
      <c r="O14" s="15" t="b">
        <f t="shared" si="2"/>
        <v>0</v>
      </c>
      <c r="P14" s="15" t="str">
        <f t="shared" si="3"/>
        <v>APPROVED</v>
      </c>
    </row>
    <row r="15" ht="15.75" customHeight="1">
      <c r="A15" s="18" t="s">
        <v>65</v>
      </c>
      <c r="B15" s="19" t="s">
        <v>66</v>
      </c>
      <c r="C15" s="20">
        <v>45719.0</v>
      </c>
      <c r="D15" s="20">
        <v>45719.0</v>
      </c>
      <c r="E15" s="18" t="s">
        <v>22</v>
      </c>
      <c r="F15" s="22" t="s">
        <v>23</v>
      </c>
      <c r="G15" s="22" t="s">
        <v>30</v>
      </c>
      <c r="H15" s="22" t="s">
        <v>49</v>
      </c>
      <c r="I15" s="18" t="s">
        <v>67</v>
      </c>
      <c r="J15" s="23" t="s">
        <v>51</v>
      </c>
      <c r="K15" s="19" t="s">
        <v>68</v>
      </c>
      <c r="L15" s="22" t="s">
        <v>27</v>
      </c>
      <c r="M15" s="18" t="s">
        <v>22</v>
      </c>
      <c r="N15" s="14" t="b">
        <f t="shared" si="1"/>
        <v>0</v>
      </c>
      <c r="O15" s="15" t="b">
        <f t="shared" si="2"/>
        <v>0</v>
      </c>
      <c r="P15" s="15" t="str">
        <f t="shared" si="3"/>
        <v>PENDING</v>
      </c>
    </row>
    <row r="16" ht="15.0" customHeight="1">
      <c r="A16" s="7" t="s">
        <v>69</v>
      </c>
      <c r="B16" s="8" t="s">
        <v>29</v>
      </c>
      <c r="C16" s="9">
        <v>45721.0</v>
      </c>
      <c r="D16" s="9">
        <v>45780.0</v>
      </c>
      <c r="E16" s="7" t="s">
        <v>22</v>
      </c>
      <c r="F16" s="11" t="s">
        <v>23</v>
      </c>
      <c r="G16" s="11" t="s">
        <v>70</v>
      </c>
      <c r="H16" s="11" t="s">
        <v>25</v>
      </c>
      <c r="I16" s="7"/>
      <c r="J16" s="12" t="s">
        <v>71</v>
      </c>
      <c r="K16" s="13"/>
      <c r="L16" s="11" t="s">
        <v>27</v>
      </c>
      <c r="M16" s="7" t="s">
        <v>22</v>
      </c>
      <c r="N16" s="14" t="b">
        <f t="shared" si="1"/>
        <v>1</v>
      </c>
      <c r="O16" s="15" t="b">
        <f t="shared" si="2"/>
        <v>0</v>
      </c>
      <c r="P16" s="15" t="str">
        <f t="shared" si="3"/>
        <v>APPROVED</v>
      </c>
    </row>
    <row r="17" ht="15.75" customHeight="1">
      <c r="A17" s="7" t="s">
        <v>72</v>
      </c>
      <c r="B17" s="8" t="s">
        <v>73</v>
      </c>
      <c r="C17" s="9">
        <v>45721.0</v>
      </c>
      <c r="D17" s="9" t="s">
        <v>74</v>
      </c>
      <c r="E17" s="7" t="s">
        <v>75</v>
      </c>
      <c r="F17" s="11" t="s">
        <v>23</v>
      </c>
      <c r="G17" s="11" t="s">
        <v>48</v>
      </c>
      <c r="H17" s="11" t="s">
        <v>25</v>
      </c>
      <c r="I17" s="7" t="s">
        <v>76</v>
      </c>
      <c r="J17" s="12" t="s">
        <v>77</v>
      </c>
      <c r="K17" s="13"/>
      <c r="L17" s="11" t="s">
        <v>27</v>
      </c>
      <c r="M17" s="7" t="s">
        <v>75</v>
      </c>
      <c r="N17" s="14" t="b">
        <f t="shared" si="1"/>
        <v>1</v>
      </c>
      <c r="O17" s="15" t="b">
        <f t="shared" si="2"/>
        <v>0</v>
      </c>
      <c r="P17" s="15" t="str">
        <f t="shared" si="3"/>
        <v>APPROVED</v>
      </c>
    </row>
    <row r="18" ht="15.75" customHeight="1">
      <c r="A18" s="7" t="s">
        <v>78</v>
      </c>
      <c r="B18" s="13" t="s">
        <v>79</v>
      </c>
      <c r="C18" s="9">
        <v>45721.0</v>
      </c>
      <c r="D18" s="9" t="s">
        <v>74</v>
      </c>
      <c r="E18" s="7" t="s">
        <v>75</v>
      </c>
      <c r="F18" s="11" t="s">
        <v>23</v>
      </c>
      <c r="G18" s="11" t="s">
        <v>24</v>
      </c>
      <c r="H18" s="11" t="s">
        <v>25</v>
      </c>
      <c r="I18" s="7" t="s">
        <v>80</v>
      </c>
      <c r="J18" s="12" t="s">
        <v>81</v>
      </c>
      <c r="K18" s="13"/>
      <c r="L18" s="11" t="s">
        <v>27</v>
      </c>
      <c r="M18" s="7" t="s">
        <v>75</v>
      </c>
      <c r="N18" s="14" t="b">
        <f t="shared" si="1"/>
        <v>1</v>
      </c>
      <c r="O18" s="15" t="b">
        <f t="shared" si="2"/>
        <v>0</v>
      </c>
      <c r="P18" s="15" t="str">
        <f t="shared" si="3"/>
        <v>APPROVED</v>
      </c>
    </row>
    <row r="19" ht="15.75" customHeight="1">
      <c r="A19" s="24" t="s">
        <v>82</v>
      </c>
      <c r="B19" s="25" t="s">
        <v>83</v>
      </c>
      <c r="C19" s="26">
        <v>45721.0</v>
      </c>
      <c r="D19" s="26" t="s">
        <v>74</v>
      </c>
      <c r="E19" s="24" t="s">
        <v>75</v>
      </c>
      <c r="F19" s="28" t="s">
        <v>23</v>
      </c>
      <c r="G19" s="28" t="s">
        <v>24</v>
      </c>
      <c r="H19" s="28" t="s">
        <v>84</v>
      </c>
      <c r="I19" s="24" t="s">
        <v>85</v>
      </c>
      <c r="J19" s="29" t="s">
        <v>86</v>
      </c>
      <c r="K19" s="25"/>
      <c r="L19" s="28" t="s">
        <v>27</v>
      </c>
      <c r="M19" s="24" t="s">
        <v>75</v>
      </c>
      <c r="N19" s="14" t="b">
        <f t="shared" si="1"/>
        <v>0</v>
      </c>
      <c r="O19" s="15" t="b">
        <f t="shared" si="2"/>
        <v>0</v>
      </c>
      <c r="P19" s="15" t="str">
        <f t="shared" si="3"/>
        <v>PENDING</v>
      </c>
    </row>
    <row r="20" ht="15.75" customHeight="1">
      <c r="A20" s="7" t="s">
        <v>87</v>
      </c>
      <c r="B20" s="13" t="s">
        <v>88</v>
      </c>
      <c r="C20" s="9">
        <v>45721.0</v>
      </c>
      <c r="D20" s="9">
        <v>45780.0</v>
      </c>
      <c r="E20" s="7" t="s">
        <v>75</v>
      </c>
      <c r="F20" s="11" t="s">
        <v>23</v>
      </c>
      <c r="G20" s="11" t="s">
        <v>30</v>
      </c>
      <c r="H20" s="11" t="s">
        <v>25</v>
      </c>
      <c r="I20" s="7"/>
      <c r="J20" s="12" t="s">
        <v>89</v>
      </c>
      <c r="K20" s="13"/>
      <c r="L20" s="11" t="s">
        <v>27</v>
      </c>
      <c r="M20" s="7" t="s">
        <v>75</v>
      </c>
      <c r="N20" s="14" t="b">
        <f t="shared" si="1"/>
        <v>1</v>
      </c>
      <c r="O20" s="15" t="b">
        <f t="shared" si="2"/>
        <v>0</v>
      </c>
      <c r="P20" s="15" t="str">
        <f t="shared" si="3"/>
        <v>APPROVED</v>
      </c>
    </row>
    <row r="21" ht="15.75" customHeight="1">
      <c r="A21" s="18" t="s">
        <v>90</v>
      </c>
      <c r="B21" s="19" t="s">
        <v>91</v>
      </c>
      <c r="C21" s="20">
        <v>45743.0</v>
      </c>
      <c r="D21" s="20">
        <v>45743.0</v>
      </c>
      <c r="E21" s="18" t="s">
        <v>22</v>
      </c>
      <c r="F21" s="22" t="s">
        <v>23</v>
      </c>
      <c r="G21" s="22" t="s">
        <v>24</v>
      </c>
      <c r="H21" s="22" t="s">
        <v>49</v>
      </c>
      <c r="I21" s="18" t="s">
        <v>92</v>
      </c>
      <c r="J21" s="23" t="s">
        <v>51</v>
      </c>
      <c r="K21" s="19"/>
      <c r="L21" s="22" t="s">
        <v>27</v>
      </c>
      <c r="M21" s="18" t="s">
        <v>22</v>
      </c>
      <c r="N21" s="14" t="b">
        <f t="shared" si="1"/>
        <v>0</v>
      </c>
      <c r="O21" s="15" t="b">
        <f t="shared" si="2"/>
        <v>0</v>
      </c>
      <c r="P21" s="15" t="str">
        <f t="shared" si="3"/>
        <v>PENDING</v>
      </c>
    </row>
    <row r="22" ht="15.75" customHeight="1">
      <c r="A22" s="30" t="s">
        <v>93</v>
      </c>
      <c r="B22" s="31" t="s">
        <v>94</v>
      </c>
      <c r="C22" s="32">
        <v>45728.0</v>
      </c>
      <c r="D22" s="32">
        <v>45994.0</v>
      </c>
      <c r="E22" s="30" t="s">
        <v>95</v>
      </c>
      <c r="F22" s="34" t="s">
        <v>23</v>
      </c>
      <c r="G22" s="34" t="s">
        <v>24</v>
      </c>
      <c r="H22" s="34" t="s">
        <v>49</v>
      </c>
      <c r="I22" s="30" t="s">
        <v>96</v>
      </c>
      <c r="J22" s="35" t="s">
        <v>97</v>
      </c>
      <c r="K22" s="31"/>
      <c r="L22" s="30" t="s">
        <v>98</v>
      </c>
      <c r="M22" s="30" t="s">
        <v>95</v>
      </c>
      <c r="N22" s="14" t="b">
        <f t="shared" si="1"/>
        <v>1</v>
      </c>
      <c r="O22" s="15" t="b">
        <f t="shared" si="2"/>
        <v>1</v>
      </c>
      <c r="P22" s="15" t="str">
        <f t="shared" si="3"/>
        <v>PENDING</v>
      </c>
    </row>
    <row r="23" ht="15.75" customHeight="1">
      <c r="A23" s="7" t="s">
        <v>99</v>
      </c>
      <c r="B23" s="13" t="s">
        <v>100</v>
      </c>
      <c r="C23" s="9">
        <v>45728.0</v>
      </c>
      <c r="D23" s="9">
        <v>45994.0</v>
      </c>
      <c r="E23" s="7" t="s">
        <v>95</v>
      </c>
      <c r="F23" s="11" t="s">
        <v>23</v>
      </c>
      <c r="G23" s="11" t="s">
        <v>24</v>
      </c>
      <c r="H23" s="11" t="s">
        <v>25</v>
      </c>
      <c r="I23" s="7" t="s">
        <v>101</v>
      </c>
      <c r="J23" s="12" t="s">
        <v>102</v>
      </c>
      <c r="K23" s="13"/>
      <c r="L23" s="11" t="s">
        <v>27</v>
      </c>
      <c r="M23" s="7" t="s">
        <v>95</v>
      </c>
      <c r="N23" s="14" t="b">
        <f t="shared" si="1"/>
        <v>1</v>
      </c>
      <c r="O23" s="15" t="b">
        <f t="shared" si="2"/>
        <v>0</v>
      </c>
      <c r="P23" s="15" t="str">
        <f t="shared" si="3"/>
        <v>APPROVED</v>
      </c>
    </row>
    <row r="24" ht="15.75" customHeight="1">
      <c r="A24" s="7" t="s">
        <v>103</v>
      </c>
      <c r="B24" s="13" t="s">
        <v>104</v>
      </c>
      <c r="C24" s="9">
        <v>45728.0</v>
      </c>
      <c r="D24" s="9">
        <v>45994.0</v>
      </c>
      <c r="E24" s="7" t="s">
        <v>75</v>
      </c>
      <c r="F24" s="11" t="s">
        <v>23</v>
      </c>
      <c r="G24" s="11" t="s">
        <v>30</v>
      </c>
      <c r="H24" s="11" t="s">
        <v>25</v>
      </c>
      <c r="I24" s="7"/>
      <c r="J24" s="12" t="s">
        <v>89</v>
      </c>
      <c r="K24" s="13"/>
      <c r="L24" s="11" t="s">
        <v>27</v>
      </c>
      <c r="M24" s="7" t="s">
        <v>75</v>
      </c>
      <c r="N24" s="14" t="b">
        <f t="shared" si="1"/>
        <v>1</v>
      </c>
      <c r="O24" s="15" t="b">
        <f t="shared" si="2"/>
        <v>0</v>
      </c>
      <c r="P24" s="15" t="str">
        <f t="shared" si="3"/>
        <v>APPROVED</v>
      </c>
    </row>
    <row r="25" ht="15.75" customHeight="1">
      <c r="A25" s="7" t="s">
        <v>105</v>
      </c>
      <c r="B25" s="13" t="s">
        <v>106</v>
      </c>
      <c r="C25" s="9">
        <v>45728.0</v>
      </c>
      <c r="D25" s="9">
        <v>45994.0</v>
      </c>
      <c r="E25" s="7" t="s">
        <v>75</v>
      </c>
      <c r="F25" s="11" t="s">
        <v>23</v>
      </c>
      <c r="G25" s="11" t="s">
        <v>24</v>
      </c>
      <c r="H25" s="11" t="s">
        <v>25</v>
      </c>
      <c r="I25" s="7"/>
      <c r="J25" s="12" t="s">
        <v>107</v>
      </c>
      <c r="K25" s="13"/>
      <c r="L25" s="11" t="s">
        <v>27</v>
      </c>
      <c r="M25" s="7" t="s">
        <v>75</v>
      </c>
      <c r="N25" s="14" t="b">
        <f t="shared" si="1"/>
        <v>1</v>
      </c>
      <c r="O25" s="15" t="b">
        <f t="shared" si="2"/>
        <v>0</v>
      </c>
      <c r="P25" s="15" t="str">
        <f t="shared" si="3"/>
        <v>APPROVED</v>
      </c>
    </row>
    <row r="26" ht="15.75" customHeight="1">
      <c r="A26" s="7" t="s">
        <v>108</v>
      </c>
      <c r="B26" s="13" t="s">
        <v>109</v>
      </c>
      <c r="C26" s="9">
        <v>45728.0</v>
      </c>
      <c r="D26" s="9">
        <v>45994.0</v>
      </c>
      <c r="E26" s="7" t="s">
        <v>75</v>
      </c>
      <c r="F26" s="11" t="s">
        <v>23</v>
      </c>
      <c r="G26" s="11" t="s">
        <v>48</v>
      </c>
      <c r="H26" s="11" t="s">
        <v>25</v>
      </c>
      <c r="I26" s="7" t="s">
        <v>110</v>
      </c>
      <c r="J26" s="12" t="s">
        <v>111</v>
      </c>
      <c r="K26" s="13"/>
      <c r="L26" s="11" t="s">
        <v>27</v>
      </c>
      <c r="M26" s="7" t="s">
        <v>75</v>
      </c>
      <c r="N26" s="14" t="b">
        <f t="shared" si="1"/>
        <v>1</v>
      </c>
      <c r="O26" s="15" t="b">
        <f t="shared" si="2"/>
        <v>0</v>
      </c>
      <c r="P26" s="15" t="str">
        <f t="shared" si="3"/>
        <v>APPROVED</v>
      </c>
    </row>
    <row r="27" ht="15.75" customHeight="1">
      <c r="A27" s="7" t="s">
        <v>112</v>
      </c>
      <c r="B27" s="13" t="s">
        <v>113</v>
      </c>
      <c r="C27" s="9">
        <v>45728.0</v>
      </c>
      <c r="D27" s="9">
        <v>45994.0</v>
      </c>
      <c r="E27" s="7" t="s">
        <v>75</v>
      </c>
      <c r="F27" s="11" t="s">
        <v>23</v>
      </c>
      <c r="G27" s="11" t="s">
        <v>24</v>
      </c>
      <c r="H27" s="11" t="s">
        <v>25</v>
      </c>
      <c r="I27" s="7" t="s">
        <v>114</v>
      </c>
      <c r="J27" s="12" t="s">
        <v>115</v>
      </c>
      <c r="K27" s="36"/>
      <c r="L27" s="11" t="s">
        <v>27</v>
      </c>
      <c r="M27" s="7" t="s">
        <v>75</v>
      </c>
      <c r="N27" s="14" t="b">
        <f t="shared" si="1"/>
        <v>1</v>
      </c>
      <c r="O27" s="15" t="b">
        <f t="shared" si="2"/>
        <v>0</v>
      </c>
      <c r="P27" s="15" t="str">
        <f t="shared" si="3"/>
        <v>APPROVED</v>
      </c>
    </row>
    <row r="28" ht="15.75" customHeight="1">
      <c r="A28" s="7" t="s">
        <v>116</v>
      </c>
      <c r="B28" s="13" t="s">
        <v>117</v>
      </c>
      <c r="C28" s="9">
        <v>45730.0</v>
      </c>
      <c r="D28" s="9">
        <v>45730.0</v>
      </c>
      <c r="E28" s="7" t="s">
        <v>22</v>
      </c>
      <c r="F28" s="11" t="s">
        <v>23</v>
      </c>
      <c r="G28" s="11" t="s">
        <v>30</v>
      </c>
      <c r="H28" s="11" t="s">
        <v>25</v>
      </c>
      <c r="I28" s="7"/>
      <c r="J28" s="12"/>
      <c r="K28" s="13"/>
      <c r="L28" s="11" t="s">
        <v>27</v>
      </c>
      <c r="M28" s="7" t="s">
        <v>22</v>
      </c>
      <c r="N28" s="14" t="b">
        <f t="shared" si="1"/>
        <v>1</v>
      </c>
      <c r="O28" s="15" t="b">
        <f t="shared" si="2"/>
        <v>0</v>
      </c>
      <c r="P28" s="15" t="str">
        <f t="shared" si="3"/>
        <v>APPROVED</v>
      </c>
    </row>
    <row r="29" ht="15.75" customHeight="1">
      <c r="A29" s="7" t="s">
        <v>118</v>
      </c>
      <c r="B29" s="13" t="s">
        <v>119</v>
      </c>
      <c r="C29" s="9">
        <v>45733.0</v>
      </c>
      <c r="D29" s="9">
        <v>45733.0</v>
      </c>
      <c r="E29" s="7" t="s">
        <v>22</v>
      </c>
      <c r="F29" s="11" t="s">
        <v>23</v>
      </c>
      <c r="G29" s="11" t="s">
        <v>48</v>
      </c>
      <c r="H29" s="11" t="s">
        <v>25</v>
      </c>
      <c r="I29" s="7" t="s">
        <v>120</v>
      </c>
      <c r="J29" s="12" t="s">
        <v>121</v>
      </c>
      <c r="K29" s="13"/>
      <c r="L29" s="11" t="s">
        <v>27</v>
      </c>
      <c r="M29" s="7" t="s">
        <v>22</v>
      </c>
      <c r="N29" s="14" t="b">
        <f t="shared" si="1"/>
        <v>1</v>
      </c>
      <c r="O29" s="15" t="b">
        <f t="shared" si="2"/>
        <v>0</v>
      </c>
      <c r="P29" s="15" t="str">
        <f t="shared" si="3"/>
        <v>APPROVED</v>
      </c>
    </row>
    <row r="30" ht="15.75" customHeight="1">
      <c r="A30" s="30" t="s">
        <v>122</v>
      </c>
      <c r="B30" s="31" t="s">
        <v>123</v>
      </c>
      <c r="C30" s="32">
        <v>45728.0</v>
      </c>
      <c r="D30" s="32">
        <v>45994.0</v>
      </c>
      <c r="E30" s="30" t="s">
        <v>95</v>
      </c>
      <c r="F30" s="34" t="s">
        <v>23</v>
      </c>
      <c r="G30" s="34" t="s">
        <v>24</v>
      </c>
      <c r="H30" s="34" t="s">
        <v>49</v>
      </c>
      <c r="I30" s="30" t="s">
        <v>124</v>
      </c>
      <c r="J30" s="35" t="s">
        <v>125</v>
      </c>
      <c r="K30" s="31"/>
      <c r="L30" s="30" t="s">
        <v>98</v>
      </c>
      <c r="M30" s="30" t="s">
        <v>95</v>
      </c>
      <c r="N30" s="14" t="b">
        <f t="shared" si="1"/>
        <v>1</v>
      </c>
      <c r="O30" s="15" t="b">
        <f t="shared" si="2"/>
        <v>1</v>
      </c>
      <c r="P30" s="15" t="str">
        <f t="shared" si="3"/>
        <v>PENDING</v>
      </c>
    </row>
    <row r="31" ht="15.75" customHeight="1">
      <c r="A31" s="30" t="s">
        <v>126</v>
      </c>
      <c r="B31" s="31" t="s">
        <v>127</v>
      </c>
      <c r="C31" s="32">
        <v>45735.0</v>
      </c>
      <c r="D31" s="32">
        <v>45735.0</v>
      </c>
      <c r="E31" s="30" t="s">
        <v>75</v>
      </c>
      <c r="F31" s="34" t="s">
        <v>23</v>
      </c>
      <c r="G31" s="34" t="s">
        <v>24</v>
      </c>
      <c r="H31" s="34" t="s">
        <v>49</v>
      </c>
      <c r="I31" s="30" t="s">
        <v>128</v>
      </c>
      <c r="J31" s="35" t="s">
        <v>97</v>
      </c>
      <c r="K31" s="31"/>
      <c r="L31" s="30" t="s">
        <v>98</v>
      </c>
      <c r="M31" s="30" t="s">
        <v>75</v>
      </c>
      <c r="N31" s="14" t="b">
        <f t="shared" si="1"/>
        <v>1</v>
      </c>
      <c r="O31" s="15" t="b">
        <f t="shared" si="2"/>
        <v>1</v>
      </c>
      <c r="P31" s="15" t="str">
        <f t="shared" si="3"/>
        <v>PENDING</v>
      </c>
    </row>
    <row r="32" ht="15.75" customHeight="1">
      <c r="A32" s="7" t="s">
        <v>129</v>
      </c>
      <c r="B32" s="37" t="s">
        <v>130</v>
      </c>
      <c r="C32" s="38">
        <v>45735.0</v>
      </c>
      <c r="D32" s="9">
        <v>45735.0</v>
      </c>
      <c r="E32" s="39" t="s">
        <v>75</v>
      </c>
      <c r="F32" s="41" t="s">
        <v>23</v>
      </c>
      <c r="G32" s="41" t="s">
        <v>30</v>
      </c>
      <c r="H32" s="41" t="s">
        <v>25</v>
      </c>
      <c r="I32" s="7"/>
      <c r="J32" s="12" t="s">
        <v>89</v>
      </c>
      <c r="K32" s="37"/>
      <c r="L32" s="41" t="s">
        <v>27</v>
      </c>
      <c r="M32" s="39" t="s">
        <v>75</v>
      </c>
      <c r="N32" s="14" t="b">
        <f t="shared" si="1"/>
        <v>1</v>
      </c>
      <c r="O32" s="15" t="b">
        <f t="shared" si="2"/>
        <v>0</v>
      </c>
      <c r="P32" s="15" t="str">
        <f t="shared" si="3"/>
        <v>APPROVED</v>
      </c>
    </row>
    <row r="33" ht="15.75" customHeight="1">
      <c r="A33" s="30" t="s">
        <v>131</v>
      </c>
      <c r="B33" s="31" t="s">
        <v>132</v>
      </c>
      <c r="C33" s="32">
        <v>45735.0</v>
      </c>
      <c r="D33" s="32">
        <v>45735.0</v>
      </c>
      <c r="E33" s="30" t="s">
        <v>75</v>
      </c>
      <c r="F33" s="34" t="s">
        <v>23</v>
      </c>
      <c r="G33" s="34" t="s">
        <v>30</v>
      </c>
      <c r="H33" s="30" t="s">
        <v>31</v>
      </c>
      <c r="I33" s="30"/>
      <c r="J33" s="35"/>
      <c r="K33" s="31"/>
      <c r="L33" s="30" t="s">
        <v>98</v>
      </c>
      <c r="M33" s="30" t="s">
        <v>75</v>
      </c>
      <c r="N33" s="14" t="b">
        <f t="shared" si="1"/>
        <v>1</v>
      </c>
      <c r="O33" s="15" t="b">
        <f t="shared" si="2"/>
        <v>1</v>
      </c>
      <c r="P33" s="15" t="str">
        <f t="shared" si="3"/>
        <v>PENDING</v>
      </c>
    </row>
    <row r="34" ht="15.75" customHeight="1">
      <c r="A34" s="7" t="s">
        <v>133</v>
      </c>
      <c r="B34" s="13" t="s">
        <v>134</v>
      </c>
      <c r="C34" s="9">
        <v>45735.0</v>
      </c>
      <c r="D34" s="9">
        <v>45735.0</v>
      </c>
      <c r="E34" s="7" t="s">
        <v>75</v>
      </c>
      <c r="F34" s="11" t="s">
        <v>23</v>
      </c>
      <c r="G34" s="11" t="s">
        <v>30</v>
      </c>
      <c r="H34" s="11" t="s">
        <v>25</v>
      </c>
      <c r="I34" s="7"/>
      <c r="J34" s="12" t="s">
        <v>89</v>
      </c>
      <c r="K34" s="13"/>
      <c r="L34" s="11" t="s">
        <v>27</v>
      </c>
      <c r="M34" s="7" t="s">
        <v>75</v>
      </c>
      <c r="N34" s="14" t="b">
        <f t="shared" si="1"/>
        <v>1</v>
      </c>
      <c r="O34" s="15" t="b">
        <f t="shared" si="2"/>
        <v>0</v>
      </c>
      <c r="P34" s="15" t="str">
        <f t="shared" si="3"/>
        <v>APPROVED</v>
      </c>
    </row>
    <row r="35" ht="15.75" customHeight="1">
      <c r="A35" s="30" t="s">
        <v>135</v>
      </c>
      <c r="B35" s="31" t="s">
        <v>136</v>
      </c>
      <c r="C35" s="32">
        <v>42084.0</v>
      </c>
      <c r="D35" s="32">
        <v>45737.0</v>
      </c>
      <c r="E35" s="30" t="s">
        <v>137</v>
      </c>
      <c r="F35" s="34" t="s">
        <v>23</v>
      </c>
      <c r="G35" s="34" t="s">
        <v>24</v>
      </c>
      <c r="H35" s="34" t="s">
        <v>49</v>
      </c>
      <c r="I35" s="30" t="s">
        <v>138</v>
      </c>
      <c r="J35" s="35" t="s">
        <v>139</v>
      </c>
      <c r="K35" s="31"/>
      <c r="L35" s="30" t="s">
        <v>98</v>
      </c>
      <c r="M35" s="30" t="s">
        <v>137</v>
      </c>
      <c r="N35" s="14" t="b">
        <f t="shared" si="1"/>
        <v>1</v>
      </c>
      <c r="O35" s="15" t="b">
        <f t="shared" si="2"/>
        <v>1</v>
      </c>
      <c r="P35" s="15" t="str">
        <f t="shared" si="3"/>
        <v>PENDING</v>
      </c>
    </row>
    <row r="36" ht="15.75" customHeight="1">
      <c r="A36" s="30" t="s">
        <v>140</v>
      </c>
      <c r="B36" s="31" t="s">
        <v>141</v>
      </c>
      <c r="C36" s="32">
        <v>45727.0</v>
      </c>
      <c r="D36" s="32">
        <v>45964.0</v>
      </c>
      <c r="E36" s="30" t="s">
        <v>142</v>
      </c>
      <c r="F36" s="34" t="s">
        <v>23</v>
      </c>
      <c r="G36" s="34" t="s">
        <v>24</v>
      </c>
      <c r="H36" s="30" t="s">
        <v>31</v>
      </c>
      <c r="I36" s="30"/>
      <c r="J36" s="35"/>
      <c r="K36" s="31"/>
      <c r="L36" s="30" t="s">
        <v>98</v>
      </c>
      <c r="M36" s="30" t="s">
        <v>142</v>
      </c>
      <c r="N36" s="14" t="b">
        <f t="shared" si="1"/>
        <v>1</v>
      </c>
      <c r="O36" s="15" t="b">
        <f t="shared" si="2"/>
        <v>1</v>
      </c>
      <c r="P36" s="15" t="str">
        <f t="shared" si="3"/>
        <v>PENDING</v>
      </c>
    </row>
    <row r="37" ht="15.75" customHeight="1">
      <c r="A37" s="7" t="s">
        <v>143</v>
      </c>
      <c r="B37" s="8" t="s">
        <v>144</v>
      </c>
      <c r="C37" s="9">
        <v>45735.0</v>
      </c>
      <c r="D37" s="9">
        <v>45735.0</v>
      </c>
      <c r="E37" s="43" t="s">
        <v>137</v>
      </c>
      <c r="F37" s="11" t="s">
        <v>23</v>
      </c>
      <c r="G37" s="44" t="s">
        <v>30</v>
      </c>
      <c r="H37" s="44" t="s">
        <v>25</v>
      </c>
      <c r="I37" s="7"/>
      <c r="J37" s="45" t="s">
        <v>89</v>
      </c>
      <c r="K37" s="46"/>
      <c r="L37" s="47" t="s">
        <v>27</v>
      </c>
      <c r="M37" s="43" t="s">
        <v>137</v>
      </c>
      <c r="N37" s="14" t="b">
        <f t="shared" si="1"/>
        <v>1</v>
      </c>
      <c r="O37" s="15" t="b">
        <f t="shared" si="2"/>
        <v>0</v>
      </c>
      <c r="P37" s="15" t="str">
        <f t="shared" si="3"/>
        <v>APPROVED</v>
      </c>
    </row>
    <row r="38" ht="15.75" customHeight="1">
      <c r="A38" s="7" t="s">
        <v>145</v>
      </c>
      <c r="B38" s="13" t="s">
        <v>146</v>
      </c>
      <c r="C38" s="9">
        <v>45735.0</v>
      </c>
      <c r="D38" s="9">
        <v>45735.0</v>
      </c>
      <c r="E38" s="10" t="s">
        <v>22</v>
      </c>
      <c r="F38" s="11" t="s">
        <v>23</v>
      </c>
      <c r="G38" s="11" t="s">
        <v>30</v>
      </c>
      <c r="H38" s="11" t="s">
        <v>25</v>
      </c>
      <c r="I38" s="7"/>
      <c r="J38" s="12" t="s">
        <v>89</v>
      </c>
      <c r="K38" s="13"/>
      <c r="L38" s="11" t="s">
        <v>27</v>
      </c>
      <c r="M38" s="10" t="s">
        <v>22</v>
      </c>
      <c r="N38" s="14" t="b">
        <f t="shared" si="1"/>
        <v>1</v>
      </c>
      <c r="O38" s="15" t="b">
        <f t="shared" si="2"/>
        <v>0</v>
      </c>
      <c r="P38" s="15" t="str">
        <f t="shared" si="3"/>
        <v>APPROVED</v>
      </c>
    </row>
    <row r="39" ht="15.75" customHeight="1">
      <c r="A39" s="24" t="s">
        <v>147</v>
      </c>
      <c r="B39" s="25" t="s">
        <v>148</v>
      </c>
      <c r="C39" s="26">
        <v>45735.0</v>
      </c>
      <c r="D39" s="26">
        <v>45735.0</v>
      </c>
      <c r="E39" s="24" t="s">
        <v>22</v>
      </c>
      <c r="F39" s="28" t="s">
        <v>23</v>
      </c>
      <c r="G39" s="28" t="s">
        <v>30</v>
      </c>
      <c r="H39" s="28" t="s">
        <v>49</v>
      </c>
      <c r="I39" s="24" t="s">
        <v>149</v>
      </c>
      <c r="J39" s="29"/>
      <c r="K39" s="25"/>
      <c r="L39" s="28" t="s">
        <v>27</v>
      </c>
      <c r="M39" s="24" t="s">
        <v>22</v>
      </c>
      <c r="N39" s="14" t="b">
        <f t="shared" si="1"/>
        <v>0</v>
      </c>
      <c r="O39" s="15" t="b">
        <f t="shared" si="2"/>
        <v>0</v>
      </c>
      <c r="P39" s="15" t="str">
        <f t="shared" si="3"/>
        <v>PENDING</v>
      </c>
    </row>
    <row r="40" ht="15.75" customHeight="1">
      <c r="A40" s="7" t="s">
        <v>150</v>
      </c>
      <c r="B40" s="13" t="s">
        <v>151</v>
      </c>
      <c r="C40" s="9">
        <v>45737.0</v>
      </c>
      <c r="D40" s="9">
        <v>45737.0</v>
      </c>
      <c r="E40" s="7" t="s">
        <v>152</v>
      </c>
      <c r="F40" s="11" t="s">
        <v>23</v>
      </c>
      <c r="G40" s="11" t="s">
        <v>30</v>
      </c>
      <c r="H40" s="11" t="s">
        <v>25</v>
      </c>
      <c r="I40" s="7"/>
      <c r="J40" s="12" t="s">
        <v>89</v>
      </c>
      <c r="K40" s="13"/>
      <c r="L40" s="11" t="s">
        <v>27</v>
      </c>
      <c r="M40" s="7" t="s">
        <v>152</v>
      </c>
      <c r="N40" s="14" t="b">
        <f t="shared" si="1"/>
        <v>1</v>
      </c>
      <c r="O40" s="15" t="b">
        <f t="shared" si="2"/>
        <v>0</v>
      </c>
      <c r="P40" s="15" t="str">
        <f t="shared" si="3"/>
        <v>APPROVED</v>
      </c>
    </row>
    <row r="41" ht="15.75" customHeight="1">
      <c r="A41" s="7" t="s">
        <v>153</v>
      </c>
      <c r="B41" s="13" t="s">
        <v>154</v>
      </c>
      <c r="C41" s="9">
        <v>45737.0</v>
      </c>
      <c r="D41" s="9">
        <v>45737.0</v>
      </c>
      <c r="E41" s="7" t="s">
        <v>75</v>
      </c>
      <c r="F41" s="11" t="s">
        <v>23</v>
      </c>
      <c r="G41" s="11" t="s">
        <v>24</v>
      </c>
      <c r="H41" s="11" t="s">
        <v>25</v>
      </c>
      <c r="I41" s="7" t="s">
        <v>155</v>
      </c>
      <c r="J41" s="12" t="s">
        <v>156</v>
      </c>
      <c r="K41" s="13"/>
      <c r="L41" s="11" t="s">
        <v>27</v>
      </c>
      <c r="M41" s="7" t="s">
        <v>75</v>
      </c>
      <c r="N41" s="14" t="b">
        <f t="shared" si="1"/>
        <v>1</v>
      </c>
      <c r="O41" s="15" t="b">
        <f t="shared" si="2"/>
        <v>0</v>
      </c>
      <c r="P41" s="15" t="str">
        <f t="shared" si="3"/>
        <v>APPROVED</v>
      </c>
    </row>
    <row r="42" ht="15.75" customHeight="1">
      <c r="A42" s="7" t="s">
        <v>157</v>
      </c>
      <c r="B42" s="13" t="s">
        <v>130</v>
      </c>
      <c r="C42" s="9">
        <v>45737.0</v>
      </c>
      <c r="D42" s="9">
        <v>45737.0</v>
      </c>
      <c r="E42" s="7" t="s">
        <v>75</v>
      </c>
      <c r="F42" s="11" t="s">
        <v>23</v>
      </c>
      <c r="G42" s="11" t="s">
        <v>30</v>
      </c>
      <c r="H42" s="11" t="s">
        <v>25</v>
      </c>
      <c r="I42" s="7"/>
      <c r="J42" s="12" t="s">
        <v>89</v>
      </c>
      <c r="K42" s="13"/>
      <c r="L42" s="11" t="s">
        <v>27</v>
      </c>
      <c r="M42" s="7" t="s">
        <v>75</v>
      </c>
      <c r="N42" s="14" t="b">
        <f t="shared" si="1"/>
        <v>1</v>
      </c>
      <c r="O42" s="15" t="b">
        <f t="shared" si="2"/>
        <v>0</v>
      </c>
      <c r="P42" s="15" t="str">
        <f t="shared" si="3"/>
        <v>APPROVED</v>
      </c>
    </row>
    <row r="43" ht="15.75" customHeight="1">
      <c r="A43" s="7" t="s">
        <v>158</v>
      </c>
      <c r="B43" s="13" t="s">
        <v>106</v>
      </c>
      <c r="C43" s="9">
        <v>45747.0</v>
      </c>
      <c r="D43" s="9">
        <v>45747.0</v>
      </c>
      <c r="E43" s="7" t="s">
        <v>75</v>
      </c>
      <c r="F43" s="11" t="s">
        <v>23</v>
      </c>
      <c r="G43" s="11" t="s">
        <v>35</v>
      </c>
      <c r="H43" s="11" t="s">
        <v>25</v>
      </c>
      <c r="I43" s="7" t="s">
        <v>159</v>
      </c>
      <c r="J43" s="12" t="s">
        <v>160</v>
      </c>
      <c r="K43" s="13"/>
      <c r="L43" s="11" t="s">
        <v>27</v>
      </c>
      <c r="M43" s="7" t="s">
        <v>75</v>
      </c>
      <c r="N43" s="14" t="b">
        <f t="shared" si="1"/>
        <v>1</v>
      </c>
      <c r="O43" s="15" t="b">
        <f t="shared" si="2"/>
        <v>0</v>
      </c>
      <c r="P43" s="15" t="str">
        <f t="shared" si="3"/>
        <v>APPROVED</v>
      </c>
    </row>
    <row r="44" ht="15.75" customHeight="1">
      <c r="A44" s="7" t="s">
        <v>161</v>
      </c>
      <c r="B44" s="8" t="s">
        <v>60</v>
      </c>
      <c r="C44" s="9">
        <v>45747.0</v>
      </c>
      <c r="D44" s="9">
        <v>45747.0</v>
      </c>
      <c r="E44" s="7" t="s">
        <v>22</v>
      </c>
      <c r="F44" s="11" t="s">
        <v>23</v>
      </c>
      <c r="G44" s="11" t="s">
        <v>48</v>
      </c>
      <c r="H44" s="11" t="s">
        <v>25</v>
      </c>
      <c r="I44" s="7" t="s">
        <v>162</v>
      </c>
      <c r="J44" s="12" t="s">
        <v>163</v>
      </c>
      <c r="K44" s="13"/>
      <c r="L44" s="11" t="s">
        <v>27</v>
      </c>
      <c r="M44" s="7" t="s">
        <v>22</v>
      </c>
      <c r="N44" s="14" t="b">
        <f t="shared" si="1"/>
        <v>1</v>
      </c>
      <c r="O44" s="15" t="b">
        <f t="shared" si="2"/>
        <v>0</v>
      </c>
      <c r="P44" s="15" t="str">
        <f t="shared" si="3"/>
        <v>APPROVED</v>
      </c>
    </row>
    <row r="45" ht="15.75" customHeight="1">
      <c r="A45" s="7" t="s">
        <v>164</v>
      </c>
      <c r="B45" s="48" t="s">
        <v>165</v>
      </c>
      <c r="C45" s="9">
        <v>45747.0</v>
      </c>
      <c r="D45" s="9">
        <v>45747.0</v>
      </c>
      <c r="E45" s="7" t="s">
        <v>22</v>
      </c>
      <c r="F45" s="11" t="s">
        <v>23</v>
      </c>
      <c r="G45" s="11" t="s">
        <v>48</v>
      </c>
      <c r="H45" s="11" t="s">
        <v>25</v>
      </c>
      <c r="I45" s="7" t="s">
        <v>166</v>
      </c>
      <c r="J45" s="12" t="s">
        <v>167</v>
      </c>
      <c r="K45" s="13"/>
      <c r="L45" s="11" t="s">
        <v>27</v>
      </c>
      <c r="M45" s="7" t="s">
        <v>22</v>
      </c>
      <c r="N45" s="14" t="b">
        <f t="shared" si="1"/>
        <v>1</v>
      </c>
      <c r="O45" s="15" t="b">
        <f t="shared" si="2"/>
        <v>0</v>
      </c>
      <c r="P45" s="15" t="str">
        <f t="shared" si="3"/>
        <v>APPROVED</v>
      </c>
    </row>
    <row r="46" ht="15.75" customHeight="1">
      <c r="A46" s="7" t="s">
        <v>168</v>
      </c>
      <c r="B46" s="8" t="s">
        <v>29</v>
      </c>
      <c r="C46" s="9">
        <v>45747.0</v>
      </c>
      <c r="D46" s="9">
        <v>45747.0</v>
      </c>
      <c r="E46" s="7" t="s">
        <v>22</v>
      </c>
      <c r="F46" s="11" t="s">
        <v>23</v>
      </c>
      <c r="G46" s="11" t="s">
        <v>70</v>
      </c>
      <c r="H46" s="11" t="s">
        <v>25</v>
      </c>
      <c r="I46" s="7"/>
      <c r="J46" s="12"/>
      <c r="K46" s="13"/>
      <c r="L46" s="11" t="s">
        <v>27</v>
      </c>
      <c r="M46" s="7" t="s">
        <v>22</v>
      </c>
      <c r="N46" s="14" t="b">
        <f t="shared" si="1"/>
        <v>1</v>
      </c>
      <c r="O46" s="15" t="b">
        <f t="shared" si="2"/>
        <v>0</v>
      </c>
      <c r="P46" s="15" t="str">
        <f t="shared" si="3"/>
        <v>APPROVED</v>
      </c>
    </row>
    <row r="47" ht="15.75" customHeight="1">
      <c r="A47" s="7" t="s">
        <v>169</v>
      </c>
      <c r="B47" s="13" t="s">
        <v>170</v>
      </c>
      <c r="C47" s="9">
        <v>45749.0</v>
      </c>
      <c r="D47" s="9">
        <v>45692.0</v>
      </c>
      <c r="E47" s="7" t="s">
        <v>171</v>
      </c>
      <c r="F47" s="11" t="s">
        <v>23</v>
      </c>
      <c r="G47" s="11" t="s">
        <v>172</v>
      </c>
      <c r="H47" s="11" t="s">
        <v>25</v>
      </c>
      <c r="I47" s="7" t="s">
        <v>173</v>
      </c>
      <c r="J47" s="12" t="s">
        <v>174</v>
      </c>
      <c r="K47" s="13"/>
      <c r="L47" s="11" t="s">
        <v>27</v>
      </c>
      <c r="M47" s="7" t="s">
        <v>171</v>
      </c>
      <c r="N47" s="14" t="b">
        <f t="shared" si="1"/>
        <v>1</v>
      </c>
      <c r="O47" s="15" t="b">
        <f t="shared" si="2"/>
        <v>0</v>
      </c>
      <c r="P47" s="15" t="str">
        <f t="shared" si="3"/>
        <v>APPROVED</v>
      </c>
    </row>
    <row r="48" ht="15.0" customHeight="1">
      <c r="A48" s="7" t="s">
        <v>175</v>
      </c>
      <c r="B48" s="13" t="s">
        <v>176</v>
      </c>
      <c r="C48" s="9">
        <v>45751.0</v>
      </c>
      <c r="D48" s="9">
        <v>45751.0</v>
      </c>
      <c r="E48" s="7" t="s">
        <v>177</v>
      </c>
      <c r="F48" s="11" t="s">
        <v>23</v>
      </c>
      <c r="G48" s="11" t="s">
        <v>48</v>
      </c>
      <c r="H48" s="11" t="s">
        <v>25</v>
      </c>
      <c r="I48" s="7" t="s">
        <v>178</v>
      </c>
      <c r="J48" s="12" t="s">
        <v>179</v>
      </c>
      <c r="K48" s="13"/>
      <c r="L48" s="11" t="s">
        <v>27</v>
      </c>
      <c r="M48" s="7" t="s">
        <v>177</v>
      </c>
      <c r="N48" s="14" t="b">
        <f t="shared" si="1"/>
        <v>1</v>
      </c>
      <c r="O48" s="15" t="b">
        <f t="shared" si="2"/>
        <v>0</v>
      </c>
      <c r="P48" s="15" t="str">
        <f t="shared" si="3"/>
        <v>APPROVED</v>
      </c>
    </row>
    <row r="49" ht="17.25" customHeight="1">
      <c r="A49" s="7" t="s">
        <v>180</v>
      </c>
      <c r="B49" s="13" t="s">
        <v>181</v>
      </c>
      <c r="C49" s="9">
        <v>45771.0</v>
      </c>
      <c r="D49" s="9">
        <v>45771.0</v>
      </c>
      <c r="E49" s="7" t="s">
        <v>171</v>
      </c>
      <c r="F49" s="11" t="s">
        <v>23</v>
      </c>
      <c r="G49" s="11" t="s">
        <v>172</v>
      </c>
      <c r="H49" s="11" t="s">
        <v>25</v>
      </c>
      <c r="I49" s="7" t="s">
        <v>182</v>
      </c>
      <c r="J49" s="12" t="s">
        <v>183</v>
      </c>
      <c r="K49" s="13"/>
      <c r="L49" s="11" t="s">
        <v>27</v>
      </c>
      <c r="M49" s="7" t="s">
        <v>171</v>
      </c>
      <c r="N49" s="14" t="b">
        <f t="shared" si="1"/>
        <v>1</v>
      </c>
      <c r="O49" s="15" t="b">
        <f t="shared" si="2"/>
        <v>0</v>
      </c>
      <c r="P49" s="15" t="str">
        <f t="shared" si="3"/>
        <v>APPROVED</v>
      </c>
    </row>
    <row r="50" ht="17.25" customHeight="1">
      <c r="A50" s="24" t="s">
        <v>184</v>
      </c>
      <c r="B50" s="25" t="s">
        <v>185</v>
      </c>
      <c r="C50" s="26">
        <v>45771.0</v>
      </c>
      <c r="D50" s="26">
        <v>45771.0</v>
      </c>
      <c r="E50" s="24" t="s">
        <v>171</v>
      </c>
      <c r="F50" s="28" t="s">
        <v>23</v>
      </c>
      <c r="G50" s="28" t="s">
        <v>172</v>
      </c>
      <c r="H50" s="28" t="s">
        <v>84</v>
      </c>
      <c r="I50" s="24" t="s">
        <v>186</v>
      </c>
      <c r="J50" s="29" t="s">
        <v>187</v>
      </c>
      <c r="K50" s="25"/>
      <c r="L50" s="28" t="s">
        <v>27</v>
      </c>
      <c r="M50" s="24" t="s">
        <v>171</v>
      </c>
      <c r="N50" s="14" t="b">
        <f t="shared" si="1"/>
        <v>0</v>
      </c>
      <c r="O50" s="15" t="b">
        <f t="shared" si="2"/>
        <v>0</v>
      </c>
      <c r="P50" s="15" t="str">
        <f t="shared" si="3"/>
        <v>PENDING</v>
      </c>
    </row>
    <row r="51" ht="17.25" customHeight="1">
      <c r="A51" s="7" t="s">
        <v>188</v>
      </c>
      <c r="B51" s="13" t="s">
        <v>189</v>
      </c>
      <c r="C51" s="9">
        <v>45751.0</v>
      </c>
      <c r="D51" s="9">
        <v>45751.0</v>
      </c>
      <c r="E51" s="7" t="s">
        <v>177</v>
      </c>
      <c r="F51" s="11" t="s">
        <v>23</v>
      </c>
      <c r="G51" s="11" t="s">
        <v>35</v>
      </c>
      <c r="H51" s="11" t="s">
        <v>25</v>
      </c>
      <c r="I51" s="7" t="s">
        <v>190</v>
      </c>
      <c r="J51" s="49" t="s">
        <v>191</v>
      </c>
      <c r="K51" s="13"/>
      <c r="L51" s="11" t="s">
        <v>27</v>
      </c>
      <c r="M51" s="7" t="s">
        <v>177</v>
      </c>
      <c r="N51" s="14" t="b">
        <f t="shared" si="1"/>
        <v>1</v>
      </c>
      <c r="O51" s="15" t="b">
        <f t="shared" si="2"/>
        <v>0</v>
      </c>
      <c r="P51" s="15" t="str">
        <f t="shared" si="3"/>
        <v>APPROVED</v>
      </c>
    </row>
    <row r="52" ht="17.25" customHeight="1">
      <c r="A52" s="7" t="s">
        <v>192</v>
      </c>
      <c r="B52" s="8" t="s">
        <v>29</v>
      </c>
      <c r="C52" s="9">
        <v>45751.0</v>
      </c>
      <c r="D52" s="9">
        <v>45751.0</v>
      </c>
      <c r="E52" s="7" t="s">
        <v>22</v>
      </c>
      <c r="F52" s="11" t="s">
        <v>23</v>
      </c>
      <c r="G52" s="11" t="s">
        <v>70</v>
      </c>
      <c r="H52" s="11" t="s">
        <v>25</v>
      </c>
      <c r="I52" s="7"/>
      <c r="J52" s="12"/>
      <c r="K52" s="13"/>
      <c r="L52" s="11" t="s">
        <v>27</v>
      </c>
      <c r="M52" s="7" t="s">
        <v>22</v>
      </c>
      <c r="N52" s="14" t="b">
        <f t="shared" si="1"/>
        <v>1</v>
      </c>
      <c r="O52" s="15" t="b">
        <f t="shared" si="2"/>
        <v>0</v>
      </c>
      <c r="P52" s="15" t="str">
        <f t="shared" si="3"/>
        <v>APPROVED</v>
      </c>
    </row>
    <row r="53" ht="17.25" customHeight="1">
      <c r="A53" s="7" t="s">
        <v>193</v>
      </c>
      <c r="B53" s="13" t="s">
        <v>194</v>
      </c>
      <c r="C53" s="9">
        <v>45751.0</v>
      </c>
      <c r="D53" s="9">
        <v>45751.0</v>
      </c>
      <c r="E53" s="7" t="s">
        <v>177</v>
      </c>
      <c r="F53" s="11" t="s">
        <v>23</v>
      </c>
      <c r="G53" s="11" t="s">
        <v>172</v>
      </c>
      <c r="H53" s="11" t="s">
        <v>25</v>
      </c>
      <c r="I53" s="7" t="s">
        <v>195</v>
      </c>
      <c r="J53" s="12" t="s">
        <v>196</v>
      </c>
      <c r="K53" s="13"/>
      <c r="L53" s="11" t="s">
        <v>27</v>
      </c>
      <c r="M53" s="7" t="s">
        <v>177</v>
      </c>
      <c r="N53" s="14" t="b">
        <f t="shared" si="1"/>
        <v>1</v>
      </c>
      <c r="O53" s="15" t="b">
        <f t="shared" si="2"/>
        <v>0</v>
      </c>
      <c r="P53" s="15" t="str">
        <f t="shared" si="3"/>
        <v>APPROVED</v>
      </c>
    </row>
    <row r="54" ht="15.75" customHeight="1">
      <c r="A54" s="7" t="s">
        <v>197</v>
      </c>
      <c r="B54" s="13" t="s">
        <v>198</v>
      </c>
      <c r="C54" s="9">
        <v>45751.0</v>
      </c>
      <c r="D54" s="9">
        <v>45751.0</v>
      </c>
      <c r="E54" s="7" t="s">
        <v>177</v>
      </c>
      <c r="F54" s="11" t="s">
        <v>23</v>
      </c>
      <c r="G54" s="11" t="s">
        <v>172</v>
      </c>
      <c r="H54" s="11" t="s">
        <v>25</v>
      </c>
      <c r="I54" s="7" t="s">
        <v>199</v>
      </c>
      <c r="J54" s="12" t="s">
        <v>200</v>
      </c>
      <c r="K54" s="13"/>
      <c r="L54" s="11" t="s">
        <v>27</v>
      </c>
      <c r="M54" s="7" t="s">
        <v>177</v>
      </c>
      <c r="N54" s="14" t="b">
        <f t="shared" si="1"/>
        <v>1</v>
      </c>
      <c r="O54" s="15" t="b">
        <f t="shared" si="2"/>
        <v>0</v>
      </c>
      <c r="P54" s="15" t="str">
        <f t="shared" si="3"/>
        <v>APPROVED</v>
      </c>
    </row>
    <row r="55" ht="15.75" customHeight="1">
      <c r="A55" s="24" t="s">
        <v>201</v>
      </c>
      <c r="B55" s="25" t="s">
        <v>202</v>
      </c>
      <c r="C55" s="26">
        <v>45758.0</v>
      </c>
      <c r="D55" s="50">
        <v>45965.0</v>
      </c>
      <c r="E55" s="24" t="s">
        <v>171</v>
      </c>
      <c r="F55" s="28" t="s">
        <v>23</v>
      </c>
      <c r="G55" s="28" t="s">
        <v>24</v>
      </c>
      <c r="H55" s="28" t="s">
        <v>84</v>
      </c>
      <c r="I55" s="24" t="s">
        <v>203</v>
      </c>
      <c r="J55" s="29" t="s">
        <v>204</v>
      </c>
      <c r="K55" s="25"/>
      <c r="L55" s="28" t="s">
        <v>27</v>
      </c>
      <c r="M55" s="24" t="s">
        <v>171</v>
      </c>
      <c r="N55" s="14" t="b">
        <f t="shared" si="1"/>
        <v>0</v>
      </c>
      <c r="O55" s="15" t="b">
        <f t="shared" si="2"/>
        <v>0</v>
      </c>
      <c r="P55" s="15" t="str">
        <f t="shared" si="3"/>
        <v>PENDING</v>
      </c>
    </row>
    <row r="56" ht="17.25" customHeight="1">
      <c r="A56" s="24" t="s">
        <v>205</v>
      </c>
      <c r="B56" s="25" t="s">
        <v>206</v>
      </c>
      <c r="C56" s="26">
        <v>45755.0</v>
      </c>
      <c r="D56" s="26">
        <v>45873.0</v>
      </c>
      <c r="E56" s="24" t="s">
        <v>171</v>
      </c>
      <c r="F56" s="28" t="s">
        <v>23</v>
      </c>
      <c r="G56" s="28" t="s">
        <v>172</v>
      </c>
      <c r="H56" s="28" t="s">
        <v>49</v>
      </c>
      <c r="I56" s="24" t="s">
        <v>207</v>
      </c>
      <c r="J56" s="29" t="s">
        <v>208</v>
      </c>
      <c r="K56" s="25"/>
      <c r="L56" s="28" t="s">
        <v>27</v>
      </c>
      <c r="M56" s="24" t="s">
        <v>171</v>
      </c>
      <c r="N56" s="14" t="b">
        <f t="shared" si="1"/>
        <v>0</v>
      </c>
      <c r="O56" s="15" t="b">
        <f t="shared" si="2"/>
        <v>0</v>
      </c>
      <c r="P56" s="15" t="str">
        <f t="shared" si="3"/>
        <v>PENDING</v>
      </c>
    </row>
    <row r="57" ht="17.25" customHeight="1">
      <c r="A57" s="7" t="s">
        <v>209</v>
      </c>
      <c r="B57" s="13" t="s">
        <v>210</v>
      </c>
      <c r="C57" s="9">
        <v>45787.0</v>
      </c>
      <c r="D57" s="9">
        <v>45935.0</v>
      </c>
      <c r="E57" s="7" t="s">
        <v>171</v>
      </c>
      <c r="F57" s="11" t="s">
        <v>23</v>
      </c>
      <c r="G57" s="11" t="s">
        <v>172</v>
      </c>
      <c r="H57" s="11" t="s">
        <v>25</v>
      </c>
      <c r="I57" s="7" t="s">
        <v>211</v>
      </c>
      <c r="J57" s="12" t="s">
        <v>212</v>
      </c>
      <c r="K57" s="13"/>
      <c r="L57" s="11" t="s">
        <v>27</v>
      </c>
      <c r="M57" s="7" t="s">
        <v>171</v>
      </c>
      <c r="N57" s="14" t="b">
        <f t="shared" si="1"/>
        <v>1</v>
      </c>
      <c r="O57" s="15" t="b">
        <f t="shared" si="2"/>
        <v>0</v>
      </c>
      <c r="P57" s="15" t="str">
        <f t="shared" si="3"/>
        <v>APPROVED</v>
      </c>
    </row>
    <row r="58" ht="15.75" customHeight="1">
      <c r="A58" s="7" t="s">
        <v>213</v>
      </c>
      <c r="B58" s="13" t="s">
        <v>214</v>
      </c>
      <c r="C58" s="9">
        <v>45754.0</v>
      </c>
      <c r="D58" s="9">
        <v>45842.0</v>
      </c>
      <c r="E58" s="7" t="s">
        <v>137</v>
      </c>
      <c r="F58" s="11" t="s">
        <v>23</v>
      </c>
      <c r="G58" s="11" t="s">
        <v>30</v>
      </c>
      <c r="H58" s="11" t="s">
        <v>25</v>
      </c>
      <c r="I58" s="7"/>
      <c r="J58" s="12" t="s">
        <v>215</v>
      </c>
      <c r="K58" s="13"/>
      <c r="L58" s="11" t="s">
        <v>27</v>
      </c>
      <c r="M58" s="7" t="s">
        <v>137</v>
      </c>
      <c r="N58" s="14" t="b">
        <f t="shared" si="1"/>
        <v>1</v>
      </c>
      <c r="O58" s="15" t="b">
        <f t="shared" si="2"/>
        <v>0</v>
      </c>
      <c r="P58" s="15" t="str">
        <f t="shared" si="3"/>
        <v>APPROVED</v>
      </c>
    </row>
    <row r="59" ht="15.75" customHeight="1">
      <c r="A59" s="7" t="s">
        <v>216</v>
      </c>
      <c r="B59" s="51" t="s">
        <v>217</v>
      </c>
      <c r="C59" s="9">
        <v>45754.0</v>
      </c>
      <c r="D59" s="9">
        <v>45842.0</v>
      </c>
      <c r="E59" s="7" t="s">
        <v>137</v>
      </c>
      <c r="F59" s="11" t="s">
        <v>23</v>
      </c>
      <c r="G59" s="11" t="s">
        <v>30</v>
      </c>
      <c r="H59" s="11" t="s">
        <v>25</v>
      </c>
      <c r="I59" s="7"/>
      <c r="J59" s="12" t="s">
        <v>215</v>
      </c>
      <c r="K59" s="13"/>
      <c r="L59" s="11" t="s">
        <v>27</v>
      </c>
      <c r="M59" s="7" t="s">
        <v>137</v>
      </c>
      <c r="N59" s="14" t="b">
        <f t="shared" si="1"/>
        <v>1</v>
      </c>
      <c r="O59" s="15" t="b">
        <f t="shared" si="2"/>
        <v>0</v>
      </c>
      <c r="P59" s="15" t="str">
        <f t="shared" si="3"/>
        <v>APPROVED</v>
      </c>
    </row>
    <row r="60" ht="15.75" customHeight="1">
      <c r="A60" s="7" t="s">
        <v>218</v>
      </c>
      <c r="B60" s="51" t="s">
        <v>219</v>
      </c>
      <c r="C60" s="9" t="s">
        <v>220</v>
      </c>
      <c r="D60" s="9">
        <v>45842.0</v>
      </c>
      <c r="E60" s="7" t="s">
        <v>137</v>
      </c>
      <c r="F60" s="11" t="s">
        <v>23</v>
      </c>
      <c r="G60" s="11" t="s">
        <v>30</v>
      </c>
      <c r="H60" s="11" t="s">
        <v>25</v>
      </c>
      <c r="I60" s="7"/>
      <c r="J60" s="12" t="s">
        <v>215</v>
      </c>
      <c r="K60" s="13"/>
      <c r="L60" s="11" t="s">
        <v>27</v>
      </c>
      <c r="M60" s="7" t="s">
        <v>137</v>
      </c>
      <c r="N60" s="14" t="b">
        <f t="shared" si="1"/>
        <v>1</v>
      </c>
      <c r="O60" s="15" t="b">
        <f t="shared" si="2"/>
        <v>0</v>
      </c>
      <c r="P60" s="15" t="str">
        <f t="shared" si="3"/>
        <v>APPROVED</v>
      </c>
    </row>
    <row r="61" ht="15.75" customHeight="1">
      <c r="A61" s="7" t="s">
        <v>221</v>
      </c>
      <c r="B61" s="8" t="s">
        <v>222</v>
      </c>
      <c r="C61" s="9">
        <v>45752.0</v>
      </c>
      <c r="D61" s="9">
        <v>45842.0</v>
      </c>
      <c r="E61" s="7" t="s">
        <v>177</v>
      </c>
      <c r="F61" s="11" t="s">
        <v>23</v>
      </c>
      <c r="G61" s="11" t="s">
        <v>30</v>
      </c>
      <c r="H61" s="11" t="s">
        <v>25</v>
      </c>
      <c r="I61" s="7"/>
      <c r="J61" s="12" t="s">
        <v>32</v>
      </c>
      <c r="K61" s="13"/>
      <c r="L61" s="11" t="s">
        <v>27</v>
      </c>
      <c r="M61" s="7" t="s">
        <v>177</v>
      </c>
      <c r="N61" s="14" t="b">
        <f t="shared" si="1"/>
        <v>1</v>
      </c>
      <c r="O61" s="15" t="b">
        <f t="shared" si="2"/>
        <v>0</v>
      </c>
      <c r="P61" s="15" t="str">
        <f t="shared" si="3"/>
        <v>APPROVED</v>
      </c>
    </row>
    <row r="62" ht="15.75" customHeight="1">
      <c r="A62" s="7" t="s">
        <v>223</v>
      </c>
      <c r="B62" s="8" t="s">
        <v>224</v>
      </c>
      <c r="C62" s="9">
        <v>45758.0</v>
      </c>
      <c r="D62" s="9">
        <v>45965.0</v>
      </c>
      <c r="E62" s="7" t="s">
        <v>177</v>
      </c>
      <c r="F62" s="11" t="s">
        <v>23</v>
      </c>
      <c r="G62" s="11" t="s">
        <v>172</v>
      </c>
      <c r="H62" s="11" t="s">
        <v>25</v>
      </c>
      <c r="I62" s="7" t="s">
        <v>225</v>
      </c>
      <c r="J62" s="49" t="s">
        <v>226</v>
      </c>
      <c r="K62" s="13"/>
      <c r="L62" s="11" t="s">
        <v>27</v>
      </c>
      <c r="M62" s="7" t="s">
        <v>177</v>
      </c>
      <c r="N62" s="14" t="b">
        <f t="shared" si="1"/>
        <v>1</v>
      </c>
      <c r="O62" s="15" t="b">
        <f t="shared" si="2"/>
        <v>0</v>
      </c>
      <c r="P62" s="15" t="str">
        <f t="shared" si="3"/>
        <v>APPROVED</v>
      </c>
    </row>
    <row r="63" ht="15.75" customHeight="1">
      <c r="A63" s="7" t="s">
        <v>227</v>
      </c>
      <c r="B63" s="13" t="s">
        <v>228</v>
      </c>
      <c r="C63" s="9">
        <v>45755.0</v>
      </c>
      <c r="D63" s="9">
        <v>45873.0</v>
      </c>
      <c r="E63" s="7" t="s">
        <v>229</v>
      </c>
      <c r="F63" s="11" t="s">
        <v>23</v>
      </c>
      <c r="G63" s="11" t="s">
        <v>48</v>
      </c>
      <c r="H63" s="11" t="s">
        <v>25</v>
      </c>
      <c r="I63" s="7"/>
      <c r="J63" s="12" t="s">
        <v>230</v>
      </c>
      <c r="K63" s="13"/>
      <c r="L63" s="11" t="s">
        <v>27</v>
      </c>
      <c r="M63" s="7" t="s">
        <v>229</v>
      </c>
      <c r="N63" s="14" t="b">
        <f t="shared" si="1"/>
        <v>1</v>
      </c>
      <c r="O63" s="15" t="b">
        <f t="shared" si="2"/>
        <v>0</v>
      </c>
      <c r="P63" s="15" t="str">
        <f t="shared" si="3"/>
        <v>APPROVED</v>
      </c>
    </row>
    <row r="64" ht="15.75" customHeight="1">
      <c r="A64" s="7" t="s">
        <v>231</v>
      </c>
      <c r="B64" s="8" t="s">
        <v>20</v>
      </c>
      <c r="C64" s="9">
        <v>45755.0</v>
      </c>
      <c r="D64" s="9">
        <v>45873.0</v>
      </c>
      <c r="E64" s="7" t="s">
        <v>22</v>
      </c>
      <c r="F64" s="11" t="s">
        <v>23</v>
      </c>
      <c r="G64" s="11" t="s">
        <v>24</v>
      </c>
      <c r="H64" s="11" t="s">
        <v>25</v>
      </c>
      <c r="I64" s="7" t="s">
        <v>232</v>
      </c>
      <c r="J64" s="12" t="s">
        <v>26</v>
      </c>
      <c r="K64" s="13"/>
      <c r="L64" s="11" t="s">
        <v>27</v>
      </c>
      <c r="M64" s="7" t="s">
        <v>22</v>
      </c>
      <c r="N64" s="14" t="b">
        <f t="shared" si="1"/>
        <v>1</v>
      </c>
      <c r="O64" s="15" t="b">
        <f t="shared" si="2"/>
        <v>0</v>
      </c>
      <c r="P64" s="15" t="str">
        <f t="shared" si="3"/>
        <v>APPROVED</v>
      </c>
    </row>
    <row r="65" ht="15.75" customHeight="1">
      <c r="A65" s="7" t="s">
        <v>233</v>
      </c>
      <c r="B65" s="51" t="s">
        <v>234</v>
      </c>
      <c r="C65" s="9">
        <v>45754.0</v>
      </c>
      <c r="D65" s="9">
        <v>45842.0</v>
      </c>
      <c r="E65" s="7" t="s">
        <v>137</v>
      </c>
      <c r="F65" s="11" t="s">
        <v>23</v>
      </c>
      <c r="G65" s="11" t="s">
        <v>30</v>
      </c>
      <c r="H65" s="11" t="s">
        <v>25</v>
      </c>
      <c r="I65" s="7"/>
      <c r="J65" s="12" t="s">
        <v>215</v>
      </c>
      <c r="K65" s="13"/>
      <c r="L65" s="11" t="s">
        <v>27</v>
      </c>
      <c r="M65" s="7" t="s">
        <v>137</v>
      </c>
      <c r="N65" s="14" t="b">
        <f t="shared" si="1"/>
        <v>1</v>
      </c>
      <c r="O65" s="15" t="b">
        <f t="shared" si="2"/>
        <v>0</v>
      </c>
      <c r="P65" s="15" t="str">
        <f t="shared" si="3"/>
        <v>APPROVED</v>
      </c>
    </row>
    <row r="66" ht="15.75" customHeight="1">
      <c r="A66" s="7" t="s">
        <v>235</v>
      </c>
      <c r="B66" s="13" t="s">
        <v>236</v>
      </c>
      <c r="C66" s="9">
        <v>45755.0</v>
      </c>
      <c r="D66" s="9">
        <v>45873.0</v>
      </c>
      <c r="E66" s="7" t="s">
        <v>75</v>
      </c>
      <c r="F66" s="11" t="s">
        <v>23</v>
      </c>
      <c r="G66" s="11" t="s">
        <v>24</v>
      </c>
      <c r="H66" s="11" t="s">
        <v>25</v>
      </c>
      <c r="I66" s="7" t="s">
        <v>237</v>
      </c>
      <c r="J66" s="12" t="s">
        <v>238</v>
      </c>
      <c r="K66" s="13"/>
      <c r="L66" s="11" t="s">
        <v>27</v>
      </c>
      <c r="M66" s="7" t="s">
        <v>75</v>
      </c>
      <c r="N66" s="14" t="b">
        <f t="shared" si="1"/>
        <v>1</v>
      </c>
      <c r="O66" s="15" t="b">
        <f t="shared" si="2"/>
        <v>0</v>
      </c>
      <c r="P66" s="15" t="str">
        <f t="shared" si="3"/>
        <v>APPROVED</v>
      </c>
    </row>
    <row r="67" ht="15.75" customHeight="1">
      <c r="A67" s="7" t="s">
        <v>239</v>
      </c>
      <c r="B67" s="13" t="s">
        <v>130</v>
      </c>
      <c r="C67" s="9">
        <v>45755.0</v>
      </c>
      <c r="D67" s="9">
        <v>45873.0</v>
      </c>
      <c r="E67" s="7" t="s">
        <v>75</v>
      </c>
      <c r="F67" s="11" t="s">
        <v>23</v>
      </c>
      <c r="G67" s="11" t="s">
        <v>30</v>
      </c>
      <c r="H67" s="11" t="s">
        <v>25</v>
      </c>
      <c r="I67" s="7"/>
      <c r="J67" s="12" t="s">
        <v>240</v>
      </c>
      <c r="K67" s="13"/>
      <c r="L67" s="11" t="s">
        <v>27</v>
      </c>
      <c r="M67" s="7" t="s">
        <v>75</v>
      </c>
      <c r="N67" s="14" t="b">
        <f t="shared" si="1"/>
        <v>1</v>
      </c>
      <c r="O67" s="15" t="b">
        <f t="shared" si="2"/>
        <v>0</v>
      </c>
      <c r="P67" s="15" t="str">
        <f t="shared" si="3"/>
        <v>APPROVED</v>
      </c>
    </row>
    <row r="68" ht="15.75" customHeight="1">
      <c r="A68" s="7" t="s">
        <v>241</v>
      </c>
      <c r="B68" s="13" t="s">
        <v>132</v>
      </c>
      <c r="C68" s="9">
        <v>45755.0</v>
      </c>
      <c r="D68" s="9">
        <v>45873.0</v>
      </c>
      <c r="E68" s="7" t="s">
        <v>75</v>
      </c>
      <c r="F68" s="11" t="s">
        <v>23</v>
      </c>
      <c r="G68" s="11" t="s">
        <v>35</v>
      </c>
      <c r="H68" s="11" t="s">
        <v>25</v>
      </c>
      <c r="I68" s="7" t="s">
        <v>242</v>
      </c>
      <c r="J68" s="12" t="s">
        <v>243</v>
      </c>
      <c r="K68" s="13"/>
      <c r="L68" s="11" t="s">
        <v>27</v>
      </c>
      <c r="M68" s="7" t="s">
        <v>75</v>
      </c>
      <c r="N68" s="14" t="b">
        <f t="shared" si="1"/>
        <v>1</v>
      </c>
      <c r="O68" s="15" t="b">
        <f t="shared" si="2"/>
        <v>0</v>
      </c>
      <c r="P68" s="15" t="str">
        <f t="shared" si="3"/>
        <v>APPROVED</v>
      </c>
    </row>
    <row r="69" ht="15.75" customHeight="1">
      <c r="A69" s="7" t="s">
        <v>244</v>
      </c>
      <c r="B69" s="13" t="s">
        <v>245</v>
      </c>
      <c r="C69" s="9">
        <v>45771.0</v>
      </c>
      <c r="D69" s="9">
        <v>45771.0</v>
      </c>
      <c r="E69" s="7" t="s">
        <v>171</v>
      </c>
      <c r="F69" s="11" t="s">
        <v>23</v>
      </c>
      <c r="G69" s="11" t="s">
        <v>172</v>
      </c>
      <c r="H69" s="11" t="s">
        <v>25</v>
      </c>
      <c r="I69" s="7" t="s">
        <v>246</v>
      </c>
      <c r="J69" s="12" t="s">
        <v>247</v>
      </c>
      <c r="K69" s="13"/>
      <c r="L69" s="11" t="s">
        <v>27</v>
      </c>
      <c r="M69" s="7" t="s">
        <v>171</v>
      </c>
      <c r="N69" s="14" t="b">
        <f t="shared" si="1"/>
        <v>1</v>
      </c>
      <c r="O69" s="15" t="b">
        <f t="shared" si="2"/>
        <v>0</v>
      </c>
      <c r="P69" s="15" t="str">
        <f t="shared" si="3"/>
        <v>APPROVED</v>
      </c>
    </row>
    <row r="70" ht="15.75" customHeight="1">
      <c r="A70" s="7" t="s">
        <v>248</v>
      </c>
      <c r="B70" s="13" t="s">
        <v>249</v>
      </c>
      <c r="C70" s="9">
        <v>45771.0</v>
      </c>
      <c r="D70" s="9">
        <v>45771.0</v>
      </c>
      <c r="E70" s="7" t="s">
        <v>171</v>
      </c>
      <c r="F70" s="11" t="s">
        <v>23</v>
      </c>
      <c r="G70" s="11" t="s">
        <v>172</v>
      </c>
      <c r="H70" s="11" t="s">
        <v>25</v>
      </c>
      <c r="I70" s="7" t="s">
        <v>250</v>
      </c>
      <c r="J70" s="12" t="s">
        <v>251</v>
      </c>
      <c r="K70" s="13"/>
      <c r="L70" s="11" t="s">
        <v>27</v>
      </c>
      <c r="M70" s="7" t="s">
        <v>171</v>
      </c>
      <c r="N70" s="14" t="b">
        <f t="shared" si="1"/>
        <v>1</v>
      </c>
      <c r="O70" s="15" t="b">
        <f t="shared" si="2"/>
        <v>0</v>
      </c>
      <c r="P70" s="15" t="str">
        <f t="shared" si="3"/>
        <v>APPROVED</v>
      </c>
    </row>
    <row r="71" ht="15.75" customHeight="1">
      <c r="A71" s="7" t="s">
        <v>252</v>
      </c>
      <c r="B71" s="13" t="s">
        <v>253</v>
      </c>
      <c r="C71" s="9">
        <v>45776.0</v>
      </c>
      <c r="D71" s="9">
        <v>45776.0</v>
      </c>
      <c r="E71" s="7" t="s">
        <v>254</v>
      </c>
      <c r="F71" s="11" t="s">
        <v>23</v>
      </c>
      <c r="G71" s="11" t="s">
        <v>48</v>
      </c>
      <c r="H71" s="11" t="s">
        <v>25</v>
      </c>
      <c r="I71" s="7" t="s">
        <v>255</v>
      </c>
      <c r="J71" s="12" t="s">
        <v>256</v>
      </c>
      <c r="K71" s="13"/>
      <c r="L71" s="11" t="s">
        <v>27</v>
      </c>
      <c r="M71" s="7" t="s">
        <v>254</v>
      </c>
      <c r="N71" s="14" t="b">
        <f t="shared" si="1"/>
        <v>1</v>
      </c>
      <c r="O71" s="15" t="b">
        <f t="shared" si="2"/>
        <v>0</v>
      </c>
      <c r="P71" s="15" t="str">
        <f t="shared" si="3"/>
        <v>APPROVED</v>
      </c>
    </row>
    <row r="72" ht="15.75" customHeight="1">
      <c r="A72" s="52" t="s">
        <v>257</v>
      </c>
      <c r="B72" s="53" t="s">
        <v>258</v>
      </c>
      <c r="C72" s="54">
        <v>45776.0</v>
      </c>
      <c r="D72" s="54">
        <v>45776.0</v>
      </c>
      <c r="E72" s="52" t="s">
        <v>254</v>
      </c>
      <c r="F72" s="56" t="s">
        <v>23</v>
      </c>
      <c r="G72" s="56" t="s">
        <v>48</v>
      </c>
      <c r="H72" s="56" t="s">
        <v>84</v>
      </c>
      <c r="I72" s="52" t="s">
        <v>259</v>
      </c>
      <c r="J72" s="57" t="s">
        <v>260</v>
      </c>
      <c r="K72" s="53"/>
      <c r="L72" s="56" t="s">
        <v>27</v>
      </c>
      <c r="M72" s="52" t="s">
        <v>254</v>
      </c>
      <c r="N72" s="14" t="b">
        <f t="shared" si="1"/>
        <v>0</v>
      </c>
      <c r="O72" s="15" t="b">
        <f t="shared" si="2"/>
        <v>0</v>
      </c>
      <c r="P72" s="15" t="str">
        <f t="shared" si="3"/>
        <v>PENDING</v>
      </c>
    </row>
    <row r="73" ht="15.75" customHeight="1">
      <c r="A73" s="7" t="s">
        <v>261</v>
      </c>
      <c r="B73" s="13" t="s">
        <v>262</v>
      </c>
      <c r="C73" s="9">
        <v>45776.0</v>
      </c>
      <c r="D73" s="9">
        <v>45776.0</v>
      </c>
      <c r="E73" s="7" t="s">
        <v>254</v>
      </c>
      <c r="F73" s="11" t="s">
        <v>23</v>
      </c>
      <c r="G73" s="11" t="s">
        <v>30</v>
      </c>
      <c r="H73" s="11" t="s">
        <v>25</v>
      </c>
      <c r="I73" s="7" t="s">
        <v>263</v>
      </c>
      <c r="J73" s="12"/>
      <c r="K73" s="13"/>
      <c r="L73" s="11" t="s">
        <v>27</v>
      </c>
      <c r="M73" s="7" t="s">
        <v>254</v>
      </c>
      <c r="N73" s="14" t="b">
        <f t="shared" si="1"/>
        <v>1</v>
      </c>
      <c r="O73" s="15" t="b">
        <f t="shared" si="2"/>
        <v>0</v>
      </c>
      <c r="P73" s="15" t="str">
        <f t="shared" si="3"/>
        <v>APPROVED</v>
      </c>
    </row>
    <row r="74" ht="15.75" customHeight="1">
      <c r="A74" s="7" t="s">
        <v>264</v>
      </c>
      <c r="B74" s="8" t="s">
        <v>265</v>
      </c>
      <c r="C74" s="9">
        <v>45758.0</v>
      </c>
      <c r="D74" s="9">
        <v>45965.0</v>
      </c>
      <c r="E74" s="7" t="s">
        <v>229</v>
      </c>
      <c r="F74" s="11" t="s">
        <v>23</v>
      </c>
      <c r="G74" s="11" t="s">
        <v>30</v>
      </c>
      <c r="H74" s="11" t="s">
        <v>25</v>
      </c>
      <c r="I74" s="7"/>
      <c r="J74" s="12" t="s">
        <v>266</v>
      </c>
      <c r="K74" s="13"/>
      <c r="L74" s="11" t="s">
        <v>27</v>
      </c>
      <c r="M74" s="7" t="s">
        <v>229</v>
      </c>
      <c r="N74" s="14" t="b">
        <f t="shared" si="1"/>
        <v>1</v>
      </c>
      <c r="O74" s="15" t="b">
        <f t="shared" si="2"/>
        <v>0</v>
      </c>
      <c r="P74" s="15" t="str">
        <f t="shared" si="3"/>
        <v>APPROVED</v>
      </c>
    </row>
    <row r="75" ht="18.75" customHeight="1">
      <c r="A75" s="24" t="s">
        <v>267</v>
      </c>
      <c r="B75" s="25" t="s">
        <v>268</v>
      </c>
      <c r="C75" s="26">
        <v>45787.0</v>
      </c>
      <c r="D75" s="26">
        <v>45935.0</v>
      </c>
      <c r="E75" s="24" t="s">
        <v>171</v>
      </c>
      <c r="F75" s="28" t="s">
        <v>23</v>
      </c>
      <c r="G75" s="28" t="s">
        <v>172</v>
      </c>
      <c r="H75" s="28" t="s">
        <v>84</v>
      </c>
      <c r="I75" s="24" t="s">
        <v>269</v>
      </c>
      <c r="J75" s="29" t="s">
        <v>270</v>
      </c>
      <c r="K75" s="25"/>
      <c r="L75" s="28" t="s">
        <v>27</v>
      </c>
      <c r="M75" s="24" t="s">
        <v>171</v>
      </c>
      <c r="N75" s="14" t="b">
        <f t="shared" si="1"/>
        <v>0</v>
      </c>
      <c r="O75" s="15" t="b">
        <f t="shared" si="2"/>
        <v>0</v>
      </c>
      <c r="P75" s="15" t="str">
        <f t="shared" si="3"/>
        <v>PENDING</v>
      </c>
    </row>
    <row r="76" ht="15.75" customHeight="1">
      <c r="A76" s="7" t="s">
        <v>271</v>
      </c>
      <c r="B76" s="13" t="s">
        <v>272</v>
      </c>
      <c r="C76" s="9">
        <v>45771.0</v>
      </c>
      <c r="D76" s="9">
        <v>45771.0</v>
      </c>
      <c r="E76" s="7" t="s">
        <v>171</v>
      </c>
      <c r="F76" s="11" t="s">
        <v>23</v>
      </c>
      <c r="G76" s="11" t="s">
        <v>172</v>
      </c>
      <c r="H76" s="11" t="s">
        <v>25</v>
      </c>
      <c r="I76" s="7" t="s">
        <v>273</v>
      </c>
      <c r="J76" s="12" t="s">
        <v>274</v>
      </c>
      <c r="K76" s="13"/>
      <c r="L76" s="11" t="s">
        <v>27</v>
      </c>
      <c r="M76" s="7" t="s">
        <v>171</v>
      </c>
      <c r="N76" s="14" t="b">
        <f t="shared" si="1"/>
        <v>1</v>
      </c>
      <c r="O76" s="15" t="b">
        <f t="shared" si="2"/>
        <v>0</v>
      </c>
      <c r="P76" s="15" t="str">
        <f t="shared" si="3"/>
        <v>APPROVED</v>
      </c>
    </row>
    <row r="77" ht="15.75" customHeight="1">
      <c r="A77" s="7" t="s">
        <v>275</v>
      </c>
      <c r="B77" s="8" t="s">
        <v>276</v>
      </c>
      <c r="C77" s="9">
        <v>45758.0</v>
      </c>
      <c r="D77" s="9">
        <v>45965.0</v>
      </c>
      <c r="E77" s="7" t="s">
        <v>177</v>
      </c>
      <c r="F77" s="11" t="s">
        <v>23</v>
      </c>
      <c r="G77" s="11" t="s">
        <v>172</v>
      </c>
      <c r="H77" s="11" t="s">
        <v>25</v>
      </c>
      <c r="I77" s="7" t="s">
        <v>277</v>
      </c>
      <c r="J77" s="12" t="s">
        <v>278</v>
      </c>
      <c r="K77" s="13"/>
      <c r="L77" s="11" t="s">
        <v>27</v>
      </c>
      <c r="M77" s="7" t="s">
        <v>177</v>
      </c>
      <c r="N77" s="14" t="b">
        <f t="shared" si="1"/>
        <v>1</v>
      </c>
      <c r="O77" s="15" t="b">
        <f t="shared" si="2"/>
        <v>0</v>
      </c>
      <c r="P77" s="15" t="str">
        <f t="shared" si="3"/>
        <v>APPROVED</v>
      </c>
    </row>
    <row r="78" ht="15.75" customHeight="1">
      <c r="A78" s="7" t="s">
        <v>279</v>
      </c>
      <c r="B78" s="8" t="s">
        <v>280</v>
      </c>
      <c r="C78" s="9">
        <v>45758.0</v>
      </c>
      <c r="D78" s="9">
        <v>45965.0</v>
      </c>
      <c r="E78" s="7" t="s">
        <v>177</v>
      </c>
      <c r="F78" s="11" t="s">
        <v>23</v>
      </c>
      <c r="G78" s="11" t="s">
        <v>172</v>
      </c>
      <c r="H78" s="11" t="s">
        <v>25</v>
      </c>
      <c r="I78" s="7" t="s">
        <v>281</v>
      </c>
      <c r="J78" s="12" t="s">
        <v>282</v>
      </c>
      <c r="K78" s="13"/>
      <c r="L78" s="11" t="s">
        <v>27</v>
      </c>
      <c r="M78" s="7" t="s">
        <v>177</v>
      </c>
      <c r="N78" s="14" t="b">
        <f t="shared" si="1"/>
        <v>1</v>
      </c>
      <c r="O78" s="15" t="b">
        <f t="shared" si="2"/>
        <v>0</v>
      </c>
      <c r="P78" s="15" t="str">
        <f t="shared" si="3"/>
        <v>APPROVED</v>
      </c>
    </row>
    <row r="79" ht="15.75" customHeight="1">
      <c r="A79" s="24" t="s">
        <v>283</v>
      </c>
      <c r="B79" s="25" t="s">
        <v>284</v>
      </c>
      <c r="C79" s="26">
        <v>45758.0</v>
      </c>
      <c r="D79" s="26">
        <v>45965.0</v>
      </c>
      <c r="E79" s="24" t="s">
        <v>177</v>
      </c>
      <c r="F79" s="28" t="s">
        <v>23</v>
      </c>
      <c r="G79" s="28" t="s">
        <v>172</v>
      </c>
      <c r="H79" s="28" t="s">
        <v>25</v>
      </c>
      <c r="I79" s="24" t="s">
        <v>285</v>
      </c>
      <c r="J79" s="29" t="s">
        <v>2088</v>
      </c>
      <c r="K79" s="25"/>
      <c r="L79" s="28" t="s">
        <v>27</v>
      </c>
      <c r="M79" s="24" t="s">
        <v>177</v>
      </c>
      <c r="N79" s="1" t="b">
        <v>0</v>
      </c>
      <c r="O79" s="15" t="b">
        <f t="shared" si="2"/>
        <v>0</v>
      </c>
      <c r="P79" s="15" t="str">
        <f t="shared" si="3"/>
        <v>APPROVED</v>
      </c>
    </row>
    <row r="80" ht="15.75" customHeight="1">
      <c r="A80" s="7" t="s">
        <v>287</v>
      </c>
      <c r="B80" s="13" t="s">
        <v>288</v>
      </c>
      <c r="C80" s="9">
        <v>45758.0</v>
      </c>
      <c r="D80" s="9">
        <v>45965.0</v>
      </c>
      <c r="E80" s="7" t="s">
        <v>137</v>
      </c>
      <c r="F80" s="11" t="s">
        <v>23</v>
      </c>
      <c r="G80" s="11" t="s">
        <v>35</v>
      </c>
      <c r="H80" s="11" t="s">
        <v>25</v>
      </c>
      <c r="I80" s="7" t="s">
        <v>289</v>
      </c>
      <c r="J80" s="12" t="s">
        <v>290</v>
      </c>
      <c r="K80" s="13"/>
      <c r="L80" s="11" t="s">
        <v>27</v>
      </c>
      <c r="M80" s="7" t="s">
        <v>137</v>
      </c>
      <c r="N80" s="14" t="b">
        <f t="shared" ref="N80:N82" si="4">if(H80=$H$2,TRUE,O80)</f>
        <v>1</v>
      </c>
      <c r="O80" s="15" t="b">
        <f t="shared" si="2"/>
        <v>0</v>
      </c>
      <c r="P80" s="15" t="str">
        <f t="shared" si="3"/>
        <v>APPROVED</v>
      </c>
    </row>
    <row r="81" ht="15.75" customHeight="1">
      <c r="A81" s="7" t="s">
        <v>291</v>
      </c>
      <c r="B81" s="8" t="s">
        <v>292</v>
      </c>
      <c r="C81" s="9">
        <v>45758.0</v>
      </c>
      <c r="D81" s="9">
        <v>45965.0</v>
      </c>
      <c r="E81" s="7" t="s">
        <v>137</v>
      </c>
      <c r="F81" s="11" t="s">
        <v>23</v>
      </c>
      <c r="G81" s="11" t="s">
        <v>30</v>
      </c>
      <c r="H81" s="11" t="s">
        <v>25</v>
      </c>
      <c r="I81" s="7"/>
      <c r="J81" s="12"/>
      <c r="K81" s="13"/>
      <c r="L81" s="11" t="s">
        <v>27</v>
      </c>
      <c r="M81" s="7" t="s">
        <v>137</v>
      </c>
      <c r="N81" s="14" t="b">
        <f t="shared" si="4"/>
        <v>1</v>
      </c>
      <c r="O81" s="15" t="b">
        <f t="shared" si="2"/>
        <v>0</v>
      </c>
      <c r="P81" s="15" t="str">
        <f t="shared" si="3"/>
        <v>APPROVED</v>
      </c>
    </row>
    <row r="82" ht="15.75" customHeight="1">
      <c r="A82" s="7" t="s">
        <v>293</v>
      </c>
      <c r="B82" s="13" t="s">
        <v>294</v>
      </c>
      <c r="C82" s="9">
        <v>45775.0</v>
      </c>
      <c r="D82" s="9">
        <v>45775.0</v>
      </c>
      <c r="E82" s="7" t="s">
        <v>229</v>
      </c>
      <c r="F82" s="11" t="s">
        <v>23</v>
      </c>
      <c r="G82" s="11" t="s">
        <v>48</v>
      </c>
      <c r="H82" s="11" t="s">
        <v>25</v>
      </c>
      <c r="I82" s="7" t="s">
        <v>295</v>
      </c>
      <c r="J82" s="12" t="s">
        <v>296</v>
      </c>
      <c r="K82" s="13"/>
      <c r="L82" s="11" t="s">
        <v>27</v>
      </c>
      <c r="M82" s="7" t="s">
        <v>229</v>
      </c>
      <c r="N82" s="14" t="b">
        <f t="shared" si="4"/>
        <v>1</v>
      </c>
      <c r="O82" s="15" t="b">
        <f t="shared" si="2"/>
        <v>0</v>
      </c>
      <c r="P82" s="15" t="str">
        <f t="shared" si="3"/>
        <v>APPROVED</v>
      </c>
    </row>
    <row r="83" ht="15.75" customHeight="1">
      <c r="A83" s="18" t="s">
        <v>297</v>
      </c>
      <c r="B83" s="25" t="s">
        <v>298</v>
      </c>
      <c r="C83" s="26">
        <v>45775.0</v>
      </c>
      <c r="D83" s="26">
        <v>45775.0</v>
      </c>
      <c r="E83" s="24" t="s">
        <v>229</v>
      </c>
      <c r="F83" s="28" t="s">
        <v>23</v>
      </c>
      <c r="G83" s="28" t="s">
        <v>48</v>
      </c>
      <c r="H83" s="28" t="s">
        <v>25</v>
      </c>
      <c r="I83" s="24" t="s">
        <v>299</v>
      </c>
      <c r="J83" s="29" t="s">
        <v>300</v>
      </c>
      <c r="K83" s="25"/>
      <c r="L83" s="28" t="s">
        <v>27</v>
      </c>
      <c r="M83" s="24" t="s">
        <v>229</v>
      </c>
      <c r="N83" s="175" t="b">
        <v>0</v>
      </c>
      <c r="O83" s="15" t="b">
        <f t="shared" si="2"/>
        <v>0</v>
      </c>
      <c r="P83" s="15" t="str">
        <f t="shared" si="3"/>
        <v>APPROVED</v>
      </c>
    </row>
    <row r="84" ht="15.75" customHeight="1">
      <c r="A84" s="7" t="s">
        <v>301</v>
      </c>
      <c r="B84" s="13" t="s">
        <v>302</v>
      </c>
      <c r="C84" s="9">
        <v>45775.0</v>
      </c>
      <c r="D84" s="9">
        <v>45775.0</v>
      </c>
      <c r="E84" s="7" t="s">
        <v>177</v>
      </c>
      <c r="F84" s="11" t="s">
        <v>23</v>
      </c>
      <c r="G84" s="11" t="s">
        <v>172</v>
      </c>
      <c r="H84" s="11" t="s">
        <v>25</v>
      </c>
      <c r="I84" s="7" t="s">
        <v>303</v>
      </c>
      <c r="J84" s="12" t="s">
        <v>304</v>
      </c>
      <c r="K84" s="13"/>
      <c r="L84" s="11" t="s">
        <v>27</v>
      </c>
      <c r="M84" s="7" t="s">
        <v>177</v>
      </c>
      <c r="N84" s="14" t="b">
        <f t="shared" ref="N84:N114" si="5">if(H84=$H$2,TRUE,O84)</f>
        <v>1</v>
      </c>
      <c r="O84" s="15" t="b">
        <f t="shared" si="2"/>
        <v>0</v>
      </c>
      <c r="P84" s="15" t="str">
        <f t="shared" si="3"/>
        <v>APPROVED</v>
      </c>
    </row>
    <row r="85" ht="15.75" customHeight="1">
      <c r="A85" s="7" t="s">
        <v>305</v>
      </c>
      <c r="B85" s="13" t="s">
        <v>306</v>
      </c>
      <c r="C85" s="9">
        <v>45758.0</v>
      </c>
      <c r="D85" s="9">
        <v>45965.0</v>
      </c>
      <c r="E85" s="7" t="s">
        <v>137</v>
      </c>
      <c r="F85" s="11" t="s">
        <v>23</v>
      </c>
      <c r="G85" s="11" t="s">
        <v>35</v>
      </c>
      <c r="H85" s="11" t="s">
        <v>25</v>
      </c>
      <c r="I85" s="7" t="s">
        <v>307</v>
      </c>
      <c r="J85" s="12" t="s">
        <v>308</v>
      </c>
      <c r="K85" s="13"/>
      <c r="L85" s="11" t="s">
        <v>27</v>
      </c>
      <c r="M85" s="7" t="s">
        <v>137</v>
      </c>
      <c r="N85" s="14" t="b">
        <f t="shared" si="5"/>
        <v>1</v>
      </c>
      <c r="O85" s="15" t="b">
        <f t="shared" si="2"/>
        <v>0</v>
      </c>
      <c r="P85" s="15" t="str">
        <f t="shared" si="3"/>
        <v>APPROVED</v>
      </c>
    </row>
    <row r="86" ht="15.75" customHeight="1">
      <c r="A86" s="7" t="s">
        <v>309</v>
      </c>
      <c r="B86" s="13" t="s">
        <v>310</v>
      </c>
      <c r="C86" s="9">
        <v>45771.0</v>
      </c>
      <c r="D86" s="9">
        <v>45771.0</v>
      </c>
      <c r="E86" s="7" t="s">
        <v>171</v>
      </c>
      <c r="F86" s="11" t="s">
        <v>23</v>
      </c>
      <c r="G86" s="11" t="s">
        <v>172</v>
      </c>
      <c r="H86" s="11" t="s">
        <v>25</v>
      </c>
      <c r="I86" s="7" t="s">
        <v>311</v>
      </c>
      <c r="J86" s="12" t="s">
        <v>312</v>
      </c>
      <c r="K86" s="13"/>
      <c r="L86" s="11" t="s">
        <v>27</v>
      </c>
      <c r="M86" s="7" t="s">
        <v>171</v>
      </c>
      <c r="N86" s="14" t="b">
        <f t="shared" si="5"/>
        <v>1</v>
      </c>
      <c r="O86" s="15" t="b">
        <f t="shared" si="2"/>
        <v>0</v>
      </c>
      <c r="P86" s="15" t="str">
        <f t="shared" si="3"/>
        <v>APPROVED</v>
      </c>
    </row>
    <row r="87" ht="15.75" customHeight="1">
      <c r="A87" s="30" t="s">
        <v>313</v>
      </c>
      <c r="B87" s="31" t="s">
        <v>314</v>
      </c>
      <c r="C87" s="32">
        <v>45787.0</v>
      </c>
      <c r="D87" s="32">
        <v>45935.0</v>
      </c>
      <c r="E87" s="30" t="s">
        <v>171</v>
      </c>
      <c r="F87" s="34" t="s">
        <v>23</v>
      </c>
      <c r="G87" s="34" t="s">
        <v>172</v>
      </c>
      <c r="H87" s="34" t="s">
        <v>49</v>
      </c>
      <c r="I87" s="30" t="s">
        <v>315</v>
      </c>
      <c r="J87" s="35" t="s">
        <v>316</v>
      </c>
      <c r="K87" s="31" t="s">
        <v>317</v>
      </c>
      <c r="L87" s="30" t="s">
        <v>98</v>
      </c>
      <c r="M87" s="30" t="s">
        <v>171</v>
      </c>
      <c r="N87" s="14" t="b">
        <f t="shared" si="5"/>
        <v>1</v>
      </c>
      <c r="O87" s="15" t="b">
        <f t="shared" si="2"/>
        <v>1</v>
      </c>
      <c r="P87" s="15" t="str">
        <f t="shared" si="3"/>
        <v>PENDING</v>
      </c>
    </row>
    <row r="88" ht="15.75" customHeight="1">
      <c r="A88" s="7" t="s">
        <v>318</v>
      </c>
      <c r="B88" s="13" t="s">
        <v>319</v>
      </c>
      <c r="C88" s="9">
        <v>45787.0</v>
      </c>
      <c r="D88" s="9">
        <v>45935.0</v>
      </c>
      <c r="E88" s="7" t="s">
        <v>171</v>
      </c>
      <c r="F88" s="11" t="s">
        <v>23</v>
      </c>
      <c r="G88" s="11" t="s">
        <v>172</v>
      </c>
      <c r="H88" s="11" t="s">
        <v>25</v>
      </c>
      <c r="I88" s="7" t="s">
        <v>320</v>
      </c>
      <c r="J88" s="12" t="s">
        <v>321</v>
      </c>
      <c r="K88" s="13"/>
      <c r="L88" s="11" t="s">
        <v>27</v>
      </c>
      <c r="M88" s="7" t="s">
        <v>171</v>
      </c>
      <c r="N88" s="14" t="b">
        <f t="shared" si="5"/>
        <v>1</v>
      </c>
      <c r="O88" s="15" t="b">
        <f t="shared" si="2"/>
        <v>0</v>
      </c>
      <c r="P88" s="15" t="str">
        <f t="shared" si="3"/>
        <v>APPROVED</v>
      </c>
    </row>
    <row r="89" ht="15.75" customHeight="1">
      <c r="A89" s="7" t="s">
        <v>322</v>
      </c>
      <c r="B89" s="13" t="s">
        <v>323</v>
      </c>
      <c r="C89" s="9">
        <v>45775.0</v>
      </c>
      <c r="D89" s="9">
        <v>45775.0</v>
      </c>
      <c r="E89" s="7" t="s">
        <v>229</v>
      </c>
      <c r="F89" s="11" t="s">
        <v>23</v>
      </c>
      <c r="G89" s="11" t="s">
        <v>35</v>
      </c>
      <c r="H89" s="11" t="s">
        <v>25</v>
      </c>
      <c r="I89" s="7" t="s">
        <v>324</v>
      </c>
      <c r="J89" s="12" t="s">
        <v>325</v>
      </c>
      <c r="K89" s="13"/>
      <c r="L89" s="11" t="s">
        <v>27</v>
      </c>
      <c r="M89" s="7" t="s">
        <v>229</v>
      </c>
      <c r="N89" s="14" t="b">
        <f t="shared" si="5"/>
        <v>1</v>
      </c>
      <c r="O89" s="15" t="b">
        <f t="shared" si="2"/>
        <v>0</v>
      </c>
      <c r="P89" s="15" t="str">
        <f t="shared" si="3"/>
        <v>APPROVED</v>
      </c>
    </row>
    <row r="90" ht="15.75" customHeight="1">
      <c r="A90" s="30" t="s">
        <v>326</v>
      </c>
      <c r="B90" s="58" t="s">
        <v>327</v>
      </c>
      <c r="C90" s="32">
        <v>45786.0</v>
      </c>
      <c r="D90" s="32"/>
      <c r="E90" s="30" t="s">
        <v>229</v>
      </c>
      <c r="F90" s="34" t="s">
        <v>23</v>
      </c>
      <c r="G90" s="34" t="s">
        <v>30</v>
      </c>
      <c r="H90" s="30" t="s">
        <v>31</v>
      </c>
      <c r="I90" s="30" t="s">
        <v>328</v>
      </c>
      <c r="J90" s="35"/>
      <c r="K90" s="31"/>
      <c r="L90" s="30" t="s">
        <v>98</v>
      </c>
      <c r="M90" s="30" t="s">
        <v>229</v>
      </c>
      <c r="N90" s="14" t="b">
        <f t="shared" si="5"/>
        <v>1</v>
      </c>
      <c r="O90" s="15" t="b">
        <f t="shared" si="2"/>
        <v>1</v>
      </c>
      <c r="P90" s="15" t="str">
        <f t="shared" si="3"/>
        <v>PENDING</v>
      </c>
    </row>
    <row r="91" ht="15.75" customHeight="1">
      <c r="A91" s="59" t="s">
        <v>329</v>
      </c>
      <c r="B91" s="60" t="s">
        <v>330</v>
      </c>
      <c r="C91" s="61">
        <v>45769.0</v>
      </c>
      <c r="D91" s="61">
        <v>45769.0</v>
      </c>
      <c r="E91" s="59" t="s">
        <v>177</v>
      </c>
      <c r="F91" s="63" t="s">
        <v>23</v>
      </c>
      <c r="G91" s="63" t="s">
        <v>172</v>
      </c>
      <c r="H91" s="63" t="s">
        <v>49</v>
      </c>
      <c r="I91" s="59" t="s">
        <v>331</v>
      </c>
      <c r="J91" s="29" t="s">
        <v>332</v>
      </c>
      <c r="K91" s="25"/>
      <c r="L91" s="63" t="s">
        <v>27</v>
      </c>
      <c r="M91" s="59" t="s">
        <v>177</v>
      </c>
      <c r="N91" s="14" t="b">
        <f t="shared" si="5"/>
        <v>0</v>
      </c>
      <c r="O91" s="15" t="b">
        <f t="shared" si="2"/>
        <v>0</v>
      </c>
      <c r="P91" s="15" t="str">
        <f t="shared" si="3"/>
        <v>PENDING</v>
      </c>
    </row>
    <row r="92" ht="15.75" customHeight="1">
      <c r="A92" s="39" t="s">
        <v>333</v>
      </c>
      <c r="B92" s="64" t="s">
        <v>334</v>
      </c>
      <c r="C92" s="38">
        <v>45762.0</v>
      </c>
      <c r="D92" s="38">
        <v>45762.0</v>
      </c>
      <c r="E92" s="39" t="s">
        <v>229</v>
      </c>
      <c r="F92" s="41" t="s">
        <v>23</v>
      </c>
      <c r="G92" s="41" t="s">
        <v>30</v>
      </c>
      <c r="H92" s="41" t="s">
        <v>25</v>
      </c>
      <c r="I92" s="7"/>
      <c r="J92" s="12"/>
      <c r="K92" s="37"/>
      <c r="L92" s="41" t="s">
        <v>27</v>
      </c>
      <c r="M92" s="39" t="s">
        <v>229</v>
      </c>
      <c r="N92" s="14" t="b">
        <f t="shared" si="5"/>
        <v>1</v>
      </c>
      <c r="O92" s="15" t="b">
        <f t="shared" si="2"/>
        <v>0</v>
      </c>
      <c r="P92" s="15" t="str">
        <f t="shared" si="3"/>
        <v>APPROVED</v>
      </c>
    </row>
    <row r="93" ht="15.75" customHeight="1">
      <c r="A93" s="7" t="s">
        <v>335</v>
      </c>
      <c r="B93" s="13" t="s">
        <v>336</v>
      </c>
      <c r="C93" s="9">
        <v>45762.0</v>
      </c>
      <c r="D93" s="9">
        <v>45762.0</v>
      </c>
      <c r="E93" s="7" t="s">
        <v>229</v>
      </c>
      <c r="F93" s="11" t="s">
        <v>23</v>
      </c>
      <c r="G93" s="11" t="s">
        <v>30</v>
      </c>
      <c r="H93" s="11" t="s">
        <v>25</v>
      </c>
      <c r="I93" s="7"/>
      <c r="J93" s="12"/>
      <c r="K93" s="13"/>
      <c r="L93" s="11" t="s">
        <v>27</v>
      </c>
      <c r="M93" s="7" t="s">
        <v>229</v>
      </c>
      <c r="N93" s="14" t="b">
        <f t="shared" si="5"/>
        <v>1</v>
      </c>
      <c r="O93" s="15" t="b">
        <f t="shared" si="2"/>
        <v>0</v>
      </c>
      <c r="P93" s="15" t="str">
        <f t="shared" si="3"/>
        <v>APPROVED</v>
      </c>
    </row>
    <row r="94" ht="15.75" customHeight="1">
      <c r="A94" s="7" t="s">
        <v>337</v>
      </c>
      <c r="B94" s="13" t="s">
        <v>338</v>
      </c>
      <c r="C94" s="9">
        <v>45776.0</v>
      </c>
      <c r="D94" s="9">
        <v>45776.0</v>
      </c>
      <c r="E94" s="7" t="s">
        <v>254</v>
      </c>
      <c r="F94" s="11" t="s">
        <v>23</v>
      </c>
      <c r="G94" s="11" t="s">
        <v>48</v>
      </c>
      <c r="H94" s="11" t="s">
        <v>25</v>
      </c>
      <c r="I94" s="7" t="s">
        <v>339</v>
      </c>
      <c r="J94" s="12" t="s">
        <v>340</v>
      </c>
      <c r="K94" s="13"/>
      <c r="L94" s="11" t="s">
        <v>27</v>
      </c>
      <c r="M94" s="7" t="s">
        <v>254</v>
      </c>
      <c r="N94" s="14" t="b">
        <f t="shared" si="5"/>
        <v>1</v>
      </c>
      <c r="O94" s="15" t="b">
        <f t="shared" si="2"/>
        <v>0</v>
      </c>
      <c r="P94" s="15" t="str">
        <f t="shared" si="3"/>
        <v>APPROVED</v>
      </c>
    </row>
    <row r="95" ht="15.75" customHeight="1">
      <c r="A95" s="28" t="s">
        <v>2089</v>
      </c>
      <c r="B95" s="25" t="s">
        <v>342</v>
      </c>
      <c r="C95" s="26">
        <v>45771.0</v>
      </c>
      <c r="D95" s="26">
        <v>45771.0</v>
      </c>
      <c r="E95" s="24" t="s">
        <v>171</v>
      </c>
      <c r="F95" s="28" t="s">
        <v>23</v>
      </c>
      <c r="G95" s="28" t="s">
        <v>172</v>
      </c>
      <c r="H95" s="28" t="s">
        <v>49</v>
      </c>
      <c r="I95" s="24" t="s">
        <v>343</v>
      </c>
      <c r="J95" s="29" t="s">
        <v>251</v>
      </c>
      <c r="K95" s="25"/>
      <c r="L95" s="28" t="s">
        <v>27</v>
      </c>
      <c r="M95" s="24" t="s">
        <v>171</v>
      </c>
      <c r="N95" s="14" t="b">
        <f t="shared" si="5"/>
        <v>0</v>
      </c>
      <c r="O95" s="15" t="b">
        <f t="shared" si="2"/>
        <v>0</v>
      </c>
      <c r="P95" s="15" t="str">
        <f t="shared" si="3"/>
        <v>PENDING</v>
      </c>
    </row>
    <row r="96" ht="15.75" customHeight="1">
      <c r="A96" s="7" t="s">
        <v>344</v>
      </c>
      <c r="B96" s="13" t="s">
        <v>345</v>
      </c>
      <c r="C96" s="9">
        <v>45787.0</v>
      </c>
      <c r="D96" s="9">
        <v>45935.0</v>
      </c>
      <c r="E96" s="7" t="s">
        <v>171</v>
      </c>
      <c r="F96" s="11" t="s">
        <v>23</v>
      </c>
      <c r="G96" s="11" t="s">
        <v>172</v>
      </c>
      <c r="H96" s="11" t="s">
        <v>25</v>
      </c>
      <c r="I96" s="7" t="s">
        <v>346</v>
      </c>
      <c r="J96" s="12" t="s">
        <v>347</v>
      </c>
      <c r="K96" s="13"/>
      <c r="L96" s="11" t="s">
        <v>27</v>
      </c>
      <c r="M96" s="7" t="s">
        <v>171</v>
      </c>
      <c r="N96" s="14" t="b">
        <f t="shared" si="5"/>
        <v>1</v>
      </c>
      <c r="O96" s="15" t="b">
        <f t="shared" si="2"/>
        <v>0</v>
      </c>
      <c r="P96" s="15" t="str">
        <f t="shared" si="3"/>
        <v>APPROVED</v>
      </c>
    </row>
    <row r="97" ht="15.75" customHeight="1">
      <c r="A97" s="7" t="s">
        <v>348</v>
      </c>
      <c r="B97" s="13" t="s">
        <v>349</v>
      </c>
      <c r="C97" s="9">
        <v>45776.0</v>
      </c>
      <c r="D97" s="9">
        <v>45776.0</v>
      </c>
      <c r="E97" s="7" t="s">
        <v>254</v>
      </c>
      <c r="F97" s="11" t="s">
        <v>23</v>
      </c>
      <c r="G97" s="11" t="s">
        <v>48</v>
      </c>
      <c r="H97" s="11" t="s">
        <v>25</v>
      </c>
      <c r="I97" s="7" t="s">
        <v>350</v>
      </c>
      <c r="J97" s="12" t="s">
        <v>351</v>
      </c>
      <c r="K97" s="13"/>
      <c r="L97" s="11" t="s">
        <v>27</v>
      </c>
      <c r="M97" s="7" t="s">
        <v>254</v>
      </c>
      <c r="N97" s="14" t="b">
        <f t="shared" si="5"/>
        <v>1</v>
      </c>
      <c r="O97" s="15" t="b">
        <f t="shared" si="2"/>
        <v>0</v>
      </c>
      <c r="P97" s="15" t="str">
        <f t="shared" si="3"/>
        <v>APPROVED</v>
      </c>
    </row>
    <row r="98" ht="15.75" customHeight="1">
      <c r="A98" s="7" t="s">
        <v>352</v>
      </c>
      <c r="B98" s="13" t="s">
        <v>353</v>
      </c>
      <c r="C98" s="9">
        <v>45776.0</v>
      </c>
      <c r="D98" s="9">
        <v>45776.0</v>
      </c>
      <c r="E98" s="7" t="s">
        <v>254</v>
      </c>
      <c r="F98" s="11" t="s">
        <v>23</v>
      </c>
      <c r="G98" s="11" t="s">
        <v>48</v>
      </c>
      <c r="H98" s="11" t="s">
        <v>25</v>
      </c>
      <c r="I98" s="7" t="s">
        <v>354</v>
      </c>
      <c r="J98" s="12" t="s">
        <v>355</v>
      </c>
      <c r="K98" s="13"/>
      <c r="L98" s="11" t="s">
        <v>27</v>
      </c>
      <c r="M98" s="7" t="s">
        <v>254</v>
      </c>
      <c r="N98" s="14" t="b">
        <f t="shared" si="5"/>
        <v>1</v>
      </c>
      <c r="O98" s="15" t="b">
        <f t="shared" si="2"/>
        <v>0</v>
      </c>
      <c r="P98" s="15" t="str">
        <f t="shared" si="3"/>
        <v>APPROVED</v>
      </c>
    </row>
    <row r="99" ht="15.75" customHeight="1">
      <c r="A99" s="7" t="s">
        <v>356</v>
      </c>
      <c r="B99" s="13" t="s">
        <v>357</v>
      </c>
      <c r="C99" s="9">
        <v>45769.0</v>
      </c>
      <c r="D99" s="9">
        <v>45769.0</v>
      </c>
      <c r="E99" s="7" t="s">
        <v>137</v>
      </c>
      <c r="F99" s="11" t="s">
        <v>23</v>
      </c>
      <c r="G99" s="11" t="s">
        <v>35</v>
      </c>
      <c r="H99" s="11" t="s">
        <v>25</v>
      </c>
      <c r="I99" s="7" t="s">
        <v>358</v>
      </c>
      <c r="J99" s="12" t="s">
        <v>359</v>
      </c>
      <c r="K99" s="13"/>
      <c r="L99" s="11" t="s">
        <v>27</v>
      </c>
      <c r="M99" s="7" t="s">
        <v>137</v>
      </c>
      <c r="N99" s="14" t="b">
        <f t="shared" si="5"/>
        <v>1</v>
      </c>
      <c r="O99" s="15" t="b">
        <f t="shared" si="2"/>
        <v>0</v>
      </c>
      <c r="P99" s="15" t="str">
        <f t="shared" si="3"/>
        <v>APPROVED</v>
      </c>
    </row>
    <row r="100" ht="15.75" customHeight="1">
      <c r="A100" s="7" t="s">
        <v>360</v>
      </c>
      <c r="B100" s="8" t="s">
        <v>361</v>
      </c>
      <c r="C100" s="9">
        <v>45775.0</v>
      </c>
      <c r="D100" s="9">
        <v>45775.0</v>
      </c>
      <c r="E100" s="7" t="s">
        <v>177</v>
      </c>
      <c r="F100" s="11" t="s">
        <v>23</v>
      </c>
      <c r="G100" s="11" t="s">
        <v>172</v>
      </c>
      <c r="H100" s="11" t="s">
        <v>25</v>
      </c>
      <c r="I100" s="7" t="s">
        <v>362</v>
      </c>
      <c r="J100" s="12" t="s">
        <v>363</v>
      </c>
      <c r="K100" s="13"/>
      <c r="L100" s="11" t="s">
        <v>27</v>
      </c>
      <c r="M100" s="7" t="s">
        <v>177</v>
      </c>
      <c r="N100" s="14" t="b">
        <f t="shared" si="5"/>
        <v>1</v>
      </c>
      <c r="O100" s="15" t="b">
        <f t="shared" si="2"/>
        <v>0</v>
      </c>
      <c r="P100" s="15" t="str">
        <f t="shared" si="3"/>
        <v>APPROVED</v>
      </c>
    </row>
    <row r="101" ht="15.75" customHeight="1">
      <c r="A101" s="24" t="s">
        <v>364</v>
      </c>
      <c r="B101" s="25" t="s">
        <v>365</v>
      </c>
      <c r="C101" s="26">
        <v>45775.0</v>
      </c>
      <c r="D101" s="26">
        <v>45775.0</v>
      </c>
      <c r="E101" s="24" t="s">
        <v>171</v>
      </c>
      <c r="F101" s="28" t="s">
        <v>23</v>
      </c>
      <c r="G101" s="28" t="s">
        <v>172</v>
      </c>
      <c r="H101" s="28" t="s">
        <v>49</v>
      </c>
      <c r="I101" s="24" t="s">
        <v>366</v>
      </c>
      <c r="J101" s="29" t="s">
        <v>367</v>
      </c>
      <c r="K101" s="25"/>
      <c r="L101" s="28" t="s">
        <v>27</v>
      </c>
      <c r="M101" s="24" t="s">
        <v>171</v>
      </c>
      <c r="N101" s="14" t="b">
        <f t="shared" si="5"/>
        <v>0</v>
      </c>
      <c r="O101" s="15" t="b">
        <f t="shared" si="2"/>
        <v>0</v>
      </c>
      <c r="P101" s="15" t="str">
        <f t="shared" si="3"/>
        <v>PENDING</v>
      </c>
    </row>
    <row r="102" ht="16.5" customHeight="1">
      <c r="A102" s="7" t="s">
        <v>368</v>
      </c>
      <c r="B102" s="13" t="s">
        <v>369</v>
      </c>
      <c r="C102" s="9">
        <v>45775.0</v>
      </c>
      <c r="D102" s="9">
        <v>45775.0</v>
      </c>
      <c r="E102" s="7" t="s">
        <v>177</v>
      </c>
      <c r="F102" s="11" t="s">
        <v>23</v>
      </c>
      <c r="G102" s="11" t="s">
        <v>172</v>
      </c>
      <c r="H102" s="11" t="s">
        <v>25</v>
      </c>
      <c r="I102" s="7" t="s">
        <v>370</v>
      </c>
      <c r="J102" s="12" t="s">
        <v>371</v>
      </c>
      <c r="K102" s="13"/>
      <c r="L102" s="11" t="s">
        <v>27</v>
      </c>
      <c r="M102" s="7" t="s">
        <v>177</v>
      </c>
      <c r="N102" s="14" t="b">
        <f t="shared" si="5"/>
        <v>1</v>
      </c>
      <c r="O102" s="15" t="b">
        <f t="shared" si="2"/>
        <v>0</v>
      </c>
      <c r="P102" s="15" t="str">
        <f t="shared" si="3"/>
        <v>APPROVED</v>
      </c>
    </row>
    <row r="103" ht="15.75" customHeight="1">
      <c r="A103" s="7" t="s">
        <v>372</v>
      </c>
      <c r="B103" s="13" t="s">
        <v>373</v>
      </c>
      <c r="C103" s="9">
        <v>45775.0</v>
      </c>
      <c r="D103" s="9">
        <v>45775.0</v>
      </c>
      <c r="E103" s="7" t="s">
        <v>229</v>
      </c>
      <c r="F103" s="11" t="s">
        <v>23</v>
      </c>
      <c r="G103" s="11" t="s">
        <v>172</v>
      </c>
      <c r="H103" s="11" t="s">
        <v>25</v>
      </c>
      <c r="I103" s="7" t="s">
        <v>374</v>
      </c>
      <c r="J103" s="12" t="s">
        <v>375</v>
      </c>
      <c r="K103" s="13" t="s">
        <v>376</v>
      </c>
      <c r="L103" s="11" t="s">
        <v>27</v>
      </c>
      <c r="M103" s="7" t="s">
        <v>229</v>
      </c>
      <c r="N103" s="14" t="b">
        <f t="shared" si="5"/>
        <v>1</v>
      </c>
      <c r="O103" s="15" t="b">
        <f t="shared" si="2"/>
        <v>0</v>
      </c>
      <c r="P103" s="15" t="str">
        <f t="shared" si="3"/>
        <v>APPROVED</v>
      </c>
    </row>
    <row r="104" ht="15.75" customHeight="1">
      <c r="A104" s="7" t="s">
        <v>377</v>
      </c>
      <c r="B104" s="8" t="s">
        <v>378</v>
      </c>
      <c r="C104" s="9">
        <v>45775.0</v>
      </c>
      <c r="D104" s="9">
        <v>45775.0</v>
      </c>
      <c r="E104" s="7" t="s">
        <v>177</v>
      </c>
      <c r="F104" s="11" t="s">
        <v>23</v>
      </c>
      <c r="G104" s="11" t="s">
        <v>172</v>
      </c>
      <c r="H104" s="11" t="s">
        <v>25</v>
      </c>
      <c r="I104" s="7" t="s">
        <v>379</v>
      </c>
      <c r="J104" s="12" t="s">
        <v>367</v>
      </c>
      <c r="K104" s="13"/>
      <c r="L104" s="11" t="s">
        <v>27</v>
      </c>
      <c r="M104" s="7" t="s">
        <v>177</v>
      </c>
      <c r="N104" s="14" t="b">
        <f t="shared" si="5"/>
        <v>1</v>
      </c>
      <c r="O104" s="15" t="b">
        <f t="shared" si="2"/>
        <v>0</v>
      </c>
      <c r="P104" s="15" t="str">
        <f t="shared" si="3"/>
        <v>APPROVED</v>
      </c>
    </row>
    <row r="105" ht="15.75" customHeight="1">
      <c r="A105" s="7" t="s">
        <v>380</v>
      </c>
      <c r="B105" s="13" t="s">
        <v>381</v>
      </c>
      <c r="C105" s="9">
        <v>45775.0</v>
      </c>
      <c r="D105" s="9">
        <v>45775.0</v>
      </c>
      <c r="E105" s="7" t="s">
        <v>177</v>
      </c>
      <c r="F105" s="11" t="s">
        <v>23</v>
      </c>
      <c r="G105" s="11" t="s">
        <v>172</v>
      </c>
      <c r="H105" s="11" t="s">
        <v>25</v>
      </c>
      <c r="I105" s="7" t="s">
        <v>382</v>
      </c>
      <c r="J105" s="12" t="s">
        <v>367</v>
      </c>
      <c r="K105" s="13"/>
      <c r="L105" s="11" t="s">
        <v>27</v>
      </c>
      <c r="M105" s="7" t="s">
        <v>177</v>
      </c>
      <c r="N105" s="14" t="b">
        <f t="shared" si="5"/>
        <v>1</v>
      </c>
      <c r="O105" s="15" t="b">
        <f t="shared" si="2"/>
        <v>0</v>
      </c>
      <c r="P105" s="15" t="str">
        <f t="shared" si="3"/>
        <v>APPROVED</v>
      </c>
    </row>
    <row r="106" ht="15.75" customHeight="1">
      <c r="A106" s="7" t="s">
        <v>383</v>
      </c>
      <c r="B106" s="13" t="s">
        <v>384</v>
      </c>
      <c r="C106" s="9">
        <v>45776.0</v>
      </c>
      <c r="D106" s="9">
        <v>45776.0</v>
      </c>
      <c r="E106" s="7" t="s">
        <v>254</v>
      </c>
      <c r="F106" s="11" t="s">
        <v>23</v>
      </c>
      <c r="G106" s="11" t="s">
        <v>35</v>
      </c>
      <c r="H106" s="11" t="s">
        <v>25</v>
      </c>
      <c r="I106" s="7" t="s">
        <v>385</v>
      </c>
      <c r="J106" s="12"/>
      <c r="K106" s="13"/>
      <c r="L106" s="11" t="s">
        <v>27</v>
      </c>
      <c r="M106" s="7" t="s">
        <v>254</v>
      </c>
      <c r="N106" s="14" t="b">
        <f t="shared" si="5"/>
        <v>1</v>
      </c>
      <c r="O106" s="15" t="b">
        <f t="shared" si="2"/>
        <v>0</v>
      </c>
      <c r="P106" s="15" t="str">
        <f t="shared" si="3"/>
        <v>APPROVED</v>
      </c>
    </row>
    <row r="107" ht="12.0" customHeight="1">
      <c r="A107" s="7" t="s">
        <v>386</v>
      </c>
      <c r="B107" s="13" t="s">
        <v>387</v>
      </c>
      <c r="C107" s="9">
        <v>45775.0</v>
      </c>
      <c r="D107" s="9">
        <v>45775.0</v>
      </c>
      <c r="E107" s="7" t="s">
        <v>229</v>
      </c>
      <c r="F107" s="11" t="s">
        <v>23</v>
      </c>
      <c r="G107" s="11" t="s">
        <v>172</v>
      </c>
      <c r="H107" s="11" t="s">
        <v>25</v>
      </c>
      <c r="I107" s="7" t="s">
        <v>388</v>
      </c>
      <c r="J107" s="12" t="s">
        <v>389</v>
      </c>
      <c r="K107" s="13"/>
      <c r="L107" s="11" t="s">
        <v>27</v>
      </c>
      <c r="M107" s="7" t="s">
        <v>229</v>
      </c>
      <c r="N107" s="14" t="b">
        <f t="shared" si="5"/>
        <v>1</v>
      </c>
      <c r="O107" s="15" t="b">
        <f t="shared" si="2"/>
        <v>0</v>
      </c>
      <c r="P107" s="15" t="str">
        <f t="shared" si="3"/>
        <v>APPROVED</v>
      </c>
    </row>
    <row r="108" ht="15.75" customHeight="1">
      <c r="A108" s="30" t="s">
        <v>390</v>
      </c>
      <c r="B108" s="31" t="s">
        <v>391</v>
      </c>
      <c r="C108" s="32">
        <v>45776.0</v>
      </c>
      <c r="D108" s="32"/>
      <c r="E108" s="30" t="s">
        <v>137</v>
      </c>
      <c r="F108" s="34" t="s">
        <v>23</v>
      </c>
      <c r="G108" s="34" t="s">
        <v>30</v>
      </c>
      <c r="H108" s="30" t="s">
        <v>31</v>
      </c>
      <c r="I108" s="30" t="s">
        <v>392</v>
      </c>
      <c r="J108" s="35"/>
      <c r="K108" s="31"/>
      <c r="L108" s="30" t="s">
        <v>98</v>
      </c>
      <c r="M108" s="30" t="s">
        <v>137</v>
      </c>
      <c r="N108" s="14" t="b">
        <f t="shared" si="5"/>
        <v>1</v>
      </c>
      <c r="O108" s="15" t="b">
        <f t="shared" si="2"/>
        <v>1</v>
      </c>
      <c r="P108" s="15" t="str">
        <f t="shared" si="3"/>
        <v>PENDING</v>
      </c>
    </row>
    <row r="109" ht="15.75" customHeight="1">
      <c r="A109" s="7" t="s">
        <v>393</v>
      </c>
      <c r="B109" s="8" t="s">
        <v>394</v>
      </c>
      <c r="C109" s="9">
        <v>45776.0</v>
      </c>
      <c r="D109" s="9">
        <v>45813.0</v>
      </c>
      <c r="E109" s="7" t="s">
        <v>22</v>
      </c>
      <c r="F109" s="11" t="s">
        <v>23</v>
      </c>
      <c r="G109" s="11" t="s">
        <v>35</v>
      </c>
      <c r="H109" s="11" t="s">
        <v>25</v>
      </c>
      <c r="I109" s="7" t="s">
        <v>395</v>
      </c>
      <c r="J109" s="12" t="s">
        <v>396</v>
      </c>
      <c r="K109" s="13"/>
      <c r="L109" s="11" t="s">
        <v>27</v>
      </c>
      <c r="M109" s="7" t="s">
        <v>22</v>
      </c>
      <c r="N109" s="14" t="b">
        <f t="shared" si="5"/>
        <v>1</v>
      </c>
      <c r="O109" s="15" t="b">
        <f t="shared" si="2"/>
        <v>0</v>
      </c>
      <c r="P109" s="15" t="str">
        <f t="shared" si="3"/>
        <v>APPROVED</v>
      </c>
    </row>
    <row r="110" ht="15.75" customHeight="1">
      <c r="A110" s="7" t="s">
        <v>397</v>
      </c>
      <c r="B110" s="13" t="s">
        <v>398</v>
      </c>
      <c r="C110" s="9">
        <v>45776.0</v>
      </c>
      <c r="D110" s="9">
        <v>45905.0</v>
      </c>
      <c r="E110" s="7" t="s">
        <v>229</v>
      </c>
      <c r="F110" s="11" t="s">
        <v>23</v>
      </c>
      <c r="G110" s="11" t="s">
        <v>35</v>
      </c>
      <c r="H110" s="11" t="s">
        <v>25</v>
      </c>
      <c r="I110" s="16" t="s">
        <v>399</v>
      </c>
      <c r="J110" s="12" t="s">
        <v>400</v>
      </c>
      <c r="K110" s="13" t="s">
        <v>401</v>
      </c>
      <c r="L110" s="11" t="s">
        <v>27</v>
      </c>
      <c r="M110" s="7" t="s">
        <v>229</v>
      </c>
      <c r="N110" s="14" t="b">
        <f t="shared" si="5"/>
        <v>1</v>
      </c>
      <c r="O110" s="15" t="b">
        <f t="shared" si="2"/>
        <v>0</v>
      </c>
      <c r="P110" s="15" t="str">
        <f t="shared" si="3"/>
        <v>APPROVED</v>
      </c>
    </row>
    <row r="111" ht="15.75" customHeight="1">
      <c r="A111" s="7" t="s">
        <v>402</v>
      </c>
      <c r="B111" s="13" t="s">
        <v>403</v>
      </c>
      <c r="C111" s="9">
        <v>45776.0</v>
      </c>
      <c r="D111" s="9">
        <v>45905.0</v>
      </c>
      <c r="E111" s="7" t="s">
        <v>229</v>
      </c>
      <c r="F111" s="11" t="s">
        <v>23</v>
      </c>
      <c r="G111" s="11" t="s">
        <v>172</v>
      </c>
      <c r="H111" s="11" t="s">
        <v>25</v>
      </c>
      <c r="I111" s="7" t="s">
        <v>404</v>
      </c>
      <c r="J111" s="12" t="s">
        <v>405</v>
      </c>
      <c r="K111" s="13"/>
      <c r="L111" s="11" t="s">
        <v>27</v>
      </c>
      <c r="M111" s="7" t="s">
        <v>229</v>
      </c>
      <c r="N111" s="14" t="b">
        <f t="shared" si="5"/>
        <v>1</v>
      </c>
      <c r="O111" s="15" t="b">
        <f t="shared" si="2"/>
        <v>0</v>
      </c>
      <c r="P111" s="15" t="str">
        <f t="shared" si="3"/>
        <v>APPROVED</v>
      </c>
    </row>
    <row r="112" ht="15.75" customHeight="1">
      <c r="A112" s="7" t="s">
        <v>406</v>
      </c>
      <c r="B112" s="13" t="s">
        <v>170</v>
      </c>
      <c r="C112" s="9">
        <v>45782.0</v>
      </c>
      <c r="D112" s="9">
        <v>45905.0</v>
      </c>
      <c r="E112" s="7" t="s">
        <v>171</v>
      </c>
      <c r="F112" s="11" t="s">
        <v>23</v>
      </c>
      <c r="G112" s="11" t="s">
        <v>172</v>
      </c>
      <c r="H112" s="11" t="s">
        <v>25</v>
      </c>
      <c r="I112" s="16" t="s">
        <v>407</v>
      </c>
      <c r="J112" s="12" t="s">
        <v>174</v>
      </c>
      <c r="K112" s="13"/>
      <c r="L112" s="11" t="s">
        <v>27</v>
      </c>
      <c r="M112" s="7" t="s">
        <v>171</v>
      </c>
      <c r="N112" s="14" t="b">
        <f t="shared" si="5"/>
        <v>1</v>
      </c>
      <c r="O112" s="15" t="b">
        <f t="shared" si="2"/>
        <v>0</v>
      </c>
      <c r="P112" s="15" t="str">
        <f t="shared" si="3"/>
        <v>APPROVED</v>
      </c>
    </row>
    <row r="113" ht="15.75" customHeight="1">
      <c r="A113" s="30" t="s">
        <v>408</v>
      </c>
      <c r="B113" s="31" t="s">
        <v>40</v>
      </c>
      <c r="C113" s="32">
        <v>45782.0</v>
      </c>
      <c r="D113" s="32"/>
      <c r="E113" s="30" t="s">
        <v>22</v>
      </c>
      <c r="F113" s="34" t="s">
        <v>23</v>
      </c>
      <c r="G113" s="34" t="s">
        <v>30</v>
      </c>
      <c r="H113" s="30" t="s">
        <v>31</v>
      </c>
      <c r="I113" s="66" t="s">
        <v>409</v>
      </c>
      <c r="J113" s="35" t="s">
        <v>410</v>
      </c>
      <c r="K113" s="31"/>
      <c r="L113" s="30" t="s">
        <v>98</v>
      </c>
      <c r="M113" s="30" t="s">
        <v>22</v>
      </c>
      <c r="N113" s="14" t="b">
        <f t="shared" si="5"/>
        <v>1</v>
      </c>
      <c r="O113" s="15" t="b">
        <f t="shared" si="2"/>
        <v>1</v>
      </c>
      <c r="P113" s="15" t="str">
        <f t="shared" si="3"/>
        <v>PENDING</v>
      </c>
    </row>
    <row r="114" ht="15.75" customHeight="1">
      <c r="A114" s="7" t="s">
        <v>411</v>
      </c>
      <c r="B114" s="13" t="s">
        <v>119</v>
      </c>
      <c r="C114" s="9">
        <v>45783.0</v>
      </c>
      <c r="D114" s="9">
        <v>45813.0</v>
      </c>
      <c r="E114" s="7" t="s">
        <v>22</v>
      </c>
      <c r="F114" s="11" t="s">
        <v>23</v>
      </c>
      <c r="G114" s="11" t="s">
        <v>48</v>
      </c>
      <c r="H114" s="11" t="s">
        <v>25</v>
      </c>
      <c r="I114" s="16" t="s">
        <v>412</v>
      </c>
      <c r="J114" s="67" t="s">
        <v>413</v>
      </c>
      <c r="K114" s="16"/>
      <c r="L114" s="11" t="s">
        <v>27</v>
      </c>
      <c r="M114" s="7" t="s">
        <v>22</v>
      </c>
      <c r="N114" s="14" t="b">
        <f t="shared" si="5"/>
        <v>1</v>
      </c>
      <c r="O114" s="15" t="b">
        <f t="shared" si="2"/>
        <v>0</v>
      </c>
      <c r="P114" s="15" t="str">
        <f t="shared" si="3"/>
        <v>APPROVED</v>
      </c>
    </row>
    <row r="115" ht="15.0" customHeight="1">
      <c r="A115" s="7" t="s">
        <v>414</v>
      </c>
      <c r="B115" s="13" t="s">
        <v>40</v>
      </c>
      <c r="C115" s="9">
        <v>45783.0</v>
      </c>
      <c r="D115" s="9"/>
      <c r="E115" s="7" t="s">
        <v>22</v>
      </c>
      <c r="F115" s="11" t="s">
        <v>23</v>
      </c>
      <c r="G115" s="11" t="s">
        <v>30</v>
      </c>
      <c r="H115" s="7" t="s">
        <v>31</v>
      </c>
      <c r="I115" s="16" t="s">
        <v>415</v>
      </c>
      <c r="J115" s="12" t="s">
        <v>416</v>
      </c>
      <c r="K115" s="13"/>
      <c r="L115" s="68" t="s">
        <v>27</v>
      </c>
      <c r="M115" s="7" t="s">
        <v>22</v>
      </c>
      <c r="N115" s="175" t="b">
        <v>1</v>
      </c>
      <c r="O115" s="15" t="b">
        <f t="shared" si="2"/>
        <v>0</v>
      </c>
      <c r="P115" s="15" t="str">
        <f t="shared" si="3"/>
        <v>PENDING</v>
      </c>
    </row>
    <row r="116" ht="16.5" customHeight="1">
      <c r="A116" s="7" t="s">
        <v>418</v>
      </c>
      <c r="B116" s="13" t="s">
        <v>419</v>
      </c>
      <c r="C116" s="9">
        <v>45785.0</v>
      </c>
      <c r="D116" s="9">
        <v>45935.0</v>
      </c>
      <c r="E116" s="7" t="s">
        <v>22</v>
      </c>
      <c r="F116" s="11" t="s">
        <v>23</v>
      </c>
      <c r="G116" s="11" t="s">
        <v>30</v>
      </c>
      <c r="H116" s="11" t="s">
        <v>25</v>
      </c>
      <c r="I116" s="16" t="s">
        <v>420</v>
      </c>
      <c r="J116" s="12"/>
      <c r="K116" s="13"/>
      <c r="L116" s="11" t="s">
        <v>27</v>
      </c>
      <c r="M116" s="7" t="s">
        <v>22</v>
      </c>
      <c r="N116" s="14" t="b">
        <f t="shared" ref="N116:N126" si="6">if(H116=$H$2,TRUE,O116)</f>
        <v>1</v>
      </c>
      <c r="O116" s="15" t="b">
        <f t="shared" si="2"/>
        <v>0</v>
      </c>
      <c r="P116" s="15" t="str">
        <f t="shared" si="3"/>
        <v>APPROVED</v>
      </c>
    </row>
    <row r="117" ht="15.0" customHeight="1">
      <c r="A117" s="7" t="s">
        <v>421</v>
      </c>
      <c r="B117" s="13" t="s">
        <v>422</v>
      </c>
      <c r="C117" s="9">
        <v>45786.0</v>
      </c>
      <c r="D117" s="9">
        <v>45935.0</v>
      </c>
      <c r="E117" s="7" t="s">
        <v>171</v>
      </c>
      <c r="F117" s="11" t="s">
        <v>23</v>
      </c>
      <c r="G117" s="11" t="s">
        <v>172</v>
      </c>
      <c r="H117" s="11" t="s">
        <v>25</v>
      </c>
      <c r="I117" s="16" t="s">
        <v>423</v>
      </c>
      <c r="J117" s="12" t="s">
        <v>424</v>
      </c>
      <c r="K117" s="13"/>
      <c r="L117" s="11" t="s">
        <v>27</v>
      </c>
      <c r="M117" s="7" t="s">
        <v>171</v>
      </c>
      <c r="N117" s="14" t="b">
        <f t="shared" si="6"/>
        <v>1</v>
      </c>
      <c r="O117" s="15" t="b">
        <f t="shared" si="2"/>
        <v>0</v>
      </c>
      <c r="P117" s="15" t="str">
        <f t="shared" si="3"/>
        <v>APPROVED</v>
      </c>
    </row>
    <row r="118" ht="15.75" customHeight="1">
      <c r="A118" s="7" t="s">
        <v>425</v>
      </c>
      <c r="B118" s="13" t="s">
        <v>426</v>
      </c>
      <c r="C118" s="9">
        <v>45786.0</v>
      </c>
      <c r="D118" s="9">
        <v>45935.0</v>
      </c>
      <c r="E118" s="7" t="s">
        <v>171</v>
      </c>
      <c r="F118" s="11" t="s">
        <v>23</v>
      </c>
      <c r="G118" s="11" t="s">
        <v>172</v>
      </c>
      <c r="H118" s="11" t="s">
        <v>25</v>
      </c>
      <c r="I118" s="16" t="s">
        <v>427</v>
      </c>
      <c r="J118" s="12" t="s">
        <v>428</v>
      </c>
      <c r="K118" s="13"/>
      <c r="L118" s="11" t="s">
        <v>27</v>
      </c>
      <c r="M118" s="7" t="s">
        <v>171</v>
      </c>
      <c r="N118" s="14" t="b">
        <f t="shared" si="6"/>
        <v>1</v>
      </c>
      <c r="O118" s="15" t="b">
        <f t="shared" si="2"/>
        <v>0</v>
      </c>
      <c r="P118" s="15" t="str">
        <f t="shared" si="3"/>
        <v>APPROVED</v>
      </c>
    </row>
    <row r="119" ht="15.75" customHeight="1">
      <c r="A119" s="30" t="s">
        <v>429</v>
      </c>
      <c r="B119" s="31" t="s">
        <v>430</v>
      </c>
      <c r="C119" s="32">
        <v>45786.0</v>
      </c>
      <c r="D119" s="32">
        <v>45935.0</v>
      </c>
      <c r="E119" s="30" t="s">
        <v>171</v>
      </c>
      <c r="F119" s="34" t="s">
        <v>23</v>
      </c>
      <c r="G119" s="34" t="s">
        <v>172</v>
      </c>
      <c r="H119" s="34" t="s">
        <v>49</v>
      </c>
      <c r="I119" s="66" t="s">
        <v>431</v>
      </c>
      <c r="J119" s="69" t="s">
        <v>432</v>
      </c>
      <c r="K119" s="70"/>
      <c r="L119" s="30" t="s">
        <v>98</v>
      </c>
      <c r="M119" s="30" t="s">
        <v>171</v>
      </c>
      <c r="N119" s="14" t="b">
        <f t="shared" si="6"/>
        <v>1</v>
      </c>
      <c r="O119" s="15" t="b">
        <f t="shared" si="2"/>
        <v>1</v>
      </c>
      <c r="P119" s="15" t="str">
        <f t="shared" si="3"/>
        <v>PENDING</v>
      </c>
    </row>
    <row r="120" ht="15.75" customHeight="1">
      <c r="A120" s="66" t="s">
        <v>433</v>
      </c>
      <c r="B120" s="71" t="s">
        <v>434</v>
      </c>
      <c r="C120" s="32">
        <v>45786.0</v>
      </c>
      <c r="D120" s="32">
        <v>45935.0</v>
      </c>
      <c r="E120" s="30" t="s">
        <v>171</v>
      </c>
      <c r="F120" s="34" t="s">
        <v>23</v>
      </c>
      <c r="G120" s="34" t="s">
        <v>172</v>
      </c>
      <c r="H120" s="34" t="s">
        <v>49</v>
      </c>
      <c r="I120" s="66" t="s">
        <v>435</v>
      </c>
      <c r="J120" s="69" t="s">
        <v>432</v>
      </c>
      <c r="K120" s="70"/>
      <c r="L120" s="30" t="s">
        <v>98</v>
      </c>
      <c r="M120" s="30" t="s">
        <v>171</v>
      </c>
      <c r="N120" s="14" t="b">
        <f t="shared" si="6"/>
        <v>1</v>
      </c>
      <c r="O120" s="15" t="b">
        <f t="shared" si="2"/>
        <v>1</v>
      </c>
      <c r="P120" s="15" t="str">
        <f t="shared" si="3"/>
        <v>PENDING</v>
      </c>
    </row>
    <row r="121" ht="15.75" customHeight="1">
      <c r="A121" s="7" t="s">
        <v>436</v>
      </c>
      <c r="B121" s="13" t="s">
        <v>134</v>
      </c>
      <c r="C121" s="72">
        <v>45790.0</v>
      </c>
      <c r="D121" s="72">
        <v>45790.0</v>
      </c>
      <c r="E121" s="7" t="s">
        <v>177</v>
      </c>
      <c r="F121" s="11" t="s">
        <v>23</v>
      </c>
      <c r="G121" s="11" t="s">
        <v>30</v>
      </c>
      <c r="H121" s="11" t="s">
        <v>25</v>
      </c>
      <c r="I121" s="16" t="s">
        <v>437</v>
      </c>
      <c r="J121" s="49" t="s">
        <v>432</v>
      </c>
      <c r="K121" s="73"/>
      <c r="L121" s="11" t="s">
        <v>27</v>
      </c>
      <c r="M121" s="7" t="s">
        <v>177</v>
      </c>
      <c r="N121" s="14" t="b">
        <f t="shared" si="6"/>
        <v>1</v>
      </c>
      <c r="O121" s="15" t="b">
        <f t="shared" si="2"/>
        <v>0</v>
      </c>
      <c r="P121" s="15" t="str">
        <f t="shared" si="3"/>
        <v>APPROVED</v>
      </c>
    </row>
    <row r="122" ht="15.75" customHeight="1">
      <c r="A122" s="39" t="s">
        <v>438</v>
      </c>
      <c r="B122" s="74" t="s">
        <v>79</v>
      </c>
      <c r="C122" s="75">
        <v>45790.0</v>
      </c>
      <c r="D122" s="38">
        <v>45790.0</v>
      </c>
      <c r="E122" s="39" t="s">
        <v>177</v>
      </c>
      <c r="F122" s="41" t="s">
        <v>23</v>
      </c>
      <c r="G122" s="41" t="s">
        <v>35</v>
      </c>
      <c r="H122" s="41" t="s">
        <v>25</v>
      </c>
      <c r="I122" s="76" t="s">
        <v>439</v>
      </c>
      <c r="J122" s="49" t="s">
        <v>440</v>
      </c>
      <c r="K122" s="77"/>
      <c r="L122" s="41" t="s">
        <v>27</v>
      </c>
      <c r="M122" s="39" t="s">
        <v>177</v>
      </c>
      <c r="N122" s="14" t="b">
        <f t="shared" si="6"/>
        <v>1</v>
      </c>
      <c r="O122" s="15" t="b">
        <f t="shared" si="2"/>
        <v>0</v>
      </c>
      <c r="P122" s="15" t="str">
        <f t="shared" si="3"/>
        <v>APPROVED</v>
      </c>
    </row>
    <row r="123" ht="15.75" customHeight="1">
      <c r="A123" s="39" t="s">
        <v>441</v>
      </c>
      <c r="B123" s="37" t="s">
        <v>83</v>
      </c>
      <c r="C123" s="38">
        <v>45790.0</v>
      </c>
      <c r="D123" s="38">
        <v>45790.0</v>
      </c>
      <c r="E123" s="39" t="s">
        <v>177</v>
      </c>
      <c r="F123" s="41" t="s">
        <v>23</v>
      </c>
      <c r="G123" s="41" t="s">
        <v>35</v>
      </c>
      <c r="H123" s="41" t="s">
        <v>25</v>
      </c>
      <c r="I123" s="76" t="s">
        <v>442</v>
      </c>
      <c r="J123" s="49" t="s">
        <v>443</v>
      </c>
      <c r="K123" s="77"/>
      <c r="L123" s="41" t="s">
        <v>27</v>
      </c>
      <c r="M123" s="39" t="s">
        <v>177</v>
      </c>
      <c r="N123" s="14" t="b">
        <f t="shared" si="6"/>
        <v>1</v>
      </c>
      <c r="O123" s="15" t="b">
        <f t="shared" si="2"/>
        <v>0</v>
      </c>
      <c r="P123" s="15" t="str">
        <f t="shared" si="3"/>
        <v>APPROVED</v>
      </c>
    </row>
    <row r="124" ht="15.75" customHeight="1">
      <c r="A124" s="7" t="s">
        <v>444</v>
      </c>
      <c r="B124" s="13" t="s">
        <v>113</v>
      </c>
      <c r="C124" s="9">
        <v>45790.0</v>
      </c>
      <c r="D124" s="9">
        <v>45790.0</v>
      </c>
      <c r="E124" s="7" t="s">
        <v>177</v>
      </c>
      <c r="F124" s="11" t="s">
        <v>23</v>
      </c>
      <c r="G124" s="11" t="s">
        <v>35</v>
      </c>
      <c r="H124" s="11" t="s">
        <v>25</v>
      </c>
      <c r="I124" s="16" t="s">
        <v>445</v>
      </c>
      <c r="J124" s="49" t="s">
        <v>446</v>
      </c>
      <c r="K124" s="73"/>
      <c r="L124" s="11" t="s">
        <v>27</v>
      </c>
      <c r="M124" s="7" t="s">
        <v>177</v>
      </c>
      <c r="N124" s="14" t="b">
        <f t="shared" si="6"/>
        <v>1</v>
      </c>
      <c r="O124" s="15" t="b">
        <f t="shared" si="2"/>
        <v>0</v>
      </c>
      <c r="P124" s="15" t="str">
        <f t="shared" si="3"/>
        <v>APPROVED</v>
      </c>
    </row>
    <row r="125" ht="15.75" customHeight="1">
      <c r="A125" s="7" t="s">
        <v>447</v>
      </c>
      <c r="B125" s="8" t="s">
        <v>73</v>
      </c>
      <c r="C125" s="9">
        <v>45790.0</v>
      </c>
      <c r="D125" s="9">
        <v>45790.0</v>
      </c>
      <c r="E125" s="7" t="s">
        <v>177</v>
      </c>
      <c r="F125" s="11" t="s">
        <v>23</v>
      </c>
      <c r="G125" s="11" t="s">
        <v>172</v>
      </c>
      <c r="H125" s="11" t="s">
        <v>25</v>
      </c>
      <c r="I125" s="16" t="s">
        <v>448</v>
      </c>
      <c r="J125" s="49" t="s">
        <v>449</v>
      </c>
      <c r="K125" s="73"/>
      <c r="L125" s="11" t="s">
        <v>27</v>
      </c>
      <c r="M125" s="7" t="s">
        <v>177</v>
      </c>
      <c r="N125" s="14" t="b">
        <f t="shared" si="6"/>
        <v>1</v>
      </c>
      <c r="O125" s="15" t="b">
        <f t="shared" si="2"/>
        <v>0</v>
      </c>
      <c r="P125" s="15" t="str">
        <f t="shared" si="3"/>
        <v>APPROVED</v>
      </c>
    </row>
    <row r="126" ht="15.75" customHeight="1">
      <c r="A126" s="7" t="s">
        <v>450</v>
      </c>
      <c r="B126" s="13" t="s">
        <v>109</v>
      </c>
      <c r="C126" s="9">
        <v>45790.0</v>
      </c>
      <c r="D126" s="9">
        <v>45790.0</v>
      </c>
      <c r="E126" s="7" t="s">
        <v>177</v>
      </c>
      <c r="F126" s="11" t="s">
        <v>23</v>
      </c>
      <c r="G126" s="11" t="s">
        <v>172</v>
      </c>
      <c r="H126" s="11" t="s">
        <v>25</v>
      </c>
      <c r="I126" s="16" t="s">
        <v>451</v>
      </c>
      <c r="J126" s="12" t="s">
        <v>452</v>
      </c>
      <c r="K126" s="13"/>
      <c r="L126" s="11" t="s">
        <v>27</v>
      </c>
      <c r="M126" s="7" t="s">
        <v>177</v>
      </c>
      <c r="N126" s="14" t="b">
        <f t="shared" si="6"/>
        <v>1</v>
      </c>
      <c r="O126" s="15" t="b">
        <f t="shared" si="2"/>
        <v>0</v>
      </c>
      <c r="P126" s="15" t="str">
        <f t="shared" si="3"/>
        <v>APPROVED</v>
      </c>
    </row>
    <row r="127" ht="15.75" customHeight="1">
      <c r="A127" s="7" t="s">
        <v>453</v>
      </c>
      <c r="B127" s="8" t="s">
        <v>222</v>
      </c>
      <c r="C127" s="9">
        <v>45791.0</v>
      </c>
      <c r="D127" s="9"/>
      <c r="E127" s="7" t="s">
        <v>177</v>
      </c>
      <c r="F127" s="11" t="s">
        <v>23</v>
      </c>
      <c r="G127" s="11" t="s">
        <v>30</v>
      </c>
      <c r="H127" s="7" t="s">
        <v>31</v>
      </c>
      <c r="I127" s="16"/>
      <c r="J127" s="12" t="s">
        <v>32</v>
      </c>
      <c r="K127" s="13"/>
      <c r="L127" s="11" t="s">
        <v>27</v>
      </c>
      <c r="M127" s="7" t="s">
        <v>177</v>
      </c>
      <c r="N127" s="175" t="b">
        <v>1</v>
      </c>
      <c r="O127" s="15" t="b">
        <f t="shared" si="2"/>
        <v>0</v>
      </c>
      <c r="P127" s="15" t="str">
        <f t="shared" si="3"/>
        <v>PENDING</v>
      </c>
    </row>
    <row r="128" ht="15.75" customHeight="1">
      <c r="A128" s="7" t="s">
        <v>454</v>
      </c>
      <c r="B128" s="8" t="s">
        <v>455</v>
      </c>
      <c r="C128" s="9">
        <v>45787.0</v>
      </c>
      <c r="D128" s="9"/>
      <c r="E128" s="7" t="s">
        <v>177</v>
      </c>
      <c r="F128" s="11" t="s">
        <v>23</v>
      </c>
      <c r="G128" s="11" t="s">
        <v>30</v>
      </c>
      <c r="H128" s="7" t="s">
        <v>31</v>
      </c>
      <c r="I128" s="16"/>
      <c r="J128" s="12" t="s">
        <v>32</v>
      </c>
      <c r="K128" s="8" t="s">
        <v>32</v>
      </c>
      <c r="L128" s="11" t="s">
        <v>27</v>
      </c>
      <c r="M128" s="7" t="s">
        <v>177</v>
      </c>
      <c r="N128" s="175" t="b">
        <v>1</v>
      </c>
      <c r="O128" s="15" t="b">
        <f t="shared" si="2"/>
        <v>0</v>
      </c>
      <c r="P128" s="15" t="str">
        <f t="shared" si="3"/>
        <v>PENDING</v>
      </c>
    </row>
    <row r="129" ht="15.75" customHeight="1">
      <c r="A129" s="7" t="s">
        <v>456</v>
      </c>
      <c r="B129" s="13" t="s">
        <v>457</v>
      </c>
      <c r="C129" s="78">
        <v>45792.0</v>
      </c>
      <c r="D129" s="79">
        <v>45791.0</v>
      </c>
      <c r="E129" s="7" t="s">
        <v>177</v>
      </c>
      <c r="F129" s="11" t="s">
        <v>23</v>
      </c>
      <c r="G129" s="11" t="s">
        <v>172</v>
      </c>
      <c r="H129" s="11" t="s">
        <v>25</v>
      </c>
      <c r="I129" s="16" t="s">
        <v>458</v>
      </c>
      <c r="J129" s="12" t="s">
        <v>459</v>
      </c>
      <c r="K129" s="13"/>
      <c r="L129" s="11" t="s">
        <v>27</v>
      </c>
      <c r="M129" s="7" t="s">
        <v>177</v>
      </c>
      <c r="N129" s="14" t="b">
        <f t="shared" ref="N129:N136" si="7">if(H129=$H$2,TRUE,O129)</f>
        <v>1</v>
      </c>
      <c r="O129" s="15" t="b">
        <f t="shared" si="2"/>
        <v>0</v>
      </c>
      <c r="P129" s="15" t="str">
        <f t="shared" si="3"/>
        <v>APPROVED</v>
      </c>
    </row>
    <row r="130" ht="15.75" customHeight="1">
      <c r="A130" s="7" t="s">
        <v>460</v>
      </c>
      <c r="B130" s="8" t="s">
        <v>461</v>
      </c>
      <c r="C130" s="9">
        <v>45791.0</v>
      </c>
      <c r="D130" s="79">
        <v>45791.0</v>
      </c>
      <c r="E130" s="7" t="s">
        <v>177</v>
      </c>
      <c r="F130" s="11" t="s">
        <v>23</v>
      </c>
      <c r="G130" s="11" t="s">
        <v>172</v>
      </c>
      <c r="H130" s="11" t="s">
        <v>25</v>
      </c>
      <c r="I130" s="16" t="s">
        <v>462</v>
      </c>
      <c r="J130" s="12" t="s">
        <v>463</v>
      </c>
      <c r="K130" s="13"/>
      <c r="L130" s="11" t="s">
        <v>27</v>
      </c>
      <c r="M130" s="7" t="s">
        <v>177</v>
      </c>
      <c r="N130" s="14" t="b">
        <f t="shared" si="7"/>
        <v>1</v>
      </c>
      <c r="O130" s="15" t="b">
        <f t="shared" si="2"/>
        <v>0</v>
      </c>
      <c r="P130" s="15" t="str">
        <f t="shared" si="3"/>
        <v>APPROVED</v>
      </c>
    </row>
    <row r="131" ht="15.75" customHeight="1">
      <c r="A131" s="7" t="s">
        <v>464</v>
      </c>
      <c r="B131" s="13" t="s">
        <v>465</v>
      </c>
      <c r="C131" s="9">
        <v>45791.0</v>
      </c>
      <c r="D131" s="9">
        <v>45791.0</v>
      </c>
      <c r="E131" s="7" t="s">
        <v>177</v>
      </c>
      <c r="F131" s="11" t="s">
        <v>23</v>
      </c>
      <c r="G131" s="11" t="s">
        <v>35</v>
      </c>
      <c r="H131" s="11" t="s">
        <v>25</v>
      </c>
      <c r="I131" s="16" t="s">
        <v>466</v>
      </c>
      <c r="J131" s="49" t="s">
        <v>467</v>
      </c>
      <c r="K131" s="13"/>
      <c r="L131" s="11" t="s">
        <v>27</v>
      </c>
      <c r="M131" s="7" t="s">
        <v>177</v>
      </c>
      <c r="N131" s="14" t="b">
        <f t="shared" si="7"/>
        <v>1</v>
      </c>
      <c r="O131" s="15" t="b">
        <f t="shared" si="2"/>
        <v>0</v>
      </c>
      <c r="P131" s="15" t="str">
        <f t="shared" si="3"/>
        <v>APPROVED</v>
      </c>
    </row>
    <row r="132" ht="18.0" customHeight="1">
      <c r="A132" s="7" t="s">
        <v>468</v>
      </c>
      <c r="B132" s="13" t="s">
        <v>469</v>
      </c>
      <c r="C132" s="9">
        <v>45791.0</v>
      </c>
      <c r="D132" s="9">
        <v>45791.0</v>
      </c>
      <c r="E132" s="7" t="s">
        <v>177</v>
      </c>
      <c r="F132" s="11" t="s">
        <v>23</v>
      </c>
      <c r="G132" s="11" t="s">
        <v>35</v>
      </c>
      <c r="H132" s="11" t="s">
        <v>25</v>
      </c>
      <c r="I132" s="16" t="s">
        <v>470</v>
      </c>
      <c r="J132" s="12" t="s">
        <v>471</v>
      </c>
      <c r="K132" s="13"/>
      <c r="L132" s="11" t="s">
        <v>27</v>
      </c>
      <c r="M132" s="7" t="s">
        <v>177</v>
      </c>
      <c r="N132" s="14" t="b">
        <f t="shared" si="7"/>
        <v>1</v>
      </c>
      <c r="O132" s="15" t="b">
        <f t="shared" si="2"/>
        <v>0</v>
      </c>
      <c r="P132" s="15" t="str">
        <f t="shared" si="3"/>
        <v>APPROVED</v>
      </c>
    </row>
    <row r="133" ht="15.75" customHeight="1">
      <c r="A133" s="7" t="s">
        <v>472</v>
      </c>
      <c r="B133" s="13" t="s">
        <v>473</v>
      </c>
      <c r="C133" s="9">
        <v>45791.0</v>
      </c>
      <c r="D133" s="9">
        <v>45791.0</v>
      </c>
      <c r="E133" s="7" t="s">
        <v>177</v>
      </c>
      <c r="F133" s="81" t="s">
        <v>23</v>
      </c>
      <c r="G133" s="11" t="s">
        <v>172</v>
      </c>
      <c r="H133" s="11" t="s">
        <v>25</v>
      </c>
      <c r="I133" s="82" t="s">
        <v>474</v>
      </c>
      <c r="J133" s="49" t="s">
        <v>475</v>
      </c>
      <c r="K133" s="73"/>
      <c r="L133" s="81" t="s">
        <v>27</v>
      </c>
      <c r="M133" s="7" t="s">
        <v>177</v>
      </c>
      <c r="N133" s="14" t="b">
        <f t="shared" si="7"/>
        <v>1</v>
      </c>
      <c r="O133" s="15" t="b">
        <f t="shared" si="2"/>
        <v>0</v>
      </c>
      <c r="P133" s="15" t="str">
        <f t="shared" si="3"/>
        <v>APPROVED</v>
      </c>
    </row>
    <row r="134" ht="18.0" customHeight="1">
      <c r="A134" s="7" t="s">
        <v>476</v>
      </c>
      <c r="B134" s="73" t="s">
        <v>477</v>
      </c>
      <c r="C134" s="78">
        <v>45793.0</v>
      </c>
      <c r="D134" s="78">
        <v>45793.0</v>
      </c>
      <c r="E134" s="84" t="s">
        <v>177</v>
      </c>
      <c r="F134" s="81" t="s">
        <v>23</v>
      </c>
      <c r="G134" s="81" t="s">
        <v>172</v>
      </c>
      <c r="H134" s="81" t="s">
        <v>25</v>
      </c>
      <c r="I134" s="82" t="s">
        <v>478</v>
      </c>
      <c r="J134" s="49" t="s">
        <v>479</v>
      </c>
      <c r="K134" s="73"/>
      <c r="L134" s="81" t="s">
        <v>27</v>
      </c>
      <c r="M134" s="84" t="s">
        <v>177</v>
      </c>
      <c r="N134" s="14" t="b">
        <f t="shared" si="7"/>
        <v>1</v>
      </c>
      <c r="O134" s="15" t="b">
        <f t="shared" si="2"/>
        <v>0</v>
      </c>
      <c r="P134" s="15" t="str">
        <f t="shared" si="3"/>
        <v>APPROVED</v>
      </c>
    </row>
    <row r="135" ht="15.75" customHeight="1">
      <c r="A135" s="30" t="s">
        <v>480</v>
      </c>
      <c r="B135" s="85" t="s">
        <v>481</v>
      </c>
      <c r="C135" s="86">
        <v>45793.0</v>
      </c>
      <c r="D135" s="86">
        <v>45793.0</v>
      </c>
      <c r="E135" s="89" t="s">
        <v>177</v>
      </c>
      <c r="F135" s="90" t="s">
        <v>23</v>
      </c>
      <c r="G135" s="90" t="s">
        <v>172</v>
      </c>
      <c r="H135" s="90" t="s">
        <v>482</v>
      </c>
      <c r="I135" s="91" t="s">
        <v>483</v>
      </c>
      <c r="J135" s="69"/>
      <c r="K135" s="70" t="s">
        <v>484</v>
      </c>
      <c r="L135" s="87" t="s">
        <v>98</v>
      </c>
      <c r="M135" s="89" t="s">
        <v>177</v>
      </c>
      <c r="N135" s="14" t="b">
        <f t="shared" si="7"/>
        <v>1</v>
      </c>
      <c r="O135" s="15" t="b">
        <f t="shared" si="2"/>
        <v>1</v>
      </c>
      <c r="P135" s="15" t="str">
        <f t="shared" si="3"/>
        <v>PENDING</v>
      </c>
    </row>
    <row r="136" ht="15.75" customHeight="1">
      <c r="A136" s="7" t="s">
        <v>485</v>
      </c>
      <c r="B136" s="73" t="s">
        <v>486</v>
      </c>
      <c r="C136" s="78">
        <v>45793.0</v>
      </c>
      <c r="D136" s="78">
        <v>45793.0</v>
      </c>
      <c r="E136" s="84" t="s">
        <v>177</v>
      </c>
      <c r="F136" s="81" t="s">
        <v>23</v>
      </c>
      <c r="G136" s="81" t="s">
        <v>172</v>
      </c>
      <c r="H136" s="81" t="s">
        <v>25</v>
      </c>
      <c r="I136" s="82" t="s">
        <v>487</v>
      </c>
      <c r="J136" s="49" t="s">
        <v>488</v>
      </c>
      <c r="K136" s="73"/>
      <c r="L136" s="81" t="s">
        <v>27</v>
      </c>
      <c r="M136" s="84" t="s">
        <v>177</v>
      </c>
      <c r="N136" s="14" t="b">
        <f t="shared" si="7"/>
        <v>1</v>
      </c>
      <c r="O136" s="15" t="b">
        <f t="shared" si="2"/>
        <v>0</v>
      </c>
      <c r="P136" s="15" t="str">
        <f t="shared" si="3"/>
        <v>APPROVED</v>
      </c>
    </row>
    <row r="137" ht="15.75" customHeight="1">
      <c r="A137" s="18" t="s">
        <v>489</v>
      </c>
      <c r="B137" s="19" t="s">
        <v>455</v>
      </c>
      <c r="C137" s="20">
        <v>45796.0</v>
      </c>
      <c r="D137" s="20">
        <v>45796.0</v>
      </c>
      <c r="E137" s="18" t="s">
        <v>171</v>
      </c>
      <c r="F137" s="22" t="s">
        <v>23</v>
      </c>
      <c r="G137" s="18"/>
      <c r="H137" s="18" t="s">
        <v>31</v>
      </c>
      <c r="I137" s="92"/>
      <c r="J137" s="93"/>
      <c r="K137" s="94"/>
      <c r="L137" s="68" t="s">
        <v>27</v>
      </c>
      <c r="M137" s="18" t="s">
        <v>171</v>
      </c>
      <c r="N137" s="175" t="b">
        <v>1</v>
      </c>
      <c r="O137" s="15" t="b">
        <f t="shared" si="2"/>
        <v>0</v>
      </c>
      <c r="P137" s="15" t="str">
        <f t="shared" si="3"/>
        <v>PENDING</v>
      </c>
    </row>
    <row r="138" ht="15.75" customHeight="1">
      <c r="A138" s="24" t="s">
        <v>490</v>
      </c>
      <c r="B138" s="25" t="s">
        <v>491</v>
      </c>
      <c r="C138" s="26">
        <v>45797.0</v>
      </c>
      <c r="D138" s="26">
        <v>45799.0</v>
      </c>
      <c r="E138" s="95" t="s">
        <v>177</v>
      </c>
      <c r="F138" s="28" t="s">
        <v>23</v>
      </c>
      <c r="G138" s="28" t="s">
        <v>172</v>
      </c>
      <c r="H138" s="28" t="s">
        <v>25</v>
      </c>
      <c r="I138" s="96" t="s">
        <v>492</v>
      </c>
      <c r="J138" s="97" t="s">
        <v>493</v>
      </c>
      <c r="K138" s="98"/>
      <c r="L138" s="28" t="s">
        <v>27</v>
      </c>
      <c r="M138" s="95" t="s">
        <v>177</v>
      </c>
      <c r="N138" s="175" t="b">
        <v>0</v>
      </c>
      <c r="O138" s="15" t="b">
        <f t="shared" si="2"/>
        <v>0</v>
      </c>
      <c r="P138" s="15" t="str">
        <f t="shared" si="3"/>
        <v>APPROVED</v>
      </c>
    </row>
    <row r="139" ht="15.75" customHeight="1">
      <c r="A139" s="7" t="s">
        <v>494</v>
      </c>
      <c r="B139" s="13" t="s">
        <v>495</v>
      </c>
      <c r="C139" s="9">
        <v>45797.0</v>
      </c>
      <c r="D139" s="9">
        <v>45799.0</v>
      </c>
      <c r="E139" s="84" t="s">
        <v>177</v>
      </c>
      <c r="F139" s="11" t="s">
        <v>23</v>
      </c>
      <c r="G139" s="11" t="s">
        <v>172</v>
      </c>
      <c r="H139" s="11" t="s">
        <v>25</v>
      </c>
      <c r="I139" s="16" t="s">
        <v>496</v>
      </c>
      <c r="J139" s="49" t="s">
        <v>497</v>
      </c>
      <c r="K139" s="73"/>
      <c r="L139" s="11" t="s">
        <v>27</v>
      </c>
      <c r="M139" s="84" t="s">
        <v>177</v>
      </c>
      <c r="N139" s="14" t="b">
        <f t="shared" ref="N139:N162" si="8">if(H139=$H$2,TRUE,O139)</f>
        <v>1</v>
      </c>
      <c r="O139" s="15" t="b">
        <f t="shared" si="2"/>
        <v>0</v>
      </c>
      <c r="P139" s="15" t="str">
        <f t="shared" si="3"/>
        <v>APPROVED</v>
      </c>
    </row>
    <row r="140" ht="15.75" customHeight="1">
      <c r="A140" s="30" t="s">
        <v>498</v>
      </c>
      <c r="B140" s="58" t="s">
        <v>499</v>
      </c>
      <c r="C140" s="32">
        <v>45797.0</v>
      </c>
      <c r="D140" s="32">
        <v>45800.0</v>
      </c>
      <c r="E140" s="30" t="s">
        <v>171</v>
      </c>
      <c r="F140" s="34" t="s">
        <v>23</v>
      </c>
      <c r="G140" s="34" t="s">
        <v>172</v>
      </c>
      <c r="H140" s="34" t="s">
        <v>49</v>
      </c>
      <c r="I140" s="66" t="s">
        <v>500</v>
      </c>
      <c r="J140" s="69" t="s">
        <v>501</v>
      </c>
      <c r="K140" s="70" t="s">
        <v>502</v>
      </c>
      <c r="L140" s="30" t="s">
        <v>98</v>
      </c>
      <c r="M140" s="30" t="s">
        <v>171</v>
      </c>
      <c r="N140" s="14" t="b">
        <f t="shared" si="8"/>
        <v>1</v>
      </c>
      <c r="O140" s="15" t="b">
        <f t="shared" si="2"/>
        <v>1</v>
      </c>
      <c r="P140" s="15" t="str">
        <f t="shared" si="3"/>
        <v>PENDING</v>
      </c>
    </row>
    <row r="141" ht="15.75" customHeight="1">
      <c r="A141" s="39" t="s">
        <v>503</v>
      </c>
      <c r="B141" s="74" t="s">
        <v>504</v>
      </c>
      <c r="C141" s="38">
        <v>45797.0</v>
      </c>
      <c r="D141" s="38">
        <v>45800.0</v>
      </c>
      <c r="E141" s="39" t="s">
        <v>171</v>
      </c>
      <c r="F141" s="41" t="s">
        <v>23</v>
      </c>
      <c r="G141" s="41" t="s">
        <v>172</v>
      </c>
      <c r="H141" s="41" t="s">
        <v>25</v>
      </c>
      <c r="I141" s="76" t="s">
        <v>505</v>
      </c>
      <c r="J141" s="49" t="s">
        <v>506</v>
      </c>
      <c r="K141" s="77"/>
      <c r="L141" s="41" t="s">
        <v>27</v>
      </c>
      <c r="M141" s="39" t="s">
        <v>171</v>
      </c>
      <c r="N141" s="14" t="b">
        <f t="shared" si="8"/>
        <v>1</v>
      </c>
      <c r="O141" s="15" t="b">
        <f t="shared" si="2"/>
        <v>0</v>
      </c>
      <c r="P141" s="15" t="str">
        <f t="shared" si="3"/>
        <v>APPROVED</v>
      </c>
    </row>
    <row r="142" ht="15.75" customHeight="1">
      <c r="A142" s="30" t="s">
        <v>507</v>
      </c>
      <c r="B142" s="58" t="s">
        <v>508</v>
      </c>
      <c r="C142" s="32">
        <v>45798.0</v>
      </c>
      <c r="D142" s="32">
        <v>45800.0</v>
      </c>
      <c r="E142" s="30" t="s">
        <v>171</v>
      </c>
      <c r="F142" s="34" t="s">
        <v>23</v>
      </c>
      <c r="G142" s="34" t="s">
        <v>172</v>
      </c>
      <c r="H142" s="34" t="s">
        <v>49</v>
      </c>
      <c r="I142" s="66"/>
      <c r="J142" s="69"/>
      <c r="K142" s="70" t="s">
        <v>509</v>
      </c>
      <c r="L142" s="30" t="s">
        <v>98</v>
      </c>
      <c r="M142" s="30" t="s">
        <v>171</v>
      </c>
      <c r="N142" s="14" t="b">
        <f t="shared" si="8"/>
        <v>1</v>
      </c>
      <c r="O142" s="15" t="b">
        <f t="shared" si="2"/>
        <v>1</v>
      </c>
      <c r="P142" s="15" t="str">
        <f t="shared" si="3"/>
        <v>PENDING</v>
      </c>
    </row>
    <row r="143" ht="15.75" customHeight="1">
      <c r="A143" s="7" t="s">
        <v>510</v>
      </c>
      <c r="B143" s="13" t="s">
        <v>511</v>
      </c>
      <c r="C143" s="9">
        <v>45798.0</v>
      </c>
      <c r="D143" s="9">
        <v>45798.0</v>
      </c>
      <c r="E143" s="84" t="s">
        <v>177</v>
      </c>
      <c r="F143" s="17" t="s">
        <v>23</v>
      </c>
      <c r="G143" s="11" t="s">
        <v>172</v>
      </c>
      <c r="H143" s="11" t="s">
        <v>25</v>
      </c>
      <c r="I143" s="16" t="s">
        <v>512</v>
      </c>
      <c r="J143" s="49" t="s">
        <v>513</v>
      </c>
      <c r="K143" s="73"/>
      <c r="L143" s="11" t="s">
        <v>27</v>
      </c>
      <c r="M143" s="84" t="s">
        <v>177</v>
      </c>
      <c r="N143" s="14" t="b">
        <f t="shared" si="8"/>
        <v>1</v>
      </c>
      <c r="O143" s="15" t="b">
        <f t="shared" si="2"/>
        <v>0</v>
      </c>
      <c r="P143" s="15" t="str">
        <f t="shared" si="3"/>
        <v>APPROVED</v>
      </c>
    </row>
    <row r="144" ht="15.75" customHeight="1">
      <c r="A144" s="7" t="s">
        <v>514</v>
      </c>
      <c r="B144" s="13" t="s">
        <v>515</v>
      </c>
      <c r="C144" s="9">
        <v>45798.0</v>
      </c>
      <c r="D144" s="9">
        <v>45798.0</v>
      </c>
      <c r="E144" s="84" t="s">
        <v>177</v>
      </c>
      <c r="F144" s="11" t="s">
        <v>23</v>
      </c>
      <c r="G144" s="11" t="s">
        <v>172</v>
      </c>
      <c r="H144" s="11" t="s">
        <v>25</v>
      </c>
      <c r="I144" s="16" t="s">
        <v>516</v>
      </c>
      <c r="J144" s="49" t="s">
        <v>517</v>
      </c>
      <c r="K144" s="73"/>
      <c r="L144" s="11" t="s">
        <v>27</v>
      </c>
      <c r="M144" s="84" t="s">
        <v>177</v>
      </c>
      <c r="N144" s="14" t="b">
        <f t="shared" si="8"/>
        <v>1</v>
      </c>
      <c r="O144" s="15" t="b">
        <f t="shared" si="2"/>
        <v>0</v>
      </c>
      <c r="P144" s="15" t="str">
        <f t="shared" si="3"/>
        <v>APPROVED</v>
      </c>
    </row>
    <row r="145" ht="15.75" customHeight="1">
      <c r="A145" s="24" t="s">
        <v>518</v>
      </c>
      <c r="B145" s="25" t="s">
        <v>519</v>
      </c>
      <c r="C145" s="26">
        <v>45798.0</v>
      </c>
      <c r="D145" s="26">
        <v>45798.0</v>
      </c>
      <c r="E145" s="95" t="s">
        <v>177</v>
      </c>
      <c r="F145" s="28" t="s">
        <v>23</v>
      </c>
      <c r="G145" s="28" t="s">
        <v>172</v>
      </c>
      <c r="H145" s="28" t="s">
        <v>84</v>
      </c>
      <c r="I145" s="96" t="s">
        <v>520</v>
      </c>
      <c r="J145" s="97" t="s">
        <v>521</v>
      </c>
      <c r="K145" s="98"/>
      <c r="L145" s="28" t="s">
        <v>27</v>
      </c>
      <c r="M145" s="95" t="s">
        <v>177</v>
      </c>
      <c r="N145" s="14" t="b">
        <f t="shared" si="8"/>
        <v>0</v>
      </c>
      <c r="O145" s="15" t="b">
        <f t="shared" si="2"/>
        <v>0</v>
      </c>
      <c r="P145" s="15" t="str">
        <f t="shared" si="3"/>
        <v>PENDING</v>
      </c>
    </row>
    <row r="146" ht="15.75" customHeight="1">
      <c r="A146" s="99" t="s">
        <v>522</v>
      </c>
      <c r="B146" s="100" t="s">
        <v>394</v>
      </c>
      <c r="C146" s="101">
        <v>45798.0</v>
      </c>
      <c r="D146" s="101">
        <v>45800.0</v>
      </c>
      <c r="E146" s="99" t="s">
        <v>22</v>
      </c>
      <c r="F146" s="103" t="s">
        <v>23</v>
      </c>
      <c r="G146" s="103" t="s">
        <v>172</v>
      </c>
      <c r="H146" s="103" t="s">
        <v>25</v>
      </c>
      <c r="I146" s="104" t="s">
        <v>399</v>
      </c>
      <c r="J146" s="12" t="s">
        <v>167</v>
      </c>
      <c r="K146" s="105"/>
      <c r="L146" s="103" t="s">
        <v>27</v>
      </c>
      <c r="M146" s="99" t="s">
        <v>22</v>
      </c>
      <c r="N146" s="14" t="b">
        <f t="shared" si="8"/>
        <v>1</v>
      </c>
      <c r="O146" s="15" t="b">
        <f t="shared" si="2"/>
        <v>0</v>
      </c>
      <c r="P146" s="15" t="str">
        <f t="shared" si="3"/>
        <v>APPROVED</v>
      </c>
    </row>
    <row r="147" ht="15.75" customHeight="1">
      <c r="A147" s="7" t="s">
        <v>523</v>
      </c>
      <c r="B147" s="13" t="s">
        <v>524</v>
      </c>
      <c r="C147" s="9">
        <v>45799.0</v>
      </c>
      <c r="D147" s="9">
        <v>45801.0</v>
      </c>
      <c r="E147" s="7" t="s">
        <v>525</v>
      </c>
      <c r="F147" s="11" t="s">
        <v>23</v>
      </c>
      <c r="G147" s="11" t="s">
        <v>30</v>
      </c>
      <c r="H147" s="11" t="s">
        <v>25</v>
      </c>
      <c r="I147" s="16"/>
      <c r="J147" s="49" t="s">
        <v>432</v>
      </c>
      <c r="K147" s="73"/>
      <c r="L147" s="11" t="s">
        <v>27</v>
      </c>
      <c r="M147" s="7" t="s">
        <v>525</v>
      </c>
      <c r="N147" s="14" t="b">
        <f t="shared" si="8"/>
        <v>1</v>
      </c>
      <c r="O147" s="15" t="b">
        <f t="shared" si="2"/>
        <v>0</v>
      </c>
      <c r="P147" s="15" t="str">
        <f t="shared" si="3"/>
        <v>APPROVED</v>
      </c>
    </row>
    <row r="148" ht="15.75" customHeight="1">
      <c r="A148" s="7" t="s">
        <v>526</v>
      </c>
      <c r="B148" s="13" t="s">
        <v>527</v>
      </c>
      <c r="C148" s="9">
        <v>45799.0</v>
      </c>
      <c r="D148" s="9">
        <v>45801.0</v>
      </c>
      <c r="E148" s="7" t="s">
        <v>525</v>
      </c>
      <c r="F148" s="11" t="s">
        <v>23</v>
      </c>
      <c r="G148" s="11" t="s">
        <v>30</v>
      </c>
      <c r="H148" s="11" t="s">
        <v>25</v>
      </c>
      <c r="I148" s="16"/>
      <c r="J148" s="49" t="s">
        <v>432</v>
      </c>
      <c r="K148" s="73"/>
      <c r="L148" s="11" t="s">
        <v>27</v>
      </c>
      <c r="M148" s="7" t="s">
        <v>525</v>
      </c>
      <c r="N148" s="14" t="b">
        <f t="shared" si="8"/>
        <v>1</v>
      </c>
      <c r="O148" s="15" t="b">
        <f t="shared" si="2"/>
        <v>0</v>
      </c>
      <c r="P148" s="15" t="str">
        <f t="shared" si="3"/>
        <v>APPROVED</v>
      </c>
    </row>
    <row r="149" ht="15.75" customHeight="1">
      <c r="A149" s="7" t="s">
        <v>528</v>
      </c>
      <c r="B149" s="13" t="s">
        <v>529</v>
      </c>
      <c r="C149" s="9">
        <v>45799.0</v>
      </c>
      <c r="D149" s="9">
        <v>45801.0</v>
      </c>
      <c r="E149" s="7" t="s">
        <v>525</v>
      </c>
      <c r="F149" s="11" t="s">
        <v>23</v>
      </c>
      <c r="G149" s="11" t="s">
        <v>30</v>
      </c>
      <c r="H149" s="11" t="s">
        <v>25</v>
      </c>
      <c r="I149" s="16"/>
      <c r="J149" s="49" t="s">
        <v>432</v>
      </c>
      <c r="K149" s="73"/>
      <c r="L149" s="11" t="s">
        <v>27</v>
      </c>
      <c r="M149" s="7" t="s">
        <v>525</v>
      </c>
      <c r="N149" s="14" t="b">
        <f t="shared" si="8"/>
        <v>1</v>
      </c>
      <c r="O149" s="15" t="b">
        <f t="shared" si="2"/>
        <v>0</v>
      </c>
      <c r="P149" s="15" t="str">
        <f t="shared" si="3"/>
        <v>APPROVED</v>
      </c>
    </row>
    <row r="150" ht="15.75" customHeight="1">
      <c r="A150" s="7" t="s">
        <v>530</v>
      </c>
      <c r="B150" s="13" t="s">
        <v>531</v>
      </c>
      <c r="C150" s="9">
        <v>45799.0</v>
      </c>
      <c r="D150" s="9">
        <v>45801.0</v>
      </c>
      <c r="E150" s="7" t="s">
        <v>525</v>
      </c>
      <c r="F150" s="11" t="s">
        <v>23</v>
      </c>
      <c r="G150" s="11" t="s">
        <v>30</v>
      </c>
      <c r="H150" s="11" t="s">
        <v>25</v>
      </c>
      <c r="I150" s="16"/>
      <c r="J150" s="49" t="s">
        <v>432</v>
      </c>
      <c r="K150" s="73"/>
      <c r="L150" s="11" t="s">
        <v>27</v>
      </c>
      <c r="M150" s="7" t="s">
        <v>525</v>
      </c>
      <c r="N150" s="14" t="b">
        <f t="shared" si="8"/>
        <v>1</v>
      </c>
      <c r="O150" s="15" t="b">
        <f t="shared" si="2"/>
        <v>0</v>
      </c>
      <c r="P150" s="15" t="str">
        <f t="shared" si="3"/>
        <v>APPROVED</v>
      </c>
    </row>
    <row r="151" ht="15.75" customHeight="1">
      <c r="A151" s="7" t="s">
        <v>532</v>
      </c>
      <c r="B151" s="8" t="s">
        <v>533</v>
      </c>
      <c r="C151" s="9">
        <v>45799.0</v>
      </c>
      <c r="D151" s="9">
        <v>45801.0</v>
      </c>
      <c r="E151" s="7" t="s">
        <v>525</v>
      </c>
      <c r="F151" s="11" t="s">
        <v>23</v>
      </c>
      <c r="G151" s="11" t="s">
        <v>30</v>
      </c>
      <c r="H151" s="11" t="s">
        <v>25</v>
      </c>
      <c r="I151" s="16"/>
      <c r="J151" s="49" t="s">
        <v>432</v>
      </c>
      <c r="K151" s="73"/>
      <c r="L151" s="11" t="s">
        <v>27</v>
      </c>
      <c r="M151" s="7" t="s">
        <v>525</v>
      </c>
      <c r="N151" s="14" t="b">
        <f t="shared" si="8"/>
        <v>1</v>
      </c>
      <c r="O151" s="15" t="b">
        <f t="shared" si="2"/>
        <v>0</v>
      </c>
      <c r="P151" s="15" t="str">
        <f t="shared" si="3"/>
        <v>APPROVED</v>
      </c>
    </row>
    <row r="152" ht="15.75" customHeight="1">
      <c r="A152" s="24" t="s">
        <v>534</v>
      </c>
      <c r="B152" s="25" t="s">
        <v>535</v>
      </c>
      <c r="C152" s="26">
        <v>45799.0</v>
      </c>
      <c r="D152" s="26">
        <v>45801.0</v>
      </c>
      <c r="E152" s="24" t="s">
        <v>525</v>
      </c>
      <c r="F152" s="28" t="s">
        <v>23</v>
      </c>
      <c r="G152" s="28" t="s">
        <v>48</v>
      </c>
      <c r="H152" s="28" t="s">
        <v>84</v>
      </c>
      <c r="I152" s="96" t="s">
        <v>536</v>
      </c>
      <c r="J152" s="97" t="s">
        <v>537</v>
      </c>
      <c r="K152" s="98"/>
      <c r="L152" s="28" t="s">
        <v>27</v>
      </c>
      <c r="M152" s="24" t="s">
        <v>525</v>
      </c>
      <c r="N152" s="14" t="b">
        <f t="shared" si="8"/>
        <v>0</v>
      </c>
      <c r="O152" s="15" t="b">
        <f t="shared" si="2"/>
        <v>0</v>
      </c>
      <c r="P152" s="15" t="str">
        <f t="shared" si="3"/>
        <v>PENDING</v>
      </c>
    </row>
    <row r="153" ht="15.75" customHeight="1">
      <c r="A153" s="24" t="s">
        <v>538</v>
      </c>
      <c r="B153" s="25" t="s">
        <v>539</v>
      </c>
      <c r="C153" s="26">
        <v>45800.0</v>
      </c>
      <c r="D153" s="26">
        <v>45800.0</v>
      </c>
      <c r="E153" s="95" t="s">
        <v>177</v>
      </c>
      <c r="F153" s="28" t="s">
        <v>23</v>
      </c>
      <c r="G153" s="28" t="s">
        <v>172</v>
      </c>
      <c r="H153" s="28" t="s">
        <v>84</v>
      </c>
      <c r="I153" s="96" t="s">
        <v>540</v>
      </c>
      <c r="J153" s="97" t="s">
        <v>541</v>
      </c>
      <c r="K153" s="98"/>
      <c r="L153" s="28" t="s">
        <v>27</v>
      </c>
      <c r="M153" s="95" t="s">
        <v>177</v>
      </c>
      <c r="N153" s="14" t="b">
        <f t="shared" si="8"/>
        <v>0</v>
      </c>
      <c r="O153" s="15" t="b">
        <f t="shared" si="2"/>
        <v>0</v>
      </c>
      <c r="P153" s="15" t="str">
        <f t="shared" si="3"/>
        <v>PENDING</v>
      </c>
    </row>
    <row r="154" ht="15.75" customHeight="1">
      <c r="A154" s="7" t="s">
        <v>542</v>
      </c>
      <c r="B154" s="8" t="s">
        <v>543</v>
      </c>
      <c r="C154" s="9">
        <v>45801.0</v>
      </c>
      <c r="D154" s="9">
        <v>45722.0</v>
      </c>
      <c r="E154" s="7" t="s">
        <v>525</v>
      </c>
      <c r="F154" s="11" t="s">
        <v>23</v>
      </c>
      <c r="G154" s="11" t="s">
        <v>35</v>
      </c>
      <c r="H154" s="11" t="s">
        <v>25</v>
      </c>
      <c r="I154" s="16" t="s">
        <v>544</v>
      </c>
      <c r="J154" s="49" t="s">
        <v>545</v>
      </c>
      <c r="K154" s="73"/>
      <c r="L154" s="11" t="s">
        <v>27</v>
      </c>
      <c r="M154" s="7" t="s">
        <v>525</v>
      </c>
      <c r="N154" s="14" t="b">
        <f t="shared" si="8"/>
        <v>1</v>
      </c>
      <c r="O154" s="15" t="b">
        <f t="shared" si="2"/>
        <v>0</v>
      </c>
      <c r="P154" s="15" t="str">
        <f t="shared" si="3"/>
        <v>APPROVED</v>
      </c>
    </row>
    <row r="155" ht="15.75" customHeight="1">
      <c r="A155" s="39" t="s">
        <v>546</v>
      </c>
      <c r="B155" s="64" t="s">
        <v>547</v>
      </c>
      <c r="C155" s="38">
        <v>45804.0</v>
      </c>
      <c r="D155" s="38">
        <v>45805.0</v>
      </c>
      <c r="E155" s="39" t="s">
        <v>177</v>
      </c>
      <c r="F155" s="41" t="s">
        <v>23</v>
      </c>
      <c r="G155" s="41" t="s">
        <v>172</v>
      </c>
      <c r="H155" s="41" t="s">
        <v>25</v>
      </c>
      <c r="I155" s="76" t="s">
        <v>548</v>
      </c>
      <c r="J155" s="49" t="s">
        <v>549</v>
      </c>
      <c r="K155" s="77"/>
      <c r="L155" s="41" t="s">
        <v>27</v>
      </c>
      <c r="M155" s="39" t="s">
        <v>177</v>
      </c>
      <c r="N155" s="14" t="b">
        <f t="shared" si="8"/>
        <v>1</v>
      </c>
      <c r="O155" s="15" t="b">
        <f t="shared" si="2"/>
        <v>0</v>
      </c>
      <c r="P155" s="15" t="str">
        <f t="shared" si="3"/>
        <v>APPROVED</v>
      </c>
    </row>
    <row r="156" ht="15.75" customHeight="1">
      <c r="A156" s="106" t="s">
        <v>550</v>
      </c>
      <c r="B156" s="107" t="s">
        <v>29</v>
      </c>
      <c r="C156" s="50">
        <v>45805.0</v>
      </c>
      <c r="D156" s="50">
        <v>45807.0</v>
      </c>
      <c r="E156" s="106" t="s">
        <v>22</v>
      </c>
      <c r="F156" s="109" t="s">
        <v>23</v>
      </c>
      <c r="G156" s="109" t="s">
        <v>70</v>
      </c>
      <c r="H156" s="109" t="s">
        <v>84</v>
      </c>
      <c r="I156" s="110" t="s">
        <v>551</v>
      </c>
      <c r="J156" s="111" t="s">
        <v>552</v>
      </c>
      <c r="K156" s="112"/>
      <c r="L156" s="109" t="s">
        <v>27</v>
      </c>
      <c r="M156" s="106" t="s">
        <v>22</v>
      </c>
      <c r="N156" s="14" t="b">
        <f t="shared" si="8"/>
        <v>0</v>
      </c>
      <c r="O156" s="15" t="b">
        <f t="shared" si="2"/>
        <v>0</v>
      </c>
      <c r="P156" s="15" t="str">
        <f t="shared" si="3"/>
        <v>PENDING</v>
      </c>
    </row>
    <row r="157" ht="15.75" customHeight="1">
      <c r="A157" s="7" t="s">
        <v>553</v>
      </c>
      <c r="B157" s="13" t="s">
        <v>554</v>
      </c>
      <c r="C157" s="9">
        <v>45805.0</v>
      </c>
      <c r="D157" s="9">
        <v>45805.0</v>
      </c>
      <c r="E157" s="84" t="s">
        <v>177</v>
      </c>
      <c r="F157" s="11" t="s">
        <v>23</v>
      </c>
      <c r="G157" s="11" t="s">
        <v>172</v>
      </c>
      <c r="H157" s="11" t="s">
        <v>25</v>
      </c>
      <c r="I157" s="16" t="s">
        <v>555</v>
      </c>
      <c r="J157" s="49" t="s">
        <v>556</v>
      </c>
      <c r="K157" s="73"/>
      <c r="L157" s="11" t="s">
        <v>27</v>
      </c>
      <c r="M157" s="84" t="s">
        <v>177</v>
      </c>
      <c r="N157" s="14" t="b">
        <f t="shared" si="8"/>
        <v>1</v>
      </c>
      <c r="O157" s="15" t="b">
        <f t="shared" si="2"/>
        <v>0</v>
      </c>
      <c r="P157" s="15" t="str">
        <f t="shared" si="3"/>
        <v>APPROVED</v>
      </c>
    </row>
    <row r="158" ht="15.75" customHeight="1">
      <c r="A158" s="7" t="s">
        <v>557</v>
      </c>
      <c r="B158" s="13" t="s">
        <v>558</v>
      </c>
      <c r="C158" s="9">
        <v>45805.0</v>
      </c>
      <c r="D158" s="9">
        <v>45805.0</v>
      </c>
      <c r="E158" s="84" t="s">
        <v>177</v>
      </c>
      <c r="F158" s="11" t="s">
        <v>23</v>
      </c>
      <c r="G158" s="11" t="s">
        <v>172</v>
      </c>
      <c r="H158" s="11" t="s">
        <v>25</v>
      </c>
      <c r="I158" s="16" t="s">
        <v>559</v>
      </c>
      <c r="J158" s="49" t="s">
        <v>560</v>
      </c>
      <c r="K158" s="73"/>
      <c r="L158" s="11" t="s">
        <v>27</v>
      </c>
      <c r="M158" s="84" t="s">
        <v>177</v>
      </c>
      <c r="N158" s="14" t="b">
        <f t="shared" si="8"/>
        <v>1</v>
      </c>
      <c r="O158" s="15" t="b">
        <f t="shared" si="2"/>
        <v>0</v>
      </c>
      <c r="P158" s="15" t="str">
        <f t="shared" si="3"/>
        <v>APPROVED</v>
      </c>
    </row>
    <row r="159" ht="15.75" customHeight="1">
      <c r="A159" s="7" t="s">
        <v>561</v>
      </c>
      <c r="B159" s="13" t="s">
        <v>562</v>
      </c>
      <c r="C159" s="9">
        <v>45805.0</v>
      </c>
      <c r="D159" s="9">
        <v>45805.0</v>
      </c>
      <c r="E159" s="84" t="s">
        <v>177</v>
      </c>
      <c r="F159" s="11" t="s">
        <v>23</v>
      </c>
      <c r="G159" s="11" t="s">
        <v>172</v>
      </c>
      <c r="H159" s="11" t="s">
        <v>25</v>
      </c>
      <c r="I159" s="16" t="s">
        <v>563</v>
      </c>
      <c r="J159" s="49" t="s">
        <v>564</v>
      </c>
      <c r="K159" s="73"/>
      <c r="L159" s="11" t="s">
        <v>27</v>
      </c>
      <c r="M159" s="84" t="s">
        <v>177</v>
      </c>
      <c r="N159" s="14" t="b">
        <f t="shared" si="8"/>
        <v>1</v>
      </c>
      <c r="O159" s="15" t="b">
        <f t="shared" si="2"/>
        <v>0</v>
      </c>
      <c r="P159" s="15" t="str">
        <f t="shared" si="3"/>
        <v>APPROVED</v>
      </c>
    </row>
    <row r="160" ht="17.25" customHeight="1">
      <c r="A160" s="7" t="s">
        <v>565</v>
      </c>
      <c r="B160" s="8" t="s">
        <v>189</v>
      </c>
      <c r="C160" s="9">
        <v>45806.0</v>
      </c>
      <c r="D160" s="9">
        <v>45807.0</v>
      </c>
      <c r="E160" s="84" t="s">
        <v>177</v>
      </c>
      <c r="F160" s="11" t="s">
        <v>23</v>
      </c>
      <c r="G160" s="11" t="s">
        <v>172</v>
      </c>
      <c r="H160" s="11" t="s">
        <v>25</v>
      </c>
      <c r="I160" s="16" t="s">
        <v>566</v>
      </c>
      <c r="J160" s="49" t="s">
        <v>191</v>
      </c>
      <c r="K160" s="73"/>
      <c r="L160" s="11" t="s">
        <v>27</v>
      </c>
      <c r="M160" s="84" t="s">
        <v>177</v>
      </c>
      <c r="N160" s="14" t="b">
        <f t="shared" si="8"/>
        <v>1</v>
      </c>
      <c r="O160" s="15" t="b">
        <f t="shared" si="2"/>
        <v>0</v>
      </c>
      <c r="P160" s="15" t="str">
        <f t="shared" si="3"/>
        <v>APPROVED</v>
      </c>
    </row>
    <row r="161" ht="15.75" customHeight="1">
      <c r="A161" s="7" t="s">
        <v>567</v>
      </c>
      <c r="B161" s="13" t="s">
        <v>176</v>
      </c>
      <c r="C161" s="9">
        <v>45806.0</v>
      </c>
      <c r="D161" s="9">
        <v>45753.0</v>
      </c>
      <c r="E161" s="84" t="s">
        <v>177</v>
      </c>
      <c r="F161" s="11" t="s">
        <v>23</v>
      </c>
      <c r="G161" s="11" t="s">
        <v>172</v>
      </c>
      <c r="H161" s="11" t="s">
        <v>25</v>
      </c>
      <c r="I161" s="16" t="s">
        <v>568</v>
      </c>
      <c r="J161" s="49" t="s">
        <v>569</v>
      </c>
      <c r="K161" s="73"/>
      <c r="L161" s="11" t="s">
        <v>27</v>
      </c>
      <c r="M161" s="84" t="s">
        <v>177</v>
      </c>
      <c r="N161" s="14" t="b">
        <f t="shared" si="8"/>
        <v>1</v>
      </c>
      <c r="O161" s="15" t="b">
        <f t="shared" si="2"/>
        <v>0</v>
      </c>
      <c r="P161" s="15" t="str">
        <f t="shared" si="3"/>
        <v>APPROVED</v>
      </c>
    </row>
    <row r="162" ht="15.75" customHeight="1">
      <c r="A162" s="7" t="s">
        <v>570</v>
      </c>
      <c r="B162" s="8" t="s">
        <v>276</v>
      </c>
      <c r="C162" s="9">
        <v>45807.0</v>
      </c>
      <c r="D162" s="9">
        <v>45807.0</v>
      </c>
      <c r="E162" s="84" t="s">
        <v>177</v>
      </c>
      <c r="F162" s="11" t="s">
        <v>23</v>
      </c>
      <c r="G162" s="11" t="s">
        <v>172</v>
      </c>
      <c r="H162" s="11" t="s">
        <v>25</v>
      </c>
      <c r="I162" s="16" t="s">
        <v>571</v>
      </c>
      <c r="J162" s="49" t="s">
        <v>572</v>
      </c>
      <c r="K162" s="73"/>
      <c r="L162" s="11" t="s">
        <v>27</v>
      </c>
      <c r="M162" s="84" t="s">
        <v>177</v>
      </c>
      <c r="N162" s="14" t="b">
        <f t="shared" si="8"/>
        <v>1</v>
      </c>
      <c r="O162" s="15" t="b">
        <f t="shared" si="2"/>
        <v>0</v>
      </c>
      <c r="P162" s="15" t="str">
        <f t="shared" si="3"/>
        <v>APPROVED</v>
      </c>
    </row>
    <row r="163" ht="15.75" customHeight="1">
      <c r="A163" s="7" t="s">
        <v>573</v>
      </c>
      <c r="B163" s="8" t="s">
        <v>574</v>
      </c>
      <c r="C163" s="9">
        <v>45807.0</v>
      </c>
      <c r="D163" s="9"/>
      <c r="E163" s="7" t="s">
        <v>22</v>
      </c>
      <c r="F163" s="11" t="s">
        <v>716</v>
      </c>
      <c r="G163" s="7"/>
      <c r="H163" s="7" t="s">
        <v>31</v>
      </c>
      <c r="I163" s="16" t="s">
        <v>575</v>
      </c>
      <c r="J163" s="49" t="s">
        <v>432</v>
      </c>
      <c r="K163" s="73"/>
      <c r="L163" s="11" t="s">
        <v>27</v>
      </c>
      <c r="M163" s="7" t="s">
        <v>22</v>
      </c>
      <c r="N163" s="175" t="b">
        <v>1</v>
      </c>
      <c r="O163" s="15" t="b">
        <f t="shared" si="2"/>
        <v>0</v>
      </c>
      <c r="P163" s="15" t="str">
        <f t="shared" si="3"/>
        <v>PENDING</v>
      </c>
    </row>
    <row r="164" ht="15.75" customHeight="1">
      <c r="A164" s="7" t="s">
        <v>576</v>
      </c>
      <c r="B164" s="13" t="s">
        <v>577</v>
      </c>
      <c r="C164" s="9">
        <v>45807.0</v>
      </c>
      <c r="D164" s="9">
        <v>45807.0</v>
      </c>
      <c r="E164" s="7" t="s">
        <v>177</v>
      </c>
      <c r="F164" s="11" t="s">
        <v>23</v>
      </c>
      <c r="G164" s="11" t="s">
        <v>172</v>
      </c>
      <c r="H164" s="11" t="s">
        <v>25</v>
      </c>
      <c r="I164" s="16" t="s">
        <v>578</v>
      </c>
      <c r="J164" s="49" t="s">
        <v>579</v>
      </c>
      <c r="K164" s="73"/>
      <c r="L164" s="11" t="s">
        <v>27</v>
      </c>
      <c r="M164" s="7" t="s">
        <v>177</v>
      </c>
      <c r="N164" s="14" t="b">
        <f t="shared" ref="N164:N167" si="9">if(H164=$H$2,TRUE,O164)</f>
        <v>1</v>
      </c>
      <c r="O164" s="15" t="b">
        <f t="shared" si="2"/>
        <v>0</v>
      </c>
      <c r="P164" s="15" t="str">
        <f t="shared" si="3"/>
        <v>APPROVED</v>
      </c>
    </row>
    <row r="165" ht="15.75" customHeight="1">
      <c r="A165" s="24" t="s">
        <v>580</v>
      </c>
      <c r="B165" s="25" t="s">
        <v>581</v>
      </c>
      <c r="C165" s="26">
        <v>45807.0</v>
      </c>
      <c r="D165" s="26">
        <v>45807.0</v>
      </c>
      <c r="E165" s="24" t="s">
        <v>177</v>
      </c>
      <c r="F165" s="28" t="s">
        <v>23</v>
      </c>
      <c r="G165" s="28" t="s">
        <v>172</v>
      </c>
      <c r="H165" s="28" t="s">
        <v>49</v>
      </c>
      <c r="I165" s="96" t="s">
        <v>582</v>
      </c>
      <c r="J165" s="97" t="s">
        <v>583</v>
      </c>
      <c r="K165" s="98"/>
      <c r="L165" s="28" t="s">
        <v>27</v>
      </c>
      <c r="M165" s="24" t="s">
        <v>177</v>
      </c>
      <c r="N165" s="14" t="b">
        <f t="shared" si="9"/>
        <v>0</v>
      </c>
      <c r="O165" s="15" t="b">
        <f t="shared" si="2"/>
        <v>0</v>
      </c>
      <c r="P165" s="15" t="str">
        <f t="shared" si="3"/>
        <v>PENDING</v>
      </c>
    </row>
    <row r="166" ht="15.75" customHeight="1">
      <c r="A166" s="7" t="s">
        <v>584</v>
      </c>
      <c r="B166" s="13" t="s">
        <v>585</v>
      </c>
      <c r="C166" s="9">
        <v>45807.0</v>
      </c>
      <c r="D166" s="9">
        <v>45807.0</v>
      </c>
      <c r="E166" s="7" t="s">
        <v>177</v>
      </c>
      <c r="F166" s="11" t="s">
        <v>23</v>
      </c>
      <c r="G166" s="11" t="s">
        <v>172</v>
      </c>
      <c r="H166" s="11" t="s">
        <v>25</v>
      </c>
      <c r="I166" s="16" t="s">
        <v>586</v>
      </c>
      <c r="J166" s="49" t="s">
        <v>587</v>
      </c>
      <c r="K166" s="73"/>
      <c r="L166" s="11" t="s">
        <v>27</v>
      </c>
      <c r="M166" s="7" t="s">
        <v>177</v>
      </c>
      <c r="N166" s="14" t="b">
        <f t="shared" si="9"/>
        <v>1</v>
      </c>
      <c r="O166" s="15" t="b">
        <f t="shared" si="2"/>
        <v>0</v>
      </c>
      <c r="P166" s="15" t="str">
        <f t="shared" si="3"/>
        <v>APPROVED</v>
      </c>
    </row>
    <row r="167" ht="15.75" customHeight="1">
      <c r="A167" s="39" t="s">
        <v>588</v>
      </c>
      <c r="B167" s="37" t="s">
        <v>589</v>
      </c>
      <c r="C167" s="38">
        <v>45807.0</v>
      </c>
      <c r="D167" s="38">
        <v>45807.0</v>
      </c>
      <c r="E167" s="39" t="s">
        <v>177</v>
      </c>
      <c r="F167" s="41" t="s">
        <v>23</v>
      </c>
      <c r="G167" s="41" t="s">
        <v>172</v>
      </c>
      <c r="H167" s="41" t="s">
        <v>25</v>
      </c>
      <c r="I167" s="76" t="s">
        <v>590</v>
      </c>
      <c r="J167" s="49" t="s">
        <v>591</v>
      </c>
      <c r="K167" s="77"/>
      <c r="L167" s="41" t="s">
        <v>27</v>
      </c>
      <c r="M167" s="39" t="s">
        <v>177</v>
      </c>
      <c r="N167" s="14" t="b">
        <f t="shared" si="9"/>
        <v>1</v>
      </c>
      <c r="O167" s="15" t="b">
        <f t="shared" si="2"/>
        <v>0</v>
      </c>
      <c r="P167" s="15" t="str">
        <f t="shared" si="3"/>
        <v>APPROVED</v>
      </c>
    </row>
    <row r="168" ht="15.75" customHeight="1">
      <c r="A168" s="7" t="s">
        <v>592</v>
      </c>
      <c r="B168" s="13" t="s">
        <v>455</v>
      </c>
      <c r="C168" s="9">
        <v>45808.0</v>
      </c>
      <c r="D168" s="9">
        <v>45808.0</v>
      </c>
      <c r="E168" s="7"/>
      <c r="F168" s="11" t="s">
        <v>716</v>
      </c>
      <c r="G168" s="7"/>
      <c r="H168" s="7" t="s">
        <v>31</v>
      </c>
      <c r="I168" s="16" t="s">
        <v>593</v>
      </c>
      <c r="J168" s="49" t="s">
        <v>432</v>
      </c>
      <c r="K168" s="73"/>
      <c r="L168" s="11" t="s">
        <v>27</v>
      </c>
      <c r="M168" s="7"/>
      <c r="N168" s="175" t="b">
        <v>1</v>
      </c>
      <c r="O168" s="15" t="b">
        <f t="shared" si="2"/>
        <v>0</v>
      </c>
      <c r="P168" s="15" t="str">
        <f t="shared" si="3"/>
        <v>PENDING</v>
      </c>
    </row>
    <row r="169" ht="15.75" customHeight="1">
      <c r="A169" s="7" t="s">
        <v>594</v>
      </c>
      <c r="B169" s="13" t="s">
        <v>595</v>
      </c>
      <c r="C169" s="9">
        <v>45787.0</v>
      </c>
      <c r="D169" s="9">
        <v>45935.0</v>
      </c>
      <c r="E169" s="7" t="s">
        <v>171</v>
      </c>
      <c r="F169" s="11" t="s">
        <v>23</v>
      </c>
      <c r="G169" s="11" t="s">
        <v>172</v>
      </c>
      <c r="H169" s="11" t="s">
        <v>25</v>
      </c>
      <c r="I169" s="16" t="s">
        <v>596</v>
      </c>
      <c r="J169" s="49" t="s">
        <v>597</v>
      </c>
      <c r="K169" s="73"/>
      <c r="L169" s="11" t="s">
        <v>27</v>
      </c>
      <c r="M169" s="7" t="s">
        <v>171</v>
      </c>
      <c r="N169" s="14" t="b">
        <f t="shared" ref="N169:N200" si="10">if(H169=$H$2,TRUE,O169)</f>
        <v>1</v>
      </c>
      <c r="O169" s="15" t="b">
        <f t="shared" si="2"/>
        <v>0</v>
      </c>
      <c r="P169" s="15" t="str">
        <f t="shared" si="3"/>
        <v>APPROVED</v>
      </c>
    </row>
    <row r="170" ht="17.25" customHeight="1">
      <c r="A170" s="7" t="s">
        <v>598</v>
      </c>
      <c r="B170" s="13" t="s">
        <v>599</v>
      </c>
      <c r="C170" s="9">
        <v>45799.0</v>
      </c>
      <c r="D170" s="9">
        <v>45799.0</v>
      </c>
      <c r="E170" s="7" t="s">
        <v>171</v>
      </c>
      <c r="F170" s="11" t="s">
        <v>23</v>
      </c>
      <c r="G170" s="11" t="s">
        <v>172</v>
      </c>
      <c r="H170" s="11" t="s">
        <v>25</v>
      </c>
      <c r="I170" s="16"/>
      <c r="J170" s="49" t="s">
        <v>600</v>
      </c>
      <c r="K170" s="73"/>
      <c r="L170" s="11" t="s">
        <v>27</v>
      </c>
      <c r="M170" s="7" t="s">
        <v>171</v>
      </c>
      <c r="N170" s="14" t="b">
        <f t="shared" si="10"/>
        <v>1</v>
      </c>
      <c r="O170" s="15" t="b">
        <f t="shared" si="2"/>
        <v>0</v>
      </c>
      <c r="P170" s="15" t="str">
        <f t="shared" si="3"/>
        <v>APPROVED</v>
      </c>
    </row>
    <row r="171" ht="15.75" customHeight="1">
      <c r="A171" s="7" t="s">
        <v>601</v>
      </c>
      <c r="B171" s="13" t="s">
        <v>602</v>
      </c>
      <c r="C171" s="9">
        <v>45798.0</v>
      </c>
      <c r="D171" s="9">
        <v>45798.0</v>
      </c>
      <c r="E171" s="7" t="s">
        <v>171</v>
      </c>
      <c r="F171" s="11" t="s">
        <v>23</v>
      </c>
      <c r="G171" s="11" t="s">
        <v>172</v>
      </c>
      <c r="H171" s="11" t="s">
        <v>25</v>
      </c>
      <c r="I171" s="16" t="s">
        <v>603</v>
      </c>
      <c r="J171" s="49" t="s">
        <v>604</v>
      </c>
      <c r="K171" s="73"/>
      <c r="L171" s="11" t="s">
        <v>27</v>
      </c>
      <c r="M171" s="7" t="s">
        <v>171</v>
      </c>
      <c r="N171" s="14" t="b">
        <f t="shared" si="10"/>
        <v>1</v>
      </c>
      <c r="O171" s="15" t="b">
        <f t="shared" si="2"/>
        <v>0</v>
      </c>
      <c r="P171" s="15" t="str">
        <f t="shared" si="3"/>
        <v>APPROVED</v>
      </c>
    </row>
    <row r="172" ht="15.75" customHeight="1">
      <c r="A172" s="7" t="s">
        <v>605</v>
      </c>
      <c r="B172" s="13" t="s">
        <v>606</v>
      </c>
      <c r="C172" s="9">
        <v>45799.0</v>
      </c>
      <c r="D172" s="9">
        <v>45799.0</v>
      </c>
      <c r="E172" s="7" t="s">
        <v>171</v>
      </c>
      <c r="F172" s="11" t="s">
        <v>23</v>
      </c>
      <c r="G172" s="11" t="s">
        <v>172</v>
      </c>
      <c r="H172" s="11" t="s">
        <v>25</v>
      </c>
      <c r="I172" s="16" t="s">
        <v>607</v>
      </c>
      <c r="J172" s="49" t="s">
        <v>608</v>
      </c>
      <c r="K172" s="73"/>
      <c r="L172" s="11" t="s">
        <v>27</v>
      </c>
      <c r="M172" s="7" t="s">
        <v>171</v>
      </c>
      <c r="N172" s="14" t="b">
        <f t="shared" si="10"/>
        <v>1</v>
      </c>
      <c r="O172" s="15" t="b">
        <f t="shared" si="2"/>
        <v>0</v>
      </c>
      <c r="P172" s="15" t="str">
        <f t="shared" si="3"/>
        <v>APPROVED</v>
      </c>
    </row>
    <row r="173" ht="15.75" customHeight="1">
      <c r="A173" s="7" t="s">
        <v>609</v>
      </c>
      <c r="B173" s="13" t="s">
        <v>610</v>
      </c>
      <c r="C173" s="9">
        <v>45807.0</v>
      </c>
      <c r="D173" s="9">
        <v>45807.0</v>
      </c>
      <c r="E173" s="7" t="s">
        <v>22</v>
      </c>
      <c r="F173" s="11" t="s">
        <v>23</v>
      </c>
      <c r="G173" s="11" t="s">
        <v>172</v>
      </c>
      <c r="H173" s="11" t="s">
        <v>25</v>
      </c>
      <c r="I173" s="16" t="s">
        <v>611</v>
      </c>
      <c r="J173" s="49" t="s">
        <v>612</v>
      </c>
      <c r="K173" s="73"/>
      <c r="L173" s="11" t="s">
        <v>27</v>
      </c>
      <c r="M173" s="7" t="s">
        <v>22</v>
      </c>
      <c r="N173" s="14" t="b">
        <f t="shared" si="10"/>
        <v>1</v>
      </c>
      <c r="O173" s="15" t="b">
        <f t="shared" si="2"/>
        <v>0</v>
      </c>
      <c r="P173" s="15" t="str">
        <f t="shared" si="3"/>
        <v>APPROVED</v>
      </c>
    </row>
    <row r="174" ht="15.75" customHeight="1">
      <c r="A174" s="7" t="s">
        <v>613</v>
      </c>
      <c r="B174" s="13" t="s">
        <v>614</v>
      </c>
      <c r="C174" s="9">
        <v>45809.0</v>
      </c>
      <c r="D174" s="9">
        <v>45722.0</v>
      </c>
      <c r="E174" s="7" t="s">
        <v>177</v>
      </c>
      <c r="F174" s="11" t="s">
        <v>23</v>
      </c>
      <c r="G174" s="11" t="s">
        <v>172</v>
      </c>
      <c r="H174" s="11" t="s">
        <v>25</v>
      </c>
      <c r="I174" s="16" t="s">
        <v>615</v>
      </c>
      <c r="J174" s="49" t="s">
        <v>616</v>
      </c>
      <c r="K174" s="73"/>
      <c r="L174" s="11" t="s">
        <v>27</v>
      </c>
      <c r="M174" s="7" t="s">
        <v>177</v>
      </c>
      <c r="N174" s="14" t="b">
        <f t="shared" si="10"/>
        <v>1</v>
      </c>
      <c r="O174" s="15" t="b">
        <f t="shared" si="2"/>
        <v>0</v>
      </c>
      <c r="P174" s="15" t="str">
        <f t="shared" si="3"/>
        <v>APPROVED</v>
      </c>
    </row>
    <row r="175" ht="15.75" customHeight="1">
      <c r="A175" s="7" t="s">
        <v>617</v>
      </c>
      <c r="B175" s="13" t="s">
        <v>618</v>
      </c>
      <c r="C175" s="9">
        <v>45812.0</v>
      </c>
      <c r="D175" s="9">
        <v>45753.0</v>
      </c>
      <c r="E175" s="7" t="s">
        <v>177</v>
      </c>
      <c r="F175" s="11" t="s">
        <v>23</v>
      </c>
      <c r="G175" s="11" t="s">
        <v>172</v>
      </c>
      <c r="H175" s="11" t="s">
        <v>25</v>
      </c>
      <c r="I175" s="16" t="s">
        <v>619</v>
      </c>
      <c r="J175" s="49" t="s">
        <v>620</v>
      </c>
      <c r="K175" s="73"/>
      <c r="L175" s="11" t="s">
        <v>27</v>
      </c>
      <c r="M175" s="7" t="s">
        <v>177</v>
      </c>
      <c r="N175" s="14" t="b">
        <f t="shared" si="10"/>
        <v>1</v>
      </c>
      <c r="O175" s="15" t="b">
        <f t="shared" si="2"/>
        <v>0</v>
      </c>
      <c r="P175" s="15" t="str">
        <f t="shared" si="3"/>
        <v>APPROVED</v>
      </c>
    </row>
    <row r="176" ht="15.75" customHeight="1">
      <c r="A176" s="7" t="s">
        <v>621</v>
      </c>
      <c r="B176" s="13" t="s">
        <v>622</v>
      </c>
      <c r="C176" s="9">
        <v>45812.0</v>
      </c>
      <c r="D176" s="9">
        <v>45753.0</v>
      </c>
      <c r="E176" s="7" t="s">
        <v>177</v>
      </c>
      <c r="F176" s="11" t="s">
        <v>23</v>
      </c>
      <c r="G176" s="11" t="s">
        <v>172</v>
      </c>
      <c r="H176" s="11" t="s">
        <v>25</v>
      </c>
      <c r="I176" s="16" t="s">
        <v>623</v>
      </c>
      <c r="J176" s="49" t="s">
        <v>624</v>
      </c>
      <c r="K176" s="49" t="s">
        <v>625</v>
      </c>
      <c r="L176" s="11" t="s">
        <v>27</v>
      </c>
      <c r="M176" s="7" t="s">
        <v>177</v>
      </c>
      <c r="N176" s="14" t="b">
        <f t="shared" si="10"/>
        <v>1</v>
      </c>
      <c r="O176" s="15" t="b">
        <f t="shared" si="2"/>
        <v>0</v>
      </c>
      <c r="P176" s="15" t="str">
        <f t="shared" si="3"/>
        <v>APPROVED</v>
      </c>
    </row>
    <row r="177" ht="16.5" customHeight="1">
      <c r="A177" s="7" t="s">
        <v>626</v>
      </c>
      <c r="B177" s="13" t="s">
        <v>627</v>
      </c>
      <c r="C177" s="9">
        <v>45814.0</v>
      </c>
      <c r="D177" s="9">
        <v>45814.0</v>
      </c>
      <c r="E177" s="7" t="s">
        <v>177</v>
      </c>
      <c r="F177" s="11" t="s">
        <v>23</v>
      </c>
      <c r="G177" s="11" t="s">
        <v>172</v>
      </c>
      <c r="H177" s="11" t="s">
        <v>25</v>
      </c>
      <c r="I177" s="16" t="s">
        <v>628</v>
      </c>
      <c r="J177" s="49" t="s">
        <v>629</v>
      </c>
      <c r="K177" s="73"/>
      <c r="L177" s="11" t="s">
        <v>27</v>
      </c>
      <c r="M177" s="7" t="s">
        <v>177</v>
      </c>
      <c r="N177" s="14" t="b">
        <f t="shared" si="10"/>
        <v>1</v>
      </c>
      <c r="O177" s="15" t="b">
        <f t="shared" si="2"/>
        <v>0</v>
      </c>
      <c r="P177" s="15" t="str">
        <f t="shared" si="3"/>
        <v>APPROVED</v>
      </c>
    </row>
    <row r="178" ht="15.75" customHeight="1">
      <c r="A178" s="39" t="s">
        <v>630</v>
      </c>
      <c r="B178" s="64" t="s">
        <v>631</v>
      </c>
      <c r="C178" s="38">
        <v>45814.0</v>
      </c>
      <c r="D178" s="38">
        <v>45814.0</v>
      </c>
      <c r="E178" s="39" t="s">
        <v>177</v>
      </c>
      <c r="F178" s="41" t="s">
        <v>23</v>
      </c>
      <c r="G178" s="41" t="s">
        <v>172</v>
      </c>
      <c r="H178" s="41" t="s">
        <v>25</v>
      </c>
      <c r="I178" s="76" t="s">
        <v>632</v>
      </c>
      <c r="J178" s="49" t="s">
        <v>633</v>
      </c>
      <c r="K178" s="77"/>
      <c r="L178" s="41" t="s">
        <v>27</v>
      </c>
      <c r="M178" s="39" t="s">
        <v>177</v>
      </c>
      <c r="N178" s="14" t="b">
        <f t="shared" si="10"/>
        <v>1</v>
      </c>
      <c r="O178" s="15" t="b">
        <f t="shared" si="2"/>
        <v>0</v>
      </c>
      <c r="P178" s="15" t="str">
        <f t="shared" si="3"/>
        <v>APPROVED</v>
      </c>
    </row>
    <row r="179" ht="15.75" customHeight="1">
      <c r="A179" s="24" t="s">
        <v>634</v>
      </c>
      <c r="B179" s="25" t="s">
        <v>635</v>
      </c>
      <c r="C179" s="26">
        <v>45814.0</v>
      </c>
      <c r="D179" s="26">
        <v>45814.0</v>
      </c>
      <c r="E179" s="24" t="s">
        <v>177</v>
      </c>
      <c r="F179" s="28" t="s">
        <v>23</v>
      </c>
      <c r="G179" s="28" t="s">
        <v>172</v>
      </c>
      <c r="H179" s="28" t="s">
        <v>84</v>
      </c>
      <c r="I179" s="96" t="s">
        <v>636</v>
      </c>
      <c r="J179" s="97" t="s">
        <v>637</v>
      </c>
      <c r="K179" s="97" t="s">
        <v>638</v>
      </c>
      <c r="L179" s="28" t="s">
        <v>27</v>
      </c>
      <c r="M179" s="24" t="s">
        <v>177</v>
      </c>
      <c r="N179" s="14" t="b">
        <f t="shared" si="10"/>
        <v>0</v>
      </c>
      <c r="O179" s="15" t="b">
        <f t="shared" si="2"/>
        <v>0</v>
      </c>
      <c r="P179" s="15" t="str">
        <f t="shared" si="3"/>
        <v>PENDING</v>
      </c>
    </row>
    <row r="180" ht="15.75" customHeight="1">
      <c r="A180" s="7" t="s">
        <v>639</v>
      </c>
      <c r="B180" s="113" t="s">
        <v>640</v>
      </c>
      <c r="C180" s="9">
        <v>45814.0</v>
      </c>
      <c r="D180" s="9">
        <v>45814.0</v>
      </c>
      <c r="E180" s="7" t="s">
        <v>177</v>
      </c>
      <c r="F180" s="11" t="s">
        <v>23</v>
      </c>
      <c r="G180" s="11" t="s">
        <v>172</v>
      </c>
      <c r="H180" s="11" t="s">
        <v>25</v>
      </c>
      <c r="I180" s="16" t="s">
        <v>641</v>
      </c>
      <c r="J180" s="49">
        <v>0.0</v>
      </c>
      <c r="K180" s="73"/>
      <c r="L180" s="11" t="s">
        <v>27</v>
      </c>
      <c r="M180" s="7" t="s">
        <v>177</v>
      </c>
      <c r="N180" s="14" t="b">
        <f t="shared" si="10"/>
        <v>1</v>
      </c>
      <c r="O180" s="15" t="b">
        <f t="shared" si="2"/>
        <v>0</v>
      </c>
      <c r="P180" s="15" t="str">
        <f t="shared" si="3"/>
        <v>APPROVED</v>
      </c>
    </row>
    <row r="181" ht="15.75" customHeight="1">
      <c r="A181" s="7" t="s">
        <v>642</v>
      </c>
      <c r="B181" s="13" t="s">
        <v>643</v>
      </c>
      <c r="C181" s="9">
        <v>45814.0</v>
      </c>
      <c r="D181" s="9">
        <v>45814.0</v>
      </c>
      <c r="E181" s="7" t="s">
        <v>177</v>
      </c>
      <c r="F181" s="11" t="s">
        <v>23</v>
      </c>
      <c r="G181" s="11" t="s">
        <v>172</v>
      </c>
      <c r="H181" s="11" t="s">
        <v>25</v>
      </c>
      <c r="I181" s="16" t="s">
        <v>644</v>
      </c>
      <c r="J181" s="49" t="s">
        <v>645</v>
      </c>
      <c r="K181" s="73"/>
      <c r="L181" s="11" t="s">
        <v>27</v>
      </c>
      <c r="M181" s="7" t="s">
        <v>177</v>
      </c>
      <c r="N181" s="14" t="b">
        <f t="shared" si="10"/>
        <v>1</v>
      </c>
      <c r="O181" s="15" t="b">
        <f t="shared" si="2"/>
        <v>0</v>
      </c>
      <c r="P181" s="15" t="str">
        <f t="shared" si="3"/>
        <v>APPROVED</v>
      </c>
    </row>
    <row r="182" ht="15.75" customHeight="1">
      <c r="A182" s="7" t="s">
        <v>646</v>
      </c>
      <c r="B182" s="13" t="s">
        <v>647</v>
      </c>
      <c r="C182" s="9">
        <v>45815.0</v>
      </c>
      <c r="D182" s="9">
        <v>45906.0</v>
      </c>
      <c r="E182" s="7" t="s">
        <v>177</v>
      </c>
      <c r="F182" s="11" t="s">
        <v>23</v>
      </c>
      <c r="G182" s="11" t="s">
        <v>172</v>
      </c>
      <c r="H182" s="11" t="s">
        <v>25</v>
      </c>
      <c r="I182" s="16" t="s">
        <v>648</v>
      </c>
      <c r="J182" s="49" t="s">
        <v>649</v>
      </c>
      <c r="K182" s="49" t="s">
        <v>650</v>
      </c>
      <c r="L182" s="11" t="s">
        <v>27</v>
      </c>
      <c r="M182" s="7" t="s">
        <v>177</v>
      </c>
      <c r="N182" s="14" t="b">
        <f t="shared" si="10"/>
        <v>1</v>
      </c>
      <c r="O182" s="15" t="b">
        <f t="shared" si="2"/>
        <v>0</v>
      </c>
      <c r="P182" s="15" t="str">
        <f t="shared" si="3"/>
        <v>APPROVED</v>
      </c>
    </row>
    <row r="183" ht="15.75" customHeight="1">
      <c r="A183" s="30" t="s">
        <v>651</v>
      </c>
      <c r="B183" s="31" t="s">
        <v>217</v>
      </c>
      <c r="C183" s="32">
        <v>45816.0</v>
      </c>
      <c r="D183" s="114"/>
      <c r="E183" s="30" t="s">
        <v>22</v>
      </c>
      <c r="F183" s="34" t="s">
        <v>23</v>
      </c>
      <c r="G183" s="34" t="s">
        <v>30</v>
      </c>
      <c r="H183" s="34" t="s">
        <v>49</v>
      </c>
      <c r="I183" s="66" t="s">
        <v>652</v>
      </c>
      <c r="J183" s="69"/>
      <c r="K183" s="70" t="s">
        <v>653</v>
      </c>
      <c r="L183" s="30" t="s">
        <v>98</v>
      </c>
      <c r="M183" s="30" t="s">
        <v>22</v>
      </c>
      <c r="N183" s="14" t="b">
        <f t="shared" si="10"/>
        <v>1</v>
      </c>
      <c r="O183" s="15" t="b">
        <f t="shared" si="2"/>
        <v>1</v>
      </c>
      <c r="P183" s="15" t="str">
        <f t="shared" si="3"/>
        <v>PENDING</v>
      </c>
    </row>
    <row r="184" ht="15.75" customHeight="1">
      <c r="A184" s="30" t="s">
        <v>654</v>
      </c>
      <c r="B184" s="31" t="s">
        <v>531</v>
      </c>
      <c r="C184" s="32">
        <v>45816.0</v>
      </c>
      <c r="D184" s="32"/>
      <c r="E184" s="30" t="s">
        <v>525</v>
      </c>
      <c r="F184" s="34" t="s">
        <v>23</v>
      </c>
      <c r="G184" s="34" t="s">
        <v>30</v>
      </c>
      <c r="H184" s="34" t="s">
        <v>49</v>
      </c>
      <c r="I184" s="66" t="s">
        <v>655</v>
      </c>
      <c r="J184" s="69" t="s">
        <v>432</v>
      </c>
      <c r="K184" s="70" t="s">
        <v>653</v>
      </c>
      <c r="L184" s="30" t="s">
        <v>98</v>
      </c>
      <c r="M184" s="30" t="s">
        <v>525</v>
      </c>
      <c r="N184" s="14" t="b">
        <f t="shared" si="10"/>
        <v>1</v>
      </c>
      <c r="O184" s="15" t="b">
        <f t="shared" si="2"/>
        <v>1</v>
      </c>
      <c r="P184" s="15" t="str">
        <f t="shared" si="3"/>
        <v>PENDING</v>
      </c>
    </row>
    <row r="185" ht="15.75" customHeight="1">
      <c r="A185" s="24" t="s">
        <v>656</v>
      </c>
      <c r="B185" s="115" t="s">
        <v>60</v>
      </c>
      <c r="C185" s="26">
        <v>45817.0</v>
      </c>
      <c r="D185" s="26">
        <v>45936.0</v>
      </c>
      <c r="E185" s="24" t="s">
        <v>22</v>
      </c>
      <c r="F185" s="28" t="s">
        <v>23</v>
      </c>
      <c r="G185" s="28" t="s">
        <v>48</v>
      </c>
      <c r="H185" s="28" t="s">
        <v>84</v>
      </c>
      <c r="I185" s="96" t="s">
        <v>657</v>
      </c>
      <c r="J185" s="97" t="s">
        <v>658</v>
      </c>
      <c r="K185" s="116" t="s">
        <v>659</v>
      </c>
      <c r="L185" s="28" t="s">
        <v>27</v>
      </c>
      <c r="M185" s="24" t="s">
        <v>22</v>
      </c>
      <c r="N185" s="14" t="b">
        <f t="shared" si="10"/>
        <v>0</v>
      </c>
      <c r="O185" s="15" t="b">
        <f t="shared" si="2"/>
        <v>0</v>
      </c>
      <c r="P185" s="15" t="str">
        <f t="shared" si="3"/>
        <v>PENDING</v>
      </c>
    </row>
    <row r="186" ht="15.75" customHeight="1">
      <c r="A186" s="39" t="s">
        <v>660</v>
      </c>
      <c r="B186" s="37" t="s">
        <v>661</v>
      </c>
      <c r="C186" s="38">
        <v>45817.0</v>
      </c>
      <c r="D186" s="38">
        <v>45906.0</v>
      </c>
      <c r="E186" s="39" t="s">
        <v>177</v>
      </c>
      <c r="F186" s="41" t="s">
        <v>23</v>
      </c>
      <c r="G186" s="41" t="s">
        <v>172</v>
      </c>
      <c r="H186" s="41" t="s">
        <v>25</v>
      </c>
      <c r="I186" s="76" t="s">
        <v>662</v>
      </c>
      <c r="J186" s="49" t="s">
        <v>663</v>
      </c>
      <c r="K186" s="77"/>
      <c r="L186" s="41" t="s">
        <v>27</v>
      </c>
      <c r="M186" s="39" t="s">
        <v>177</v>
      </c>
      <c r="N186" s="14" t="b">
        <f t="shared" si="10"/>
        <v>1</v>
      </c>
      <c r="O186" s="15" t="b">
        <f t="shared" si="2"/>
        <v>0</v>
      </c>
      <c r="P186" s="15" t="str">
        <f t="shared" si="3"/>
        <v>APPROVED</v>
      </c>
    </row>
    <row r="187" ht="15.75" customHeight="1">
      <c r="A187" s="7" t="s">
        <v>664</v>
      </c>
      <c r="B187" s="13" t="s">
        <v>665</v>
      </c>
      <c r="C187" s="9">
        <v>45817.0</v>
      </c>
      <c r="D187" s="9">
        <v>45906.0</v>
      </c>
      <c r="E187" s="7" t="s">
        <v>177</v>
      </c>
      <c r="F187" s="11" t="s">
        <v>23</v>
      </c>
      <c r="G187" s="11" t="s">
        <v>172</v>
      </c>
      <c r="H187" s="11" t="s">
        <v>25</v>
      </c>
      <c r="I187" s="16" t="s">
        <v>666</v>
      </c>
      <c r="J187" s="49" t="s">
        <v>667</v>
      </c>
      <c r="K187" s="73"/>
      <c r="L187" s="11" t="s">
        <v>27</v>
      </c>
      <c r="M187" s="7" t="s">
        <v>177</v>
      </c>
      <c r="N187" s="14" t="b">
        <f t="shared" si="10"/>
        <v>1</v>
      </c>
      <c r="O187" s="15" t="b">
        <f t="shared" si="2"/>
        <v>0</v>
      </c>
      <c r="P187" s="15" t="str">
        <f t="shared" si="3"/>
        <v>APPROVED</v>
      </c>
    </row>
    <row r="188" ht="15.75" customHeight="1">
      <c r="A188" s="39" t="s">
        <v>668</v>
      </c>
      <c r="B188" s="64" t="s">
        <v>669</v>
      </c>
      <c r="C188" s="38">
        <v>45817.0</v>
      </c>
      <c r="D188" s="38">
        <v>45906.0</v>
      </c>
      <c r="E188" s="39" t="s">
        <v>177</v>
      </c>
      <c r="F188" s="41" t="s">
        <v>23</v>
      </c>
      <c r="G188" s="41" t="s">
        <v>172</v>
      </c>
      <c r="H188" s="41" t="s">
        <v>25</v>
      </c>
      <c r="I188" s="76" t="s">
        <v>670</v>
      </c>
      <c r="J188" s="67"/>
      <c r="K188" s="77"/>
      <c r="L188" s="41" t="s">
        <v>27</v>
      </c>
      <c r="M188" s="39" t="s">
        <v>177</v>
      </c>
      <c r="N188" s="14" t="b">
        <f t="shared" si="10"/>
        <v>1</v>
      </c>
      <c r="O188" s="15" t="b">
        <f t="shared" si="2"/>
        <v>0</v>
      </c>
      <c r="P188" s="15" t="str">
        <f t="shared" si="3"/>
        <v>APPROVED</v>
      </c>
    </row>
    <row r="189" ht="15.75" customHeight="1">
      <c r="A189" s="7" t="s">
        <v>671</v>
      </c>
      <c r="B189" s="13" t="s">
        <v>672</v>
      </c>
      <c r="C189" s="9">
        <v>45811.0</v>
      </c>
      <c r="D189" s="9">
        <v>45722.0</v>
      </c>
      <c r="E189" s="7" t="s">
        <v>22</v>
      </c>
      <c r="F189" s="11" t="s">
        <v>23</v>
      </c>
      <c r="G189" s="11" t="s">
        <v>172</v>
      </c>
      <c r="H189" s="11" t="s">
        <v>25</v>
      </c>
      <c r="I189" s="16" t="s">
        <v>673</v>
      </c>
      <c r="J189" s="49" t="s">
        <v>674</v>
      </c>
      <c r="K189" s="73" t="s">
        <v>675</v>
      </c>
      <c r="L189" s="11" t="s">
        <v>27</v>
      </c>
      <c r="M189" s="7" t="s">
        <v>22</v>
      </c>
      <c r="N189" s="14" t="b">
        <f t="shared" si="10"/>
        <v>1</v>
      </c>
      <c r="O189" s="15" t="b">
        <f t="shared" si="2"/>
        <v>0</v>
      </c>
      <c r="P189" s="15" t="str">
        <f t="shared" si="3"/>
        <v>APPROVED</v>
      </c>
    </row>
    <row r="190" ht="15.75" customHeight="1">
      <c r="A190" s="7" t="s">
        <v>676</v>
      </c>
      <c r="B190" s="13" t="s">
        <v>181</v>
      </c>
      <c r="C190" s="9">
        <v>45806.0</v>
      </c>
      <c r="D190" s="9">
        <v>45806.0</v>
      </c>
      <c r="E190" s="7" t="s">
        <v>171</v>
      </c>
      <c r="F190" s="11" t="s">
        <v>23</v>
      </c>
      <c r="G190" s="11" t="s">
        <v>172</v>
      </c>
      <c r="H190" s="11" t="s">
        <v>25</v>
      </c>
      <c r="I190" s="16" t="s">
        <v>677</v>
      </c>
      <c r="J190" s="49" t="s">
        <v>678</v>
      </c>
      <c r="K190" s="73"/>
      <c r="L190" s="11" t="s">
        <v>27</v>
      </c>
      <c r="M190" s="7" t="s">
        <v>171</v>
      </c>
      <c r="N190" s="14" t="b">
        <f t="shared" si="10"/>
        <v>1</v>
      </c>
      <c r="O190" s="15" t="b">
        <f t="shared" si="2"/>
        <v>0</v>
      </c>
      <c r="P190" s="15" t="str">
        <f t="shared" si="3"/>
        <v>APPROVED</v>
      </c>
    </row>
    <row r="191" ht="15.75" customHeight="1">
      <c r="A191" s="117" t="s">
        <v>679</v>
      </c>
      <c r="B191" s="118" t="s">
        <v>680</v>
      </c>
      <c r="C191" s="119">
        <v>45811.0</v>
      </c>
      <c r="D191" s="119">
        <v>45722.0</v>
      </c>
      <c r="E191" s="117" t="s">
        <v>171</v>
      </c>
      <c r="F191" s="121" t="s">
        <v>23</v>
      </c>
      <c r="G191" s="121" t="s">
        <v>172</v>
      </c>
      <c r="H191" s="121" t="s">
        <v>49</v>
      </c>
      <c r="I191" s="122" t="s">
        <v>681</v>
      </c>
      <c r="J191" s="123" t="s">
        <v>682</v>
      </c>
      <c r="K191" s="124" t="s">
        <v>683</v>
      </c>
      <c r="L191" s="121" t="s">
        <v>27</v>
      </c>
      <c r="M191" s="117" t="s">
        <v>171</v>
      </c>
      <c r="N191" s="14" t="b">
        <f t="shared" si="10"/>
        <v>0</v>
      </c>
      <c r="O191" s="15" t="b">
        <f t="shared" si="2"/>
        <v>0</v>
      </c>
      <c r="P191" s="15" t="str">
        <f t="shared" si="3"/>
        <v>PENDING</v>
      </c>
    </row>
    <row r="192" ht="15.75" customHeight="1">
      <c r="A192" s="7" t="s">
        <v>684</v>
      </c>
      <c r="B192" s="8" t="s">
        <v>685</v>
      </c>
      <c r="C192" s="9">
        <v>45819.0</v>
      </c>
      <c r="D192" s="9">
        <v>45967.0</v>
      </c>
      <c r="E192" s="7" t="s">
        <v>22</v>
      </c>
      <c r="F192" s="11" t="s">
        <v>23</v>
      </c>
      <c r="G192" s="11" t="s">
        <v>30</v>
      </c>
      <c r="H192" s="11" t="s">
        <v>25</v>
      </c>
      <c r="I192" s="16" t="s">
        <v>686</v>
      </c>
      <c r="J192" s="49"/>
      <c r="K192" s="73"/>
      <c r="L192" s="11" t="s">
        <v>27</v>
      </c>
      <c r="M192" s="7" t="s">
        <v>22</v>
      </c>
      <c r="N192" s="14" t="b">
        <f t="shared" si="10"/>
        <v>1</v>
      </c>
      <c r="O192" s="15" t="b">
        <f t="shared" si="2"/>
        <v>0</v>
      </c>
      <c r="P192" s="15" t="str">
        <f t="shared" si="3"/>
        <v>APPROVED</v>
      </c>
    </row>
    <row r="193" ht="15.75" customHeight="1">
      <c r="A193" s="7" t="s">
        <v>687</v>
      </c>
      <c r="B193" s="8" t="s">
        <v>685</v>
      </c>
      <c r="C193" s="9">
        <v>45819.0</v>
      </c>
      <c r="D193" s="72" t="s">
        <v>688</v>
      </c>
      <c r="E193" s="7" t="s">
        <v>22</v>
      </c>
      <c r="F193" s="11" t="s">
        <v>23</v>
      </c>
      <c r="G193" s="11" t="s">
        <v>30</v>
      </c>
      <c r="H193" s="11" t="s">
        <v>25</v>
      </c>
      <c r="I193" s="16" t="s">
        <v>686</v>
      </c>
      <c r="J193" s="49"/>
      <c r="K193" s="73"/>
      <c r="L193" s="11" t="s">
        <v>27</v>
      </c>
      <c r="M193" s="7" t="s">
        <v>22</v>
      </c>
      <c r="N193" s="14" t="b">
        <f t="shared" si="10"/>
        <v>1</v>
      </c>
      <c r="O193" s="15" t="b">
        <f t="shared" si="2"/>
        <v>0</v>
      </c>
      <c r="P193" s="15" t="str">
        <f t="shared" si="3"/>
        <v>APPROVED</v>
      </c>
    </row>
    <row r="194" ht="15.75" customHeight="1">
      <c r="A194" s="7" t="s">
        <v>689</v>
      </c>
      <c r="B194" s="13" t="s">
        <v>306</v>
      </c>
      <c r="C194" s="9">
        <v>45824.0</v>
      </c>
      <c r="D194" s="9">
        <v>45824.0</v>
      </c>
      <c r="E194" s="7" t="s">
        <v>177</v>
      </c>
      <c r="F194" s="11" t="s">
        <v>23</v>
      </c>
      <c r="G194" s="11" t="s">
        <v>172</v>
      </c>
      <c r="H194" s="11" t="s">
        <v>25</v>
      </c>
      <c r="I194" s="16" t="s">
        <v>690</v>
      </c>
      <c r="J194" s="49" t="s">
        <v>691</v>
      </c>
      <c r="K194" s="73"/>
      <c r="L194" s="11" t="s">
        <v>27</v>
      </c>
      <c r="M194" s="7" t="s">
        <v>177</v>
      </c>
      <c r="N194" s="14" t="b">
        <f t="shared" si="10"/>
        <v>1</v>
      </c>
      <c r="O194" s="15" t="b">
        <f t="shared" si="2"/>
        <v>0</v>
      </c>
      <c r="P194" s="15" t="str">
        <f t="shared" si="3"/>
        <v>APPROVED</v>
      </c>
    </row>
    <row r="195" ht="15.75" customHeight="1">
      <c r="A195" s="7" t="s">
        <v>692</v>
      </c>
      <c r="B195" s="13" t="s">
        <v>693</v>
      </c>
      <c r="C195" s="9">
        <v>45824.0</v>
      </c>
      <c r="D195" s="9" t="s">
        <v>694</v>
      </c>
      <c r="E195" s="7" t="s">
        <v>177</v>
      </c>
      <c r="F195" s="11" t="s">
        <v>23</v>
      </c>
      <c r="G195" s="11" t="s">
        <v>172</v>
      </c>
      <c r="H195" s="11" t="s">
        <v>25</v>
      </c>
      <c r="I195" s="16" t="s">
        <v>695</v>
      </c>
      <c r="J195" s="49" t="s">
        <v>696</v>
      </c>
      <c r="K195" s="73"/>
      <c r="L195" s="11" t="s">
        <v>27</v>
      </c>
      <c r="M195" s="7" t="s">
        <v>177</v>
      </c>
      <c r="N195" s="14" t="b">
        <f t="shared" si="10"/>
        <v>1</v>
      </c>
      <c r="O195" s="15" t="b">
        <f t="shared" si="2"/>
        <v>0</v>
      </c>
      <c r="P195" s="15" t="str">
        <f t="shared" si="3"/>
        <v>APPROVED</v>
      </c>
    </row>
    <row r="196" ht="15.75" customHeight="1">
      <c r="A196" s="7" t="s">
        <v>697</v>
      </c>
      <c r="B196" s="13" t="s">
        <v>698</v>
      </c>
      <c r="C196" s="9">
        <v>45824.0</v>
      </c>
      <c r="D196" s="9">
        <v>45824.0</v>
      </c>
      <c r="E196" s="7" t="s">
        <v>177</v>
      </c>
      <c r="F196" s="11" t="s">
        <v>23</v>
      </c>
      <c r="G196" s="11" t="s">
        <v>172</v>
      </c>
      <c r="H196" s="11" t="s">
        <v>25</v>
      </c>
      <c r="I196" s="16" t="s">
        <v>699</v>
      </c>
      <c r="J196" s="67" t="s">
        <v>274</v>
      </c>
      <c r="K196" s="73"/>
      <c r="L196" s="11" t="s">
        <v>27</v>
      </c>
      <c r="M196" s="7" t="s">
        <v>177</v>
      </c>
      <c r="N196" s="14" t="b">
        <f t="shared" si="10"/>
        <v>1</v>
      </c>
      <c r="O196" s="15" t="b">
        <f t="shared" si="2"/>
        <v>0</v>
      </c>
      <c r="P196" s="15" t="str">
        <f t="shared" si="3"/>
        <v>APPROVED</v>
      </c>
    </row>
    <row r="197" ht="15.75" customHeight="1">
      <c r="A197" s="7" t="s">
        <v>700</v>
      </c>
      <c r="B197" s="48" t="s">
        <v>701</v>
      </c>
      <c r="C197" s="9">
        <v>45824.0</v>
      </c>
      <c r="D197" s="9">
        <v>45824.0</v>
      </c>
      <c r="E197" s="7" t="s">
        <v>177</v>
      </c>
      <c r="F197" s="11" t="s">
        <v>23</v>
      </c>
      <c r="G197" s="11" t="s">
        <v>172</v>
      </c>
      <c r="H197" s="11" t="s">
        <v>25</v>
      </c>
      <c r="I197" s="16" t="s">
        <v>702</v>
      </c>
      <c r="J197" s="49" t="s">
        <v>703</v>
      </c>
      <c r="K197" s="49" t="s">
        <v>704</v>
      </c>
      <c r="L197" s="11" t="s">
        <v>27</v>
      </c>
      <c r="M197" s="7" t="s">
        <v>177</v>
      </c>
      <c r="N197" s="14" t="b">
        <f t="shared" si="10"/>
        <v>1</v>
      </c>
      <c r="O197" s="15" t="b">
        <f t="shared" si="2"/>
        <v>0</v>
      </c>
      <c r="P197" s="15" t="str">
        <f t="shared" si="3"/>
        <v>APPROVED</v>
      </c>
    </row>
    <row r="198" ht="15.75" customHeight="1">
      <c r="A198" s="7" t="s">
        <v>705</v>
      </c>
      <c r="B198" s="8" t="s">
        <v>217</v>
      </c>
      <c r="C198" s="9">
        <v>45825.0</v>
      </c>
      <c r="D198" s="9">
        <v>45825.0</v>
      </c>
      <c r="E198" s="7" t="s">
        <v>177</v>
      </c>
      <c r="F198" s="11" t="s">
        <v>23</v>
      </c>
      <c r="G198" s="11" t="s">
        <v>172</v>
      </c>
      <c r="H198" s="11" t="s">
        <v>25</v>
      </c>
      <c r="I198" s="16" t="s">
        <v>652</v>
      </c>
      <c r="J198" s="49" t="s">
        <v>706</v>
      </c>
      <c r="K198" s="73"/>
      <c r="L198" s="11" t="s">
        <v>27</v>
      </c>
      <c r="M198" s="7" t="s">
        <v>177</v>
      </c>
      <c r="N198" s="14" t="b">
        <f t="shared" si="10"/>
        <v>1</v>
      </c>
      <c r="O198" s="15" t="b">
        <f t="shared" si="2"/>
        <v>0</v>
      </c>
      <c r="P198" s="15" t="str">
        <f t="shared" si="3"/>
        <v>APPROVED</v>
      </c>
    </row>
    <row r="199" ht="15.75" customHeight="1">
      <c r="A199" s="7" t="s">
        <v>707</v>
      </c>
      <c r="B199" s="13" t="s">
        <v>708</v>
      </c>
      <c r="C199" s="9">
        <v>45825.0</v>
      </c>
      <c r="D199" s="9">
        <v>45825.0</v>
      </c>
      <c r="E199" s="7" t="s">
        <v>177</v>
      </c>
      <c r="F199" s="11" t="s">
        <v>23</v>
      </c>
      <c r="G199" s="11" t="s">
        <v>172</v>
      </c>
      <c r="H199" s="11" t="s">
        <v>25</v>
      </c>
      <c r="I199" s="16" t="s">
        <v>709</v>
      </c>
      <c r="J199" s="49" t="s">
        <v>710</v>
      </c>
      <c r="K199" s="73"/>
      <c r="L199" s="11" t="s">
        <v>27</v>
      </c>
      <c r="M199" s="7" t="s">
        <v>177</v>
      </c>
      <c r="N199" s="14" t="b">
        <f t="shared" si="10"/>
        <v>1</v>
      </c>
      <c r="O199" s="15" t="b">
        <f t="shared" si="2"/>
        <v>0</v>
      </c>
      <c r="P199" s="15" t="str">
        <f t="shared" si="3"/>
        <v>APPROVED</v>
      </c>
    </row>
    <row r="200" ht="15.75" customHeight="1">
      <c r="A200" s="7" t="s">
        <v>711</v>
      </c>
      <c r="B200" s="8" t="s">
        <v>394</v>
      </c>
      <c r="C200" s="9">
        <v>45825.0</v>
      </c>
      <c r="D200" s="9">
        <v>45825.0</v>
      </c>
      <c r="E200" s="7" t="s">
        <v>22</v>
      </c>
      <c r="F200" s="11" t="s">
        <v>23</v>
      </c>
      <c r="G200" s="11" t="s">
        <v>35</v>
      </c>
      <c r="H200" s="11" t="s">
        <v>25</v>
      </c>
      <c r="I200" s="16" t="s">
        <v>399</v>
      </c>
      <c r="J200" s="12" t="s">
        <v>712</v>
      </c>
      <c r="K200" s="73"/>
      <c r="L200" s="11" t="s">
        <v>27</v>
      </c>
      <c r="M200" s="7" t="s">
        <v>22</v>
      </c>
      <c r="N200" s="14" t="b">
        <f t="shared" si="10"/>
        <v>1</v>
      </c>
      <c r="O200" s="15" t="b">
        <f t="shared" si="2"/>
        <v>0</v>
      </c>
      <c r="P200" s="15" t="str">
        <f t="shared" si="3"/>
        <v>APPROVED</v>
      </c>
    </row>
    <row r="201" ht="15.75" customHeight="1">
      <c r="A201" s="7" t="s">
        <v>713</v>
      </c>
      <c r="B201" s="8" t="s">
        <v>714</v>
      </c>
      <c r="C201" s="72">
        <v>45826.0</v>
      </c>
      <c r="D201" s="9"/>
      <c r="E201" s="7" t="s">
        <v>715</v>
      </c>
      <c r="F201" s="11" t="s">
        <v>716</v>
      </c>
      <c r="G201" s="7"/>
      <c r="H201" s="7" t="s">
        <v>31</v>
      </c>
      <c r="I201" s="16"/>
      <c r="J201" s="49" t="s">
        <v>432</v>
      </c>
      <c r="K201" s="125" t="s">
        <v>716</v>
      </c>
      <c r="L201" s="11" t="s">
        <v>27</v>
      </c>
      <c r="M201" s="7" t="s">
        <v>715</v>
      </c>
      <c r="N201" s="175" t="b">
        <v>1</v>
      </c>
      <c r="O201" s="15" t="b">
        <f t="shared" si="2"/>
        <v>0</v>
      </c>
      <c r="P201" s="15" t="str">
        <f t="shared" si="3"/>
        <v>PENDING</v>
      </c>
    </row>
    <row r="202" ht="15.75" customHeight="1">
      <c r="A202" s="7" t="s">
        <v>717</v>
      </c>
      <c r="B202" s="13" t="s">
        <v>718</v>
      </c>
      <c r="C202" s="9">
        <v>45826.0</v>
      </c>
      <c r="D202" s="9">
        <v>45826.0</v>
      </c>
      <c r="E202" s="7" t="s">
        <v>177</v>
      </c>
      <c r="F202" s="11" t="s">
        <v>23</v>
      </c>
      <c r="G202" s="11" t="s">
        <v>172</v>
      </c>
      <c r="H202" s="11" t="s">
        <v>25</v>
      </c>
      <c r="I202" s="16" t="s">
        <v>719</v>
      </c>
      <c r="J202" s="49" t="s">
        <v>720</v>
      </c>
      <c r="K202" s="73"/>
      <c r="L202" s="11" t="s">
        <v>27</v>
      </c>
      <c r="M202" s="7" t="s">
        <v>177</v>
      </c>
      <c r="N202" s="14" t="b">
        <f t="shared" ref="N202:N221" si="11">if(H202=$H$2,TRUE,O202)</f>
        <v>1</v>
      </c>
      <c r="O202" s="15" t="b">
        <f t="shared" si="2"/>
        <v>0</v>
      </c>
      <c r="P202" s="15" t="str">
        <f t="shared" si="3"/>
        <v>APPROVED</v>
      </c>
    </row>
    <row r="203" ht="15.75" customHeight="1">
      <c r="A203" s="7" t="s">
        <v>721</v>
      </c>
      <c r="B203" s="126" t="s">
        <v>722</v>
      </c>
      <c r="C203" s="72">
        <v>45826.0</v>
      </c>
      <c r="D203" s="9">
        <v>45826.0</v>
      </c>
      <c r="E203" s="7" t="s">
        <v>177</v>
      </c>
      <c r="F203" s="11" t="s">
        <v>23</v>
      </c>
      <c r="G203" s="11" t="s">
        <v>172</v>
      </c>
      <c r="H203" s="11" t="s">
        <v>25</v>
      </c>
      <c r="I203" s="16" t="s">
        <v>723</v>
      </c>
      <c r="J203" s="49" t="s">
        <v>724</v>
      </c>
      <c r="K203" s="73"/>
      <c r="L203" s="11" t="s">
        <v>27</v>
      </c>
      <c r="M203" s="7" t="s">
        <v>177</v>
      </c>
      <c r="N203" s="14" t="b">
        <f t="shared" si="11"/>
        <v>1</v>
      </c>
      <c r="O203" s="15" t="b">
        <f t="shared" si="2"/>
        <v>0</v>
      </c>
      <c r="P203" s="15" t="str">
        <f t="shared" si="3"/>
        <v>APPROVED</v>
      </c>
    </row>
    <row r="204" ht="15.75" customHeight="1">
      <c r="A204" s="7" t="s">
        <v>725</v>
      </c>
      <c r="B204" s="8" t="s">
        <v>726</v>
      </c>
      <c r="C204" s="72">
        <v>45826.0</v>
      </c>
      <c r="D204" s="72">
        <v>45826.0</v>
      </c>
      <c r="E204" s="7" t="s">
        <v>177</v>
      </c>
      <c r="F204" s="11" t="s">
        <v>23</v>
      </c>
      <c r="G204" s="11" t="s">
        <v>172</v>
      </c>
      <c r="H204" s="11" t="s">
        <v>25</v>
      </c>
      <c r="I204" s="16" t="s">
        <v>727</v>
      </c>
      <c r="J204" s="49" t="s">
        <v>728</v>
      </c>
      <c r="K204" s="73"/>
      <c r="L204" s="11" t="s">
        <v>27</v>
      </c>
      <c r="M204" s="7" t="s">
        <v>177</v>
      </c>
      <c r="N204" s="14" t="b">
        <f t="shared" si="11"/>
        <v>1</v>
      </c>
      <c r="O204" s="15" t="b">
        <f t="shared" si="2"/>
        <v>0</v>
      </c>
      <c r="P204" s="15" t="str">
        <f t="shared" si="3"/>
        <v>APPROVED</v>
      </c>
    </row>
    <row r="205" ht="15.75" customHeight="1">
      <c r="A205" s="7" t="s">
        <v>729</v>
      </c>
      <c r="B205" s="13" t="s">
        <v>730</v>
      </c>
      <c r="C205" s="9">
        <v>45826.0</v>
      </c>
      <c r="D205" s="9">
        <v>45826.0</v>
      </c>
      <c r="E205" s="7" t="s">
        <v>177</v>
      </c>
      <c r="F205" s="11" t="s">
        <v>23</v>
      </c>
      <c r="G205" s="11" t="s">
        <v>172</v>
      </c>
      <c r="H205" s="11" t="s">
        <v>25</v>
      </c>
      <c r="I205" s="16" t="s">
        <v>731</v>
      </c>
      <c r="J205" s="49" t="s">
        <v>732</v>
      </c>
      <c r="K205" s="73"/>
      <c r="L205" s="11" t="s">
        <v>27</v>
      </c>
      <c r="M205" s="7" t="s">
        <v>177</v>
      </c>
      <c r="N205" s="14" t="b">
        <f t="shared" si="11"/>
        <v>1</v>
      </c>
      <c r="O205" s="15" t="b">
        <f t="shared" si="2"/>
        <v>0</v>
      </c>
      <c r="P205" s="15" t="str">
        <f t="shared" si="3"/>
        <v>APPROVED</v>
      </c>
    </row>
    <row r="206" ht="15.75" customHeight="1">
      <c r="A206" s="7" t="s">
        <v>733</v>
      </c>
      <c r="B206" s="13" t="s">
        <v>106</v>
      </c>
      <c r="C206" s="9">
        <v>45827.0</v>
      </c>
      <c r="D206" s="9">
        <v>45828.0</v>
      </c>
      <c r="E206" s="7" t="s">
        <v>177</v>
      </c>
      <c r="F206" s="11" t="s">
        <v>23</v>
      </c>
      <c r="G206" s="11" t="s">
        <v>35</v>
      </c>
      <c r="H206" s="11" t="s">
        <v>25</v>
      </c>
      <c r="I206" s="16" t="s">
        <v>734</v>
      </c>
      <c r="J206" s="49" t="s">
        <v>735</v>
      </c>
      <c r="K206" s="73"/>
      <c r="L206" s="11" t="s">
        <v>27</v>
      </c>
      <c r="M206" s="7" t="s">
        <v>177</v>
      </c>
      <c r="N206" s="14" t="b">
        <f t="shared" si="11"/>
        <v>1</v>
      </c>
      <c r="O206" s="15" t="b">
        <f t="shared" si="2"/>
        <v>0</v>
      </c>
      <c r="P206" s="15" t="str">
        <f t="shared" si="3"/>
        <v>APPROVED</v>
      </c>
    </row>
    <row r="207" ht="15.75" customHeight="1">
      <c r="A207" s="7" t="s">
        <v>736</v>
      </c>
      <c r="B207" s="13" t="s">
        <v>737</v>
      </c>
      <c r="C207" s="9">
        <v>45827.0</v>
      </c>
      <c r="D207" s="9">
        <v>45828.0</v>
      </c>
      <c r="E207" s="7" t="s">
        <v>177</v>
      </c>
      <c r="F207" s="11" t="s">
        <v>23</v>
      </c>
      <c r="G207" s="11" t="s">
        <v>172</v>
      </c>
      <c r="H207" s="11" t="s">
        <v>25</v>
      </c>
      <c r="I207" s="16" t="s">
        <v>738</v>
      </c>
      <c r="J207" s="49" t="s">
        <v>274</v>
      </c>
      <c r="K207" s="73"/>
      <c r="L207" s="11" t="s">
        <v>27</v>
      </c>
      <c r="M207" s="7" t="s">
        <v>177</v>
      </c>
      <c r="N207" s="14" t="b">
        <f t="shared" si="11"/>
        <v>1</v>
      </c>
      <c r="O207" s="15" t="b">
        <f t="shared" si="2"/>
        <v>0</v>
      </c>
      <c r="P207" s="15" t="str">
        <f t="shared" si="3"/>
        <v>APPROVED</v>
      </c>
    </row>
    <row r="208" ht="15.75" customHeight="1">
      <c r="A208" s="7" t="s">
        <v>739</v>
      </c>
      <c r="B208" s="8" t="s">
        <v>202</v>
      </c>
      <c r="C208" s="9">
        <v>45827.0</v>
      </c>
      <c r="D208" s="9">
        <v>45867.0</v>
      </c>
      <c r="E208" s="7" t="s">
        <v>171</v>
      </c>
      <c r="F208" s="11" t="s">
        <v>23</v>
      </c>
      <c r="G208" s="11" t="s">
        <v>24</v>
      </c>
      <c r="H208" s="11" t="s">
        <v>25</v>
      </c>
      <c r="I208" s="16" t="s">
        <v>740</v>
      </c>
      <c r="J208" s="49" t="s">
        <v>741</v>
      </c>
      <c r="K208" s="73"/>
      <c r="L208" s="11" t="s">
        <v>27</v>
      </c>
      <c r="M208" s="7" t="s">
        <v>171</v>
      </c>
      <c r="N208" s="14" t="b">
        <f t="shared" si="11"/>
        <v>1</v>
      </c>
      <c r="O208" s="15" t="b">
        <f t="shared" si="2"/>
        <v>0</v>
      </c>
      <c r="P208" s="15" t="str">
        <f t="shared" si="3"/>
        <v>APPROVED</v>
      </c>
    </row>
    <row r="209" ht="15.75" customHeight="1">
      <c r="A209" s="7" t="s">
        <v>742</v>
      </c>
      <c r="B209" s="13" t="s">
        <v>743</v>
      </c>
      <c r="C209" s="9">
        <v>45827.0</v>
      </c>
      <c r="D209" s="9">
        <v>45828.0</v>
      </c>
      <c r="E209" s="7" t="s">
        <v>744</v>
      </c>
      <c r="F209" s="11" t="s">
        <v>23</v>
      </c>
      <c r="G209" s="11" t="s">
        <v>172</v>
      </c>
      <c r="H209" s="11" t="s">
        <v>25</v>
      </c>
      <c r="I209" s="16" t="s">
        <v>745</v>
      </c>
      <c r="J209" s="49" t="s">
        <v>746</v>
      </c>
      <c r="K209" s="73"/>
      <c r="L209" s="11" t="s">
        <v>27</v>
      </c>
      <c r="M209" s="7" t="s">
        <v>744</v>
      </c>
      <c r="N209" s="14" t="b">
        <f t="shared" si="11"/>
        <v>1</v>
      </c>
      <c r="O209" s="15" t="b">
        <f t="shared" si="2"/>
        <v>0</v>
      </c>
      <c r="P209" s="15" t="str">
        <f t="shared" si="3"/>
        <v>APPROVED</v>
      </c>
    </row>
    <row r="210" ht="22.5" customHeight="1">
      <c r="A210" s="30" t="s">
        <v>747</v>
      </c>
      <c r="B210" s="31" t="s">
        <v>748</v>
      </c>
      <c r="C210" s="32">
        <v>45827.0</v>
      </c>
      <c r="D210" s="32">
        <v>45828.0</v>
      </c>
      <c r="E210" s="30" t="s">
        <v>177</v>
      </c>
      <c r="F210" s="34" t="s">
        <v>23</v>
      </c>
      <c r="G210" s="34" t="s">
        <v>172</v>
      </c>
      <c r="H210" s="34" t="s">
        <v>49</v>
      </c>
      <c r="I210" s="66" t="s">
        <v>749</v>
      </c>
      <c r="J210" s="69" t="s">
        <v>750</v>
      </c>
      <c r="K210" s="70"/>
      <c r="L210" s="30" t="s">
        <v>98</v>
      </c>
      <c r="M210" s="30" t="s">
        <v>177</v>
      </c>
      <c r="N210" s="14" t="b">
        <f t="shared" si="11"/>
        <v>1</v>
      </c>
      <c r="O210" s="15" t="b">
        <f t="shared" si="2"/>
        <v>1</v>
      </c>
      <c r="P210" s="15" t="str">
        <f t="shared" si="3"/>
        <v>PENDING</v>
      </c>
    </row>
    <row r="211" ht="15.75" customHeight="1">
      <c r="A211" s="7" t="s">
        <v>751</v>
      </c>
      <c r="B211" s="13" t="s">
        <v>752</v>
      </c>
      <c r="C211" s="9">
        <v>45827.0</v>
      </c>
      <c r="D211" s="9">
        <v>45828.0</v>
      </c>
      <c r="E211" s="7" t="s">
        <v>177</v>
      </c>
      <c r="F211" s="11" t="s">
        <v>23</v>
      </c>
      <c r="G211" s="11" t="s">
        <v>172</v>
      </c>
      <c r="H211" s="11" t="s">
        <v>25</v>
      </c>
      <c r="I211" s="16" t="s">
        <v>753</v>
      </c>
      <c r="J211" s="49" t="s">
        <v>754</v>
      </c>
      <c r="K211" s="127">
        <v>2307.0</v>
      </c>
      <c r="L211" s="11" t="s">
        <v>27</v>
      </c>
      <c r="M211" s="7" t="s">
        <v>177</v>
      </c>
      <c r="N211" s="14" t="b">
        <f t="shared" si="11"/>
        <v>1</v>
      </c>
      <c r="O211" s="15" t="b">
        <f t="shared" si="2"/>
        <v>0</v>
      </c>
      <c r="P211" s="15" t="str">
        <f t="shared" si="3"/>
        <v>APPROVED</v>
      </c>
    </row>
    <row r="212" ht="15.75" customHeight="1">
      <c r="A212" s="30" t="s">
        <v>755</v>
      </c>
      <c r="B212" s="31" t="s">
        <v>756</v>
      </c>
      <c r="C212" s="32">
        <v>45828.0</v>
      </c>
      <c r="D212" s="32">
        <v>45828.0</v>
      </c>
      <c r="E212" s="30" t="s">
        <v>177</v>
      </c>
      <c r="F212" s="34" t="s">
        <v>23</v>
      </c>
      <c r="G212" s="34" t="s">
        <v>172</v>
      </c>
      <c r="H212" s="34" t="s">
        <v>49</v>
      </c>
      <c r="I212" s="66" t="s">
        <v>757</v>
      </c>
      <c r="J212" s="69" t="s">
        <v>750</v>
      </c>
      <c r="K212" s="69" t="s">
        <v>758</v>
      </c>
      <c r="L212" s="30" t="s">
        <v>98</v>
      </c>
      <c r="M212" s="30" t="s">
        <v>177</v>
      </c>
      <c r="N212" s="14" t="b">
        <f t="shared" si="11"/>
        <v>1</v>
      </c>
      <c r="O212" s="15" t="b">
        <f t="shared" si="2"/>
        <v>1</v>
      </c>
      <c r="P212" s="15" t="str">
        <f t="shared" si="3"/>
        <v>PENDING</v>
      </c>
    </row>
    <row r="213" ht="15.75" customHeight="1">
      <c r="A213" s="7" t="s">
        <v>759</v>
      </c>
      <c r="B213" s="48" t="s">
        <v>760</v>
      </c>
      <c r="C213" s="9">
        <v>45828.0</v>
      </c>
      <c r="D213" s="9">
        <v>45828.0</v>
      </c>
      <c r="E213" s="7" t="s">
        <v>177</v>
      </c>
      <c r="F213" s="11" t="s">
        <v>23</v>
      </c>
      <c r="G213" s="11" t="s">
        <v>172</v>
      </c>
      <c r="H213" s="11" t="s">
        <v>25</v>
      </c>
      <c r="I213" s="16" t="s">
        <v>761</v>
      </c>
      <c r="J213" s="49" t="s">
        <v>762</v>
      </c>
      <c r="K213" s="73"/>
      <c r="L213" s="11" t="s">
        <v>27</v>
      </c>
      <c r="M213" s="7" t="s">
        <v>177</v>
      </c>
      <c r="N213" s="14" t="b">
        <f t="shared" si="11"/>
        <v>1</v>
      </c>
      <c r="O213" s="15" t="b">
        <f t="shared" si="2"/>
        <v>0</v>
      </c>
      <c r="P213" s="15" t="str">
        <f t="shared" si="3"/>
        <v>APPROVED</v>
      </c>
    </row>
    <row r="214" ht="16.5" customHeight="1">
      <c r="A214" s="7" t="s">
        <v>763</v>
      </c>
      <c r="B214" s="13" t="s">
        <v>764</v>
      </c>
      <c r="C214" s="9">
        <v>45828.0</v>
      </c>
      <c r="D214" s="9">
        <v>45828.0</v>
      </c>
      <c r="E214" s="7" t="s">
        <v>177</v>
      </c>
      <c r="F214" s="11" t="s">
        <v>23</v>
      </c>
      <c r="G214" s="11" t="s">
        <v>172</v>
      </c>
      <c r="H214" s="11" t="s">
        <v>25</v>
      </c>
      <c r="I214" s="16" t="s">
        <v>765</v>
      </c>
      <c r="J214" s="49" t="s">
        <v>766</v>
      </c>
      <c r="K214" s="73"/>
      <c r="L214" s="11" t="s">
        <v>27</v>
      </c>
      <c r="M214" s="7" t="s">
        <v>177</v>
      </c>
      <c r="N214" s="14" t="b">
        <f t="shared" si="11"/>
        <v>1</v>
      </c>
      <c r="O214" s="15" t="b">
        <f t="shared" si="2"/>
        <v>0</v>
      </c>
      <c r="P214" s="15" t="str">
        <f t="shared" si="3"/>
        <v>APPROVED</v>
      </c>
    </row>
    <row r="215" ht="15.75" customHeight="1">
      <c r="A215" s="7" t="s">
        <v>767</v>
      </c>
      <c r="B215" s="13" t="s">
        <v>288</v>
      </c>
      <c r="C215" s="9">
        <v>45831.0</v>
      </c>
      <c r="D215" s="9">
        <v>45833.0</v>
      </c>
      <c r="E215" s="7" t="s">
        <v>171</v>
      </c>
      <c r="F215" s="11" t="s">
        <v>23</v>
      </c>
      <c r="G215" s="11" t="s">
        <v>30</v>
      </c>
      <c r="H215" s="11" t="s">
        <v>25</v>
      </c>
      <c r="I215" s="16"/>
      <c r="J215" s="49"/>
      <c r="K215" s="73"/>
      <c r="L215" s="11" t="s">
        <v>27</v>
      </c>
      <c r="M215" s="7" t="s">
        <v>171</v>
      </c>
      <c r="N215" s="14" t="b">
        <f t="shared" si="11"/>
        <v>1</v>
      </c>
      <c r="O215" s="15" t="b">
        <f t="shared" si="2"/>
        <v>0</v>
      </c>
      <c r="P215" s="15" t="str">
        <f t="shared" si="3"/>
        <v>APPROVED</v>
      </c>
    </row>
    <row r="216" ht="15.75" customHeight="1">
      <c r="A216" s="7" t="s">
        <v>768</v>
      </c>
      <c r="B216" s="13" t="s">
        <v>769</v>
      </c>
      <c r="C216" s="9">
        <v>45831.0</v>
      </c>
      <c r="D216" s="9">
        <v>45831.0</v>
      </c>
      <c r="E216" s="7" t="s">
        <v>715</v>
      </c>
      <c r="F216" s="11" t="s">
        <v>23</v>
      </c>
      <c r="G216" s="11" t="s">
        <v>172</v>
      </c>
      <c r="H216" s="11" t="s">
        <v>25</v>
      </c>
      <c r="I216" s="16" t="s">
        <v>770</v>
      </c>
      <c r="J216" s="49" t="s">
        <v>771</v>
      </c>
      <c r="K216" s="73"/>
      <c r="L216" s="11" t="s">
        <v>27</v>
      </c>
      <c r="M216" s="7" t="s">
        <v>715</v>
      </c>
      <c r="N216" s="14" t="b">
        <f t="shared" si="11"/>
        <v>1</v>
      </c>
      <c r="O216" s="15" t="b">
        <f t="shared" si="2"/>
        <v>0</v>
      </c>
      <c r="P216" s="15" t="str">
        <f t="shared" si="3"/>
        <v>APPROVED</v>
      </c>
    </row>
    <row r="217" ht="15.75" customHeight="1">
      <c r="A217" s="7" t="s">
        <v>772</v>
      </c>
      <c r="B217" s="13" t="s">
        <v>294</v>
      </c>
      <c r="C217" s="9">
        <v>45831.0</v>
      </c>
      <c r="D217" s="9">
        <v>45831.0</v>
      </c>
      <c r="E217" s="7" t="s">
        <v>177</v>
      </c>
      <c r="F217" s="11" t="s">
        <v>23</v>
      </c>
      <c r="G217" s="11" t="s">
        <v>172</v>
      </c>
      <c r="H217" s="11" t="s">
        <v>25</v>
      </c>
      <c r="I217" s="16" t="s">
        <v>773</v>
      </c>
      <c r="J217" s="49" t="s">
        <v>774</v>
      </c>
      <c r="K217" s="73"/>
      <c r="L217" s="11" t="s">
        <v>27</v>
      </c>
      <c r="M217" s="7" t="s">
        <v>177</v>
      </c>
      <c r="N217" s="14" t="b">
        <f t="shared" si="11"/>
        <v>1</v>
      </c>
      <c r="O217" s="15" t="b">
        <f t="shared" si="2"/>
        <v>0</v>
      </c>
      <c r="P217" s="15" t="str">
        <f t="shared" si="3"/>
        <v>APPROVED</v>
      </c>
    </row>
    <row r="218" ht="15.75" customHeight="1">
      <c r="A218" s="7" t="s">
        <v>775</v>
      </c>
      <c r="B218" s="8" t="s">
        <v>228</v>
      </c>
      <c r="C218" s="9">
        <v>45831.0</v>
      </c>
      <c r="D218" s="9">
        <v>45831.0</v>
      </c>
      <c r="E218" s="7" t="s">
        <v>177</v>
      </c>
      <c r="F218" s="11" t="s">
        <v>23</v>
      </c>
      <c r="G218" s="11" t="s">
        <v>172</v>
      </c>
      <c r="H218" s="11" t="s">
        <v>25</v>
      </c>
      <c r="I218" s="16" t="s">
        <v>776</v>
      </c>
      <c r="J218" s="49" t="s">
        <v>777</v>
      </c>
      <c r="K218" s="73"/>
      <c r="L218" s="11" t="s">
        <v>27</v>
      </c>
      <c r="M218" s="7" t="s">
        <v>177</v>
      </c>
      <c r="N218" s="14" t="b">
        <f t="shared" si="11"/>
        <v>1</v>
      </c>
      <c r="O218" s="15" t="b">
        <f t="shared" si="2"/>
        <v>0</v>
      </c>
      <c r="P218" s="15" t="str">
        <f t="shared" si="3"/>
        <v>APPROVED</v>
      </c>
    </row>
    <row r="219" ht="15.75" customHeight="1">
      <c r="A219" s="7" t="s">
        <v>778</v>
      </c>
      <c r="B219" s="13" t="s">
        <v>779</v>
      </c>
      <c r="C219" s="9">
        <v>45831.0</v>
      </c>
      <c r="D219" s="9">
        <v>45695.0</v>
      </c>
      <c r="E219" s="7" t="s">
        <v>744</v>
      </c>
      <c r="F219" s="11" t="s">
        <v>23</v>
      </c>
      <c r="G219" s="11" t="s">
        <v>172</v>
      </c>
      <c r="H219" s="11" t="s">
        <v>25</v>
      </c>
      <c r="I219" s="16" t="s">
        <v>780</v>
      </c>
      <c r="J219" s="49" t="s">
        <v>781</v>
      </c>
      <c r="K219" s="73"/>
      <c r="L219" s="11" t="s">
        <v>27</v>
      </c>
      <c r="M219" s="7" t="s">
        <v>744</v>
      </c>
      <c r="N219" s="14" t="b">
        <f t="shared" si="11"/>
        <v>1</v>
      </c>
      <c r="O219" s="15" t="b">
        <f t="shared" si="2"/>
        <v>0</v>
      </c>
      <c r="P219" s="15" t="str">
        <f t="shared" si="3"/>
        <v>APPROVED</v>
      </c>
    </row>
    <row r="220" ht="15.75" customHeight="1">
      <c r="A220" s="7" t="s">
        <v>782</v>
      </c>
      <c r="B220" s="8" t="s">
        <v>685</v>
      </c>
      <c r="C220" s="9">
        <v>45831.0</v>
      </c>
      <c r="D220" s="9">
        <v>45831.0</v>
      </c>
      <c r="E220" s="7" t="s">
        <v>22</v>
      </c>
      <c r="F220" s="11" t="s">
        <v>23</v>
      </c>
      <c r="G220" s="11" t="s">
        <v>30</v>
      </c>
      <c r="H220" s="11" t="s">
        <v>25</v>
      </c>
      <c r="I220" s="16" t="s">
        <v>686</v>
      </c>
      <c r="J220" s="49" t="s">
        <v>783</v>
      </c>
      <c r="K220" s="73"/>
      <c r="L220" s="11" t="s">
        <v>27</v>
      </c>
      <c r="M220" s="7" t="s">
        <v>22</v>
      </c>
      <c r="N220" s="14" t="b">
        <f t="shared" si="11"/>
        <v>1</v>
      </c>
      <c r="O220" s="15" t="b">
        <f t="shared" si="2"/>
        <v>0</v>
      </c>
      <c r="P220" s="15" t="str">
        <f t="shared" si="3"/>
        <v>APPROVED</v>
      </c>
    </row>
    <row r="221" ht="15.75" customHeight="1">
      <c r="A221" s="7" t="s">
        <v>784</v>
      </c>
      <c r="B221" s="8" t="s">
        <v>785</v>
      </c>
      <c r="C221" s="9">
        <v>45831.0</v>
      </c>
      <c r="D221" s="9">
        <v>45835.0</v>
      </c>
      <c r="E221" s="7" t="s">
        <v>744</v>
      </c>
      <c r="F221" s="11" t="s">
        <v>23</v>
      </c>
      <c r="G221" s="11" t="s">
        <v>172</v>
      </c>
      <c r="H221" s="11" t="s">
        <v>25</v>
      </c>
      <c r="I221" s="16" t="s">
        <v>786</v>
      </c>
      <c r="J221" s="49" t="s">
        <v>787</v>
      </c>
      <c r="K221" s="73"/>
      <c r="L221" s="11" t="s">
        <v>27</v>
      </c>
      <c r="M221" s="7" t="s">
        <v>744</v>
      </c>
      <c r="N221" s="14" t="b">
        <f t="shared" si="11"/>
        <v>1</v>
      </c>
      <c r="O221" s="15" t="b">
        <f t="shared" si="2"/>
        <v>0</v>
      </c>
      <c r="P221" s="15" t="str">
        <f t="shared" si="3"/>
        <v>APPROVED</v>
      </c>
    </row>
    <row r="222" ht="15.75" customHeight="1">
      <c r="A222" s="7" t="s">
        <v>788</v>
      </c>
      <c r="B222" s="8" t="s">
        <v>789</v>
      </c>
      <c r="C222" s="9">
        <v>45831.0</v>
      </c>
      <c r="D222" s="9">
        <v>45831.0</v>
      </c>
      <c r="E222" s="7" t="s">
        <v>744</v>
      </c>
      <c r="F222" s="11" t="s">
        <v>716</v>
      </c>
      <c r="G222" s="11" t="s">
        <v>30</v>
      </c>
      <c r="H222" s="7" t="s">
        <v>31</v>
      </c>
      <c r="I222" s="16"/>
      <c r="J222" s="49"/>
      <c r="K222" s="125" t="s">
        <v>32</v>
      </c>
      <c r="L222" s="11" t="s">
        <v>27</v>
      </c>
      <c r="M222" s="7" t="s">
        <v>744</v>
      </c>
      <c r="N222" s="175" t="b">
        <v>1</v>
      </c>
      <c r="O222" s="15" t="b">
        <f t="shared" si="2"/>
        <v>0</v>
      </c>
      <c r="P222" s="15" t="str">
        <f t="shared" si="3"/>
        <v>PENDING</v>
      </c>
    </row>
    <row r="223" ht="15.75" customHeight="1">
      <c r="A223" s="7" t="s">
        <v>790</v>
      </c>
      <c r="B223" s="13" t="s">
        <v>791</v>
      </c>
      <c r="C223" s="9">
        <v>45832.0</v>
      </c>
      <c r="D223" s="9">
        <v>45832.0</v>
      </c>
      <c r="E223" s="7" t="s">
        <v>177</v>
      </c>
      <c r="F223" s="11" t="s">
        <v>23</v>
      </c>
      <c r="G223" s="11" t="s">
        <v>172</v>
      </c>
      <c r="H223" s="11" t="s">
        <v>25</v>
      </c>
      <c r="I223" s="16" t="s">
        <v>792</v>
      </c>
      <c r="J223" s="49" t="s">
        <v>793</v>
      </c>
      <c r="K223" s="73"/>
      <c r="L223" s="11" t="s">
        <v>27</v>
      </c>
      <c r="M223" s="7" t="s">
        <v>177</v>
      </c>
      <c r="N223" s="14" t="b">
        <f t="shared" ref="N223:N239" si="12">if(H223=$H$2,TRUE,O223)</f>
        <v>1</v>
      </c>
      <c r="O223" s="15" t="b">
        <f t="shared" si="2"/>
        <v>0</v>
      </c>
      <c r="P223" s="15" t="str">
        <f t="shared" si="3"/>
        <v>APPROVED</v>
      </c>
    </row>
    <row r="224" ht="15.75" customHeight="1">
      <c r="A224" s="7" t="s">
        <v>794</v>
      </c>
      <c r="B224" s="13" t="s">
        <v>795</v>
      </c>
      <c r="C224" s="9">
        <v>45832.0</v>
      </c>
      <c r="D224" s="9">
        <v>45832.0</v>
      </c>
      <c r="E224" s="7" t="s">
        <v>177</v>
      </c>
      <c r="F224" s="11" t="s">
        <v>23</v>
      </c>
      <c r="G224" s="11" t="s">
        <v>172</v>
      </c>
      <c r="H224" s="11" t="s">
        <v>25</v>
      </c>
      <c r="I224" s="16" t="s">
        <v>796</v>
      </c>
      <c r="J224" s="49" t="s">
        <v>797</v>
      </c>
      <c r="K224" s="73"/>
      <c r="L224" s="11" t="s">
        <v>27</v>
      </c>
      <c r="M224" s="7" t="s">
        <v>177</v>
      </c>
      <c r="N224" s="14" t="b">
        <f t="shared" si="12"/>
        <v>1</v>
      </c>
      <c r="O224" s="15" t="b">
        <f t="shared" si="2"/>
        <v>0</v>
      </c>
      <c r="P224" s="15" t="str">
        <f t="shared" si="3"/>
        <v>APPROVED</v>
      </c>
    </row>
    <row r="225" ht="15.75" customHeight="1">
      <c r="A225" s="7" t="s">
        <v>798</v>
      </c>
      <c r="B225" s="126" t="s">
        <v>799</v>
      </c>
      <c r="C225" s="9">
        <v>45832.0</v>
      </c>
      <c r="D225" s="9">
        <v>45832.0</v>
      </c>
      <c r="E225" s="7" t="s">
        <v>177</v>
      </c>
      <c r="F225" s="11" t="s">
        <v>23</v>
      </c>
      <c r="G225" s="11" t="s">
        <v>172</v>
      </c>
      <c r="H225" s="11" t="s">
        <v>25</v>
      </c>
      <c r="I225" s="16" t="s">
        <v>800</v>
      </c>
      <c r="J225" s="49" t="s">
        <v>801</v>
      </c>
      <c r="K225" s="73"/>
      <c r="L225" s="11" t="s">
        <v>27</v>
      </c>
      <c r="M225" s="7" t="s">
        <v>177</v>
      </c>
      <c r="N225" s="14" t="b">
        <f t="shared" si="12"/>
        <v>1</v>
      </c>
      <c r="O225" s="15" t="b">
        <f t="shared" si="2"/>
        <v>0</v>
      </c>
      <c r="P225" s="15" t="str">
        <f t="shared" si="3"/>
        <v>APPROVED</v>
      </c>
    </row>
    <row r="226" ht="15.75" customHeight="1">
      <c r="A226" s="7" t="s">
        <v>802</v>
      </c>
      <c r="B226" s="8" t="s">
        <v>803</v>
      </c>
      <c r="C226" s="9">
        <v>45832.0</v>
      </c>
      <c r="D226" s="9">
        <v>45832.0</v>
      </c>
      <c r="E226" s="7" t="s">
        <v>177</v>
      </c>
      <c r="F226" s="11" t="s">
        <v>23</v>
      </c>
      <c r="G226" s="11" t="s">
        <v>172</v>
      </c>
      <c r="H226" s="11" t="s">
        <v>25</v>
      </c>
      <c r="I226" s="16" t="s">
        <v>804</v>
      </c>
      <c r="J226" s="49" t="s">
        <v>805</v>
      </c>
      <c r="K226" s="73"/>
      <c r="L226" s="11" t="s">
        <v>27</v>
      </c>
      <c r="M226" s="7" t="s">
        <v>177</v>
      </c>
      <c r="N226" s="14" t="b">
        <f t="shared" si="12"/>
        <v>1</v>
      </c>
      <c r="O226" s="15" t="b">
        <f t="shared" si="2"/>
        <v>0</v>
      </c>
      <c r="P226" s="15" t="str">
        <f t="shared" si="3"/>
        <v>APPROVED</v>
      </c>
    </row>
    <row r="227" ht="15.75" customHeight="1">
      <c r="A227" s="7" t="s">
        <v>806</v>
      </c>
      <c r="B227" s="13" t="s">
        <v>807</v>
      </c>
      <c r="C227" s="9">
        <v>45833.0</v>
      </c>
      <c r="D227" s="9">
        <v>45695.0</v>
      </c>
      <c r="E227" s="7" t="s">
        <v>744</v>
      </c>
      <c r="F227" s="11" t="s">
        <v>23</v>
      </c>
      <c r="G227" s="11" t="s">
        <v>172</v>
      </c>
      <c r="H227" s="11" t="s">
        <v>25</v>
      </c>
      <c r="I227" s="16" t="s">
        <v>808</v>
      </c>
      <c r="J227" s="49" t="s">
        <v>809</v>
      </c>
      <c r="K227" s="73"/>
      <c r="L227" s="11" t="s">
        <v>27</v>
      </c>
      <c r="M227" s="7" t="s">
        <v>744</v>
      </c>
      <c r="N227" s="14" t="b">
        <f t="shared" si="12"/>
        <v>1</v>
      </c>
      <c r="O227" s="15" t="b">
        <f t="shared" si="2"/>
        <v>0</v>
      </c>
      <c r="P227" s="15" t="str">
        <f t="shared" si="3"/>
        <v>APPROVED</v>
      </c>
    </row>
    <row r="228" ht="15.75" customHeight="1">
      <c r="A228" s="24" t="s">
        <v>810</v>
      </c>
      <c r="B228" s="25" t="s">
        <v>811</v>
      </c>
      <c r="C228" s="26">
        <v>45833.0</v>
      </c>
      <c r="D228" s="26">
        <v>45754.0</v>
      </c>
      <c r="E228" s="24" t="s">
        <v>744</v>
      </c>
      <c r="F228" s="28" t="s">
        <v>23</v>
      </c>
      <c r="G228" s="28" t="s">
        <v>172</v>
      </c>
      <c r="H228" s="28" t="s">
        <v>84</v>
      </c>
      <c r="I228" s="96" t="s">
        <v>812</v>
      </c>
      <c r="J228" s="97" t="s">
        <v>813</v>
      </c>
      <c r="K228" s="98"/>
      <c r="L228" s="28" t="s">
        <v>27</v>
      </c>
      <c r="M228" s="24" t="s">
        <v>744</v>
      </c>
      <c r="N228" s="14" t="b">
        <f t="shared" si="12"/>
        <v>0</v>
      </c>
      <c r="O228" s="15" t="b">
        <f t="shared" si="2"/>
        <v>0</v>
      </c>
      <c r="P228" s="15" t="str">
        <f t="shared" si="3"/>
        <v>PENDING</v>
      </c>
    </row>
    <row r="229" ht="15.75" customHeight="1">
      <c r="A229" s="7" t="s">
        <v>814</v>
      </c>
      <c r="B229" s="13" t="s">
        <v>815</v>
      </c>
      <c r="C229" s="9">
        <v>45834.0</v>
      </c>
      <c r="D229" s="9">
        <v>45695.0</v>
      </c>
      <c r="E229" s="7" t="s">
        <v>744</v>
      </c>
      <c r="F229" s="11" t="s">
        <v>23</v>
      </c>
      <c r="G229" s="11" t="s">
        <v>172</v>
      </c>
      <c r="H229" s="11" t="s">
        <v>25</v>
      </c>
      <c r="I229" s="16" t="s">
        <v>816</v>
      </c>
      <c r="J229" s="49" t="s">
        <v>274</v>
      </c>
      <c r="K229" s="73"/>
      <c r="L229" s="11" t="s">
        <v>27</v>
      </c>
      <c r="M229" s="7" t="s">
        <v>744</v>
      </c>
      <c r="N229" s="14" t="b">
        <f t="shared" si="12"/>
        <v>1</v>
      </c>
      <c r="O229" s="15" t="b">
        <f t="shared" si="2"/>
        <v>0</v>
      </c>
      <c r="P229" s="15" t="str">
        <f t="shared" si="3"/>
        <v>APPROVED</v>
      </c>
    </row>
    <row r="230" ht="15.75" customHeight="1">
      <c r="A230" s="7" t="s">
        <v>817</v>
      </c>
      <c r="B230" s="13" t="s">
        <v>2090</v>
      </c>
      <c r="C230" s="9">
        <v>45834.0</v>
      </c>
      <c r="D230" s="9">
        <v>45695.0</v>
      </c>
      <c r="E230" s="7" t="s">
        <v>744</v>
      </c>
      <c r="F230" s="11" t="s">
        <v>23</v>
      </c>
      <c r="G230" s="11" t="s">
        <v>172</v>
      </c>
      <c r="H230" s="11" t="s">
        <v>25</v>
      </c>
      <c r="I230" s="16" t="s">
        <v>819</v>
      </c>
      <c r="J230" s="49" t="s">
        <v>820</v>
      </c>
      <c r="K230" s="73"/>
      <c r="L230" s="11" t="s">
        <v>27</v>
      </c>
      <c r="M230" s="7" t="s">
        <v>744</v>
      </c>
      <c r="N230" s="14" t="b">
        <f t="shared" si="12"/>
        <v>1</v>
      </c>
      <c r="O230" s="15" t="b">
        <f t="shared" si="2"/>
        <v>0</v>
      </c>
      <c r="P230" s="15" t="str">
        <f t="shared" si="3"/>
        <v>APPROVED</v>
      </c>
    </row>
    <row r="231" ht="15.75" customHeight="1">
      <c r="A231" s="7" t="s">
        <v>821</v>
      </c>
      <c r="B231" s="13" t="s">
        <v>822</v>
      </c>
      <c r="C231" s="9">
        <v>45835.0</v>
      </c>
      <c r="D231" s="9">
        <v>45695.0</v>
      </c>
      <c r="E231" s="7" t="s">
        <v>744</v>
      </c>
      <c r="F231" s="11" t="s">
        <v>23</v>
      </c>
      <c r="G231" s="11" t="s">
        <v>172</v>
      </c>
      <c r="H231" s="11" t="s">
        <v>25</v>
      </c>
      <c r="I231" s="16" t="s">
        <v>823</v>
      </c>
      <c r="J231" s="49" t="s">
        <v>824</v>
      </c>
      <c r="K231" s="73"/>
      <c r="L231" s="11" t="s">
        <v>27</v>
      </c>
      <c r="M231" s="7" t="s">
        <v>744</v>
      </c>
      <c r="N231" s="14" t="b">
        <f t="shared" si="12"/>
        <v>1</v>
      </c>
      <c r="O231" s="15" t="b">
        <f t="shared" si="2"/>
        <v>0</v>
      </c>
      <c r="P231" s="15" t="str">
        <f t="shared" si="3"/>
        <v>APPROVED</v>
      </c>
    </row>
    <row r="232" ht="15.75" customHeight="1">
      <c r="A232" s="24" t="s">
        <v>825</v>
      </c>
      <c r="B232" s="115" t="s">
        <v>38</v>
      </c>
      <c r="C232" s="26">
        <v>45835.0</v>
      </c>
      <c r="D232" s="26">
        <v>45835.0</v>
      </c>
      <c r="E232" s="24" t="s">
        <v>22</v>
      </c>
      <c r="F232" s="28" t="s">
        <v>23</v>
      </c>
      <c r="G232" s="28" t="s">
        <v>30</v>
      </c>
      <c r="H232" s="28" t="s">
        <v>49</v>
      </c>
      <c r="I232" s="96" t="s">
        <v>826</v>
      </c>
      <c r="J232" s="97" t="s">
        <v>827</v>
      </c>
      <c r="K232" s="98"/>
      <c r="L232" s="28" t="s">
        <v>27</v>
      </c>
      <c r="M232" s="24" t="s">
        <v>22</v>
      </c>
      <c r="N232" s="14" t="b">
        <f t="shared" si="12"/>
        <v>0</v>
      </c>
      <c r="O232" s="15" t="b">
        <f t="shared" si="2"/>
        <v>0</v>
      </c>
      <c r="P232" s="15" t="str">
        <f t="shared" si="3"/>
        <v>PENDING</v>
      </c>
    </row>
    <row r="233" ht="15.75" customHeight="1">
      <c r="A233" s="7" t="s">
        <v>828</v>
      </c>
      <c r="B233" s="13" t="s">
        <v>829</v>
      </c>
      <c r="C233" s="9">
        <v>45835.0</v>
      </c>
      <c r="D233" s="9">
        <v>45838.0</v>
      </c>
      <c r="E233" s="7" t="s">
        <v>22</v>
      </c>
      <c r="F233" s="11" t="s">
        <v>23</v>
      </c>
      <c r="G233" s="11" t="s">
        <v>172</v>
      </c>
      <c r="H233" s="11" t="s">
        <v>25</v>
      </c>
      <c r="I233" s="16" t="s">
        <v>830</v>
      </c>
      <c r="J233" s="49" t="s">
        <v>831</v>
      </c>
      <c r="K233" s="73"/>
      <c r="L233" s="11" t="s">
        <v>27</v>
      </c>
      <c r="M233" s="7" t="s">
        <v>22</v>
      </c>
      <c r="N233" s="14" t="b">
        <f t="shared" si="12"/>
        <v>1</v>
      </c>
      <c r="O233" s="15" t="b">
        <f t="shared" si="2"/>
        <v>0</v>
      </c>
      <c r="P233" s="15" t="str">
        <f t="shared" si="3"/>
        <v>APPROVED</v>
      </c>
    </row>
    <row r="234" ht="15.75" customHeight="1">
      <c r="A234" s="7" t="s">
        <v>832</v>
      </c>
      <c r="B234" s="13" t="s">
        <v>833</v>
      </c>
      <c r="C234" s="9">
        <v>45835.0</v>
      </c>
      <c r="D234" s="9">
        <v>45835.0</v>
      </c>
      <c r="E234" s="7" t="s">
        <v>177</v>
      </c>
      <c r="F234" s="11" t="s">
        <v>23</v>
      </c>
      <c r="G234" s="11" t="s">
        <v>172</v>
      </c>
      <c r="H234" s="11" t="s">
        <v>25</v>
      </c>
      <c r="I234" s="16" t="s">
        <v>834</v>
      </c>
      <c r="J234" s="49" t="s">
        <v>835</v>
      </c>
      <c r="K234" s="73"/>
      <c r="L234" s="11" t="s">
        <v>27</v>
      </c>
      <c r="M234" s="7" t="s">
        <v>177</v>
      </c>
      <c r="N234" s="14" t="b">
        <f t="shared" si="12"/>
        <v>1</v>
      </c>
      <c r="O234" s="15" t="b">
        <f t="shared" si="2"/>
        <v>0</v>
      </c>
      <c r="P234" s="15" t="str">
        <f t="shared" si="3"/>
        <v>APPROVED</v>
      </c>
    </row>
    <row r="235" ht="15.75" customHeight="1">
      <c r="A235" s="24" t="s">
        <v>836</v>
      </c>
      <c r="B235" s="25" t="s">
        <v>837</v>
      </c>
      <c r="C235" s="26">
        <v>45835.0</v>
      </c>
      <c r="D235" s="26">
        <v>45835.0</v>
      </c>
      <c r="E235" s="24" t="s">
        <v>715</v>
      </c>
      <c r="F235" s="28" t="s">
        <v>23</v>
      </c>
      <c r="G235" s="28" t="s">
        <v>172</v>
      </c>
      <c r="H235" s="28" t="s">
        <v>49</v>
      </c>
      <c r="I235" s="96" t="s">
        <v>838</v>
      </c>
      <c r="J235" s="97" t="s">
        <v>827</v>
      </c>
      <c r="K235" s="98"/>
      <c r="L235" s="28" t="s">
        <v>27</v>
      </c>
      <c r="M235" s="24" t="s">
        <v>715</v>
      </c>
      <c r="N235" s="14" t="b">
        <f t="shared" si="12"/>
        <v>0</v>
      </c>
      <c r="O235" s="15" t="b">
        <f t="shared" si="2"/>
        <v>0</v>
      </c>
      <c r="P235" s="15" t="str">
        <f t="shared" si="3"/>
        <v>PENDING</v>
      </c>
    </row>
    <row r="236" ht="15.75" customHeight="1">
      <c r="A236" s="7" t="s">
        <v>839</v>
      </c>
      <c r="B236" s="13" t="s">
        <v>840</v>
      </c>
      <c r="C236" s="9">
        <v>45833.0</v>
      </c>
      <c r="D236" s="9">
        <v>45833.0</v>
      </c>
      <c r="E236" s="7" t="s">
        <v>715</v>
      </c>
      <c r="F236" s="11" t="s">
        <v>23</v>
      </c>
      <c r="G236" s="11" t="s">
        <v>172</v>
      </c>
      <c r="H236" s="11" t="s">
        <v>25</v>
      </c>
      <c r="I236" s="16" t="s">
        <v>841</v>
      </c>
      <c r="J236" s="49" t="s">
        <v>842</v>
      </c>
      <c r="K236" s="73"/>
      <c r="L236" s="11" t="s">
        <v>27</v>
      </c>
      <c r="M236" s="7" t="s">
        <v>715</v>
      </c>
      <c r="N236" s="14" t="b">
        <f t="shared" si="12"/>
        <v>1</v>
      </c>
      <c r="O236" s="15" t="b">
        <f t="shared" si="2"/>
        <v>0</v>
      </c>
      <c r="P236" s="15" t="str">
        <f t="shared" si="3"/>
        <v>APPROVED</v>
      </c>
    </row>
    <row r="237" ht="15.75" customHeight="1">
      <c r="A237" s="24" t="s">
        <v>843</v>
      </c>
      <c r="B237" s="25" t="s">
        <v>844</v>
      </c>
      <c r="C237" s="26">
        <v>45833.0</v>
      </c>
      <c r="D237" s="26">
        <v>45833.0</v>
      </c>
      <c r="E237" s="24" t="s">
        <v>715</v>
      </c>
      <c r="F237" s="28" t="s">
        <v>23</v>
      </c>
      <c r="G237" s="28" t="s">
        <v>172</v>
      </c>
      <c r="H237" s="28" t="s">
        <v>49</v>
      </c>
      <c r="I237" s="96" t="s">
        <v>845</v>
      </c>
      <c r="J237" s="97" t="s">
        <v>846</v>
      </c>
      <c r="K237" s="98"/>
      <c r="L237" s="28" t="s">
        <v>27</v>
      </c>
      <c r="M237" s="24" t="s">
        <v>715</v>
      </c>
      <c r="N237" s="14" t="b">
        <f t="shared" si="12"/>
        <v>0</v>
      </c>
      <c r="O237" s="15" t="b">
        <f t="shared" si="2"/>
        <v>0</v>
      </c>
      <c r="P237" s="15" t="str">
        <f t="shared" si="3"/>
        <v>PENDING</v>
      </c>
    </row>
    <row r="238" ht="15.75" customHeight="1">
      <c r="A238" s="24" t="s">
        <v>847</v>
      </c>
      <c r="B238" s="25" t="s">
        <v>848</v>
      </c>
      <c r="C238" s="26">
        <v>45833.0</v>
      </c>
      <c r="D238" s="26">
        <v>45833.0</v>
      </c>
      <c r="E238" s="24" t="s">
        <v>715</v>
      </c>
      <c r="F238" s="28" t="s">
        <v>23</v>
      </c>
      <c r="G238" s="28" t="s">
        <v>172</v>
      </c>
      <c r="H238" s="28" t="s">
        <v>49</v>
      </c>
      <c r="I238" s="96" t="s">
        <v>849</v>
      </c>
      <c r="J238" s="97" t="s">
        <v>850</v>
      </c>
      <c r="K238" s="97" t="s">
        <v>851</v>
      </c>
      <c r="L238" s="28" t="s">
        <v>27</v>
      </c>
      <c r="M238" s="24" t="s">
        <v>715</v>
      </c>
      <c r="N238" s="14" t="b">
        <f t="shared" si="12"/>
        <v>0</v>
      </c>
      <c r="O238" s="15" t="b">
        <f t="shared" si="2"/>
        <v>0</v>
      </c>
      <c r="P238" s="15" t="str">
        <f t="shared" si="3"/>
        <v>PENDING</v>
      </c>
    </row>
    <row r="239" ht="15.75" customHeight="1">
      <c r="A239" s="24" t="s">
        <v>852</v>
      </c>
      <c r="B239" s="25" t="s">
        <v>455</v>
      </c>
      <c r="C239" s="26">
        <v>45836.0</v>
      </c>
      <c r="D239" s="26"/>
      <c r="E239" s="24" t="s">
        <v>171</v>
      </c>
      <c r="F239" s="28" t="s">
        <v>23</v>
      </c>
      <c r="G239" s="28" t="s">
        <v>172</v>
      </c>
      <c r="H239" s="28" t="s">
        <v>49</v>
      </c>
      <c r="J239" s="97" t="s">
        <v>432</v>
      </c>
      <c r="K239" s="98"/>
      <c r="L239" s="28" t="s">
        <v>27</v>
      </c>
      <c r="M239" s="24" t="s">
        <v>171</v>
      </c>
      <c r="N239" s="14" t="b">
        <f t="shared" si="12"/>
        <v>0</v>
      </c>
      <c r="O239" s="15" t="b">
        <f t="shared" si="2"/>
        <v>0</v>
      </c>
      <c r="P239" s="15" t="str">
        <f t="shared" si="3"/>
        <v>PENDING</v>
      </c>
    </row>
    <row r="240" ht="15.75" customHeight="1">
      <c r="A240" s="7" t="s">
        <v>853</v>
      </c>
      <c r="B240" s="8" t="s">
        <v>714</v>
      </c>
      <c r="C240" s="9">
        <v>45836.0</v>
      </c>
      <c r="D240" s="9"/>
      <c r="E240" s="7" t="s">
        <v>715</v>
      </c>
      <c r="F240" s="11" t="s">
        <v>716</v>
      </c>
      <c r="G240" s="11" t="s">
        <v>172</v>
      </c>
      <c r="H240" s="11" t="s">
        <v>31</v>
      </c>
      <c r="I240" s="16"/>
      <c r="J240" s="49" t="s">
        <v>432</v>
      </c>
      <c r="K240" s="73"/>
      <c r="L240" s="11" t="s">
        <v>27</v>
      </c>
      <c r="M240" s="7" t="s">
        <v>715</v>
      </c>
      <c r="N240" s="175" t="b">
        <v>1</v>
      </c>
      <c r="O240" s="15" t="b">
        <f t="shared" si="2"/>
        <v>0</v>
      </c>
      <c r="P240" s="15" t="str">
        <f t="shared" si="3"/>
        <v>PENDING</v>
      </c>
    </row>
    <row r="241" ht="15.75" customHeight="1">
      <c r="A241" s="30" t="s">
        <v>854</v>
      </c>
      <c r="B241" s="58" t="s">
        <v>855</v>
      </c>
      <c r="C241" s="32">
        <v>45658.0</v>
      </c>
      <c r="D241" s="32"/>
      <c r="E241" s="30" t="s">
        <v>744</v>
      </c>
      <c r="F241" s="34" t="s">
        <v>23</v>
      </c>
      <c r="G241" s="34" t="s">
        <v>172</v>
      </c>
      <c r="H241" s="34" t="s">
        <v>49</v>
      </c>
      <c r="I241" s="66" t="s">
        <v>856</v>
      </c>
      <c r="J241" s="69" t="s">
        <v>432</v>
      </c>
      <c r="K241" s="70"/>
      <c r="L241" s="30" t="s">
        <v>98</v>
      </c>
      <c r="M241" s="30" t="s">
        <v>744</v>
      </c>
      <c r="N241" s="14" t="b">
        <f t="shared" ref="N241:N257" si="13">if(H241=$H$2,TRUE,O241)</f>
        <v>1</v>
      </c>
      <c r="O241" s="15" t="b">
        <f t="shared" si="2"/>
        <v>1</v>
      </c>
      <c r="P241" s="15" t="str">
        <f t="shared" si="3"/>
        <v>PENDING</v>
      </c>
    </row>
    <row r="242" ht="15.75" customHeight="1">
      <c r="A242" s="7" t="s">
        <v>857</v>
      </c>
      <c r="B242" s="8" t="s">
        <v>858</v>
      </c>
      <c r="C242" s="9">
        <v>45839.0</v>
      </c>
      <c r="D242" s="9">
        <v>45664.0</v>
      </c>
      <c r="E242" s="7" t="s">
        <v>177</v>
      </c>
      <c r="F242" s="11" t="s">
        <v>23</v>
      </c>
      <c r="G242" s="11" t="s">
        <v>172</v>
      </c>
      <c r="H242" s="11" t="s">
        <v>25</v>
      </c>
      <c r="I242" s="16" t="s">
        <v>859</v>
      </c>
      <c r="J242" s="49" t="s">
        <v>860</v>
      </c>
      <c r="K242" s="73"/>
      <c r="L242" s="11" t="s">
        <v>27</v>
      </c>
      <c r="M242" s="7" t="s">
        <v>177</v>
      </c>
      <c r="N242" s="14" t="b">
        <f t="shared" si="13"/>
        <v>1</v>
      </c>
      <c r="O242" s="15" t="b">
        <f t="shared" si="2"/>
        <v>0</v>
      </c>
      <c r="P242" s="15" t="str">
        <f t="shared" si="3"/>
        <v>APPROVED</v>
      </c>
    </row>
    <row r="243" ht="15.75" customHeight="1">
      <c r="A243" s="7" t="s">
        <v>861</v>
      </c>
      <c r="B243" s="13" t="s">
        <v>862</v>
      </c>
      <c r="C243" s="9">
        <v>45839.0</v>
      </c>
      <c r="D243" s="9">
        <v>45664.0</v>
      </c>
      <c r="E243" s="7" t="s">
        <v>177</v>
      </c>
      <c r="F243" s="11" t="s">
        <v>23</v>
      </c>
      <c r="G243" s="11" t="s">
        <v>30</v>
      </c>
      <c r="H243" s="11" t="s">
        <v>25</v>
      </c>
      <c r="I243" s="16" t="s">
        <v>863</v>
      </c>
      <c r="J243" s="49" t="s">
        <v>274</v>
      </c>
      <c r="K243" s="73"/>
      <c r="L243" s="11" t="s">
        <v>27</v>
      </c>
      <c r="M243" s="7" t="s">
        <v>177</v>
      </c>
      <c r="N243" s="14" t="b">
        <f t="shared" si="13"/>
        <v>1</v>
      </c>
      <c r="O243" s="15" t="b">
        <f t="shared" si="2"/>
        <v>0</v>
      </c>
      <c r="P243" s="15" t="str">
        <f t="shared" si="3"/>
        <v>APPROVED</v>
      </c>
    </row>
    <row r="244" ht="15.75" customHeight="1">
      <c r="A244" s="7" t="s">
        <v>864</v>
      </c>
      <c r="B244" s="13" t="s">
        <v>865</v>
      </c>
      <c r="C244" s="9">
        <v>45839.0</v>
      </c>
      <c r="D244" s="9">
        <v>45664.0</v>
      </c>
      <c r="E244" s="7" t="s">
        <v>177</v>
      </c>
      <c r="F244" s="11" t="s">
        <v>23</v>
      </c>
      <c r="G244" s="11" t="s">
        <v>172</v>
      </c>
      <c r="H244" s="11" t="s">
        <v>25</v>
      </c>
      <c r="I244" s="16" t="s">
        <v>866</v>
      </c>
      <c r="J244" s="49" t="s">
        <v>867</v>
      </c>
      <c r="K244" s="73"/>
      <c r="L244" s="11" t="s">
        <v>27</v>
      </c>
      <c r="M244" s="7" t="s">
        <v>177</v>
      </c>
      <c r="N244" s="14" t="b">
        <f t="shared" si="13"/>
        <v>1</v>
      </c>
      <c r="O244" s="15" t="b">
        <f t="shared" si="2"/>
        <v>0</v>
      </c>
      <c r="P244" s="15" t="str">
        <f t="shared" si="3"/>
        <v>APPROVED</v>
      </c>
    </row>
    <row r="245" ht="15.75" customHeight="1">
      <c r="A245" s="7" t="s">
        <v>868</v>
      </c>
      <c r="B245" s="13" t="s">
        <v>869</v>
      </c>
      <c r="C245" s="9">
        <v>45839.0</v>
      </c>
      <c r="D245" s="9">
        <v>45664.0</v>
      </c>
      <c r="E245" s="7" t="s">
        <v>177</v>
      </c>
      <c r="F245" s="11" t="s">
        <v>23</v>
      </c>
      <c r="G245" s="11" t="s">
        <v>172</v>
      </c>
      <c r="H245" s="11" t="s">
        <v>25</v>
      </c>
      <c r="I245" s="16" t="s">
        <v>870</v>
      </c>
      <c r="J245" s="49" t="s">
        <v>871</v>
      </c>
      <c r="K245" s="73"/>
      <c r="L245" s="11" t="s">
        <v>27</v>
      </c>
      <c r="M245" s="7" t="s">
        <v>177</v>
      </c>
      <c r="N245" s="14" t="b">
        <f t="shared" si="13"/>
        <v>1</v>
      </c>
      <c r="O245" s="15" t="b">
        <f t="shared" si="2"/>
        <v>0</v>
      </c>
      <c r="P245" s="15" t="str">
        <f t="shared" si="3"/>
        <v>APPROVED</v>
      </c>
    </row>
    <row r="246" ht="15.75" customHeight="1">
      <c r="A246" s="7" t="s">
        <v>872</v>
      </c>
      <c r="B246" s="13" t="s">
        <v>873</v>
      </c>
      <c r="C246" s="9">
        <v>45839.0</v>
      </c>
      <c r="D246" s="9">
        <v>45664.0</v>
      </c>
      <c r="E246" s="7" t="s">
        <v>177</v>
      </c>
      <c r="F246" s="11" t="s">
        <v>23</v>
      </c>
      <c r="G246" s="11" t="s">
        <v>172</v>
      </c>
      <c r="H246" s="11" t="s">
        <v>25</v>
      </c>
      <c r="I246" s="16" t="s">
        <v>874</v>
      </c>
      <c r="J246" s="49" t="s">
        <v>674</v>
      </c>
      <c r="K246" s="73"/>
      <c r="L246" s="11" t="s">
        <v>27</v>
      </c>
      <c r="M246" s="7" t="s">
        <v>177</v>
      </c>
      <c r="N246" s="14" t="b">
        <f t="shared" si="13"/>
        <v>1</v>
      </c>
      <c r="O246" s="15" t="b">
        <f t="shared" si="2"/>
        <v>0</v>
      </c>
      <c r="P246" s="15" t="str">
        <f t="shared" si="3"/>
        <v>APPROVED</v>
      </c>
    </row>
    <row r="247" ht="15.75" customHeight="1">
      <c r="A247" s="7" t="s">
        <v>875</v>
      </c>
      <c r="B247" s="13" t="s">
        <v>876</v>
      </c>
      <c r="C247" s="9">
        <v>45839.0</v>
      </c>
      <c r="D247" s="9">
        <v>45664.0</v>
      </c>
      <c r="E247" s="7" t="s">
        <v>177</v>
      </c>
      <c r="F247" s="11" t="s">
        <v>23</v>
      </c>
      <c r="G247" s="11" t="s">
        <v>172</v>
      </c>
      <c r="H247" s="11" t="s">
        <v>25</v>
      </c>
      <c r="I247" s="16" t="s">
        <v>877</v>
      </c>
      <c r="J247" s="49" t="s">
        <v>878</v>
      </c>
      <c r="K247" s="73"/>
      <c r="L247" s="11" t="s">
        <v>27</v>
      </c>
      <c r="M247" s="7" t="s">
        <v>177</v>
      </c>
      <c r="N247" s="14" t="b">
        <f t="shared" si="13"/>
        <v>1</v>
      </c>
      <c r="O247" s="15" t="b">
        <f t="shared" si="2"/>
        <v>0</v>
      </c>
      <c r="P247" s="15" t="str">
        <f t="shared" si="3"/>
        <v>APPROVED</v>
      </c>
    </row>
    <row r="248" ht="15.75" customHeight="1">
      <c r="A248" s="7" t="s">
        <v>879</v>
      </c>
      <c r="B248" s="13" t="s">
        <v>880</v>
      </c>
      <c r="C248" s="9">
        <v>45839.0</v>
      </c>
      <c r="D248" s="9">
        <v>45664.0</v>
      </c>
      <c r="E248" s="7" t="s">
        <v>177</v>
      </c>
      <c r="F248" s="11" t="s">
        <v>23</v>
      </c>
      <c r="G248" s="11" t="s">
        <v>172</v>
      </c>
      <c r="H248" s="11" t="s">
        <v>25</v>
      </c>
      <c r="I248" s="16" t="s">
        <v>881</v>
      </c>
      <c r="J248" s="49" t="s">
        <v>882</v>
      </c>
      <c r="K248" s="73"/>
      <c r="L248" s="11" t="s">
        <v>27</v>
      </c>
      <c r="M248" s="7" t="s">
        <v>177</v>
      </c>
      <c r="N248" s="14" t="b">
        <f t="shared" si="13"/>
        <v>1</v>
      </c>
      <c r="O248" s="15" t="b">
        <f t="shared" si="2"/>
        <v>0</v>
      </c>
      <c r="P248" s="15" t="str">
        <f t="shared" si="3"/>
        <v>APPROVED</v>
      </c>
    </row>
    <row r="249" ht="15.75" customHeight="1">
      <c r="A249" s="7" t="s">
        <v>883</v>
      </c>
      <c r="B249" s="8" t="s">
        <v>60</v>
      </c>
      <c r="C249" s="9">
        <v>45839.0</v>
      </c>
      <c r="D249" s="9">
        <v>45695.0</v>
      </c>
      <c r="E249" s="7" t="s">
        <v>22</v>
      </c>
      <c r="F249" s="11" t="s">
        <v>23</v>
      </c>
      <c r="G249" s="11" t="s">
        <v>48</v>
      </c>
      <c r="H249" s="11" t="s">
        <v>25</v>
      </c>
      <c r="I249" s="16" t="s">
        <v>884</v>
      </c>
      <c r="J249" s="49"/>
      <c r="K249" s="73"/>
      <c r="L249" s="11" t="s">
        <v>27</v>
      </c>
      <c r="M249" s="7" t="s">
        <v>22</v>
      </c>
      <c r="N249" s="14" t="b">
        <f t="shared" si="13"/>
        <v>1</v>
      </c>
      <c r="O249" s="15" t="b">
        <f t="shared" si="2"/>
        <v>0</v>
      </c>
      <c r="P249" s="15" t="str">
        <f t="shared" si="3"/>
        <v>APPROVED</v>
      </c>
    </row>
    <row r="250" ht="15.75" customHeight="1">
      <c r="A250" s="24" t="s">
        <v>885</v>
      </c>
      <c r="B250" s="25" t="s">
        <v>886</v>
      </c>
      <c r="C250" s="26">
        <v>45839.0</v>
      </c>
      <c r="D250" s="26">
        <v>45664.0</v>
      </c>
      <c r="E250" s="24" t="s">
        <v>715</v>
      </c>
      <c r="F250" s="28" t="s">
        <v>23</v>
      </c>
      <c r="G250" s="28" t="s">
        <v>172</v>
      </c>
      <c r="H250" s="28" t="s">
        <v>49</v>
      </c>
      <c r="I250" s="96" t="s">
        <v>887</v>
      </c>
      <c r="J250" s="97" t="s">
        <v>888</v>
      </c>
      <c r="K250" s="98" t="s">
        <v>889</v>
      </c>
      <c r="L250" s="28" t="s">
        <v>27</v>
      </c>
      <c r="M250" s="24" t="s">
        <v>715</v>
      </c>
      <c r="N250" s="14" t="b">
        <f t="shared" si="13"/>
        <v>0</v>
      </c>
      <c r="O250" s="15" t="b">
        <f t="shared" si="2"/>
        <v>0</v>
      </c>
      <c r="P250" s="15" t="str">
        <f t="shared" si="3"/>
        <v>PENDING</v>
      </c>
    </row>
    <row r="251" ht="15.75" customHeight="1">
      <c r="A251" s="7" t="s">
        <v>890</v>
      </c>
      <c r="B251" s="13" t="s">
        <v>891</v>
      </c>
      <c r="C251" s="9">
        <v>45839.0</v>
      </c>
      <c r="D251" s="9">
        <v>45664.0</v>
      </c>
      <c r="E251" s="7" t="s">
        <v>715</v>
      </c>
      <c r="F251" s="11" t="s">
        <v>23</v>
      </c>
      <c r="G251" s="11" t="s">
        <v>48</v>
      </c>
      <c r="H251" s="11" t="s">
        <v>25</v>
      </c>
      <c r="I251" s="16" t="s">
        <v>892</v>
      </c>
      <c r="J251" s="49" t="s">
        <v>893</v>
      </c>
      <c r="K251" s="73"/>
      <c r="L251" s="11" t="s">
        <v>27</v>
      </c>
      <c r="M251" s="7" t="s">
        <v>715</v>
      </c>
      <c r="N251" s="14" t="b">
        <f t="shared" si="13"/>
        <v>1</v>
      </c>
      <c r="O251" s="15" t="b">
        <f t="shared" si="2"/>
        <v>0</v>
      </c>
      <c r="P251" s="15" t="str">
        <f t="shared" si="3"/>
        <v>APPROVED</v>
      </c>
    </row>
    <row r="252" ht="15.75" customHeight="1">
      <c r="A252" s="7" t="s">
        <v>894</v>
      </c>
      <c r="B252" s="13" t="s">
        <v>895</v>
      </c>
      <c r="C252" s="9">
        <v>45839.0</v>
      </c>
      <c r="D252" s="9">
        <v>45664.0</v>
      </c>
      <c r="E252" s="7" t="s">
        <v>715</v>
      </c>
      <c r="F252" s="11" t="s">
        <v>23</v>
      </c>
      <c r="G252" s="11" t="s">
        <v>172</v>
      </c>
      <c r="H252" s="11" t="s">
        <v>25</v>
      </c>
      <c r="I252" s="16" t="s">
        <v>896</v>
      </c>
      <c r="J252" s="49" t="s">
        <v>897</v>
      </c>
      <c r="K252" s="73"/>
      <c r="L252" s="11" t="s">
        <v>27</v>
      </c>
      <c r="M252" s="7" t="s">
        <v>715</v>
      </c>
      <c r="N252" s="14" t="b">
        <f t="shared" si="13"/>
        <v>1</v>
      </c>
      <c r="O252" s="15" t="b">
        <f t="shared" si="2"/>
        <v>0</v>
      </c>
      <c r="P252" s="15" t="str">
        <f t="shared" si="3"/>
        <v>APPROVED</v>
      </c>
    </row>
    <row r="253" ht="15.75" customHeight="1">
      <c r="A253" s="24" t="s">
        <v>898</v>
      </c>
      <c r="B253" s="25" t="s">
        <v>899</v>
      </c>
      <c r="C253" s="26">
        <v>45839.0</v>
      </c>
      <c r="D253" s="26">
        <v>45664.0</v>
      </c>
      <c r="E253" s="24" t="s">
        <v>715</v>
      </c>
      <c r="F253" s="28" t="s">
        <v>23</v>
      </c>
      <c r="G253" s="28" t="s">
        <v>172</v>
      </c>
      <c r="H253" s="28" t="s">
        <v>49</v>
      </c>
      <c r="I253" s="96" t="s">
        <v>900</v>
      </c>
      <c r="J253" s="97" t="s">
        <v>888</v>
      </c>
      <c r="K253" s="98"/>
      <c r="L253" s="28" t="s">
        <v>27</v>
      </c>
      <c r="M253" s="24" t="s">
        <v>715</v>
      </c>
      <c r="N253" s="14" t="b">
        <f t="shared" si="13"/>
        <v>0</v>
      </c>
      <c r="O253" s="15" t="b">
        <f t="shared" si="2"/>
        <v>0</v>
      </c>
      <c r="P253" s="15" t="str">
        <f t="shared" si="3"/>
        <v>PENDING</v>
      </c>
    </row>
    <row r="254" ht="15.75" customHeight="1">
      <c r="A254" s="7" t="s">
        <v>901</v>
      </c>
      <c r="B254" s="13" t="s">
        <v>902</v>
      </c>
      <c r="C254" s="9">
        <v>45840.0</v>
      </c>
      <c r="D254" s="9">
        <v>45695.0</v>
      </c>
      <c r="E254" s="7" t="s">
        <v>715</v>
      </c>
      <c r="F254" s="11" t="s">
        <v>23</v>
      </c>
      <c r="G254" s="11" t="s">
        <v>172</v>
      </c>
      <c r="H254" s="11" t="s">
        <v>25</v>
      </c>
      <c r="I254" s="16" t="s">
        <v>903</v>
      </c>
      <c r="J254" s="49" t="s">
        <v>781</v>
      </c>
      <c r="K254" s="12" t="s">
        <v>904</v>
      </c>
      <c r="L254" s="11" t="s">
        <v>27</v>
      </c>
      <c r="M254" s="7" t="s">
        <v>715</v>
      </c>
      <c r="N254" s="14" t="b">
        <f t="shared" si="13"/>
        <v>1</v>
      </c>
      <c r="O254" s="15" t="b">
        <f t="shared" si="2"/>
        <v>0</v>
      </c>
      <c r="P254" s="15" t="str">
        <f t="shared" si="3"/>
        <v>APPROVED</v>
      </c>
    </row>
    <row r="255" ht="15.75" customHeight="1">
      <c r="A255" s="7" t="s">
        <v>905</v>
      </c>
      <c r="B255" s="13" t="s">
        <v>906</v>
      </c>
      <c r="C255" s="9">
        <v>45840.0</v>
      </c>
      <c r="D255" s="9">
        <v>45695.0</v>
      </c>
      <c r="E255" s="7" t="s">
        <v>715</v>
      </c>
      <c r="F255" s="11" t="s">
        <v>23</v>
      </c>
      <c r="G255" s="11" t="s">
        <v>172</v>
      </c>
      <c r="H255" s="11" t="s">
        <v>25</v>
      </c>
      <c r="I255" s="16" t="s">
        <v>907</v>
      </c>
      <c r="J255" s="49" t="s">
        <v>908</v>
      </c>
      <c r="K255" s="13"/>
      <c r="L255" s="11" t="s">
        <v>27</v>
      </c>
      <c r="M255" s="7" t="s">
        <v>715</v>
      </c>
      <c r="N255" s="14" t="b">
        <f t="shared" si="13"/>
        <v>1</v>
      </c>
      <c r="O255" s="15" t="b">
        <f t="shared" si="2"/>
        <v>0</v>
      </c>
      <c r="P255" s="15" t="str">
        <f t="shared" si="3"/>
        <v>APPROVED</v>
      </c>
    </row>
    <row r="256" ht="15.75" customHeight="1">
      <c r="A256" s="7" t="s">
        <v>909</v>
      </c>
      <c r="B256" s="13" t="s">
        <v>906</v>
      </c>
      <c r="C256" s="9">
        <v>45840.0</v>
      </c>
      <c r="D256" s="9">
        <v>45695.0</v>
      </c>
      <c r="E256" s="7" t="s">
        <v>715</v>
      </c>
      <c r="F256" s="11" t="s">
        <v>23</v>
      </c>
      <c r="G256" s="11" t="s">
        <v>24</v>
      </c>
      <c r="H256" s="11" t="s">
        <v>25</v>
      </c>
      <c r="I256" s="16" t="s">
        <v>907</v>
      </c>
      <c r="J256" s="49" t="s">
        <v>910</v>
      </c>
      <c r="K256" s="13"/>
      <c r="L256" s="11" t="s">
        <v>27</v>
      </c>
      <c r="M256" s="7" t="s">
        <v>715</v>
      </c>
      <c r="N256" s="14" t="b">
        <f t="shared" si="13"/>
        <v>1</v>
      </c>
      <c r="O256" s="15" t="b">
        <f t="shared" si="2"/>
        <v>0</v>
      </c>
      <c r="P256" s="15" t="str">
        <f t="shared" si="3"/>
        <v>APPROVED</v>
      </c>
    </row>
    <row r="257" ht="15.75" customHeight="1">
      <c r="A257" s="7" t="s">
        <v>911</v>
      </c>
      <c r="B257" s="8" t="s">
        <v>73</v>
      </c>
      <c r="C257" s="9">
        <v>45840.0</v>
      </c>
      <c r="D257" s="9">
        <v>45695.0</v>
      </c>
      <c r="E257" s="7" t="s">
        <v>177</v>
      </c>
      <c r="F257" s="11" t="s">
        <v>23</v>
      </c>
      <c r="G257" s="11" t="s">
        <v>172</v>
      </c>
      <c r="H257" s="11" t="s">
        <v>25</v>
      </c>
      <c r="I257" s="16" t="s">
        <v>448</v>
      </c>
      <c r="J257" s="12" t="s">
        <v>912</v>
      </c>
      <c r="K257" s="13"/>
      <c r="L257" s="11" t="s">
        <v>27</v>
      </c>
      <c r="M257" s="7" t="s">
        <v>177</v>
      </c>
      <c r="N257" s="14" t="b">
        <f t="shared" si="13"/>
        <v>1</v>
      </c>
      <c r="O257" s="15" t="b">
        <f t="shared" si="2"/>
        <v>0</v>
      </c>
      <c r="P257" s="15" t="str">
        <f t="shared" si="3"/>
        <v>APPROVED</v>
      </c>
    </row>
    <row r="258" ht="15.75" customHeight="1">
      <c r="A258" s="24" t="s">
        <v>913</v>
      </c>
      <c r="B258" s="115" t="s">
        <v>222</v>
      </c>
      <c r="C258" s="26">
        <v>45840.0</v>
      </c>
      <c r="D258" s="26">
        <v>45695.0</v>
      </c>
      <c r="E258" s="24"/>
      <c r="F258" s="28" t="s">
        <v>23</v>
      </c>
      <c r="G258" s="24"/>
      <c r="H258" s="7" t="s">
        <v>31</v>
      </c>
      <c r="J258" s="29"/>
      <c r="K258" s="115" t="s">
        <v>914</v>
      </c>
      <c r="L258" s="28" t="s">
        <v>27</v>
      </c>
      <c r="M258" s="24"/>
      <c r="N258" s="175" t="b">
        <v>1</v>
      </c>
      <c r="O258" s="15" t="b">
        <f t="shared" si="2"/>
        <v>0</v>
      </c>
      <c r="P258" s="15" t="str">
        <f t="shared" si="3"/>
        <v>PENDING</v>
      </c>
    </row>
    <row r="259" ht="15.75" customHeight="1">
      <c r="A259" s="24" t="s">
        <v>915</v>
      </c>
      <c r="B259" s="25" t="s">
        <v>916</v>
      </c>
      <c r="C259" s="26">
        <v>45840.0</v>
      </c>
      <c r="D259" s="26">
        <v>45754.0</v>
      </c>
      <c r="E259" s="24" t="s">
        <v>744</v>
      </c>
      <c r="F259" s="28" t="s">
        <v>23</v>
      </c>
      <c r="G259" s="28" t="s">
        <v>172</v>
      </c>
      <c r="H259" s="28" t="s">
        <v>482</v>
      </c>
      <c r="I259" s="96" t="s">
        <v>917</v>
      </c>
      <c r="J259" s="97"/>
      <c r="K259" s="25"/>
      <c r="L259" s="28" t="s">
        <v>27</v>
      </c>
      <c r="M259" s="24" t="s">
        <v>744</v>
      </c>
      <c r="N259" s="14" t="b">
        <f t="shared" ref="N259:N277" si="14">if(H259=$H$2,TRUE,O259)</f>
        <v>0</v>
      </c>
      <c r="O259" s="15" t="b">
        <f t="shared" si="2"/>
        <v>0</v>
      </c>
      <c r="P259" s="15" t="str">
        <f t="shared" si="3"/>
        <v>PENDING</v>
      </c>
    </row>
    <row r="260" ht="15.75" customHeight="1">
      <c r="A260" s="24" t="s">
        <v>918</v>
      </c>
      <c r="B260" s="25" t="s">
        <v>919</v>
      </c>
      <c r="C260" s="26">
        <v>45840.0</v>
      </c>
      <c r="D260" s="26">
        <v>45754.0</v>
      </c>
      <c r="E260" s="24" t="s">
        <v>744</v>
      </c>
      <c r="F260" s="28" t="s">
        <v>23</v>
      </c>
      <c r="G260" s="28" t="s">
        <v>172</v>
      </c>
      <c r="H260" s="28" t="s">
        <v>482</v>
      </c>
      <c r="I260" s="96" t="s">
        <v>920</v>
      </c>
      <c r="J260" s="97"/>
      <c r="K260" s="25"/>
      <c r="L260" s="28" t="s">
        <v>27</v>
      </c>
      <c r="M260" s="24" t="s">
        <v>744</v>
      </c>
      <c r="N260" s="14" t="b">
        <f t="shared" si="14"/>
        <v>0</v>
      </c>
      <c r="O260" s="15" t="b">
        <f t="shared" si="2"/>
        <v>0</v>
      </c>
      <c r="P260" s="15" t="str">
        <f t="shared" si="3"/>
        <v>PENDING</v>
      </c>
    </row>
    <row r="261" ht="15.75" customHeight="1">
      <c r="A261" s="7" t="s">
        <v>921</v>
      </c>
      <c r="B261" s="13" t="s">
        <v>434</v>
      </c>
      <c r="C261" s="9">
        <v>45841.0</v>
      </c>
      <c r="D261" s="9">
        <v>45723.0</v>
      </c>
      <c r="E261" s="7" t="s">
        <v>715</v>
      </c>
      <c r="F261" s="11" t="s">
        <v>23</v>
      </c>
      <c r="G261" s="11" t="s">
        <v>172</v>
      </c>
      <c r="H261" s="11" t="s">
        <v>25</v>
      </c>
      <c r="I261" s="16" t="s">
        <v>922</v>
      </c>
      <c r="J261" s="49" t="s">
        <v>923</v>
      </c>
      <c r="K261" s="12" t="s">
        <v>924</v>
      </c>
      <c r="L261" s="11" t="s">
        <v>27</v>
      </c>
      <c r="M261" s="7" t="s">
        <v>715</v>
      </c>
      <c r="N261" s="14" t="b">
        <f t="shared" si="14"/>
        <v>1</v>
      </c>
      <c r="O261" s="15" t="b">
        <f t="shared" si="2"/>
        <v>0</v>
      </c>
      <c r="P261" s="15" t="str">
        <f t="shared" si="3"/>
        <v>APPROVED</v>
      </c>
    </row>
    <row r="262" ht="15.75" customHeight="1">
      <c r="A262" s="24" t="s">
        <v>925</v>
      </c>
      <c r="B262" s="25" t="s">
        <v>926</v>
      </c>
      <c r="C262" s="26">
        <v>45842.0</v>
      </c>
      <c r="D262" s="26">
        <v>45754.0</v>
      </c>
      <c r="E262" s="24" t="s">
        <v>715</v>
      </c>
      <c r="F262" s="28" t="s">
        <v>23</v>
      </c>
      <c r="G262" s="28" t="s">
        <v>172</v>
      </c>
      <c r="H262" s="28" t="s">
        <v>49</v>
      </c>
      <c r="I262" s="96" t="s">
        <v>927</v>
      </c>
      <c r="J262" s="97"/>
      <c r="K262" s="29" t="s">
        <v>928</v>
      </c>
      <c r="L262" s="28" t="s">
        <v>27</v>
      </c>
      <c r="M262" s="24" t="s">
        <v>715</v>
      </c>
      <c r="N262" s="14" t="b">
        <f t="shared" si="14"/>
        <v>0</v>
      </c>
      <c r="O262" s="15" t="b">
        <f t="shared" si="2"/>
        <v>0</v>
      </c>
      <c r="P262" s="15" t="str">
        <f t="shared" si="3"/>
        <v>PENDING</v>
      </c>
    </row>
    <row r="263" ht="15.75" customHeight="1">
      <c r="A263" s="7" t="s">
        <v>929</v>
      </c>
      <c r="B263" s="13" t="s">
        <v>930</v>
      </c>
      <c r="C263" s="9">
        <v>45845.0</v>
      </c>
      <c r="D263" s="9">
        <v>45845.0</v>
      </c>
      <c r="E263" s="7" t="s">
        <v>177</v>
      </c>
      <c r="F263" s="11" t="s">
        <v>23</v>
      </c>
      <c r="G263" s="11" t="s">
        <v>172</v>
      </c>
      <c r="H263" s="11" t="s">
        <v>25</v>
      </c>
      <c r="I263" s="16" t="s">
        <v>931</v>
      </c>
      <c r="J263" s="49" t="s">
        <v>932</v>
      </c>
      <c r="K263" s="13"/>
      <c r="L263" s="11" t="s">
        <v>27</v>
      </c>
      <c r="M263" s="7" t="s">
        <v>177</v>
      </c>
      <c r="N263" s="14" t="b">
        <f t="shared" si="14"/>
        <v>1</v>
      </c>
      <c r="O263" s="15" t="b">
        <f t="shared" si="2"/>
        <v>0</v>
      </c>
      <c r="P263" s="15" t="str">
        <f t="shared" si="3"/>
        <v>APPROVED</v>
      </c>
    </row>
    <row r="264" ht="15.75" customHeight="1">
      <c r="A264" s="7" t="s">
        <v>933</v>
      </c>
      <c r="B264" s="13" t="s">
        <v>934</v>
      </c>
      <c r="C264" s="9">
        <v>45845.0</v>
      </c>
      <c r="D264" s="9">
        <v>45845.0</v>
      </c>
      <c r="E264" s="7" t="s">
        <v>177</v>
      </c>
      <c r="F264" s="11" t="s">
        <v>23</v>
      </c>
      <c r="G264" s="11" t="s">
        <v>172</v>
      </c>
      <c r="H264" s="11" t="s">
        <v>25</v>
      </c>
      <c r="I264" s="16" t="s">
        <v>935</v>
      </c>
      <c r="J264" s="49" t="s">
        <v>274</v>
      </c>
      <c r="K264" s="13"/>
      <c r="L264" s="11" t="s">
        <v>27</v>
      </c>
      <c r="M264" s="7" t="s">
        <v>177</v>
      </c>
      <c r="N264" s="14" t="b">
        <f t="shared" si="14"/>
        <v>1</v>
      </c>
      <c r="O264" s="15" t="b">
        <f t="shared" si="2"/>
        <v>0</v>
      </c>
      <c r="P264" s="15" t="str">
        <f t="shared" si="3"/>
        <v>APPROVED</v>
      </c>
    </row>
    <row r="265" ht="15.75" customHeight="1">
      <c r="A265" s="24" t="s">
        <v>936</v>
      </c>
      <c r="B265" s="25" t="s">
        <v>665</v>
      </c>
      <c r="C265" s="26">
        <v>45847.0</v>
      </c>
      <c r="D265" s="26">
        <v>45907.0</v>
      </c>
      <c r="E265" s="24" t="s">
        <v>177</v>
      </c>
      <c r="F265" s="28" t="s">
        <v>23</v>
      </c>
      <c r="G265" s="28" t="s">
        <v>172</v>
      </c>
      <c r="H265" s="28" t="s">
        <v>84</v>
      </c>
      <c r="I265" s="96" t="s">
        <v>937</v>
      </c>
      <c r="J265" s="97" t="s">
        <v>938</v>
      </c>
      <c r="K265" s="25"/>
      <c r="L265" s="28" t="s">
        <v>27</v>
      </c>
      <c r="M265" s="24" t="s">
        <v>177</v>
      </c>
      <c r="N265" s="14" t="b">
        <f t="shared" si="14"/>
        <v>0</v>
      </c>
      <c r="O265" s="15" t="b">
        <f t="shared" si="2"/>
        <v>0</v>
      </c>
      <c r="P265" s="15" t="str">
        <f t="shared" si="3"/>
        <v>PENDING</v>
      </c>
    </row>
    <row r="266" ht="15.75" customHeight="1">
      <c r="A266" s="7" t="s">
        <v>939</v>
      </c>
      <c r="B266" s="13" t="s">
        <v>132</v>
      </c>
      <c r="C266" s="9">
        <v>45847.0</v>
      </c>
      <c r="D266" s="9">
        <v>45968.0</v>
      </c>
      <c r="E266" s="7" t="s">
        <v>177</v>
      </c>
      <c r="F266" s="11" t="s">
        <v>23</v>
      </c>
      <c r="G266" s="11" t="s">
        <v>172</v>
      </c>
      <c r="H266" s="11" t="s">
        <v>25</v>
      </c>
      <c r="I266" s="16" t="s">
        <v>940</v>
      </c>
      <c r="J266" s="49" t="s">
        <v>674</v>
      </c>
      <c r="K266" s="13"/>
      <c r="L266" s="11" t="s">
        <v>27</v>
      </c>
      <c r="M266" s="7" t="s">
        <v>177</v>
      </c>
      <c r="N266" s="14" t="b">
        <f t="shared" si="14"/>
        <v>1</v>
      </c>
      <c r="O266" s="15" t="b">
        <f t="shared" si="2"/>
        <v>0</v>
      </c>
      <c r="P266" s="15" t="str">
        <f t="shared" si="3"/>
        <v>APPROVED</v>
      </c>
    </row>
    <row r="267" ht="15.75" customHeight="1">
      <c r="A267" s="7" t="s">
        <v>941</v>
      </c>
      <c r="B267" s="13" t="s">
        <v>942</v>
      </c>
      <c r="C267" s="9">
        <v>45847.0</v>
      </c>
      <c r="D267" s="9">
        <v>45853.0</v>
      </c>
      <c r="E267" s="7" t="s">
        <v>744</v>
      </c>
      <c r="F267" s="11" t="s">
        <v>23</v>
      </c>
      <c r="G267" s="11" t="s">
        <v>172</v>
      </c>
      <c r="H267" s="11" t="s">
        <v>25</v>
      </c>
      <c r="I267" s="16" t="s">
        <v>943</v>
      </c>
      <c r="J267" s="49" t="s">
        <v>944</v>
      </c>
      <c r="K267" s="13"/>
      <c r="L267" s="11" t="s">
        <v>27</v>
      </c>
      <c r="M267" s="7" t="s">
        <v>744</v>
      </c>
      <c r="N267" s="14" t="b">
        <f t="shared" si="14"/>
        <v>1</v>
      </c>
      <c r="O267" s="15" t="b">
        <f t="shared" si="2"/>
        <v>0</v>
      </c>
      <c r="P267" s="15" t="str">
        <f t="shared" si="3"/>
        <v>APPROVED</v>
      </c>
    </row>
    <row r="268" ht="15.75" customHeight="1">
      <c r="A268" s="30" t="s">
        <v>945</v>
      </c>
      <c r="B268" s="58" t="s">
        <v>811</v>
      </c>
      <c r="C268" s="32">
        <v>45847.0</v>
      </c>
      <c r="D268" s="32"/>
      <c r="E268" s="30" t="s">
        <v>744</v>
      </c>
      <c r="F268" s="34" t="s">
        <v>23</v>
      </c>
      <c r="G268" s="34" t="s">
        <v>172</v>
      </c>
      <c r="H268" s="34" t="s">
        <v>49</v>
      </c>
      <c r="I268" s="66" t="s">
        <v>812</v>
      </c>
      <c r="J268" s="69" t="s">
        <v>432</v>
      </c>
      <c r="K268" s="31"/>
      <c r="L268" s="30" t="s">
        <v>98</v>
      </c>
      <c r="M268" s="30" t="s">
        <v>744</v>
      </c>
      <c r="N268" s="14" t="b">
        <f t="shared" si="14"/>
        <v>1</v>
      </c>
      <c r="O268" s="15" t="b">
        <f t="shared" si="2"/>
        <v>1</v>
      </c>
      <c r="P268" s="15" t="str">
        <f t="shared" si="3"/>
        <v>PENDING</v>
      </c>
    </row>
    <row r="269" ht="15.75" customHeight="1">
      <c r="A269" s="7" t="s">
        <v>946</v>
      </c>
      <c r="B269" s="13" t="s">
        <v>947</v>
      </c>
      <c r="C269" s="9">
        <v>45847.0</v>
      </c>
      <c r="D269" s="9">
        <v>45853.0</v>
      </c>
      <c r="E269" s="7" t="s">
        <v>744</v>
      </c>
      <c r="F269" s="11" t="s">
        <v>23</v>
      </c>
      <c r="G269" s="11" t="s">
        <v>172</v>
      </c>
      <c r="H269" s="11" t="s">
        <v>25</v>
      </c>
      <c r="I269" s="16" t="s">
        <v>948</v>
      </c>
      <c r="J269" s="49" t="s">
        <v>949</v>
      </c>
      <c r="K269" s="13"/>
      <c r="L269" s="11" t="s">
        <v>27</v>
      </c>
      <c r="M269" s="7" t="s">
        <v>744</v>
      </c>
      <c r="N269" s="14" t="b">
        <f t="shared" si="14"/>
        <v>1</v>
      </c>
      <c r="O269" s="15" t="b">
        <f t="shared" si="2"/>
        <v>0</v>
      </c>
      <c r="P269" s="15" t="str">
        <f t="shared" si="3"/>
        <v>APPROVED</v>
      </c>
    </row>
    <row r="270" ht="15.75" customHeight="1">
      <c r="A270" s="30" t="s">
        <v>950</v>
      </c>
      <c r="B270" s="31" t="s">
        <v>822</v>
      </c>
      <c r="C270" s="32">
        <v>45847.0</v>
      </c>
      <c r="D270" s="32"/>
      <c r="E270" s="30" t="s">
        <v>744</v>
      </c>
      <c r="F270" s="34" t="s">
        <v>23</v>
      </c>
      <c r="G270" s="34" t="s">
        <v>172</v>
      </c>
      <c r="H270" s="34" t="s">
        <v>49</v>
      </c>
      <c r="I270" s="66" t="s">
        <v>823</v>
      </c>
      <c r="J270" s="69" t="s">
        <v>432</v>
      </c>
      <c r="K270" s="31"/>
      <c r="L270" s="30" t="s">
        <v>98</v>
      </c>
      <c r="M270" s="30" t="s">
        <v>744</v>
      </c>
      <c r="N270" s="14" t="b">
        <f t="shared" si="14"/>
        <v>1</v>
      </c>
      <c r="O270" s="15" t="b">
        <f t="shared" si="2"/>
        <v>1</v>
      </c>
      <c r="P270" s="15" t="str">
        <f t="shared" si="3"/>
        <v>PENDING</v>
      </c>
    </row>
    <row r="271" ht="15.75" customHeight="1">
      <c r="A271" s="30" t="s">
        <v>951</v>
      </c>
      <c r="B271" s="31" t="s">
        <v>952</v>
      </c>
      <c r="C271" s="32">
        <v>45847.0</v>
      </c>
      <c r="D271" s="32"/>
      <c r="E271" s="30" t="s">
        <v>744</v>
      </c>
      <c r="F271" s="34" t="s">
        <v>23</v>
      </c>
      <c r="G271" s="34" t="s">
        <v>172</v>
      </c>
      <c r="H271" s="34" t="s">
        <v>49</v>
      </c>
      <c r="I271" s="66" t="s">
        <v>826</v>
      </c>
      <c r="J271" s="69" t="s">
        <v>432</v>
      </c>
      <c r="K271" s="31"/>
      <c r="L271" s="30" t="s">
        <v>98</v>
      </c>
      <c r="M271" s="30" t="s">
        <v>744</v>
      </c>
      <c r="N271" s="14" t="b">
        <f t="shared" si="14"/>
        <v>1</v>
      </c>
      <c r="O271" s="15" t="b">
        <f t="shared" si="2"/>
        <v>1</v>
      </c>
      <c r="P271" s="15" t="str">
        <f t="shared" si="3"/>
        <v>PENDING</v>
      </c>
    </row>
    <row r="272" ht="15.75" customHeight="1">
      <c r="A272" s="24" t="s">
        <v>953</v>
      </c>
      <c r="B272" s="115" t="s">
        <v>361</v>
      </c>
      <c r="C272" s="26">
        <v>45849.0</v>
      </c>
      <c r="D272" s="26">
        <v>45968.0</v>
      </c>
      <c r="E272" s="24" t="s">
        <v>177</v>
      </c>
      <c r="F272" s="28" t="s">
        <v>23</v>
      </c>
      <c r="G272" s="28" t="s">
        <v>172</v>
      </c>
      <c r="H272" s="28" t="s">
        <v>482</v>
      </c>
      <c r="I272" s="96" t="s">
        <v>954</v>
      </c>
      <c r="J272" s="97" t="s">
        <v>955</v>
      </c>
      <c r="K272" s="25"/>
      <c r="L272" s="28" t="s">
        <v>27</v>
      </c>
      <c r="M272" s="24" t="s">
        <v>177</v>
      </c>
      <c r="N272" s="14" t="b">
        <f t="shared" si="14"/>
        <v>0</v>
      </c>
      <c r="O272" s="15" t="b">
        <f t="shared" si="2"/>
        <v>0</v>
      </c>
      <c r="P272" s="15" t="str">
        <f t="shared" si="3"/>
        <v>PENDING</v>
      </c>
    </row>
    <row r="273" ht="15.75" customHeight="1">
      <c r="A273" s="7" t="s">
        <v>956</v>
      </c>
      <c r="B273" s="13" t="s">
        <v>134</v>
      </c>
      <c r="C273" s="9">
        <v>45849.0</v>
      </c>
      <c r="D273" s="9">
        <v>45968.0</v>
      </c>
      <c r="E273" s="7" t="s">
        <v>177</v>
      </c>
      <c r="F273" s="11" t="s">
        <v>23</v>
      </c>
      <c r="G273" s="11" t="s">
        <v>172</v>
      </c>
      <c r="H273" s="11" t="s">
        <v>25</v>
      </c>
      <c r="I273" s="16" t="s">
        <v>437</v>
      </c>
      <c r="J273" s="12"/>
      <c r="K273" s="13"/>
      <c r="L273" s="11" t="s">
        <v>27</v>
      </c>
      <c r="M273" s="7" t="s">
        <v>177</v>
      </c>
      <c r="N273" s="14" t="b">
        <f t="shared" si="14"/>
        <v>1</v>
      </c>
      <c r="O273" s="15" t="b">
        <f t="shared" si="2"/>
        <v>0</v>
      </c>
      <c r="P273" s="15" t="str">
        <f t="shared" si="3"/>
        <v>APPROVED</v>
      </c>
    </row>
    <row r="274" ht="15.75" customHeight="1">
      <c r="A274" s="7" t="s">
        <v>957</v>
      </c>
      <c r="B274" s="8" t="s">
        <v>276</v>
      </c>
      <c r="C274" s="9">
        <v>45849.0</v>
      </c>
      <c r="D274" s="9">
        <v>45968.0</v>
      </c>
      <c r="E274" s="7" t="s">
        <v>177</v>
      </c>
      <c r="F274" s="11" t="s">
        <v>23</v>
      </c>
      <c r="G274" s="11" t="s">
        <v>172</v>
      </c>
      <c r="H274" s="11" t="s">
        <v>25</v>
      </c>
      <c r="I274" s="16" t="s">
        <v>571</v>
      </c>
      <c r="J274" s="49" t="s">
        <v>958</v>
      </c>
      <c r="K274" s="13"/>
      <c r="L274" s="11" t="s">
        <v>27</v>
      </c>
      <c r="M274" s="7" t="s">
        <v>177</v>
      </c>
      <c r="N274" s="14" t="b">
        <f t="shared" si="14"/>
        <v>1</v>
      </c>
      <c r="O274" s="15" t="b">
        <f t="shared" si="2"/>
        <v>0</v>
      </c>
      <c r="P274" s="15" t="str">
        <f t="shared" si="3"/>
        <v>APPROVED</v>
      </c>
    </row>
    <row r="275" ht="18.0" customHeight="1">
      <c r="A275" s="7" t="s">
        <v>959</v>
      </c>
      <c r="B275" s="13" t="s">
        <v>302</v>
      </c>
      <c r="C275" s="9">
        <v>45850.0</v>
      </c>
      <c r="D275" s="9">
        <v>45852.0</v>
      </c>
      <c r="E275" s="7" t="s">
        <v>177</v>
      </c>
      <c r="F275" s="11" t="s">
        <v>23</v>
      </c>
      <c r="G275" s="11" t="s">
        <v>172</v>
      </c>
      <c r="H275" s="11" t="s">
        <v>25</v>
      </c>
      <c r="I275" s="16" t="s">
        <v>960</v>
      </c>
      <c r="J275" s="49" t="s">
        <v>961</v>
      </c>
      <c r="K275" s="13"/>
      <c r="L275" s="11" t="s">
        <v>27</v>
      </c>
      <c r="M275" s="7" t="s">
        <v>177</v>
      </c>
      <c r="N275" s="14" t="b">
        <f t="shared" si="14"/>
        <v>1</v>
      </c>
      <c r="O275" s="15" t="b">
        <f t="shared" si="2"/>
        <v>0</v>
      </c>
      <c r="P275" s="15" t="str">
        <f t="shared" si="3"/>
        <v>APPROVED</v>
      </c>
    </row>
    <row r="276" ht="15.75" customHeight="1">
      <c r="A276" s="30" t="s">
        <v>962</v>
      </c>
      <c r="B276" s="31" t="s">
        <v>963</v>
      </c>
      <c r="C276" s="32">
        <v>45850.0</v>
      </c>
      <c r="D276" s="32"/>
      <c r="E276" s="30" t="s">
        <v>177</v>
      </c>
      <c r="F276" s="34" t="s">
        <v>23</v>
      </c>
      <c r="G276" s="34" t="s">
        <v>172</v>
      </c>
      <c r="H276" s="34" t="s">
        <v>49</v>
      </c>
      <c r="I276" s="66" t="s">
        <v>964</v>
      </c>
      <c r="J276" s="35"/>
      <c r="K276" s="31"/>
      <c r="L276" s="30" t="s">
        <v>98</v>
      </c>
      <c r="M276" s="30" t="s">
        <v>177</v>
      </c>
      <c r="N276" s="14" t="b">
        <f t="shared" si="14"/>
        <v>1</v>
      </c>
      <c r="O276" s="15" t="b">
        <f t="shared" si="2"/>
        <v>1</v>
      </c>
      <c r="P276" s="15" t="str">
        <f t="shared" si="3"/>
        <v>PENDING</v>
      </c>
    </row>
    <row r="277" ht="15.75" customHeight="1">
      <c r="A277" s="30" t="s">
        <v>965</v>
      </c>
      <c r="B277" s="31" t="s">
        <v>966</v>
      </c>
      <c r="C277" s="32">
        <v>45850.0</v>
      </c>
      <c r="D277" s="32"/>
      <c r="E277" s="30" t="s">
        <v>177</v>
      </c>
      <c r="F277" s="34" t="s">
        <v>23</v>
      </c>
      <c r="G277" s="34" t="s">
        <v>172</v>
      </c>
      <c r="H277" s="34" t="s">
        <v>49</v>
      </c>
      <c r="I277" s="66" t="s">
        <v>967</v>
      </c>
      <c r="J277" s="35"/>
      <c r="K277" s="31"/>
      <c r="L277" s="30" t="s">
        <v>98</v>
      </c>
      <c r="M277" s="30" t="s">
        <v>177</v>
      </c>
      <c r="N277" s="14" t="b">
        <f t="shared" si="14"/>
        <v>1</v>
      </c>
      <c r="O277" s="15" t="b">
        <f t="shared" si="2"/>
        <v>1</v>
      </c>
      <c r="P277" s="15" t="str">
        <f t="shared" si="3"/>
        <v>PENDING</v>
      </c>
    </row>
    <row r="278" ht="15.75" customHeight="1">
      <c r="A278" s="7" t="s">
        <v>968</v>
      </c>
      <c r="B278" s="8" t="s">
        <v>714</v>
      </c>
      <c r="C278" s="9">
        <v>45852.0</v>
      </c>
      <c r="D278" s="9"/>
      <c r="E278" s="7" t="s">
        <v>715</v>
      </c>
      <c r="F278" s="11" t="s">
        <v>23</v>
      </c>
      <c r="G278" s="7"/>
      <c r="H278" s="7" t="s">
        <v>31</v>
      </c>
      <c r="I278" s="16"/>
      <c r="J278" s="12"/>
      <c r="K278" s="13"/>
      <c r="L278" s="11" t="s">
        <v>27</v>
      </c>
      <c r="M278" s="7" t="s">
        <v>715</v>
      </c>
      <c r="N278" s="175" t="b">
        <v>1</v>
      </c>
      <c r="O278" s="15" t="b">
        <f t="shared" si="2"/>
        <v>0</v>
      </c>
      <c r="P278" s="15" t="str">
        <f t="shared" si="3"/>
        <v>PENDING</v>
      </c>
    </row>
    <row r="279" ht="15.75" customHeight="1">
      <c r="A279" s="7" t="s">
        <v>969</v>
      </c>
      <c r="B279" s="13" t="s">
        <v>970</v>
      </c>
      <c r="C279" s="9">
        <v>45846.0</v>
      </c>
      <c r="D279" s="9">
        <v>45876.0</v>
      </c>
      <c r="E279" s="7" t="s">
        <v>715</v>
      </c>
      <c r="F279" s="11" t="s">
        <v>23</v>
      </c>
      <c r="G279" s="11" t="s">
        <v>172</v>
      </c>
      <c r="H279" s="11" t="s">
        <v>25</v>
      </c>
      <c r="I279" s="16" t="s">
        <v>971</v>
      </c>
      <c r="J279" s="49" t="s">
        <v>972</v>
      </c>
      <c r="K279" s="13"/>
      <c r="L279" s="11" t="s">
        <v>27</v>
      </c>
      <c r="M279" s="7" t="s">
        <v>715</v>
      </c>
      <c r="N279" s="14" t="b">
        <f t="shared" ref="N279:N287" si="15">if(H279=$H$2,TRUE,O279)</f>
        <v>1</v>
      </c>
      <c r="O279" s="15" t="b">
        <f t="shared" si="2"/>
        <v>0</v>
      </c>
      <c r="P279" s="15" t="str">
        <f t="shared" si="3"/>
        <v>APPROVED</v>
      </c>
    </row>
    <row r="280" ht="15.75" customHeight="1">
      <c r="A280" s="7" t="s">
        <v>973</v>
      </c>
      <c r="B280" s="8" t="s">
        <v>974</v>
      </c>
      <c r="C280" s="9">
        <v>45846.0</v>
      </c>
      <c r="D280" s="9">
        <v>45876.0</v>
      </c>
      <c r="E280" s="7" t="s">
        <v>715</v>
      </c>
      <c r="F280" s="11" t="s">
        <v>23</v>
      </c>
      <c r="G280" s="11" t="s">
        <v>172</v>
      </c>
      <c r="H280" s="11" t="s">
        <v>25</v>
      </c>
      <c r="I280" s="16" t="s">
        <v>975</v>
      </c>
      <c r="J280" s="49" t="s">
        <v>976</v>
      </c>
      <c r="K280" s="13"/>
      <c r="L280" s="11" t="s">
        <v>27</v>
      </c>
      <c r="M280" s="7" t="s">
        <v>715</v>
      </c>
      <c r="N280" s="14" t="b">
        <f t="shared" si="15"/>
        <v>1</v>
      </c>
      <c r="O280" s="15" t="b">
        <f t="shared" si="2"/>
        <v>0</v>
      </c>
      <c r="P280" s="15" t="str">
        <f t="shared" si="3"/>
        <v>APPROVED</v>
      </c>
    </row>
    <row r="281" ht="15.75" customHeight="1">
      <c r="A281" s="7" t="s">
        <v>977</v>
      </c>
      <c r="B281" s="8" t="s">
        <v>978</v>
      </c>
      <c r="C281" s="9">
        <v>45850.0</v>
      </c>
      <c r="D281" s="9">
        <v>45998.0</v>
      </c>
      <c r="E281" s="7" t="s">
        <v>715</v>
      </c>
      <c r="F281" s="11" t="s">
        <v>23</v>
      </c>
      <c r="G281" s="11" t="s">
        <v>172</v>
      </c>
      <c r="H281" s="11" t="s">
        <v>25</v>
      </c>
      <c r="I281" s="16" t="s">
        <v>979</v>
      </c>
      <c r="J281" s="49" t="s">
        <v>980</v>
      </c>
      <c r="K281" s="13"/>
      <c r="L281" s="11" t="s">
        <v>27</v>
      </c>
      <c r="M281" s="7" t="s">
        <v>715</v>
      </c>
      <c r="N281" s="14" t="b">
        <f t="shared" si="15"/>
        <v>1</v>
      </c>
      <c r="O281" s="15" t="b">
        <f t="shared" si="2"/>
        <v>0</v>
      </c>
      <c r="P281" s="15" t="str">
        <f t="shared" si="3"/>
        <v>APPROVED</v>
      </c>
    </row>
    <row r="282" ht="15.75" customHeight="1">
      <c r="A282" s="7" t="s">
        <v>981</v>
      </c>
      <c r="B282" s="13" t="s">
        <v>457</v>
      </c>
      <c r="C282" s="9">
        <v>45852.0</v>
      </c>
      <c r="D282" s="72">
        <v>45852.0</v>
      </c>
      <c r="E282" s="7" t="s">
        <v>177</v>
      </c>
      <c r="F282" s="11" t="s">
        <v>23</v>
      </c>
      <c r="G282" s="11" t="s">
        <v>172</v>
      </c>
      <c r="H282" s="11" t="s">
        <v>25</v>
      </c>
      <c r="I282" s="16" t="s">
        <v>458</v>
      </c>
      <c r="J282" s="49" t="s">
        <v>982</v>
      </c>
      <c r="K282" s="13"/>
      <c r="L282" s="11" t="s">
        <v>27</v>
      </c>
      <c r="M282" s="7" t="s">
        <v>177</v>
      </c>
      <c r="N282" s="14" t="b">
        <f t="shared" si="15"/>
        <v>1</v>
      </c>
      <c r="O282" s="15" t="b">
        <f t="shared" si="2"/>
        <v>0</v>
      </c>
      <c r="P282" s="15" t="str">
        <f t="shared" si="3"/>
        <v>APPROVED</v>
      </c>
    </row>
    <row r="283" ht="15.75" customHeight="1">
      <c r="A283" s="7" t="s">
        <v>983</v>
      </c>
      <c r="B283" s="13" t="s">
        <v>984</v>
      </c>
      <c r="C283" s="9">
        <v>45852.0</v>
      </c>
      <c r="D283" s="9">
        <v>45852.0</v>
      </c>
      <c r="E283" s="7" t="s">
        <v>177</v>
      </c>
      <c r="F283" s="11" t="s">
        <v>23</v>
      </c>
      <c r="G283" s="11" t="s">
        <v>172</v>
      </c>
      <c r="H283" s="11" t="s">
        <v>25</v>
      </c>
      <c r="I283" s="16" t="s">
        <v>985</v>
      </c>
      <c r="J283" s="49" t="s">
        <v>986</v>
      </c>
      <c r="K283" s="13"/>
      <c r="L283" s="11" t="s">
        <v>27</v>
      </c>
      <c r="M283" s="7" t="s">
        <v>177</v>
      </c>
      <c r="N283" s="14" t="b">
        <f t="shared" si="15"/>
        <v>1</v>
      </c>
      <c r="O283" s="15" t="b">
        <f t="shared" si="2"/>
        <v>0</v>
      </c>
      <c r="P283" s="15" t="str">
        <f t="shared" si="3"/>
        <v>APPROVED</v>
      </c>
    </row>
    <row r="284" ht="15.75" customHeight="1">
      <c r="A284" s="24" t="s">
        <v>987</v>
      </c>
      <c r="B284" s="25" t="s">
        <v>988</v>
      </c>
      <c r="C284" s="26">
        <v>45852.0</v>
      </c>
      <c r="D284" s="26">
        <v>45853.0</v>
      </c>
      <c r="E284" s="24" t="s">
        <v>744</v>
      </c>
      <c r="F284" s="28" t="s">
        <v>23</v>
      </c>
      <c r="G284" s="28" t="s">
        <v>172</v>
      </c>
      <c r="H284" s="28" t="s">
        <v>482</v>
      </c>
      <c r="I284" s="96" t="s">
        <v>989</v>
      </c>
      <c r="J284" s="97" t="s">
        <v>990</v>
      </c>
      <c r="K284" s="25"/>
      <c r="L284" s="28" t="s">
        <v>27</v>
      </c>
      <c r="M284" s="24" t="s">
        <v>744</v>
      </c>
      <c r="N284" s="14" t="b">
        <f t="shared" si="15"/>
        <v>0</v>
      </c>
      <c r="O284" s="15" t="b">
        <f t="shared" si="2"/>
        <v>0</v>
      </c>
      <c r="P284" s="15" t="str">
        <f t="shared" si="3"/>
        <v>PENDING</v>
      </c>
    </row>
    <row r="285" ht="15.75" customHeight="1">
      <c r="A285" s="7" t="s">
        <v>991</v>
      </c>
      <c r="B285" s="13" t="s">
        <v>992</v>
      </c>
      <c r="C285" s="9">
        <v>45852.0</v>
      </c>
      <c r="D285" s="9">
        <v>45853.0</v>
      </c>
      <c r="E285" s="7" t="s">
        <v>744</v>
      </c>
      <c r="F285" s="11" t="s">
        <v>23</v>
      </c>
      <c r="G285" s="11" t="s">
        <v>48</v>
      </c>
      <c r="H285" s="11" t="s">
        <v>25</v>
      </c>
      <c r="I285" s="16" t="s">
        <v>993</v>
      </c>
      <c r="J285" s="49" t="s">
        <v>30</v>
      </c>
      <c r="K285" s="13"/>
      <c r="L285" s="11" t="s">
        <v>27</v>
      </c>
      <c r="M285" s="7" t="s">
        <v>744</v>
      </c>
      <c r="N285" s="14" t="b">
        <f t="shared" si="15"/>
        <v>1</v>
      </c>
      <c r="O285" s="15" t="b">
        <f t="shared" si="2"/>
        <v>0</v>
      </c>
      <c r="P285" s="15" t="str">
        <f t="shared" si="3"/>
        <v>APPROVED</v>
      </c>
    </row>
    <row r="286" ht="15.75" customHeight="1">
      <c r="A286" s="24" t="s">
        <v>994</v>
      </c>
      <c r="B286" s="25" t="s">
        <v>995</v>
      </c>
      <c r="C286" s="26">
        <v>45853.0</v>
      </c>
      <c r="D286" s="26">
        <v>45853.0</v>
      </c>
      <c r="E286" s="24" t="s">
        <v>715</v>
      </c>
      <c r="F286" s="28" t="s">
        <v>23</v>
      </c>
      <c r="G286" s="28" t="s">
        <v>172</v>
      </c>
      <c r="H286" s="28" t="s">
        <v>49</v>
      </c>
      <c r="I286" s="96" t="s">
        <v>996</v>
      </c>
      <c r="J286" s="29" t="s">
        <v>997</v>
      </c>
      <c r="K286" s="25"/>
      <c r="L286" s="28" t="s">
        <v>27</v>
      </c>
      <c r="M286" s="24" t="s">
        <v>715</v>
      </c>
      <c r="N286" s="14" t="b">
        <f t="shared" si="15"/>
        <v>0</v>
      </c>
      <c r="O286" s="15" t="b">
        <f t="shared" si="2"/>
        <v>0</v>
      </c>
      <c r="P286" s="15" t="str">
        <f t="shared" si="3"/>
        <v>PENDING</v>
      </c>
    </row>
    <row r="287" ht="15.75" customHeight="1">
      <c r="A287" s="30" t="s">
        <v>998</v>
      </c>
      <c r="B287" s="31" t="s">
        <v>999</v>
      </c>
      <c r="C287" s="32">
        <v>45854.0</v>
      </c>
      <c r="D287" s="32">
        <v>45854.0</v>
      </c>
      <c r="E287" s="30" t="s">
        <v>715</v>
      </c>
      <c r="F287" s="34" t="s">
        <v>23</v>
      </c>
      <c r="G287" s="30"/>
      <c r="H287" s="7" t="s">
        <v>31</v>
      </c>
      <c r="I287" s="66" t="s">
        <v>1000</v>
      </c>
      <c r="J287" s="35"/>
      <c r="K287" s="31"/>
      <c r="L287" s="30" t="s">
        <v>98</v>
      </c>
      <c r="M287" s="30" t="s">
        <v>715</v>
      </c>
      <c r="N287" s="14" t="b">
        <f t="shared" si="15"/>
        <v>1</v>
      </c>
      <c r="O287" s="15" t="b">
        <f t="shared" si="2"/>
        <v>1</v>
      </c>
      <c r="P287" s="15" t="str">
        <f t="shared" si="3"/>
        <v>PENDING</v>
      </c>
    </row>
    <row r="288" ht="15.75" customHeight="1">
      <c r="A288" s="7" t="s">
        <v>1001</v>
      </c>
      <c r="B288" s="13" t="s">
        <v>222</v>
      </c>
      <c r="C288" s="9">
        <v>45854.0</v>
      </c>
      <c r="D288" s="9"/>
      <c r="E288" s="7" t="s">
        <v>177</v>
      </c>
      <c r="F288" s="11" t="s">
        <v>23</v>
      </c>
      <c r="G288" s="11"/>
      <c r="H288" s="11" t="s">
        <v>31</v>
      </c>
      <c r="I288" s="16"/>
      <c r="J288" s="49"/>
      <c r="K288" s="13" t="s">
        <v>32</v>
      </c>
      <c r="L288" s="11" t="s">
        <v>27</v>
      </c>
      <c r="M288" s="24" t="s">
        <v>177</v>
      </c>
      <c r="N288" s="175" t="b">
        <v>1</v>
      </c>
      <c r="O288" s="15" t="b">
        <f t="shared" si="2"/>
        <v>0</v>
      </c>
      <c r="P288" s="15" t="str">
        <f t="shared" si="3"/>
        <v>PENDING</v>
      </c>
    </row>
    <row r="289" ht="18.0" customHeight="1">
      <c r="A289" s="7" t="s">
        <v>1002</v>
      </c>
      <c r="B289" s="13" t="s">
        <v>822</v>
      </c>
      <c r="C289" s="9">
        <v>45854.0</v>
      </c>
      <c r="D289" s="9">
        <v>45856.0</v>
      </c>
      <c r="E289" s="7" t="s">
        <v>744</v>
      </c>
      <c r="F289" s="11" t="s">
        <v>23</v>
      </c>
      <c r="G289" s="11" t="s">
        <v>172</v>
      </c>
      <c r="H289" s="11" t="s">
        <v>25</v>
      </c>
      <c r="I289" s="16" t="s">
        <v>823</v>
      </c>
      <c r="J289" s="49" t="s">
        <v>824</v>
      </c>
      <c r="K289" s="13" t="s">
        <v>1003</v>
      </c>
      <c r="L289" s="11" t="s">
        <v>27</v>
      </c>
      <c r="M289" s="7" t="s">
        <v>744</v>
      </c>
      <c r="N289" s="14" t="b">
        <f t="shared" ref="N289:N293" si="16">if(H289=$H$2,TRUE,O289)</f>
        <v>1</v>
      </c>
      <c r="O289" s="15" t="b">
        <f t="shared" si="2"/>
        <v>0</v>
      </c>
      <c r="P289" s="15" t="str">
        <f t="shared" si="3"/>
        <v>APPROVED</v>
      </c>
    </row>
    <row r="290" ht="15.75" customHeight="1">
      <c r="A290" s="7" t="s">
        <v>1004</v>
      </c>
      <c r="B290" s="13" t="s">
        <v>737</v>
      </c>
      <c r="C290" s="9">
        <v>45853.0</v>
      </c>
      <c r="D290" s="9">
        <v>45854.0</v>
      </c>
      <c r="E290" s="7" t="s">
        <v>177</v>
      </c>
      <c r="F290" s="11" t="s">
        <v>23</v>
      </c>
      <c r="G290" s="11" t="s">
        <v>172</v>
      </c>
      <c r="H290" s="11" t="s">
        <v>25</v>
      </c>
      <c r="I290" s="16" t="s">
        <v>738</v>
      </c>
      <c r="J290" s="12" t="s">
        <v>1005</v>
      </c>
      <c r="K290" s="13"/>
      <c r="L290" s="11" t="s">
        <v>27</v>
      </c>
      <c r="M290" s="7" t="s">
        <v>177</v>
      </c>
      <c r="N290" s="14" t="b">
        <f t="shared" si="16"/>
        <v>1</v>
      </c>
      <c r="O290" s="15" t="b">
        <f t="shared" si="2"/>
        <v>0</v>
      </c>
      <c r="P290" s="15" t="str">
        <f t="shared" si="3"/>
        <v>APPROVED</v>
      </c>
    </row>
    <row r="291" ht="15.75" customHeight="1">
      <c r="A291" s="7" t="s">
        <v>1006</v>
      </c>
      <c r="B291" s="13" t="s">
        <v>1007</v>
      </c>
      <c r="C291" s="9">
        <v>45854.0</v>
      </c>
      <c r="D291" s="9">
        <v>45854.0</v>
      </c>
      <c r="E291" s="7" t="s">
        <v>177</v>
      </c>
      <c r="F291" s="11" t="s">
        <v>23</v>
      </c>
      <c r="G291" s="11" t="s">
        <v>30</v>
      </c>
      <c r="H291" s="11" t="s">
        <v>25</v>
      </c>
      <c r="I291" s="16" t="s">
        <v>1008</v>
      </c>
      <c r="J291" s="49" t="s">
        <v>1009</v>
      </c>
      <c r="K291" s="13"/>
      <c r="L291" s="11" t="s">
        <v>27</v>
      </c>
      <c r="M291" s="7" t="s">
        <v>177</v>
      </c>
      <c r="N291" s="14" t="b">
        <f t="shared" si="16"/>
        <v>1</v>
      </c>
      <c r="O291" s="15" t="b">
        <f t="shared" si="2"/>
        <v>0</v>
      </c>
      <c r="P291" s="15" t="str">
        <f t="shared" si="3"/>
        <v>APPROVED</v>
      </c>
    </row>
    <row r="292" ht="15.75" customHeight="1">
      <c r="A292" s="39" t="s">
        <v>1010</v>
      </c>
      <c r="B292" s="37" t="s">
        <v>176</v>
      </c>
      <c r="C292" s="38">
        <v>45854.0</v>
      </c>
      <c r="D292" s="38">
        <v>45854.0</v>
      </c>
      <c r="E292" s="39" t="s">
        <v>177</v>
      </c>
      <c r="F292" s="41" t="s">
        <v>23</v>
      </c>
      <c r="G292" s="41" t="s">
        <v>172</v>
      </c>
      <c r="H292" s="41" t="s">
        <v>25</v>
      </c>
      <c r="I292" s="76" t="s">
        <v>568</v>
      </c>
      <c r="J292" s="12" t="s">
        <v>1011</v>
      </c>
      <c r="K292" s="37"/>
      <c r="L292" s="41" t="s">
        <v>27</v>
      </c>
      <c r="M292" s="39" t="s">
        <v>177</v>
      </c>
      <c r="N292" s="14" t="b">
        <f t="shared" si="16"/>
        <v>1</v>
      </c>
      <c r="O292" s="15" t="b">
        <f t="shared" si="2"/>
        <v>0</v>
      </c>
      <c r="P292" s="15" t="str">
        <f t="shared" si="3"/>
        <v>APPROVED</v>
      </c>
    </row>
    <row r="293" ht="15.75" customHeight="1">
      <c r="A293" s="7" t="s">
        <v>1012</v>
      </c>
      <c r="B293" s="13" t="s">
        <v>1013</v>
      </c>
      <c r="C293" s="9">
        <v>45855.0</v>
      </c>
      <c r="D293" s="9">
        <v>45856.0</v>
      </c>
      <c r="E293" s="7" t="s">
        <v>177</v>
      </c>
      <c r="F293" s="11" t="s">
        <v>23</v>
      </c>
      <c r="G293" s="11" t="s">
        <v>172</v>
      </c>
      <c r="H293" s="11" t="s">
        <v>25</v>
      </c>
      <c r="I293" s="16" t="s">
        <v>985</v>
      </c>
      <c r="J293" s="49" t="s">
        <v>986</v>
      </c>
      <c r="K293" s="13"/>
      <c r="L293" s="11" t="s">
        <v>27</v>
      </c>
      <c r="M293" s="7" t="s">
        <v>177</v>
      </c>
      <c r="N293" s="14" t="b">
        <f t="shared" si="16"/>
        <v>1</v>
      </c>
      <c r="O293" s="15" t="b">
        <f t="shared" si="2"/>
        <v>0</v>
      </c>
      <c r="P293" s="15" t="str">
        <f t="shared" si="3"/>
        <v>APPROVED</v>
      </c>
    </row>
    <row r="294" ht="15.75" customHeight="1">
      <c r="A294" s="24" t="s">
        <v>1014</v>
      </c>
      <c r="B294" s="25" t="s">
        <v>353</v>
      </c>
      <c r="C294" s="26">
        <v>45855.0</v>
      </c>
      <c r="D294" s="26">
        <v>45856.0</v>
      </c>
      <c r="E294" s="24" t="s">
        <v>744</v>
      </c>
      <c r="F294" s="28" t="s">
        <v>23</v>
      </c>
      <c r="G294" s="28" t="s">
        <v>172</v>
      </c>
      <c r="H294" s="28" t="s">
        <v>25</v>
      </c>
      <c r="I294" s="96" t="s">
        <v>1015</v>
      </c>
      <c r="J294" s="97" t="s">
        <v>1016</v>
      </c>
      <c r="K294" s="25"/>
      <c r="L294" s="28" t="s">
        <v>27</v>
      </c>
      <c r="M294" s="24" t="s">
        <v>744</v>
      </c>
      <c r="N294" s="175" t="b">
        <v>0</v>
      </c>
      <c r="O294" s="15" t="b">
        <f t="shared" si="2"/>
        <v>0</v>
      </c>
      <c r="P294" s="15" t="str">
        <f t="shared" si="3"/>
        <v>APPROVED</v>
      </c>
    </row>
    <row r="295" ht="15.75" customHeight="1">
      <c r="A295" s="30" t="s">
        <v>1017</v>
      </c>
      <c r="B295" s="31" t="s">
        <v>1018</v>
      </c>
      <c r="C295" s="32">
        <v>45855.0</v>
      </c>
      <c r="D295" s="32">
        <v>45855.0</v>
      </c>
      <c r="E295" s="30" t="s">
        <v>715</v>
      </c>
      <c r="F295" s="34" t="s">
        <v>23</v>
      </c>
      <c r="G295" s="30"/>
      <c r="H295" s="7" t="s">
        <v>31</v>
      </c>
      <c r="I295" s="66" t="s">
        <v>1019</v>
      </c>
      <c r="J295" s="69" t="s">
        <v>1020</v>
      </c>
      <c r="K295" s="31"/>
      <c r="L295" s="30" t="s">
        <v>98</v>
      </c>
      <c r="M295" s="30" t="s">
        <v>715</v>
      </c>
      <c r="N295" s="14" t="b">
        <f t="shared" ref="N295:N300" si="17">if(H295=$H$2,TRUE,O295)</f>
        <v>1</v>
      </c>
      <c r="O295" s="15" t="b">
        <f t="shared" si="2"/>
        <v>1</v>
      </c>
      <c r="P295" s="15" t="str">
        <f t="shared" si="3"/>
        <v>PENDING</v>
      </c>
    </row>
    <row r="296" ht="15.75" customHeight="1">
      <c r="A296" s="7" t="s">
        <v>1021</v>
      </c>
      <c r="B296" s="8" t="s">
        <v>381</v>
      </c>
      <c r="C296" s="9">
        <v>45856.0</v>
      </c>
      <c r="D296" s="9">
        <v>45856.0</v>
      </c>
      <c r="E296" s="7" t="s">
        <v>177</v>
      </c>
      <c r="F296" s="11" t="s">
        <v>23</v>
      </c>
      <c r="G296" s="11" t="s">
        <v>172</v>
      </c>
      <c r="H296" s="11" t="s">
        <v>25</v>
      </c>
      <c r="I296" s="16" t="s">
        <v>1022</v>
      </c>
      <c r="J296" s="49" t="s">
        <v>1023</v>
      </c>
      <c r="K296" s="13"/>
      <c r="L296" s="11" t="s">
        <v>27</v>
      </c>
      <c r="M296" s="7" t="s">
        <v>177</v>
      </c>
      <c r="N296" s="14" t="b">
        <f t="shared" si="17"/>
        <v>1</v>
      </c>
      <c r="O296" s="15" t="b">
        <f t="shared" si="2"/>
        <v>0</v>
      </c>
      <c r="P296" s="15" t="str">
        <f t="shared" si="3"/>
        <v>APPROVED</v>
      </c>
    </row>
    <row r="297" ht="13.5" customHeight="1">
      <c r="A297" s="7" t="s">
        <v>1024</v>
      </c>
      <c r="B297" s="13" t="s">
        <v>829</v>
      </c>
      <c r="C297" s="9">
        <v>45859.0</v>
      </c>
      <c r="D297" s="9">
        <v>45866.0</v>
      </c>
      <c r="E297" s="7" t="s">
        <v>22</v>
      </c>
      <c r="F297" s="11" t="s">
        <v>23</v>
      </c>
      <c r="G297" s="11" t="s">
        <v>172</v>
      </c>
      <c r="H297" s="11" t="s">
        <v>25</v>
      </c>
      <c r="I297" s="16" t="s">
        <v>830</v>
      </c>
      <c r="J297" s="49" t="s">
        <v>1025</v>
      </c>
      <c r="K297" s="13"/>
      <c r="L297" s="11" t="s">
        <v>27</v>
      </c>
      <c r="M297" s="7" t="s">
        <v>22</v>
      </c>
      <c r="N297" s="14" t="b">
        <f t="shared" si="17"/>
        <v>1</v>
      </c>
      <c r="O297" s="15" t="b">
        <f t="shared" si="2"/>
        <v>0</v>
      </c>
      <c r="P297" s="15" t="str">
        <f t="shared" si="3"/>
        <v>APPROVED</v>
      </c>
    </row>
    <row r="298" ht="15.75" customHeight="1">
      <c r="A298" s="39" t="s">
        <v>1026</v>
      </c>
      <c r="B298" s="37" t="s">
        <v>1027</v>
      </c>
      <c r="C298" s="38">
        <v>45859.0</v>
      </c>
      <c r="D298" s="38">
        <v>45864.0</v>
      </c>
      <c r="E298" s="39" t="s">
        <v>22</v>
      </c>
      <c r="F298" s="41" t="s">
        <v>23</v>
      </c>
      <c r="G298" s="41" t="s">
        <v>30</v>
      </c>
      <c r="H298" s="41" t="s">
        <v>25</v>
      </c>
      <c r="I298" s="76" t="s">
        <v>1028</v>
      </c>
      <c r="J298" s="12" t="s">
        <v>1029</v>
      </c>
      <c r="K298" s="37"/>
      <c r="L298" s="41" t="s">
        <v>27</v>
      </c>
      <c r="M298" s="39" t="s">
        <v>22</v>
      </c>
      <c r="N298" s="14" t="b">
        <f t="shared" si="17"/>
        <v>1</v>
      </c>
      <c r="O298" s="15" t="b">
        <f t="shared" si="2"/>
        <v>0</v>
      </c>
      <c r="P298" s="15" t="str">
        <f t="shared" si="3"/>
        <v>APPROVED</v>
      </c>
    </row>
    <row r="299" ht="15.75" customHeight="1">
      <c r="A299" s="7" t="s">
        <v>1030</v>
      </c>
      <c r="B299" s="13" t="s">
        <v>1031</v>
      </c>
      <c r="C299" s="9">
        <v>45862.0</v>
      </c>
      <c r="D299" s="9">
        <v>45869.0</v>
      </c>
      <c r="E299" s="7" t="s">
        <v>744</v>
      </c>
      <c r="F299" s="11" t="s">
        <v>23</v>
      </c>
      <c r="G299" s="11" t="s">
        <v>172</v>
      </c>
      <c r="H299" s="11" t="s">
        <v>25</v>
      </c>
      <c r="I299" s="16" t="s">
        <v>1032</v>
      </c>
      <c r="J299" s="49" t="s">
        <v>1033</v>
      </c>
      <c r="K299" s="13" t="s">
        <v>1003</v>
      </c>
      <c r="L299" s="11" t="s">
        <v>27</v>
      </c>
      <c r="M299" s="7" t="s">
        <v>744</v>
      </c>
      <c r="N299" s="14" t="b">
        <f t="shared" si="17"/>
        <v>1</v>
      </c>
      <c r="O299" s="15" t="b">
        <f t="shared" si="2"/>
        <v>0</v>
      </c>
      <c r="P299" s="15" t="str">
        <f t="shared" si="3"/>
        <v>APPROVED</v>
      </c>
    </row>
    <row r="300" ht="15.75" customHeight="1">
      <c r="A300" s="24" t="s">
        <v>1034</v>
      </c>
      <c r="B300" s="25" t="s">
        <v>1035</v>
      </c>
      <c r="C300" s="26">
        <v>45862.0</v>
      </c>
      <c r="D300" s="26">
        <v>45867.0</v>
      </c>
      <c r="E300" s="24" t="s">
        <v>744</v>
      </c>
      <c r="F300" s="28" t="s">
        <v>23</v>
      </c>
      <c r="G300" s="28" t="s">
        <v>172</v>
      </c>
      <c r="H300" s="28" t="s">
        <v>84</v>
      </c>
      <c r="I300" s="96" t="s">
        <v>1036</v>
      </c>
      <c r="J300" s="97" t="s">
        <v>1037</v>
      </c>
      <c r="K300" s="25"/>
      <c r="L300" s="28" t="s">
        <v>27</v>
      </c>
      <c r="M300" s="24" t="s">
        <v>744</v>
      </c>
      <c r="N300" s="14" t="b">
        <f t="shared" si="17"/>
        <v>0</v>
      </c>
      <c r="O300" s="15" t="b">
        <f t="shared" si="2"/>
        <v>0</v>
      </c>
      <c r="P300" s="15" t="str">
        <f t="shared" si="3"/>
        <v>PENDING</v>
      </c>
    </row>
    <row r="301" ht="15.75" customHeight="1">
      <c r="A301" s="24" t="s">
        <v>1038</v>
      </c>
      <c r="B301" s="115" t="s">
        <v>714</v>
      </c>
      <c r="C301" s="26">
        <v>45864.0</v>
      </c>
      <c r="D301" s="26">
        <v>45864.0</v>
      </c>
      <c r="E301" s="24" t="s">
        <v>715</v>
      </c>
      <c r="F301" s="28" t="s">
        <v>716</v>
      </c>
      <c r="G301" s="28" t="s">
        <v>30</v>
      </c>
      <c r="H301" s="24" t="s">
        <v>31</v>
      </c>
      <c r="I301" s="96"/>
      <c r="J301" s="29"/>
      <c r="K301" s="25"/>
      <c r="L301" s="28" t="s">
        <v>27</v>
      </c>
      <c r="M301" s="24" t="s">
        <v>715</v>
      </c>
      <c r="N301" s="175" t="b">
        <v>1</v>
      </c>
      <c r="O301" s="15" t="b">
        <f t="shared" si="2"/>
        <v>0</v>
      </c>
      <c r="P301" s="15" t="str">
        <f t="shared" si="3"/>
        <v>PENDING</v>
      </c>
    </row>
    <row r="302" ht="15.75" customHeight="1">
      <c r="A302" s="24" t="s">
        <v>1039</v>
      </c>
      <c r="B302" s="25" t="s">
        <v>995</v>
      </c>
      <c r="C302" s="26">
        <v>45853.0</v>
      </c>
      <c r="D302" s="26">
        <v>45853.0</v>
      </c>
      <c r="E302" s="24" t="s">
        <v>715</v>
      </c>
      <c r="F302" s="28" t="s">
        <v>23</v>
      </c>
      <c r="G302" s="28" t="s">
        <v>30</v>
      </c>
      <c r="H302" s="28" t="s">
        <v>49</v>
      </c>
      <c r="I302" s="96" t="s">
        <v>996</v>
      </c>
      <c r="J302" s="29" t="s">
        <v>997</v>
      </c>
      <c r="K302" s="25"/>
      <c r="L302" s="28" t="s">
        <v>27</v>
      </c>
      <c r="M302" s="24" t="s">
        <v>715</v>
      </c>
      <c r="N302" s="14" t="b">
        <f t="shared" ref="N302:N308" si="18">if(H302=$H$2,TRUE,O302)</f>
        <v>0</v>
      </c>
      <c r="O302" s="15" t="b">
        <f t="shared" si="2"/>
        <v>0</v>
      </c>
      <c r="P302" s="15" t="str">
        <f t="shared" si="3"/>
        <v>PENDING</v>
      </c>
    </row>
    <row r="303" ht="15.75" customHeight="1">
      <c r="A303" s="24" t="s">
        <v>1040</v>
      </c>
      <c r="B303" s="25" t="s">
        <v>1041</v>
      </c>
      <c r="C303" s="26">
        <v>45853.0</v>
      </c>
      <c r="D303" s="26">
        <v>45853.0</v>
      </c>
      <c r="E303" s="24" t="s">
        <v>715</v>
      </c>
      <c r="F303" s="28" t="s">
        <v>23</v>
      </c>
      <c r="G303" s="28" t="s">
        <v>172</v>
      </c>
      <c r="H303" s="28" t="s">
        <v>84</v>
      </c>
      <c r="I303" s="96" t="s">
        <v>1042</v>
      </c>
      <c r="J303" s="29" t="s">
        <v>1043</v>
      </c>
      <c r="K303" s="25"/>
      <c r="L303" s="28" t="s">
        <v>27</v>
      </c>
      <c r="M303" s="24" t="s">
        <v>715</v>
      </c>
      <c r="N303" s="14" t="b">
        <f t="shared" si="18"/>
        <v>0</v>
      </c>
      <c r="O303" s="15" t="b">
        <f t="shared" si="2"/>
        <v>0</v>
      </c>
      <c r="P303" s="15" t="str">
        <f t="shared" si="3"/>
        <v>PENDING</v>
      </c>
    </row>
    <row r="304" ht="15.75" customHeight="1">
      <c r="A304" s="7" t="s">
        <v>1044</v>
      </c>
      <c r="B304" s="8" t="s">
        <v>999</v>
      </c>
      <c r="C304" s="9">
        <v>45854.0</v>
      </c>
      <c r="D304" s="9">
        <v>45854.0</v>
      </c>
      <c r="E304" s="7" t="s">
        <v>715</v>
      </c>
      <c r="F304" s="11" t="s">
        <v>23</v>
      </c>
      <c r="G304" s="11" t="s">
        <v>30</v>
      </c>
      <c r="H304" s="11" t="s">
        <v>25</v>
      </c>
      <c r="I304" s="16" t="s">
        <v>1000</v>
      </c>
      <c r="J304" s="12"/>
      <c r="K304" s="13"/>
      <c r="L304" s="11" t="s">
        <v>27</v>
      </c>
      <c r="M304" s="7" t="s">
        <v>715</v>
      </c>
      <c r="N304" s="14" t="b">
        <f t="shared" si="18"/>
        <v>1</v>
      </c>
      <c r="O304" s="15" t="b">
        <f t="shared" si="2"/>
        <v>0</v>
      </c>
      <c r="P304" s="15" t="str">
        <f t="shared" si="3"/>
        <v>APPROVED</v>
      </c>
    </row>
    <row r="305" ht="15.75" customHeight="1">
      <c r="A305" s="39" t="s">
        <v>1045</v>
      </c>
      <c r="B305" s="37" t="s">
        <v>1018</v>
      </c>
      <c r="C305" s="38">
        <v>45855.0</v>
      </c>
      <c r="D305" s="38">
        <v>45855.0</v>
      </c>
      <c r="E305" s="39" t="s">
        <v>715</v>
      </c>
      <c r="F305" s="41" t="s">
        <v>23</v>
      </c>
      <c r="G305" s="41" t="s">
        <v>30</v>
      </c>
      <c r="H305" s="41" t="s">
        <v>25</v>
      </c>
      <c r="I305" s="76" t="s">
        <v>1019</v>
      </c>
      <c r="J305" s="12"/>
      <c r="K305" s="37"/>
      <c r="L305" s="41" t="s">
        <v>27</v>
      </c>
      <c r="M305" s="39" t="s">
        <v>715</v>
      </c>
      <c r="N305" s="14" t="b">
        <f t="shared" si="18"/>
        <v>1</v>
      </c>
      <c r="O305" s="15" t="b">
        <f t="shared" si="2"/>
        <v>0</v>
      </c>
      <c r="P305" s="15" t="str">
        <f t="shared" si="3"/>
        <v>APPROVED</v>
      </c>
    </row>
    <row r="306" ht="15.75" customHeight="1">
      <c r="A306" s="24" t="s">
        <v>1046</v>
      </c>
      <c r="B306" s="128" t="s">
        <v>323</v>
      </c>
      <c r="C306" s="26">
        <v>45866.0</v>
      </c>
      <c r="D306" s="26">
        <v>45866.0</v>
      </c>
      <c r="E306" s="24" t="s">
        <v>177</v>
      </c>
      <c r="F306" s="28" t="s">
        <v>23</v>
      </c>
      <c r="G306" s="28" t="s">
        <v>172</v>
      </c>
      <c r="H306" s="28" t="s">
        <v>84</v>
      </c>
      <c r="I306" s="96" t="s">
        <v>1047</v>
      </c>
      <c r="J306" s="29" t="s">
        <v>1048</v>
      </c>
      <c r="K306" s="25"/>
      <c r="L306" s="28" t="s">
        <v>27</v>
      </c>
      <c r="M306" s="24" t="s">
        <v>177</v>
      </c>
      <c r="N306" s="14" t="b">
        <f t="shared" si="18"/>
        <v>0</v>
      </c>
      <c r="O306" s="15" t="b">
        <f t="shared" si="2"/>
        <v>0</v>
      </c>
      <c r="P306" s="15" t="str">
        <f t="shared" si="3"/>
        <v>PENDING</v>
      </c>
    </row>
    <row r="307" ht="16.5" customHeight="1">
      <c r="A307" s="7" t="s">
        <v>1049</v>
      </c>
      <c r="B307" s="8" t="s">
        <v>73</v>
      </c>
      <c r="C307" s="9">
        <v>45866.0</v>
      </c>
      <c r="D307" s="9">
        <v>45867.0</v>
      </c>
      <c r="E307" s="7" t="s">
        <v>177</v>
      </c>
      <c r="F307" s="11" t="s">
        <v>23</v>
      </c>
      <c r="G307" s="11" t="s">
        <v>172</v>
      </c>
      <c r="H307" s="11" t="s">
        <v>25</v>
      </c>
      <c r="I307" s="16" t="s">
        <v>448</v>
      </c>
      <c r="J307" s="12" t="s">
        <v>1050</v>
      </c>
      <c r="K307" s="13"/>
      <c r="L307" s="11" t="s">
        <v>27</v>
      </c>
      <c r="M307" s="7" t="s">
        <v>177</v>
      </c>
      <c r="N307" s="14" t="b">
        <f t="shared" si="18"/>
        <v>1</v>
      </c>
      <c r="O307" s="15" t="b">
        <f t="shared" si="2"/>
        <v>0</v>
      </c>
      <c r="P307" s="15" t="str">
        <f t="shared" si="3"/>
        <v>APPROVED</v>
      </c>
    </row>
    <row r="308" ht="15.75" customHeight="1">
      <c r="A308" s="7" t="s">
        <v>1051</v>
      </c>
      <c r="B308" s="8" t="s">
        <v>685</v>
      </c>
      <c r="C308" s="9">
        <v>45867.0</v>
      </c>
      <c r="D308" s="9">
        <v>45867.0</v>
      </c>
      <c r="E308" s="7" t="s">
        <v>22</v>
      </c>
      <c r="F308" s="11" t="s">
        <v>23</v>
      </c>
      <c r="G308" s="11" t="s">
        <v>30</v>
      </c>
      <c r="H308" s="11" t="s">
        <v>25</v>
      </c>
      <c r="I308" s="16" t="s">
        <v>686</v>
      </c>
      <c r="J308" s="12" t="s">
        <v>1052</v>
      </c>
      <c r="K308" s="13"/>
      <c r="L308" s="11" t="s">
        <v>27</v>
      </c>
      <c r="M308" s="7" t="s">
        <v>22</v>
      </c>
      <c r="N308" s="14" t="b">
        <f t="shared" si="18"/>
        <v>1</v>
      </c>
      <c r="O308" s="15" t="b">
        <f t="shared" si="2"/>
        <v>0</v>
      </c>
      <c r="P308" s="15" t="str">
        <f t="shared" si="3"/>
        <v>APPROVED</v>
      </c>
    </row>
    <row r="309" ht="15.75" customHeight="1">
      <c r="A309" s="24" t="s">
        <v>1053</v>
      </c>
      <c r="B309" s="25" t="s">
        <v>1054</v>
      </c>
      <c r="C309" s="26">
        <v>45867.0</v>
      </c>
      <c r="D309" s="26">
        <v>45867.0</v>
      </c>
      <c r="E309" s="24" t="s">
        <v>744</v>
      </c>
      <c r="F309" s="28" t="s">
        <v>716</v>
      </c>
      <c r="G309" s="24"/>
      <c r="H309" s="7" t="s">
        <v>31</v>
      </c>
      <c r="J309" s="29"/>
      <c r="K309" s="25"/>
      <c r="L309" s="68" t="s">
        <v>27</v>
      </c>
      <c r="M309" s="24" t="s">
        <v>744</v>
      </c>
      <c r="N309" s="175" t="b">
        <v>1</v>
      </c>
      <c r="O309" s="15" t="b">
        <f t="shared" si="2"/>
        <v>0</v>
      </c>
      <c r="P309" s="15" t="str">
        <f t="shared" si="3"/>
        <v>PENDING</v>
      </c>
    </row>
    <row r="310" ht="15.75" customHeight="1">
      <c r="A310" s="24" t="s">
        <v>1055</v>
      </c>
      <c r="B310" s="25" t="s">
        <v>1056</v>
      </c>
      <c r="C310" s="26">
        <v>45867.0</v>
      </c>
      <c r="D310" s="26">
        <v>45869.0</v>
      </c>
      <c r="E310" s="24" t="s">
        <v>744</v>
      </c>
      <c r="F310" s="28" t="s">
        <v>23</v>
      </c>
      <c r="G310" s="28" t="s">
        <v>172</v>
      </c>
      <c r="H310" s="28" t="s">
        <v>49</v>
      </c>
      <c r="I310" s="96" t="s">
        <v>1057</v>
      </c>
      <c r="J310" s="29" t="s">
        <v>376</v>
      </c>
      <c r="K310" s="29" t="s">
        <v>1058</v>
      </c>
      <c r="L310" s="28" t="s">
        <v>27</v>
      </c>
      <c r="M310" s="24" t="s">
        <v>744</v>
      </c>
      <c r="N310" s="14" t="b">
        <f t="shared" ref="N310:N316" si="19">if(H310=$H$2,TRUE,O310)</f>
        <v>0</v>
      </c>
      <c r="O310" s="15" t="b">
        <f t="shared" si="2"/>
        <v>0</v>
      </c>
      <c r="P310" s="15" t="str">
        <f t="shared" si="3"/>
        <v>PENDING</v>
      </c>
    </row>
    <row r="311" ht="15.75" customHeight="1">
      <c r="A311" s="7" t="s">
        <v>1059</v>
      </c>
      <c r="B311" s="13" t="s">
        <v>1060</v>
      </c>
      <c r="C311" s="9">
        <v>45867.0</v>
      </c>
      <c r="D311" s="9">
        <v>45867.0</v>
      </c>
      <c r="E311" s="7" t="s">
        <v>177</v>
      </c>
      <c r="F311" s="11" t="s">
        <v>23</v>
      </c>
      <c r="G311" s="11" t="s">
        <v>172</v>
      </c>
      <c r="H311" s="11" t="s">
        <v>25</v>
      </c>
      <c r="I311" s="16" t="s">
        <v>1061</v>
      </c>
      <c r="J311" s="12" t="s">
        <v>1062</v>
      </c>
      <c r="K311" s="13"/>
      <c r="L311" s="11" t="s">
        <v>27</v>
      </c>
      <c r="M311" s="7" t="s">
        <v>177</v>
      </c>
      <c r="N311" s="14" t="b">
        <f t="shared" si="19"/>
        <v>1</v>
      </c>
      <c r="O311" s="15" t="b">
        <f t="shared" si="2"/>
        <v>0</v>
      </c>
      <c r="P311" s="15" t="str">
        <f t="shared" si="3"/>
        <v>APPROVED</v>
      </c>
    </row>
    <row r="312" ht="15.75" customHeight="1">
      <c r="A312" s="24" t="s">
        <v>1063</v>
      </c>
      <c r="B312" s="25" t="s">
        <v>1064</v>
      </c>
      <c r="C312" s="26">
        <v>45867.0</v>
      </c>
      <c r="D312" s="26">
        <v>45867.0</v>
      </c>
      <c r="E312" s="24" t="s">
        <v>177</v>
      </c>
      <c r="F312" s="28" t="s">
        <v>23</v>
      </c>
      <c r="G312" s="28" t="s">
        <v>172</v>
      </c>
      <c r="H312" s="28" t="s">
        <v>482</v>
      </c>
      <c r="I312" s="96" t="s">
        <v>1065</v>
      </c>
      <c r="J312" s="29"/>
      <c r="K312" s="25"/>
      <c r="L312" s="28" t="s">
        <v>27</v>
      </c>
      <c r="M312" s="24" t="s">
        <v>177</v>
      </c>
      <c r="N312" s="14" t="b">
        <f t="shared" si="19"/>
        <v>0</v>
      </c>
      <c r="O312" s="15" t="b">
        <f t="shared" si="2"/>
        <v>0</v>
      </c>
      <c r="P312" s="15" t="str">
        <f t="shared" si="3"/>
        <v>PENDING</v>
      </c>
    </row>
    <row r="313" ht="15.75" customHeight="1">
      <c r="A313" s="7" t="s">
        <v>1066</v>
      </c>
      <c r="B313" s="13" t="s">
        <v>1067</v>
      </c>
      <c r="C313" s="9">
        <v>45867.0</v>
      </c>
      <c r="D313" s="9">
        <v>45867.0</v>
      </c>
      <c r="E313" s="7" t="s">
        <v>177</v>
      </c>
      <c r="F313" s="11" t="s">
        <v>23</v>
      </c>
      <c r="G313" s="11" t="s">
        <v>172</v>
      </c>
      <c r="H313" s="11" t="s">
        <v>25</v>
      </c>
      <c r="I313" s="16" t="s">
        <v>566</v>
      </c>
      <c r="J313" s="12" t="s">
        <v>1068</v>
      </c>
      <c r="K313" s="13"/>
      <c r="L313" s="11" t="s">
        <v>27</v>
      </c>
      <c r="M313" s="7" t="s">
        <v>177</v>
      </c>
      <c r="N313" s="14" t="b">
        <f t="shared" si="19"/>
        <v>1</v>
      </c>
      <c r="O313" s="15" t="b">
        <f t="shared" si="2"/>
        <v>0</v>
      </c>
      <c r="P313" s="15" t="str">
        <f t="shared" si="3"/>
        <v>APPROVED</v>
      </c>
    </row>
    <row r="314" ht="15.75" customHeight="1">
      <c r="A314" s="7" t="s">
        <v>1069</v>
      </c>
      <c r="B314" s="13" t="s">
        <v>1070</v>
      </c>
      <c r="C314" s="9">
        <v>45867.0</v>
      </c>
      <c r="D314" s="9">
        <v>45867.0</v>
      </c>
      <c r="E314" s="7" t="s">
        <v>22</v>
      </c>
      <c r="F314" s="11" t="s">
        <v>23</v>
      </c>
      <c r="G314" s="11" t="s">
        <v>30</v>
      </c>
      <c r="H314" s="11" t="s">
        <v>25</v>
      </c>
      <c r="I314" s="16" t="s">
        <v>1071</v>
      </c>
      <c r="J314" s="12"/>
      <c r="K314" s="13"/>
      <c r="L314" s="11" t="s">
        <v>27</v>
      </c>
      <c r="M314" s="7" t="s">
        <v>22</v>
      </c>
      <c r="N314" s="14" t="b">
        <f t="shared" si="19"/>
        <v>1</v>
      </c>
      <c r="O314" s="15" t="b">
        <f t="shared" si="2"/>
        <v>0</v>
      </c>
      <c r="P314" s="15" t="str">
        <f t="shared" si="3"/>
        <v>APPROVED</v>
      </c>
    </row>
    <row r="315" ht="15.75" customHeight="1">
      <c r="A315" s="24" t="s">
        <v>1072</v>
      </c>
      <c r="B315" s="25" t="s">
        <v>1073</v>
      </c>
      <c r="C315" s="26">
        <v>45867.0</v>
      </c>
      <c r="D315" s="26">
        <v>45867.0</v>
      </c>
      <c r="E315" s="24" t="s">
        <v>744</v>
      </c>
      <c r="F315" s="28" t="s">
        <v>23</v>
      </c>
      <c r="G315" s="28" t="s">
        <v>172</v>
      </c>
      <c r="H315" s="28" t="s">
        <v>49</v>
      </c>
      <c r="I315" s="96" t="s">
        <v>1074</v>
      </c>
      <c r="J315" s="29"/>
      <c r="K315" s="25"/>
      <c r="L315" s="28" t="s">
        <v>27</v>
      </c>
      <c r="M315" s="24" t="s">
        <v>744</v>
      </c>
      <c r="N315" s="14" t="b">
        <f t="shared" si="19"/>
        <v>0</v>
      </c>
      <c r="O315" s="15" t="b">
        <f t="shared" si="2"/>
        <v>0</v>
      </c>
      <c r="P315" s="15" t="str">
        <f t="shared" si="3"/>
        <v>PENDING</v>
      </c>
    </row>
    <row r="316" ht="15.75" customHeight="1">
      <c r="A316" s="30" t="s">
        <v>1075</v>
      </c>
      <c r="B316" s="31" t="s">
        <v>1076</v>
      </c>
      <c r="C316" s="32">
        <v>45867.0</v>
      </c>
      <c r="D316" s="32"/>
      <c r="E316" s="30" t="s">
        <v>744</v>
      </c>
      <c r="F316" s="34" t="s">
        <v>23</v>
      </c>
      <c r="G316" s="34" t="s">
        <v>172</v>
      </c>
      <c r="H316" s="34" t="s">
        <v>49</v>
      </c>
      <c r="I316" s="66"/>
      <c r="J316" s="35" t="s">
        <v>376</v>
      </c>
      <c r="K316" s="31"/>
      <c r="L316" s="30" t="s">
        <v>98</v>
      </c>
      <c r="M316" s="30" t="s">
        <v>744</v>
      </c>
      <c r="N316" s="14" t="b">
        <f t="shared" si="19"/>
        <v>1</v>
      </c>
      <c r="O316" s="15" t="b">
        <f t="shared" si="2"/>
        <v>1</v>
      </c>
      <c r="P316" s="15" t="str">
        <f t="shared" si="3"/>
        <v>PENDING</v>
      </c>
    </row>
    <row r="317" ht="15.75" customHeight="1">
      <c r="A317" s="7" t="s">
        <v>1077</v>
      </c>
      <c r="B317" s="8" t="s">
        <v>117</v>
      </c>
      <c r="C317" s="9">
        <v>45868.0</v>
      </c>
      <c r="D317" s="9"/>
      <c r="E317" s="7" t="s">
        <v>22</v>
      </c>
      <c r="F317" s="11" t="s">
        <v>716</v>
      </c>
      <c r="G317" s="11" t="s">
        <v>30</v>
      </c>
      <c r="H317" s="7" t="s">
        <v>31</v>
      </c>
      <c r="I317" s="16"/>
      <c r="J317" s="12"/>
      <c r="K317" s="13"/>
      <c r="L317" s="11" t="s">
        <v>27</v>
      </c>
      <c r="M317" s="7" t="s">
        <v>22</v>
      </c>
      <c r="N317" s="175" t="b">
        <v>1</v>
      </c>
      <c r="O317" s="15" t="b">
        <f t="shared" si="2"/>
        <v>0</v>
      </c>
      <c r="P317" s="15" t="str">
        <f t="shared" si="3"/>
        <v>PENDING</v>
      </c>
    </row>
    <row r="318" ht="15.75" customHeight="1">
      <c r="A318" s="7" t="s">
        <v>1078</v>
      </c>
      <c r="B318" s="8" t="s">
        <v>1079</v>
      </c>
      <c r="C318" s="9">
        <v>45869.0</v>
      </c>
      <c r="D318" s="9">
        <v>45869.0</v>
      </c>
      <c r="E318" s="7" t="s">
        <v>715</v>
      </c>
      <c r="F318" s="11" t="s">
        <v>23</v>
      </c>
      <c r="G318" s="11" t="s">
        <v>35</v>
      </c>
      <c r="H318" s="11" t="s">
        <v>25</v>
      </c>
      <c r="I318" s="16" t="s">
        <v>1080</v>
      </c>
      <c r="J318" s="12" t="s">
        <v>1081</v>
      </c>
      <c r="K318" s="13"/>
      <c r="L318" s="11" t="s">
        <v>27</v>
      </c>
      <c r="M318" s="7" t="s">
        <v>715</v>
      </c>
      <c r="N318" s="14" t="b">
        <f t="shared" ref="N318:N322" si="20">if(H318=$H$2,TRUE,O318)</f>
        <v>1</v>
      </c>
      <c r="O318" s="15" t="b">
        <f t="shared" si="2"/>
        <v>0</v>
      </c>
      <c r="P318" s="15" t="str">
        <f t="shared" si="3"/>
        <v>APPROVED</v>
      </c>
    </row>
    <row r="319" ht="15.75" customHeight="1">
      <c r="A319" s="24" t="s">
        <v>1082</v>
      </c>
      <c r="B319" s="25" t="s">
        <v>1083</v>
      </c>
      <c r="C319" s="26">
        <v>45869.0</v>
      </c>
      <c r="D319" s="26">
        <v>45888.0</v>
      </c>
      <c r="E319" s="24" t="s">
        <v>744</v>
      </c>
      <c r="F319" s="28" t="s">
        <v>23</v>
      </c>
      <c r="G319" s="28" t="s">
        <v>172</v>
      </c>
      <c r="H319" s="28" t="s">
        <v>482</v>
      </c>
      <c r="I319" s="96" t="s">
        <v>1084</v>
      </c>
      <c r="J319" s="29"/>
      <c r="K319" s="29" t="s">
        <v>1085</v>
      </c>
      <c r="L319" s="28" t="s">
        <v>27</v>
      </c>
      <c r="M319" s="24" t="s">
        <v>744</v>
      </c>
      <c r="N319" s="14" t="b">
        <f t="shared" si="20"/>
        <v>0</v>
      </c>
      <c r="O319" s="15" t="b">
        <f t="shared" si="2"/>
        <v>0</v>
      </c>
      <c r="P319" s="15" t="str">
        <f t="shared" si="3"/>
        <v>PENDING</v>
      </c>
    </row>
    <row r="320" ht="15.75" customHeight="1">
      <c r="A320" s="24" t="s">
        <v>1086</v>
      </c>
      <c r="B320" s="25" t="s">
        <v>1087</v>
      </c>
      <c r="C320" s="26">
        <v>45869.0</v>
      </c>
      <c r="D320" s="26">
        <v>45888.0</v>
      </c>
      <c r="E320" s="24" t="s">
        <v>744</v>
      </c>
      <c r="F320" s="28" t="s">
        <v>23</v>
      </c>
      <c r="G320" s="28" t="s">
        <v>172</v>
      </c>
      <c r="H320" s="28" t="s">
        <v>482</v>
      </c>
      <c r="I320" s="96" t="s">
        <v>1088</v>
      </c>
      <c r="J320" s="29"/>
      <c r="K320" s="25"/>
      <c r="L320" s="28" t="s">
        <v>27</v>
      </c>
      <c r="M320" s="24" t="s">
        <v>744</v>
      </c>
      <c r="N320" s="14" t="b">
        <f t="shared" si="20"/>
        <v>0</v>
      </c>
      <c r="O320" s="15" t="b">
        <f t="shared" si="2"/>
        <v>0</v>
      </c>
      <c r="P320" s="15" t="str">
        <f t="shared" si="3"/>
        <v>PENDING</v>
      </c>
    </row>
    <row r="321" ht="15.75" customHeight="1">
      <c r="A321" s="7" t="s">
        <v>1089</v>
      </c>
      <c r="B321" s="8" t="s">
        <v>394</v>
      </c>
      <c r="C321" s="9">
        <v>45870.0</v>
      </c>
      <c r="D321" s="9">
        <v>45785.0</v>
      </c>
      <c r="E321" s="7" t="s">
        <v>22</v>
      </c>
      <c r="F321" s="11" t="s">
        <v>23</v>
      </c>
      <c r="G321" s="11" t="s">
        <v>35</v>
      </c>
      <c r="H321" s="11" t="s">
        <v>25</v>
      </c>
      <c r="I321" s="16" t="s">
        <v>399</v>
      </c>
      <c r="J321" s="12" t="s">
        <v>1090</v>
      </c>
      <c r="K321" s="13"/>
      <c r="L321" s="11" t="s">
        <v>27</v>
      </c>
      <c r="M321" s="7" t="s">
        <v>22</v>
      </c>
      <c r="N321" s="14" t="b">
        <f t="shared" si="20"/>
        <v>1</v>
      </c>
      <c r="O321" s="15" t="b">
        <f t="shared" si="2"/>
        <v>0</v>
      </c>
      <c r="P321" s="15" t="str">
        <f t="shared" si="3"/>
        <v>APPROVED</v>
      </c>
    </row>
    <row r="322" ht="15.75" customHeight="1">
      <c r="A322" s="24" t="s">
        <v>1091</v>
      </c>
      <c r="B322" s="25" t="s">
        <v>373</v>
      </c>
      <c r="C322" s="26">
        <v>45870.0</v>
      </c>
      <c r="D322" s="26">
        <v>45665.0</v>
      </c>
      <c r="E322" s="24" t="s">
        <v>177</v>
      </c>
      <c r="F322" s="28" t="s">
        <v>23</v>
      </c>
      <c r="G322" s="28" t="s">
        <v>172</v>
      </c>
      <c r="H322" s="28" t="s">
        <v>84</v>
      </c>
      <c r="I322" s="96" t="s">
        <v>1092</v>
      </c>
      <c r="J322" s="29" t="s">
        <v>1093</v>
      </c>
      <c r="K322" s="25"/>
      <c r="L322" s="28" t="s">
        <v>27</v>
      </c>
      <c r="M322" s="24" t="s">
        <v>177</v>
      </c>
      <c r="N322" s="14" t="b">
        <f t="shared" si="20"/>
        <v>0</v>
      </c>
      <c r="O322" s="15" t="b">
        <f t="shared" si="2"/>
        <v>0</v>
      </c>
      <c r="P322" s="15" t="str">
        <f t="shared" si="3"/>
        <v>PENDING</v>
      </c>
    </row>
    <row r="323" ht="15.75" customHeight="1">
      <c r="A323" s="24" t="s">
        <v>1094</v>
      </c>
      <c r="B323" s="25" t="s">
        <v>581</v>
      </c>
      <c r="C323" s="26">
        <v>45870.0</v>
      </c>
      <c r="D323" s="26">
        <v>45665.0</v>
      </c>
      <c r="E323" s="24" t="s">
        <v>177</v>
      </c>
      <c r="F323" s="28" t="s">
        <v>23</v>
      </c>
      <c r="G323" s="28" t="s">
        <v>172</v>
      </c>
      <c r="H323" s="28" t="s">
        <v>25</v>
      </c>
      <c r="I323" s="96" t="s">
        <v>582</v>
      </c>
      <c r="J323" s="29" t="s">
        <v>1095</v>
      </c>
      <c r="K323" s="25"/>
      <c r="L323" s="28" t="s">
        <v>27</v>
      </c>
      <c r="M323" s="24" t="s">
        <v>177</v>
      </c>
      <c r="N323" s="175" t="b">
        <v>0</v>
      </c>
      <c r="O323" s="15" t="b">
        <f t="shared" si="2"/>
        <v>0</v>
      </c>
      <c r="P323" s="15" t="str">
        <f t="shared" si="3"/>
        <v>APPROVED</v>
      </c>
    </row>
    <row r="324" ht="15.75" customHeight="1">
      <c r="A324" s="7" t="s">
        <v>1096</v>
      </c>
      <c r="B324" s="13" t="s">
        <v>1097</v>
      </c>
      <c r="C324" s="9">
        <v>45873.0</v>
      </c>
      <c r="D324" s="9">
        <v>45755.0</v>
      </c>
      <c r="E324" s="7" t="s">
        <v>22</v>
      </c>
      <c r="F324" s="11" t="s">
        <v>716</v>
      </c>
      <c r="G324" s="11" t="s">
        <v>30</v>
      </c>
      <c r="H324" s="7" t="s">
        <v>31</v>
      </c>
      <c r="I324" s="16"/>
      <c r="J324" s="67"/>
      <c r="K324" s="13"/>
      <c r="L324" s="11" t="s">
        <v>27</v>
      </c>
      <c r="M324" s="7" t="s">
        <v>22</v>
      </c>
      <c r="N324" s="175" t="b">
        <v>1</v>
      </c>
      <c r="O324" s="15" t="b">
        <f t="shared" si="2"/>
        <v>0</v>
      </c>
      <c r="P324" s="15" t="str">
        <f t="shared" si="3"/>
        <v>PENDING</v>
      </c>
    </row>
    <row r="325" ht="15.75" customHeight="1">
      <c r="A325" s="7" t="s">
        <v>1098</v>
      </c>
      <c r="B325" s="13" t="s">
        <v>1099</v>
      </c>
      <c r="C325" s="9">
        <v>45869.0</v>
      </c>
      <c r="D325" s="9">
        <v>45869.0</v>
      </c>
      <c r="E325" s="7" t="s">
        <v>715</v>
      </c>
      <c r="F325" s="11" t="s">
        <v>23</v>
      </c>
      <c r="G325" s="11" t="s">
        <v>30</v>
      </c>
      <c r="H325" s="11" t="s">
        <v>25</v>
      </c>
      <c r="I325" s="16"/>
      <c r="J325" s="67"/>
      <c r="K325" s="13"/>
      <c r="L325" s="11" t="s">
        <v>27</v>
      </c>
      <c r="M325" s="7" t="s">
        <v>715</v>
      </c>
      <c r="N325" s="14" t="b">
        <f t="shared" ref="N325:N328" si="21">if(H325=$H$2,TRUE,O325)</f>
        <v>1</v>
      </c>
      <c r="O325" s="15" t="b">
        <f t="shared" si="2"/>
        <v>0</v>
      </c>
      <c r="P325" s="15" t="str">
        <f t="shared" si="3"/>
        <v>APPROVED</v>
      </c>
    </row>
    <row r="326" ht="15.75" customHeight="1">
      <c r="A326" s="7" t="s">
        <v>1100</v>
      </c>
      <c r="B326" s="13" t="s">
        <v>1101</v>
      </c>
      <c r="C326" s="9">
        <v>45867.0</v>
      </c>
      <c r="D326" s="9">
        <v>45867.0</v>
      </c>
      <c r="E326" s="7" t="s">
        <v>715</v>
      </c>
      <c r="F326" s="11" t="s">
        <v>23</v>
      </c>
      <c r="G326" s="11" t="s">
        <v>30</v>
      </c>
      <c r="H326" s="11" t="s">
        <v>25</v>
      </c>
      <c r="I326" s="16"/>
      <c r="J326" s="12"/>
      <c r="K326" s="13"/>
      <c r="L326" s="11" t="s">
        <v>27</v>
      </c>
      <c r="M326" s="7" t="s">
        <v>715</v>
      </c>
      <c r="N326" s="14" t="b">
        <f t="shared" si="21"/>
        <v>1</v>
      </c>
      <c r="O326" s="15" t="b">
        <f t="shared" si="2"/>
        <v>0</v>
      </c>
      <c r="P326" s="15" t="str">
        <f t="shared" si="3"/>
        <v>APPROVED</v>
      </c>
    </row>
    <row r="327" ht="15.75" customHeight="1">
      <c r="A327" s="7" t="s">
        <v>1102</v>
      </c>
      <c r="B327" s="8" t="s">
        <v>999</v>
      </c>
      <c r="C327" s="9">
        <v>45868.0</v>
      </c>
      <c r="D327" s="9">
        <v>45868.0</v>
      </c>
      <c r="E327" s="7" t="s">
        <v>715</v>
      </c>
      <c r="F327" s="11" t="s">
        <v>23</v>
      </c>
      <c r="G327" s="11" t="s">
        <v>30</v>
      </c>
      <c r="H327" s="11" t="s">
        <v>25</v>
      </c>
      <c r="I327" s="16" t="s">
        <v>1000</v>
      </c>
      <c r="J327" s="12" t="s">
        <v>1103</v>
      </c>
      <c r="K327" s="13"/>
      <c r="L327" s="11" t="s">
        <v>27</v>
      </c>
      <c r="M327" s="7" t="s">
        <v>715</v>
      </c>
      <c r="N327" s="14" t="b">
        <f t="shared" si="21"/>
        <v>1</v>
      </c>
      <c r="O327" s="15" t="b">
        <f t="shared" si="2"/>
        <v>0</v>
      </c>
      <c r="P327" s="15" t="str">
        <f t="shared" si="3"/>
        <v>APPROVED</v>
      </c>
    </row>
    <row r="328" ht="15.75" customHeight="1">
      <c r="A328" s="24" t="s">
        <v>1104</v>
      </c>
      <c r="B328" s="25" t="s">
        <v>1105</v>
      </c>
      <c r="C328" s="26">
        <v>45863.0</v>
      </c>
      <c r="D328" s="26">
        <v>45863.0</v>
      </c>
      <c r="E328" s="24" t="s">
        <v>715</v>
      </c>
      <c r="F328" s="28" t="s">
        <v>23</v>
      </c>
      <c r="G328" s="28" t="s">
        <v>172</v>
      </c>
      <c r="H328" s="28" t="s">
        <v>49</v>
      </c>
      <c r="I328" s="96" t="s">
        <v>1106</v>
      </c>
      <c r="J328" s="29"/>
      <c r="K328" s="25"/>
      <c r="L328" s="28" t="s">
        <v>27</v>
      </c>
      <c r="M328" s="24" t="s">
        <v>715</v>
      </c>
      <c r="N328" s="14" t="b">
        <f t="shared" si="21"/>
        <v>0</v>
      </c>
      <c r="O328" s="15" t="b">
        <f t="shared" si="2"/>
        <v>0</v>
      </c>
      <c r="P328" s="15" t="str">
        <f t="shared" si="3"/>
        <v>PENDING</v>
      </c>
    </row>
    <row r="329" ht="15.75" customHeight="1">
      <c r="A329" s="7" t="s">
        <v>1107</v>
      </c>
      <c r="B329" s="8" t="s">
        <v>714</v>
      </c>
      <c r="C329" s="9">
        <v>45873.0</v>
      </c>
      <c r="D329" s="9">
        <v>45755.0</v>
      </c>
      <c r="E329" s="7" t="s">
        <v>715</v>
      </c>
      <c r="F329" s="11" t="s">
        <v>716</v>
      </c>
      <c r="G329" s="11" t="s">
        <v>30</v>
      </c>
      <c r="H329" s="7" t="s">
        <v>31</v>
      </c>
      <c r="I329" s="16"/>
      <c r="J329" s="12"/>
      <c r="K329" s="8" t="s">
        <v>32</v>
      </c>
      <c r="L329" s="11" t="s">
        <v>27</v>
      </c>
      <c r="M329" s="7" t="s">
        <v>715</v>
      </c>
      <c r="N329" s="175" t="b">
        <v>1</v>
      </c>
      <c r="O329" s="15" t="b">
        <f t="shared" si="2"/>
        <v>0</v>
      </c>
      <c r="P329" s="15" t="str">
        <f t="shared" si="3"/>
        <v>PENDING</v>
      </c>
    </row>
    <row r="330" ht="15.75" customHeight="1">
      <c r="A330" s="24" t="s">
        <v>1108</v>
      </c>
      <c r="B330" s="25" t="s">
        <v>398</v>
      </c>
      <c r="C330" s="26">
        <v>45873.0</v>
      </c>
      <c r="D330" s="26">
        <v>45755.0</v>
      </c>
      <c r="E330" s="24" t="s">
        <v>177</v>
      </c>
      <c r="F330" s="28" t="s">
        <v>23</v>
      </c>
      <c r="G330" s="28" t="s">
        <v>172</v>
      </c>
      <c r="H330" s="28" t="s">
        <v>84</v>
      </c>
      <c r="I330" s="96" t="s">
        <v>399</v>
      </c>
      <c r="J330" s="97" t="s">
        <v>1109</v>
      </c>
      <c r="K330" s="25"/>
      <c r="L330" s="28" t="s">
        <v>27</v>
      </c>
      <c r="M330" s="24" t="s">
        <v>177</v>
      </c>
      <c r="N330" s="14" t="b">
        <f t="shared" ref="N330:N335" si="22">if(H330=$H$2,TRUE,O330)</f>
        <v>0</v>
      </c>
      <c r="O330" s="15" t="b">
        <f t="shared" si="2"/>
        <v>0</v>
      </c>
      <c r="P330" s="15" t="str">
        <f t="shared" si="3"/>
        <v>PENDING</v>
      </c>
    </row>
    <row r="331" ht="15.75" customHeight="1">
      <c r="A331" s="24" t="s">
        <v>1110</v>
      </c>
      <c r="B331" s="25" t="s">
        <v>1111</v>
      </c>
      <c r="C331" s="26">
        <v>45873.0</v>
      </c>
      <c r="D331" s="26">
        <v>45755.0</v>
      </c>
      <c r="E331" s="24" t="s">
        <v>177</v>
      </c>
      <c r="F331" s="28" t="s">
        <v>23</v>
      </c>
      <c r="G331" s="28" t="s">
        <v>172</v>
      </c>
      <c r="H331" s="28" t="s">
        <v>84</v>
      </c>
      <c r="I331" s="96" t="s">
        <v>1112</v>
      </c>
      <c r="J331" s="97" t="s">
        <v>1113</v>
      </c>
      <c r="K331" s="25"/>
      <c r="L331" s="28" t="s">
        <v>27</v>
      </c>
      <c r="M331" s="24" t="s">
        <v>177</v>
      </c>
      <c r="N331" s="14" t="b">
        <f t="shared" si="22"/>
        <v>0</v>
      </c>
      <c r="O331" s="15" t="b">
        <f t="shared" si="2"/>
        <v>0</v>
      </c>
      <c r="P331" s="15" t="str">
        <f t="shared" si="3"/>
        <v>PENDING</v>
      </c>
    </row>
    <row r="332" ht="15.75" customHeight="1">
      <c r="A332" s="24" t="s">
        <v>1114</v>
      </c>
      <c r="B332" s="25" t="s">
        <v>132</v>
      </c>
      <c r="C332" s="26">
        <v>45873.0</v>
      </c>
      <c r="D332" s="26">
        <v>45755.0</v>
      </c>
      <c r="E332" s="24" t="s">
        <v>177</v>
      </c>
      <c r="F332" s="28" t="s">
        <v>23</v>
      </c>
      <c r="G332" s="28" t="s">
        <v>172</v>
      </c>
      <c r="H332" s="28" t="s">
        <v>49</v>
      </c>
      <c r="I332" s="96" t="s">
        <v>242</v>
      </c>
      <c r="J332" s="97" t="s">
        <v>1115</v>
      </c>
      <c r="K332" s="25"/>
      <c r="L332" s="28" t="s">
        <v>27</v>
      </c>
      <c r="M332" s="24" t="s">
        <v>177</v>
      </c>
      <c r="N332" s="14" t="b">
        <f t="shared" si="22"/>
        <v>0</v>
      </c>
      <c r="O332" s="15" t="b">
        <f t="shared" si="2"/>
        <v>0</v>
      </c>
      <c r="P332" s="15" t="str">
        <f t="shared" si="3"/>
        <v>PENDING</v>
      </c>
    </row>
    <row r="333" ht="15.75" customHeight="1">
      <c r="A333" s="7" t="s">
        <v>1116</v>
      </c>
      <c r="B333" s="8" t="s">
        <v>113</v>
      </c>
      <c r="C333" s="9">
        <v>45874.0</v>
      </c>
      <c r="D333" s="9">
        <v>45785.0</v>
      </c>
      <c r="E333" s="7" t="s">
        <v>177</v>
      </c>
      <c r="F333" s="11" t="s">
        <v>23</v>
      </c>
      <c r="G333" s="11" t="s">
        <v>172</v>
      </c>
      <c r="H333" s="11" t="s">
        <v>25</v>
      </c>
      <c r="I333" s="16" t="s">
        <v>114</v>
      </c>
      <c r="J333" s="49" t="s">
        <v>1117</v>
      </c>
      <c r="K333" s="13"/>
      <c r="L333" s="11" t="s">
        <v>27</v>
      </c>
      <c r="M333" s="7" t="s">
        <v>177</v>
      </c>
      <c r="N333" s="14" t="b">
        <f t="shared" si="22"/>
        <v>1</v>
      </c>
      <c r="O333" s="15" t="b">
        <f t="shared" si="2"/>
        <v>0</v>
      </c>
      <c r="P333" s="15" t="str">
        <f t="shared" si="3"/>
        <v>APPROVED</v>
      </c>
    </row>
    <row r="334" ht="15.75" customHeight="1">
      <c r="A334" s="7" t="s">
        <v>1118</v>
      </c>
      <c r="B334" s="13" t="s">
        <v>119</v>
      </c>
      <c r="C334" s="9">
        <v>45875.0</v>
      </c>
      <c r="D334" s="9">
        <v>45816.0</v>
      </c>
      <c r="E334" s="7" t="s">
        <v>22</v>
      </c>
      <c r="F334" s="11" t="s">
        <v>23</v>
      </c>
      <c r="G334" s="11" t="s">
        <v>48</v>
      </c>
      <c r="H334" s="11" t="s">
        <v>25</v>
      </c>
      <c r="I334" s="16" t="s">
        <v>120</v>
      </c>
      <c r="J334" s="49" t="s">
        <v>1119</v>
      </c>
      <c r="K334" s="13"/>
      <c r="L334" s="11" t="s">
        <v>27</v>
      </c>
      <c r="M334" s="7" t="s">
        <v>22</v>
      </c>
      <c r="N334" s="14" t="b">
        <f t="shared" si="22"/>
        <v>1</v>
      </c>
      <c r="O334" s="15" t="b">
        <f t="shared" si="2"/>
        <v>0</v>
      </c>
      <c r="P334" s="15" t="str">
        <f t="shared" si="3"/>
        <v>APPROVED</v>
      </c>
    </row>
    <row r="335" ht="15.75" customHeight="1">
      <c r="A335" s="95" t="s">
        <v>1120</v>
      </c>
      <c r="B335" s="98" t="s">
        <v>1121</v>
      </c>
      <c r="C335" s="129">
        <v>45875.0</v>
      </c>
      <c r="D335" s="129">
        <v>45816.0</v>
      </c>
      <c r="E335" s="95" t="s">
        <v>744</v>
      </c>
      <c r="F335" s="131" t="s">
        <v>23</v>
      </c>
      <c r="G335" s="131" t="s">
        <v>48</v>
      </c>
      <c r="H335" s="131" t="s">
        <v>482</v>
      </c>
      <c r="I335" s="96" t="s">
        <v>1122</v>
      </c>
      <c r="J335" s="97" t="s">
        <v>1123</v>
      </c>
      <c r="K335" s="98"/>
      <c r="L335" s="131" t="s">
        <v>27</v>
      </c>
      <c r="M335" s="95" t="s">
        <v>744</v>
      </c>
      <c r="N335" s="14" t="b">
        <f t="shared" si="22"/>
        <v>0</v>
      </c>
      <c r="O335" s="15" t="b">
        <f t="shared" si="2"/>
        <v>0</v>
      </c>
      <c r="P335" s="15" t="str">
        <f t="shared" si="3"/>
        <v>PENDING</v>
      </c>
    </row>
    <row r="336" ht="15.75" customHeight="1">
      <c r="A336" s="7" t="s">
        <v>1124</v>
      </c>
      <c r="B336" s="8" t="s">
        <v>714</v>
      </c>
      <c r="C336" s="9">
        <v>45869.0</v>
      </c>
      <c r="D336" s="9">
        <v>45869.0</v>
      </c>
      <c r="E336" s="7" t="s">
        <v>715</v>
      </c>
      <c r="F336" s="11" t="s">
        <v>716</v>
      </c>
      <c r="G336" s="11" t="s">
        <v>30</v>
      </c>
      <c r="H336" s="7" t="s">
        <v>31</v>
      </c>
      <c r="I336" s="16" t="s">
        <v>1125</v>
      </c>
      <c r="J336" s="49"/>
      <c r="K336" s="8" t="s">
        <v>914</v>
      </c>
      <c r="L336" s="11" t="s">
        <v>27</v>
      </c>
      <c r="M336" s="7" t="s">
        <v>715</v>
      </c>
      <c r="N336" s="175" t="b">
        <v>1</v>
      </c>
      <c r="O336" s="15" t="b">
        <f t="shared" si="2"/>
        <v>0</v>
      </c>
      <c r="P336" s="15" t="str">
        <f t="shared" si="3"/>
        <v>PENDING</v>
      </c>
    </row>
    <row r="337" ht="15.75" customHeight="1">
      <c r="A337" s="7" t="s">
        <v>1126</v>
      </c>
      <c r="B337" s="8" t="s">
        <v>999</v>
      </c>
      <c r="C337" s="9">
        <v>45869.0</v>
      </c>
      <c r="D337" s="9">
        <v>45869.0</v>
      </c>
      <c r="E337" s="7" t="s">
        <v>715</v>
      </c>
      <c r="F337" s="11" t="s">
        <v>23</v>
      </c>
      <c r="G337" s="11" t="s">
        <v>30</v>
      </c>
      <c r="H337" s="11" t="s">
        <v>25</v>
      </c>
      <c r="I337" s="16"/>
      <c r="J337" s="12"/>
      <c r="K337" s="13"/>
      <c r="L337" s="11" t="s">
        <v>27</v>
      </c>
      <c r="M337" s="7" t="s">
        <v>715</v>
      </c>
      <c r="N337" s="14" t="b">
        <f t="shared" ref="N337:N343" si="23">if(H337=$H$2,TRUE,O337)</f>
        <v>1</v>
      </c>
      <c r="O337" s="15" t="b">
        <f t="shared" si="2"/>
        <v>0</v>
      </c>
      <c r="P337" s="15" t="str">
        <f t="shared" si="3"/>
        <v>APPROVED</v>
      </c>
    </row>
    <row r="338" ht="15.75" customHeight="1">
      <c r="A338" s="7" t="s">
        <v>1127</v>
      </c>
      <c r="B338" s="13" t="s">
        <v>930</v>
      </c>
      <c r="C338" s="9">
        <v>45875.0</v>
      </c>
      <c r="D338" s="9">
        <v>45816.0</v>
      </c>
      <c r="E338" s="7" t="s">
        <v>177</v>
      </c>
      <c r="F338" s="11" t="s">
        <v>23</v>
      </c>
      <c r="G338" s="11" t="s">
        <v>172</v>
      </c>
      <c r="H338" s="11" t="s">
        <v>25</v>
      </c>
      <c r="I338" s="16"/>
      <c r="J338" s="12" t="s">
        <v>1128</v>
      </c>
      <c r="K338" s="13"/>
      <c r="L338" s="11" t="s">
        <v>27</v>
      </c>
      <c r="M338" s="7" t="s">
        <v>177</v>
      </c>
      <c r="N338" s="14" t="b">
        <f t="shared" si="23"/>
        <v>1</v>
      </c>
      <c r="O338" s="15" t="b">
        <f t="shared" si="2"/>
        <v>0</v>
      </c>
      <c r="P338" s="15" t="str">
        <f t="shared" si="3"/>
        <v>APPROVED</v>
      </c>
    </row>
    <row r="339" ht="15.75" customHeight="1">
      <c r="A339" s="24" t="s">
        <v>1129</v>
      </c>
      <c r="B339" s="25" t="s">
        <v>1130</v>
      </c>
      <c r="C339" s="26">
        <v>45875.0</v>
      </c>
      <c r="D339" s="26">
        <v>45816.0</v>
      </c>
      <c r="E339" s="24" t="s">
        <v>177</v>
      </c>
      <c r="F339" s="28" t="s">
        <v>23</v>
      </c>
      <c r="G339" s="28" t="s">
        <v>172</v>
      </c>
      <c r="H339" s="28" t="s">
        <v>84</v>
      </c>
      <c r="J339" s="29" t="s">
        <v>1131</v>
      </c>
      <c r="K339" s="132"/>
      <c r="L339" s="28" t="s">
        <v>27</v>
      </c>
      <c r="M339" s="24" t="s">
        <v>177</v>
      </c>
      <c r="N339" s="14" t="b">
        <f t="shared" si="23"/>
        <v>0</v>
      </c>
      <c r="O339" s="15" t="b">
        <f t="shared" si="2"/>
        <v>0</v>
      </c>
      <c r="P339" s="15" t="str">
        <f t="shared" si="3"/>
        <v>PENDING</v>
      </c>
    </row>
    <row r="340" ht="15.75" customHeight="1">
      <c r="A340" s="7" t="s">
        <v>1132</v>
      </c>
      <c r="B340" s="13" t="s">
        <v>640</v>
      </c>
      <c r="C340" s="9">
        <v>45875.0</v>
      </c>
      <c r="D340" s="9">
        <v>45816.0</v>
      </c>
      <c r="E340" s="7" t="s">
        <v>177</v>
      </c>
      <c r="F340" s="11" t="s">
        <v>23</v>
      </c>
      <c r="G340" s="11" t="s">
        <v>172</v>
      </c>
      <c r="H340" s="11" t="s">
        <v>25</v>
      </c>
      <c r="I340" s="16"/>
      <c r="J340" s="12" t="s">
        <v>1133</v>
      </c>
      <c r="K340" s="13"/>
      <c r="L340" s="11" t="s">
        <v>27</v>
      </c>
      <c r="M340" s="7" t="s">
        <v>177</v>
      </c>
      <c r="N340" s="14" t="b">
        <f t="shared" si="23"/>
        <v>1</v>
      </c>
      <c r="O340" s="15" t="b">
        <f t="shared" si="2"/>
        <v>0</v>
      </c>
      <c r="P340" s="15" t="str">
        <f t="shared" si="3"/>
        <v>APPROVED</v>
      </c>
    </row>
    <row r="341" ht="15.75" customHeight="1">
      <c r="A341" s="24" t="s">
        <v>1134</v>
      </c>
      <c r="B341" s="25" t="s">
        <v>1135</v>
      </c>
      <c r="C341" s="26">
        <v>45875.0</v>
      </c>
      <c r="D341" s="26">
        <v>45816.0</v>
      </c>
      <c r="E341" s="24" t="s">
        <v>177</v>
      </c>
      <c r="F341" s="28" t="s">
        <v>23</v>
      </c>
      <c r="G341" s="28" t="s">
        <v>172</v>
      </c>
      <c r="H341" s="28" t="s">
        <v>84</v>
      </c>
      <c r="J341" s="29" t="s">
        <v>1136</v>
      </c>
      <c r="K341" s="132"/>
      <c r="L341" s="28" t="s">
        <v>27</v>
      </c>
      <c r="M341" s="24" t="s">
        <v>177</v>
      </c>
      <c r="N341" s="14" t="b">
        <f t="shared" si="23"/>
        <v>0</v>
      </c>
      <c r="O341" s="15" t="b">
        <f t="shared" si="2"/>
        <v>0</v>
      </c>
      <c r="P341" s="15" t="str">
        <f t="shared" si="3"/>
        <v>PENDING</v>
      </c>
    </row>
    <row r="342" ht="15.75" customHeight="1">
      <c r="A342" s="24" t="s">
        <v>1137</v>
      </c>
      <c r="B342" s="25" t="s">
        <v>1138</v>
      </c>
      <c r="C342" s="26">
        <v>45875.0</v>
      </c>
      <c r="D342" s="26">
        <v>45877.0</v>
      </c>
      <c r="E342" s="24" t="s">
        <v>177</v>
      </c>
      <c r="F342" s="28" t="s">
        <v>23</v>
      </c>
      <c r="G342" s="28" t="s">
        <v>35</v>
      </c>
      <c r="H342" s="28" t="s">
        <v>84</v>
      </c>
      <c r="J342" s="29" t="s">
        <v>1139</v>
      </c>
      <c r="K342" s="132"/>
      <c r="L342" s="28" t="s">
        <v>27</v>
      </c>
      <c r="M342" s="24" t="s">
        <v>177</v>
      </c>
      <c r="N342" s="14" t="b">
        <f t="shared" si="23"/>
        <v>0</v>
      </c>
      <c r="O342" s="15" t="b">
        <f t="shared" si="2"/>
        <v>0</v>
      </c>
      <c r="P342" s="15" t="str">
        <f t="shared" si="3"/>
        <v>PENDING</v>
      </c>
    </row>
    <row r="343" ht="15.75" customHeight="1">
      <c r="A343" s="39" t="s">
        <v>1140</v>
      </c>
      <c r="B343" s="37" t="s">
        <v>1099</v>
      </c>
      <c r="C343" s="38">
        <v>45875.0</v>
      </c>
      <c r="D343" s="9">
        <v>45877.0</v>
      </c>
      <c r="E343" s="39" t="s">
        <v>715</v>
      </c>
      <c r="F343" s="41" t="s">
        <v>23</v>
      </c>
      <c r="G343" s="41" t="s">
        <v>30</v>
      </c>
      <c r="H343" s="41" t="s">
        <v>25</v>
      </c>
      <c r="I343" s="76"/>
      <c r="J343" s="12"/>
      <c r="K343" s="13"/>
      <c r="L343" s="41" t="s">
        <v>27</v>
      </c>
      <c r="M343" s="39" t="s">
        <v>715</v>
      </c>
      <c r="N343" s="14" t="b">
        <f t="shared" si="23"/>
        <v>1</v>
      </c>
      <c r="O343" s="15" t="b">
        <f t="shared" si="2"/>
        <v>0</v>
      </c>
      <c r="P343" s="15" t="str">
        <f t="shared" si="3"/>
        <v>APPROVED</v>
      </c>
    </row>
    <row r="344" ht="15.75" customHeight="1">
      <c r="A344" s="24" t="s">
        <v>1141</v>
      </c>
      <c r="B344" s="25" t="s">
        <v>1142</v>
      </c>
      <c r="C344" s="26">
        <v>45877.0</v>
      </c>
      <c r="D344" s="26"/>
      <c r="E344" s="24" t="s">
        <v>744</v>
      </c>
      <c r="F344" s="28" t="s">
        <v>23</v>
      </c>
      <c r="G344" s="28" t="s">
        <v>172</v>
      </c>
      <c r="H344" s="28" t="s">
        <v>25</v>
      </c>
      <c r="J344" s="29" t="s">
        <v>1143</v>
      </c>
      <c r="K344" s="57" t="s">
        <v>1144</v>
      </c>
      <c r="L344" s="28" t="s">
        <v>27</v>
      </c>
      <c r="M344" s="24" t="s">
        <v>744</v>
      </c>
      <c r="N344" s="175" t="b">
        <v>0</v>
      </c>
      <c r="O344" s="15" t="b">
        <f t="shared" si="2"/>
        <v>0</v>
      </c>
      <c r="P344" s="15" t="str">
        <f t="shared" si="3"/>
        <v>APPROVED</v>
      </c>
    </row>
    <row r="345" ht="15.75" customHeight="1">
      <c r="A345" s="7" t="s">
        <v>1145</v>
      </c>
      <c r="B345" s="13" t="s">
        <v>194</v>
      </c>
      <c r="C345" s="9">
        <v>45877.0</v>
      </c>
      <c r="D345" s="9">
        <v>45877.0</v>
      </c>
      <c r="E345" s="7" t="s">
        <v>177</v>
      </c>
      <c r="F345" s="11" t="s">
        <v>23</v>
      </c>
      <c r="G345" s="11" t="s">
        <v>172</v>
      </c>
      <c r="H345" s="11" t="s">
        <v>25</v>
      </c>
      <c r="I345" s="16"/>
      <c r="J345" s="12" t="s">
        <v>781</v>
      </c>
      <c r="K345" s="13"/>
      <c r="L345" s="11" t="s">
        <v>27</v>
      </c>
      <c r="M345" s="7" t="s">
        <v>177</v>
      </c>
      <c r="N345" s="14" t="b">
        <f t="shared" ref="N345:N351" si="24">if(H345=$H$2,TRUE,O345)</f>
        <v>1</v>
      </c>
      <c r="O345" s="15" t="b">
        <f t="shared" si="2"/>
        <v>0</v>
      </c>
      <c r="P345" s="15" t="str">
        <f t="shared" si="3"/>
        <v>APPROVED</v>
      </c>
    </row>
    <row r="346" ht="15.75" customHeight="1">
      <c r="A346" s="24" t="s">
        <v>1146</v>
      </c>
      <c r="B346" s="25" t="s">
        <v>515</v>
      </c>
      <c r="C346" s="26">
        <v>45878.0</v>
      </c>
      <c r="D346" s="26">
        <v>45908.0</v>
      </c>
      <c r="E346" s="24" t="s">
        <v>177</v>
      </c>
      <c r="F346" s="28" t="s">
        <v>23</v>
      </c>
      <c r="G346" s="28" t="s">
        <v>172</v>
      </c>
      <c r="H346" s="28" t="s">
        <v>482</v>
      </c>
      <c r="J346" s="29"/>
      <c r="K346" s="132"/>
      <c r="L346" s="28" t="s">
        <v>27</v>
      </c>
      <c r="M346" s="24" t="s">
        <v>177</v>
      </c>
      <c r="N346" s="14" t="b">
        <f t="shared" si="24"/>
        <v>0</v>
      </c>
      <c r="O346" s="15" t="b">
        <f t="shared" si="2"/>
        <v>0</v>
      </c>
      <c r="P346" s="15" t="str">
        <f t="shared" si="3"/>
        <v>PENDING</v>
      </c>
    </row>
    <row r="347" ht="15.75" customHeight="1">
      <c r="A347" s="24" t="s">
        <v>1147</v>
      </c>
      <c r="B347" s="25" t="s">
        <v>519</v>
      </c>
      <c r="C347" s="26">
        <v>45878.0</v>
      </c>
      <c r="D347" s="26">
        <v>45908.0</v>
      </c>
      <c r="E347" s="24" t="s">
        <v>177</v>
      </c>
      <c r="F347" s="28" t="s">
        <v>23</v>
      </c>
      <c r="G347" s="28" t="s">
        <v>172</v>
      </c>
      <c r="H347" s="28" t="s">
        <v>84</v>
      </c>
      <c r="J347" s="29" t="s">
        <v>1148</v>
      </c>
      <c r="K347" s="132"/>
      <c r="L347" s="28" t="s">
        <v>27</v>
      </c>
      <c r="M347" s="24" t="s">
        <v>177</v>
      </c>
      <c r="N347" s="14" t="b">
        <f t="shared" si="24"/>
        <v>0</v>
      </c>
      <c r="O347" s="15" t="b">
        <f t="shared" si="2"/>
        <v>0</v>
      </c>
      <c r="P347" s="15" t="str">
        <f t="shared" si="3"/>
        <v>PENDING</v>
      </c>
    </row>
    <row r="348" ht="15.75" customHeight="1">
      <c r="A348" s="7" t="s">
        <v>1149</v>
      </c>
      <c r="B348" s="8" t="s">
        <v>276</v>
      </c>
      <c r="C348" s="9">
        <v>45878.0</v>
      </c>
      <c r="D348" s="9">
        <v>45908.0</v>
      </c>
      <c r="E348" s="7" t="s">
        <v>177</v>
      </c>
      <c r="F348" s="11" t="s">
        <v>23</v>
      </c>
      <c r="G348" s="11" t="s">
        <v>172</v>
      </c>
      <c r="H348" s="11" t="s">
        <v>25</v>
      </c>
      <c r="I348" s="16"/>
      <c r="J348" s="12" t="s">
        <v>1150</v>
      </c>
      <c r="K348" s="13"/>
      <c r="L348" s="11" t="s">
        <v>27</v>
      </c>
      <c r="M348" s="7" t="s">
        <v>177</v>
      </c>
      <c r="N348" s="14" t="b">
        <f t="shared" si="24"/>
        <v>1</v>
      </c>
      <c r="O348" s="15" t="b">
        <f t="shared" si="2"/>
        <v>0</v>
      </c>
      <c r="P348" s="15" t="str">
        <f t="shared" si="3"/>
        <v>APPROVED</v>
      </c>
    </row>
    <row r="349" ht="15.75" customHeight="1">
      <c r="A349" s="7" t="s">
        <v>1151</v>
      </c>
      <c r="B349" s="48" t="s">
        <v>680</v>
      </c>
      <c r="C349" s="9">
        <v>45856.0</v>
      </c>
      <c r="D349" s="72">
        <v>45856.0</v>
      </c>
      <c r="E349" s="7" t="s">
        <v>171</v>
      </c>
      <c r="F349" s="11" t="s">
        <v>23</v>
      </c>
      <c r="G349" s="11" t="s">
        <v>172</v>
      </c>
      <c r="H349" s="11" t="s">
        <v>25</v>
      </c>
      <c r="I349" s="16"/>
      <c r="J349" s="12" t="s">
        <v>1152</v>
      </c>
      <c r="K349" s="13"/>
      <c r="L349" s="11" t="s">
        <v>27</v>
      </c>
      <c r="M349" s="7" t="s">
        <v>171</v>
      </c>
      <c r="N349" s="14" t="b">
        <f t="shared" si="24"/>
        <v>1</v>
      </c>
      <c r="O349" s="15" t="b">
        <f t="shared" si="2"/>
        <v>0</v>
      </c>
      <c r="P349" s="15" t="str">
        <f t="shared" si="3"/>
        <v>APPROVED</v>
      </c>
    </row>
    <row r="350" ht="15.75" customHeight="1">
      <c r="A350" s="7" t="s">
        <v>1153</v>
      </c>
      <c r="B350" s="13" t="s">
        <v>1154</v>
      </c>
      <c r="C350" s="9">
        <v>45839.0</v>
      </c>
      <c r="D350" s="9">
        <v>45664.0</v>
      </c>
      <c r="E350" s="7" t="s">
        <v>171</v>
      </c>
      <c r="F350" s="11" t="s">
        <v>23</v>
      </c>
      <c r="G350" s="11" t="s">
        <v>172</v>
      </c>
      <c r="H350" s="11" t="s">
        <v>25</v>
      </c>
      <c r="I350" s="16"/>
      <c r="J350" s="12" t="s">
        <v>1155</v>
      </c>
      <c r="K350" s="13"/>
      <c r="L350" s="11" t="s">
        <v>27</v>
      </c>
      <c r="M350" s="7" t="s">
        <v>171</v>
      </c>
      <c r="N350" s="14" t="b">
        <f t="shared" si="24"/>
        <v>1</v>
      </c>
      <c r="O350" s="15" t="b">
        <f t="shared" si="2"/>
        <v>0</v>
      </c>
      <c r="P350" s="15" t="str">
        <f t="shared" si="3"/>
        <v>APPROVED</v>
      </c>
    </row>
    <row r="351" ht="15.75" customHeight="1">
      <c r="A351" s="24" t="s">
        <v>1156</v>
      </c>
      <c r="B351" s="25" t="s">
        <v>1157</v>
      </c>
      <c r="C351" s="26">
        <v>45839.0</v>
      </c>
      <c r="D351" s="26">
        <v>45664.0</v>
      </c>
      <c r="E351" s="24" t="s">
        <v>171</v>
      </c>
      <c r="F351" s="28" t="s">
        <v>23</v>
      </c>
      <c r="G351" s="28" t="s">
        <v>172</v>
      </c>
      <c r="H351" s="28" t="s">
        <v>84</v>
      </c>
      <c r="J351" s="29" t="s">
        <v>1158</v>
      </c>
      <c r="K351" s="132"/>
      <c r="L351" s="28" t="s">
        <v>27</v>
      </c>
      <c r="M351" s="24" t="s">
        <v>171</v>
      </c>
      <c r="N351" s="14" t="b">
        <f t="shared" si="24"/>
        <v>0</v>
      </c>
      <c r="O351" s="15" t="b">
        <f t="shared" si="2"/>
        <v>0</v>
      </c>
      <c r="P351" s="15" t="str">
        <f t="shared" si="3"/>
        <v>PENDING</v>
      </c>
    </row>
    <row r="352" ht="15.75" customHeight="1">
      <c r="A352" s="7" t="s">
        <v>1159</v>
      </c>
      <c r="B352" s="13" t="s">
        <v>455</v>
      </c>
      <c r="C352" s="9">
        <v>45880.0</v>
      </c>
      <c r="D352" s="9">
        <v>45969.0</v>
      </c>
      <c r="E352" s="7" t="s">
        <v>171</v>
      </c>
      <c r="F352" s="11" t="s">
        <v>23</v>
      </c>
      <c r="G352" s="11"/>
      <c r="H352" s="11" t="s">
        <v>31</v>
      </c>
      <c r="I352" s="16"/>
      <c r="J352" s="49"/>
      <c r="K352" s="13"/>
      <c r="L352" s="11" t="s">
        <v>417</v>
      </c>
      <c r="M352" s="24" t="s">
        <v>171</v>
      </c>
      <c r="N352" s="175" t="b">
        <v>1</v>
      </c>
      <c r="O352" s="15" t="b">
        <f t="shared" si="2"/>
        <v>0</v>
      </c>
      <c r="P352" s="15" t="str">
        <f t="shared" si="3"/>
        <v>PENDING</v>
      </c>
    </row>
    <row r="353" ht="15.75" customHeight="1">
      <c r="A353" s="24" t="s">
        <v>1160</v>
      </c>
      <c r="B353" s="25" t="s">
        <v>1161</v>
      </c>
      <c r="C353" s="26">
        <v>45848.0</v>
      </c>
      <c r="D353" s="26">
        <v>45937.0</v>
      </c>
      <c r="E353" s="24" t="s">
        <v>715</v>
      </c>
      <c r="F353" s="28" t="s">
        <v>23</v>
      </c>
      <c r="G353" s="28" t="s">
        <v>172</v>
      </c>
      <c r="H353" s="28" t="s">
        <v>49</v>
      </c>
      <c r="J353" s="29"/>
      <c r="K353" s="25"/>
      <c r="L353" s="28" t="s">
        <v>27</v>
      </c>
      <c r="M353" s="24" t="s">
        <v>715</v>
      </c>
      <c r="N353" s="14" t="b">
        <f t="shared" ref="N353:N360" si="25">if(H353=$H$2,TRUE,O353)</f>
        <v>0</v>
      </c>
      <c r="O353" s="15" t="b">
        <f t="shared" si="2"/>
        <v>0</v>
      </c>
      <c r="P353" s="15" t="str">
        <f t="shared" si="3"/>
        <v>PENDING</v>
      </c>
    </row>
    <row r="354" ht="15.75" customHeight="1">
      <c r="A354" s="24" t="s">
        <v>1162</v>
      </c>
      <c r="B354" s="115" t="s">
        <v>117</v>
      </c>
      <c r="C354" s="26">
        <v>45881.0</v>
      </c>
      <c r="D354" s="26">
        <v>45999.0</v>
      </c>
      <c r="E354" s="24" t="s">
        <v>22</v>
      </c>
      <c r="F354" s="28" t="s">
        <v>23</v>
      </c>
      <c r="G354" s="28" t="s">
        <v>30</v>
      </c>
      <c r="H354" s="24" t="s">
        <v>31</v>
      </c>
      <c r="J354" s="29"/>
      <c r="K354" s="115" t="s">
        <v>716</v>
      </c>
      <c r="L354" s="68" t="s">
        <v>417</v>
      </c>
      <c r="M354" s="24" t="s">
        <v>22</v>
      </c>
      <c r="N354" s="14" t="b">
        <f t="shared" si="25"/>
        <v>0</v>
      </c>
      <c r="O354" s="15" t="b">
        <f t="shared" si="2"/>
        <v>0</v>
      </c>
      <c r="P354" s="15" t="str">
        <f t="shared" si="3"/>
        <v>PENDING</v>
      </c>
    </row>
    <row r="355" ht="15.75" customHeight="1">
      <c r="A355" s="7" t="s">
        <v>1163</v>
      </c>
      <c r="B355" s="13" t="s">
        <v>1164</v>
      </c>
      <c r="C355" s="9">
        <v>45880.0</v>
      </c>
      <c r="D355" s="9">
        <v>45882.0</v>
      </c>
      <c r="E355" s="7" t="s">
        <v>22</v>
      </c>
      <c r="F355" s="11" t="s">
        <v>23</v>
      </c>
      <c r="G355" s="11" t="s">
        <v>30</v>
      </c>
      <c r="H355" s="11" t="s">
        <v>25</v>
      </c>
      <c r="I355" s="16"/>
      <c r="J355" s="12"/>
      <c r="K355" s="13"/>
      <c r="L355" s="11" t="s">
        <v>27</v>
      </c>
      <c r="M355" s="7" t="s">
        <v>22</v>
      </c>
      <c r="N355" s="14" t="b">
        <f t="shared" si="25"/>
        <v>1</v>
      </c>
      <c r="O355" s="15" t="b">
        <f t="shared" si="2"/>
        <v>0</v>
      </c>
      <c r="P355" s="15" t="str">
        <f t="shared" si="3"/>
        <v>APPROVED</v>
      </c>
    </row>
    <row r="356" ht="15.75" customHeight="1">
      <c r="A356" s="24" t="s">
        <v>1165</v>
      </c>
      <c r="B356" s="25" t="s">
        <v>743</v>
      </c>
      <c r="C356" s="26">
        <v>45880.0</v>
      </c>
      <c r="D356" s="26"/>
      <c r="E356" s="24" t="s">
        <v>744</v>
      </c>
      <c r="F356" s="28" t="s">
        <v>23</v>
      </c>
      <c r="G356" s="28" t="s">
        <v>172</v>
      </c>
      <c r="H356" s="28" t="s">
        <v>84</v>
      </c>
      <c r="J356" s="133" t="s">
        <v>1166</v>
      </c>
      <c r="K356" s="25"/>
      <c r="L356" s="28" t="s">
        <v>27</v>
      </c>
      <c r="M356" s="24" t="s">
        <v>744</v>
      </c>
      <c r="N356" s="14" t="b">
        <f t="shared" si="25"/>
        <v>0</v>
      </c>
      <c r="O356" s="15" t="b">
        <f t="shared" si="2"/>
        <v>0</v>
      </c>
      <c r="P356" s="15" t="str">
        <f t="shared" si="3"/>
        <v>PENDING</v>
      </c>
    </row>
    <row r="357" ht="15.75" customHeight="1">
      <c r="A357" s="7" t="s">
        <v>1167</v>
      </c>
      <c r="B357" s="13" t="s">
        <v>737</v>
      </c>
      <c r="C357" s="9">
        <v>45881.0</v>
      </c>
      <c r="D357" s="9">
        <v>45999.0</v>
      </c>
      <c r="E357" s="7" t="s">
        <v>177</v>
      </c>
      <c r="F357" s="11" t="s">
        <v>23</v>
      </c>
      <c r="G357" s="11" t="s">
        <v>172</v>
      </c>
      <c r="H357" s="11" t="s">
        <v>25</v>
      </c>
      <c r="I357" s="16"/>
      <c r="J357" s="12" t="s">
        <v>1005</v>
      </c>
      <c r="K357" s="13"/>
      <c r="L357" s="11" t="s">
        <v>27</v>
      </c>
      <c r="M357" s="7" t="s">
        <v>177</v>
      </c>
      <c r="N357" s="14" t="b">
        <f t="shared" si="25"/>
        <v>1</v>
      </c>
      <c r="O357" s="15" t="b">
        <f t="shared" si="2"/>
        <v>0</v>
      </c>
      <c r="P357" s="15" t="str">
        <f t="shared" si="3"/>
        <v>APPROVED</v>
      </c>
    </row>
    <row r="358" ht="15.75" customHeight="1">
      <c r="A358" s="7" t="s">
        <v>1168</v>
      </c>
      <c r="B358" s="13" t="s">
        <v>1007</v>
      </c>
      <c r="C358" s="9">
        <v>45881.0</v>
      </c>
      <c r="D358" s="9">
        <v>45999.0</v>
      </c>
      <c r="E358" s="7" t="s">
        <v>177</v>
      </c>
      <c r="F358" s="11" t="s">
        <v>23</v>
      </c>
      <c r="G358" s="11" t="s">
        <v>30</v>
      </c>
      <c r="H358" s="11" t="s">
        <v>25</v>
      </c>
      <c r="I358" s="16"/>
      <c r="J358" s="12" t="s">
        <v>274</v>
      </c>
      <c r="K358" s="13"/>
      <c r="L358" s="11" t="s">
        <v>27</v>
      </c>
      <c r="M358" s="7" t="s">
        <v>177</v>
      </c>
      <c r="N358" s="14" t="b">
        <f t="shared" si="25"/>
        <v>1</v>
      </c>
      <c r="O358" s="15" t="b">
        <f t="shared" si="2"/>
        <v>0</v>
      </c>
      <c r="P358" s="15" t="str">
        <f t="shared" si="3"/>
        <v>APPROVED</v>
      </c>
    </row>
    <row r="359" ht="15.75" customHeight="1">
      <c r="A359" s="7" t="s">
        <v>1169</v>
      </c>
      <c r="B359" s="8" t="s">
        <v>1079</v>
      </c>
      <c r="C359" s="9">
        <v>45881.0</v>
      </c>
      <c r="D359" s="9">
        <v>45999.0</v>
      </c>
      <c r="E359" s="7" t="s">
        <v>715</v>
      </c>
      <c r="F359" s="11" t="s">
        <v>23</v>
      </c>
      <c r="G359" s="11" t="s">
        <v>35</v>
      </c>
      <c r="H359" s="11" t="s">
        <v>25</v>
      </c>
      <c r="I359" s="16"/>
      <c r="J359" s="12" t="s">
        <v>1081</v>
      </c>
      <c r="K359" s="13"/>
      <c r="L359" s="11" t="s">
        <v>27</v>
      </c>
      <c r="M359" s="7" t="s">
        <v>715</v>
      </c>
      <c r="N359" s="14" t="b">
        <f t="shared" si="25"/>
        <v>1</v>
      </c>
      <c r="O359" s="15" t="b">
        <f t="shared" si="2"/>
        <v>0</v>
      </c>
      <c r="P359" s="15" t="str">
        <f t="shared" si="3"/>
        <v>APPROVED</v>
      </c>
    </row>
    <row r="360" ht="15.75" customHeight="1">
      <c r="A360" s="24" t="s">
        <v>1170</v>
      </c>
      <c r="B360" s="25" t="s">
        <v>504</v>
      </c>
      <c r="C360" s="26">
        <v>45881.0</v>
      </c>
      <c r="D360" s="26">
        <v>45882.0</v>
      </c>
      <c r="E360" s="24" t="s">
        <v>171</v>
      </c>
      <c r="F360" s="28" t="s">
        <v>23</v>
      </c>
      <c r="G360" s="28" t="s">
        <v>172</v>
      </c>
      <c r="H360" s="28" t="s">
        <v>49</v>
      </c>
      <c r="J360" s="29"/>
      <c r="K360" s="25"/>
      <c r="L360" s="28" t="s">
        <v>27</v>
      </c>
      <c r="M360" s="24" t="s">
        <v>171</v>
      </c>
      <c r="N360" s="14" t="b">
        <f t="shared" si="25"/>
        <v>0</v>
      </c>
      <c r="O360" s="15" t="b">
        <f t="shared" si="2"/>
        <v>0</v>
      </c>
      <c r="P360" s="15" t="str">
        <f t="shared" si="3"/>
        <v>PENDING</v>
      </c>
    </row>
    <row r="361" ht="15.75" customHeight="1">
      <c r="A361" s="24" t="s">
        <v>1171</v>
      </c>
      <c r="B361" s="115" t="s">
        <v>785</v>
      </c>
      <c r="C361" s="26">
        <v>45881.0</v>
      </c>
      <c r="D361" s="26">
        <v>45887.0</v>
      </c>
      <c r="E361" s="24" t="s">
        <v>744</v>
      </c>
      <c r="F361" s="28" t="s">
        <v>23</v>
      </c>
      <c r="G361" s="28" t="s">
        <v>172</v>
      </c>
      <c r="H361" s="28" t="s">
        <v>25</v>
      </c>
      <c r="J361" s="29" t="s">
        <v>1172</v>
      </c>
      <c r="K361" s="25"/>
      <c r="L361" s="28" t="s">
        <v>27</v>
      </c>
      <c r="M361" s="24" t="s">
        <v>744</v>
      </c>
      <c r="N361" s="175" t="b">
        <v>0</v>
      </c>
      <c r="O361" s="15" t="b">
        <f t="shared" si="2"/>
        <v>0</v>
      </c>
      <c r="P361" s="15" t="str">
        <f t="shared" si="3"/>
        <v>APPROVED</v>
      </c>
    </row>
    <row r="362" ht="15.75" customHeight="1">
      <c r="A362" s="24" t="s">
        <v>1173</v>
      </c>
      <c r="B362" s="115" t="s">
        <v>373</v>
      </c>
      <c r="C362" s="26">
        <v>45870.0</v>
      </c>
      <c r="D362" s="26">
        <v>45665.0</v>
      </c>
      <c r="E362" s="24" t="s">
        <v>177</v>
      </c>
      <c r="F362" s="28" t="s">
        <v>23</v>
      </c>
      <c r="G362" s="28" t="s">
        <v>172</v>
      </c>
      <c r="H362" s="28" t="s">
        <v>49</v>
      </c>
      <c r="J362" s="29"/>
      <c r="K362" s="25"/>
      <c r="L362" s="28" t="s">
        <v>27</v>
      </c>
      <c r="M362" s="24" t="s">
        <v>177</v>
      </c>
      <c r="N362" s="14" t="b">
        <f t="shared" ref="N362:N366" si="26">if(H362=$H$2,TRUE,O362)</f>
        <v>0</v>
      </c>
      <c r="O362" s="15" t="b">
        <f t="shared" si="2"/>
        <v>0</v>
      </c>
      <c r="P362" s="15" t="str">
        <f t="shared" si="3"/>
        <v>PENDING</v>
      </c>
    </row>
    <row r="363" ht="15.75" customHeight="1">
      <c r="A363" s="7" t="s">
        <v>1174</v>
      </c>
      <c r="B363" s="13" t="s">
        <v>829</v>
      </c>
      <c r="C363" s="9">
        <v>45882.0</v>
      </c>
      <c r="D363" s="9">
        <v>45884.0</v>
      </c>
      <c r="E363" s="7" t="s">
        <v>177</v>
      </c>
      <c r="F363" s="11" t="s">
        <v>23</v>
      </c>
      <c r="G363" s="11" t="s">
        <v>172</v>
      </c>
      <c r="H363" s="11" t="s">
        <v>25</v>
      </c>
      <c r="I363" s="16"/>
      <c r="J363" s="12" t="s">
        <v>1175</v>
      </c>
      <c r="K363" s="13"/>
      <c r="L363" s="11" t="s">
        <v>27</v>
      </c>
      <c r="M363" s="7" t="s">
        <v>177</v>
      </c>
      <c r="N363" s="14" t="b">
        <f t="shared" si="26"/>
        <v>1</v>
      </c>
      <c r="O363" s="15" t="b">
        <f t="shared" si="2"/>
        <v>0</v>
      </c>
      <c r="P363" s="15" t="str">
        <f t="shared" si="3"/>
        <v>APPROVED</v>
      </c>
    </row>
    <row r="364" ht="27.0" customHeight="1">
      <c r="A364" s="7" t="s">
        <v>1176</v>
      </c>
      <c r="B364" s="13" t="s">
        <v>473</v>
      </c>
      <c r="C364" s="9">
        <v>45882.0</v>
      </c>
      <c r="D364" s="9">
        <v>45882.0</v>
      </c>
      <c r="E364" s="7" t="s">
        <v>177</v>
      </c>
      <c r="F364" s="11" t="s">
        <v>23</v>
      </c>
      <c r="G364" s="11" t="s">
        <v>172</v>
      </c>
      <c r="H364" s="11" t="s">
        <v>25</v>
      </c>
      <c r="I364" s="16"/>
      <c r="J364" s="49" t="s">
        <v>475</v>
      </c>
      <c r="K364" s="13"/>
      <c r="L364" s="11" t="s">
        <v>27</v>
      </c>
      <c r="M364" s="7" t="s">
        <v>177</v>
      </c>
      <c r="N364" s="14" t="b">
        <f t="shared" si="26"/>
        <v>1</v>
      </c>
      <c r="O364" s="15" t="b">
        <f t="shared" si="2"/>
        <v>0</v>
      </c>
      <c r="P364" s="15" t="str">
        <f t="shared" si="3"/>
        <v>APPROVED</v>
      </c>
    </row>
    <row r="365" ht="15.75" customHeight="1">
      <c r="A365" s="24" t="s">
        <v>1177</v>
      </c>
      <c r="B365" s="25" t="s">
        <v>357</v>
      </c>
      <c r="C365" s="26">
        <v>45882.0</v>
      </c>
      <c r="D365" s="26">
        <v>45882.0</v>
      </c>
      <c r="E365" s="24" t="s">
        <v>177</v>
      </c>
      <c r="F365" s="28" t="s">
        <v>23</v>
      </c>
      <c r="G365" s="28" t="s">
        <v>172</v>
      </c>
      <c r="H365" s="28" t="s">
        <v>482</v>
      </c>
      <c r="J365" s="29"/>
      <c r="K365" s="25"/>
      <c r="L365" s="28" t="s">
        <v>27</v>
      </c>
      <c r="M365" s="24" t="s">
        <v>177</v>
      </c>
      <c r="N365" s="14" t="b">
        <f t="shared" si="26"/>
        <v>0</v>
      </c>
      <c r="O365" s="15" t="b">
        <f t="shared" si="2"/>
        <v>0</v>
      </c>
      <c r="P365" s="15" t="str">
        <f t="shared" si="3"/>
        <v>PENDING</v>
      </c>
    </row>
    <row r="366" ht="15.75" customHeight="1">
      <c r="A366" s="7" t="s">
        <v>1178</v>
      </c>
      <c r="B366" s="13" t="s">
        <v>1179</v>
      </c>
      <c r="C366" s="9">
        <v>45884.0</v>
      </c>
      <c r="D366" s="9">
        <v>45884.0</v>
      </c>
      <c r="E366" s="7" t="s">
        <v>744</v>
      </c>
      <c r="F366" s="11" t="s">
        <v>23</v>
      </c>
      <c r="G366" s="11" t="s">
        <v>172</v>
      </c>
      <c r="H366" s="11" t="s">
        <v>25</v>
      </c>
      <c r="I366" s="16"/>
      <c r="J366" s="12"/>
      <c r="K366" s="13"/>
      <c r="L366" s="11" t="s">
        <v>27</v>
      </c>
      <c r="M366" s="7" t="s">
        <v>744</v>
      </c>
      <c r="N366" s="14" t="b">
        <f t="shared" si="26"/>
        <v>1</v>
      </c>
      <c r="O366" s="15" t="b">
        <f t="shared" si="2"/>
        <v>0</v>
      </c>
      <c r="P366" s="15" t="str">
        <f t="shared" si="3"/>
        <v>APPROVED</v>
      </c>
    </row>
    <row r="367" ht="15.75" customHeight="1">
      <c r="A367" s="7" t="s">
        <v>1180</v>
      </c>
      <c r="B367" s="134" t="s">
        <v>1181</v>
      </c>
      <c r="C367" s="9">
        <v>45884.0</v>
      </c>
      <c r="D367" s="9">
        <v>45884.0</v>
      </c>
      <c r="E367" s="7" t="s">
        <v>1182</v>
      </c>
      <c r="F367" s="11" t="s">
        <v>716</v>
      </c>
      <c r="G367" s="11" t="s">
        <v>30</v>
      </c>
      <c r="H367" s="7" t="s">
        <v>31</v>
      </c>
      <c r="I367" s="16"/>
      <c r="J367" s="12"/>
      <c r="K367" s="13"/>
      <c r="L367" s="11" t="s">
        <v>27</v>
      </c>
      <c r="M367" s="7" t="s">
        <v>1182</v>
      </c>
      <c r="N367" s="175" t="b">
        <v>1</v>
      </c>
      <c r="O367" s="15" t="b">
        <f t="shared" si="2"/>
        <v>0</v>
      </c>
      <c r="P367" s="15" t="str">
        <f t="shared" si="3"/>
        <v>PENDING</v>
      </c>
    </row>
    <row r="368" ht="15.75" customHeight="1">
      <c r="A368" s="7" t="s">
        <v>1183</v>
      </c>
      <c r="B368" s="13" t="s">
        <v>262</v>
      </c>
      <c r="C368" s="9">
        <v>45853.0</v>
      </c>
      <c r="D368" s="9">
        <v>45853.0</v>
      </c>
      <c r="E368" s="7" t="s">
        <v>744</v>
      </c>
      <c r="F368" s="11" t="s">
        <v>23</v>
      </c>
      <c r="G368" s="11" t="s">
        <v>172</v>
      </c>
      <c r="H368" s="11" t="s">
        <v>25</v>
      </c>
      <c r="I368" s="16"/>
      <c r="J368" s="12"/>
      <c r="K368" s="13"/>
      <c r="L368" s="11" t="s">
        <v>27</v>
      </c>
      <c r="M368" s="7" t="s">
        <v>744</v>
      </c>
      <c r="N368" s="14" t="b">
        <f t="shared" ref="N368:N376" si="27">if(H368=$H$2,TRUE,O368)</f>
        <v>1</v>
      </c>
      <c r="O368" s="15" t="b">
        <f t="shared" si="2"/>
        <v>0</v>
      </c>
      <c r="P368" s="15" t="str">
        <f t="shared" si="3"/>
        <v>APPROVED</v>
      </c>
    </row>
    <row r="369" ht="14.25" customHeight="1">
      <c r="A369" s="24" t="s">
        <v>1184</v>
      </c>
      <c r="B369" s="25" t="s">
        <v>906</v>
      </c>
      <c r="C369" s="26">
        <v>45878.0</v>
      </c>
      <c r="D369" s="26">
        <v>45908.0</v>
      </c>
      <c r="E369" s="24" t="s">
        <v>715</v>
      </c>
      <c r="F369" s="28" t="s">
        <v>23</v>
      </c>
      <c r="G369" s="28" t="s">
        <v>172</v>
      </c>
      <c r="H369" s="28" t="s">
        <v>482</v>
      </c>
      <c r="J369" s="29"/>
      <c r="K369" s="25"/>
      <c r="L369" s="28" t="s">
        <v>27</v>
      </c>
      <c r="M369" s="24" t="s">
        <v>715</v>
      </c>
      <c r="N369" s="14" t="b">
        <f t="shared" si="27"/>
        <v>0</v>
      </c>
      <c r="O369" s="15" t="b">
        <f t="shared" si="2"/>
        <v>0</v>
      </c>
      <c r="P369" s="15" t="str">
        <f t="shared" si="3"/>
        <v>PENDING</v>
      </c>
    </row>
    <row r="370" ht="15.75" customHeight="1">
      <c r="A370" s="24" t="s">
        <v>1185</v>
      </c>
      <c r="B370" s="25" t="s">
        <v>1186</v>
      </c>
      <c r="C370" s="26">
        <v>45877.0</v>
      </c>
      <c r="D370" s="26">
        <v>45877.0</v>
      </c>
      <c r="E370" s="24" t="s">
        <v>715</v>
      </c>
      <c r="F370" s="28" t="s">
        <v>23</v>
      </c>
      <c r="G370" s="28" t="s">
        <v>172</v>
      </c>
      <c r="H370" s="28" t="s">
        <v>482</v>
      </c>
      <c r="J370" s="29"/>
      <c r="K370" s="25"/>
      <c r="L370" s="28" t="s">
        <v>27</v>
      </c>
      <c r="M370" s="24" t="s">
        <v>715</v>
      </c>
      <c r="N370" s="14" t="b">
        <f t="shared" si="27"/>
        <v>0</v>
      </c>
      <c r="O370" s="15" t="b">
        <f t="shared" si="2"/>
        <v>0</v>
      </c>
      <c r="P370" s="15" t="str">
        <f t="shared" si="3"/>
        <v>PENDING</v>
      </c>
    </row>
    <row r="371" ht="15.75" customHeight="1">
      <c r="A371" s="7" t="s">
        <v>1187</v>
      </c>
      <c r="B371" s="8" t="s">
        <v>999</v>
      </c>
      <c r="C371" s="9">
        <v>45883.0</v>
      </c>
      <c r="D371" s="9">
        <v>45883.0</v>
      </c>
      <c r="E371" s="7" t="s">
        <v>715</v>
      </c>
      <c r="F371" s="11" t="s">
        <v>23</v>
      </c>
      <c r="G371" s="11" t="s">
        <v>30</v>
      </c>
      <c r="H371" s="11" t="s">
        <v>25</v>
      </c>
      <c r="I371" s="16"/>
      <c r="J371" s="12" t="s">
        <v>1188</v>
      </c>
      <c r="K371" s="13"/>
      <c r="L371" s="11" t="s">
        <v>27</v>
      </c>
      <c r="M371" s="7" t="s">
        <v>715</v>
      </c>
      <c r="N371" s="14" t="b">
        <f t="shared" si="27"/>
        <v>1</v>
      </c>
      <c r="O371" s="15" t="b">
        <f t="shared" si="2"/>
        <v>0</v>
      </c>
      <c r="P371" s="15" t="str">
        <f t="shared" si="3"/>
        <v>APPROVED</v>
      </c>
    </row>
    <row r="372" ht="15.75" customHeight="1">
      <c r="A372" s="7" t="s">
        <v>1189</v>
      </c>
      <c r="B372" s="13" t="s">
        <v>1190</v>
      </c>
      <c r="C372" s="9">
        <v>45875.0</v>
      </c>
      <c r="D372" s="9">
        <v>45816.0</v>
      </c>
      <c r="E372" s="7" t="s">
        <v>715</v>
      </c>
      <c r="F372" s="11" t="s">
        <v>23</v>
      </c>
      <c r="G372" s="11" t="s">
        <v>30</v>
      </c>
      <c r="H372" s="11" t="s">
        <v>25</v>
      </c>
      <c r="I372" s="16"/>
      <c r="J372" s="12" t="s">
        <v>1188</v>
      </c>
      <c r="K372" s="13"/>
      <c r="L372" s="11" t="s">
        <v>27</v>
      </c>
      <c r="M372" s="7" t="s">
        <v>715</v>
      </c>
      <c r="N372" s="14" t="b">
        <f t="shared" si="27"/>
        <v>1</v>
      </c>
      <c r="O372" s="15" t="b">
        <f t="shared" si="2"/>
        <v>0</v>
      </c>
      <c r="P372" s="15" t="str">
        <f t="shared" si="3"/>
        <v>APPROVED</v>
      </c>
    </row>
    <row r="373" ht="15.75" customHeight="1">
      <c r="A373" s="24" t="s">
        <v>1191</v>
      </c>
      <c r="B373" s="115" t="s">
        <v>73</v>
      </c>
      <c r="C373" s="26">
        <v>45884.0</v>
      </c>
      <c r="D373" s="26">
        <v>45884.0</v>
      </c>
      <c r="E373" s="24" t="s">
        <v>177</v>
      </c>
      <c r="F373" s="28" t="s">
        <v>23</v>
      </c>
      <c r="G373" s="28" t="s">
        <v>172</v>
      </c>
      <c r="H373" s="28" t="s">
        <v>84</v>
      </c>
      <c r="J373" s="29" t="s">
        <v>1192</v>
      </c>
      <c r="K373" s="25"/>
      <c r="L373" s="28" t="s">
        <v>27</v>
      </c>
      <c r="M373" s="24" t="s">
        <v>177</v>
      </c>
      <c r="N373" s="14" t="b">
        <f t="shared" si="27"/>
        <v>0</v>
      </c>
      <c r="O373" s="15" t="b">
        <f t="shared" si="2"/>
        <v>0</v>
      </c>
      <c r="P373" s="15" t="str">
        <f t="shared" si="3"/>
        <v>PENDING</v>
      </c>
    </row>
    <row r="374" ht="15.75" customHeight="1">
      <c r="A374" s="24" t="s">
        <v>1193</v>
      </c>
      <c r="B374" s="115" t="s">
        <v>73</v>
      </c>
      <c r="C374" s="26">
        <v>45884.0</v>
      </c>
      <c r="D374" s="26">
        <v>45884.0</v>
      </c>
      <c r="E374" s="24" t="s">
        <v>177</v>
      </c>
      <c r="F374" s="28" t="s">
        <v>23</v>
      </c>
      <c r="G374" s="28" t="s">
        <v>172</v>
      </c>
      <c r="H374" s="28" t="s">
        <v>49</v>
      </c>
      <c r="J374" s="29"/>
      <c r="K374" s="25"/>
      <c r="L374" s="28" t="s">
        <v>27</v>
      </c>
      <c r="M374" s="24" t="s">
        <v>177</v>
      </c>
      <c r="N374" s="14" t="b">
        <f t="shared" si="27"/>
        <v>0</v>
      </c>
      <c r="O374" s="15" t="b">
        <f t="shared" si="2"/>
        <v>0</v>
      </c>
      <c r="P374" s="15" t="str">
        <f t="shared" si="3"/>
        <v>PENDING</v>
      </c>
    </row>
    <row r="375" ht="15.75" customHeight="1">
      <c r="A375" s="24" t="s">
        <v>1194</v>
      </c>
      <c r="B375" s="25" t="s">
        <v>1195</v>
      </c>
      <c r="C375" s="26">
        <v>45884.0</v>
      </c>
      <c r="D375" s="26">
        <v>45884.0</v>
      </c>
      <c r="E375" s="24" t="s">
        <v>715</v>
      </c>
      <c r="F375" s="28" t="s">
        <v>23</v>
      </c>
      <c r="G375" s="28" t="s">
        <v>48</v>
      </c>
      <c r="H375" s="28" t="s">
        <v>49</v>
      </c>
      <c r="J375" s="29" t="s">
        <v>1196</v>
      </c>
      <c r="K375" s="25"/>
      <c r="L375" s="28" t="s">
        <v>27</v>
      </c>
      <c r="M375" s="24" t="s">
        <v>715</v>
      </c>
      <c r="N375" s="14" t="b">
        <f t="shared" si="27"/>
        <v>0</v>
      </c>
      <c r="O375" s="15" t="b">
        <f t="shared" si="2"/>
        <v>0</v>
      </c>
      <c r="P375" s="15" t="str">
        <f t="shared" si="3"/>
        <v>PENDING</v>
      </c>
    </row>
    <row r="376" ht="15.75" customHeight="1">
      <c r="A376" s="7" t="s">
        <v>1197</v>
      </c>
      <c r="B376" s="13" t="s">
        <v>829</v>
      </c>
      <c r="C376" s="9">
        <v>45887.0</v>
      </c>
      <c r="D376" s="9">
        <v>45887.0</v>
      </c>
      <c r="E376" s="7" t="s">
        <v>177</v>
      </c>
      <c r="F376" s="11" t="s">
        <v>23</v>
      </c>
      <c r="G376" s="11" t="s">
        <v>172</v>
      </c>
      <c r="H376" s="11" t="s">
        <v>25</v>
      </c>
      <c r="I376" s="16"/>
      <c r="J376" s="12" t="s">
        <v>1175</v>
      </c>
      <c r="K376" s="13"/>
      <c r="L376" s="11" t="s">
        <v>27</v>
      </c>
      <c r="M376" s="7" t="s">
        <v>177</v>
      </c>
      <c r="N376" s="14" t="b">
        <f t="shared" si="27"/>
        <v>1</v>
      </c>
      <c r="O376" s="15" t="b">
        <f t="shared" si="2"/>
        <v>0</v>
      </c>
      <c r="P376" s="15" t="str">
        <f t="shared" si="3"/>
        <v>APPROVED</v>
      </c>
    </row>
    <row r="377" ht="15.75" customHeight="1">
      <c r="A377" s="7" t="s">
        <v>1198</v>
      </c>
      <c r="B377" s="8" t="s">
        <v>714</v>
      </c>
      <c r="C377" s="9">
        <v>45884.0</v>
      </c>
      <c r="D377" s="9">
        <v>45884.0</v>
      </c>
      <c r="E377" s="7" t="s">
        <v>715</v>
      </c>
      <c r="F377" s="11" t="s">
        <v>716</v>
      </c>
      <c r="G377" s="11" t="s">
        <v>172</v>
      </c>
      <c r="H377" s="7" t="s">
        <v>31</v>
      </c>
      <c r="I377" s="16"/>
      <c r="J377" s="12"/>
      <c r="K377" s="13"/>
      <c r="L377" s="11" t="s">
        <v>27</v>
      </c>
      <c r="M377" s="7" t="s">
        <v>715</v>
      </c>
      <c r="N377" s="175" t="b">
        <v>1</v>
      </c>
      <c r="O377" s="15" t="b">
        <f t="shared" si="2"/>
        <v>0</v>
      </c>
      <c r="P377" s="15" t="str">
        <f t="shared" si="3"/>
        <v>PENDING</v>
      </c>
    </row>
    <row r="378" ht="15.75" customHeight="1">
      <c r="A378" s="24" t="s">
        <v>1199</v>
      </c>
      <c r="B378" s="25" t="s">
        <v>1200</v>
      </c>
      <c r="C378" s="26">
        <v>45882.0</v>
      </c>
      <c r="D378" s="26">
        <v>45882.0</v>
      </c>
      <c r="E378" s="24" t="s">
        <v>171</v>
      </c>
      <c r="F378" s="28" t="s">
        <v>23</v>
      </c>
      <c r="G378" s="28" t="s">
        <v>24</v>
      </c>
      <c r="H378" s="28" t="s">
        <v>84</v>
      </c>
      <c r="J378" s="29" t="s">
        <v>1201</v>
      </c>
      <c r="K378" s="25"/>
      <c r="L378" s="28" t="s">
        <v>27</v>
      </c>
      <c r="M378" s="24" t="s">
        <v>171</v>
      </c>
      <c r="N378" s="14" t="b">
        <f t="shared" ref="N378:N391" si="28">if(H378=$H$2,TRUE,O378)</f>
        <v>0</v>
      </c>
      <c r="O378" s="15" t="b">
        <f t="shared" si="2"/>
        <v>0</v>
      </c>
      <c r="P378" s="15" t="str">
        <f t="shared" si="3"/>
        <v>PENDING</v>
      </c>
    </row>
    <row r="379" ht="15.75" customHeight="1">
      <c r="A379" s="24" t="s">
        <v>1202</v>
      </c>
      <c r="B379" s="25" t="s">
        <v>1203</v>
      </c>
      <c r="C379" s="26">
        <v>45881.0</v>
      </c>
      <c r="D379" s="26">
        <v>45999.0</v>
      </c>
      <c r="E379" s="24" t="s">
        <v>171</v>
      </c>
      <c r="F379" s="28" t="s">
        <v>23</v>
      </c>
      <c r="G379" s="28" t="s">
        <v>172</v>
      </c>
      <c r="H379" s="28" t="s">
        <v>49</v>
      </c>
      <c r="J379" s="29" t="s">
        <v>1204</v>
      </c>
      <c r="K379" s="25"/>
      <c r="L379" s="28" t="s">
        <v>27</v>
      </c>
      <c r="M379" s="24" t="s">
        <v>171</v>
      </c>
      <c r="N379" s="14" t="b">
        <f t="shared" si="28"/>
        <v>0</v>
      </c>
      <c r="O379" s="15" t="b">
        <f t="shared" si="2"/>
        <v>0</v>
      </c>
      <c r="P379" s="15" t="str">
        <f t="shared" si="3"/>
        <v>PENDING</v>
      </c>
    </row>
    <row r="380" ht="15.75" customHeight="1">
      <c r="A380" s="7" t="s">
        <v>1205</v>
      </c>
      <c r="B380" s="13" t="s">
        <v>345</v>
      </c>
      <c r="C380" s="9">
        <v>45880.0</v>
      </c>
      <c r="D380" s="9">
        <v>45969.0</v>
      </c>
      <c r="E380" s="7" t="s">
        <v>171</v>
      </c>
      <c r="F380" s="11" t="s">
        <v>23</v>
      </c>
      <c r="G380" s="11" t="s">
        <v>172</v>
      </c>
      <c r="H380" s="11" t="s">
        <v>25</v>
      </c>
      <c r="I380" s="16"/>
      <c r="J380" s="12" t="s">
        <v>1206</v>
      </c>
      <c r="K380" s="13"/>
      <c r="L380" s="11" t="s">
        <v>27</v>
      </c>
      <c r="M380" s="7" t="s">
        <v>171</v>
      </c>
      <c r="N380" s="14" t="b">
        <f t="shared" si="28"/>
        <v>1</v>
      </c>
      <c r="O380" s="15" t="b">
        <f t="shared" si="2"/>
        <v>0</v>
      </c>
      <c r="P380" s="15" t="str">
        <f t="shared" si="3"/>
        <v>APPROVED</v>
      </c>
    </row>
    <row r="381" ht="15.75" customHeight="1">
      <c r="A381" s="24" t="s">
        <v>1207</v>
      </c>
      <c r="B381" s="25" t="s">
        <v>1154</v>
      </c>
      <c r="C381" s="26">
        <v>45884.0</v>
      </c>
      <c r="D381" s="26">
        <v>45884.0</v>
      </c>
      <c r="E381" s="24" t="s">
        <v>171</v>
      </c>
      <c r="F381" s="28" t="s">
        <v>23</v>
      </c>
      <c r="G381" s="28" t="s">
        <v>172</v>
      </c>
      <c r="H381" s="28" t="s">
        <v>49</v>
      </c>
      <c r="J381" s="29"/>
      <c r="K381" s="25"/>
      <c r="L381" s="28" t="s">
        <v>27</v>
      </c>
      <c r="M381" s="24" t="s">
        <v>171</v>
      </c>
      <c r="N381" s="14" t="b">
        <f t="shared" si="28"/>
        <v>0</v>
      </c>
      <c r="O381" s="15" t="b">
        <f t="shared" si="2"/>
        <v>0</v>
      </c>
      <c r="P381" s="15" t="str">
        <f t="shared" si="3"/>
        <v>PENDING</v>
      </c>
    </row>
    <row r="382" ht="15.75" customHeight="1">
      <c r="A382" s="7" t="s">
        <v>1208</v>
      </c>
      <c r="B382" s="8" t="s">
        <v>1056</v>
      </c>
      <c r="C382" s="9">
        <v>45887.0</v>
      </c>
      <c r="D382" s="9">
        <v>45887.0</v>
      </c>
      <c r="E382" s="7" t="s">
        <v>744</v>
      </c>
      <c r="F382" s="11" t="s">
        <v>23</v>
      </c>
      <c r="G382" s="11" t="s">
        <v>172</v>
      </c>
      <c r="H382" s="11" t="s">
        <v>25</v>
      </c>
      <c r="I382" s="16"/>
      <c r="J382" s="12" t="s">
        <v>1209</v>
      </c>
      <c r="K382" s="13"/>
      <c r="L382" s="11" t="s">
        <v>27</v>
      </c>
      <c r="M382" s="7" t="s">
        <v>744</v>
      </c>
      <c r="N382" s="14" t="b">
        <f t="shared" si="28"/>
        <v>1</v>
      </c>
      <c r="O382" s="15" t="b">
        <f t="shared" si="2"/>
        <v>0</v>
      </c>
      <c r="P382" s="15" t="str">
        <f t="shared" si="3"/>
        <v>APPROVED</v>
      </c>
    </row>
    <row r="383" ht="15.75" customHeight="1">
      <c r="A383" s="7" t="s">
        <v>1210</v>
      </c>
      <c r="B383" s="13" t="s">
        <v>855</v>
      </c>
      <c r="C383" s="9">
        <v>45887.0</v>
      </c>
      <c r="D383" s="9">
        <v>45887.0</v>
      </c>
      <c r="E383" s="7" t="s">
        <v>744</v>
      </c>
      <c r="F383" s="11" t="s">
        <v>23</v>
      </c>
      <c r="G383" s="11" t="s">
        <v>172</v>
      </c>
      <c r="H383" s="11" t="s">
        <v>25</v>
      </c>
      <c r="I383" s="16"/>
      <c r="J383" s="12" t="s">
        <v>1211</v>
      </c>
      <c r="K383" s="13"/>
      <c r="L383" s="11" t="s">
        <v>27</v>
      </c>
      <c r="M383" s="7" t="s">
        <v>744</v>
      </c>
      <c r="N383" s="14" t="b">
        <f t="shared" si="28"/>
        <v>1</v>
      </c>
      <c r="O383" s="15" t="b">
        <f t="shared" si="2"/>
        <v>0</v>
      </c>
      <c r="P383" s="15" t="str">
        <f t="shared" si="3"/>
        <v>APPROVED</v>
      </c>
    </row>
    <row r="384" ht="15.75" customHeight="1">
      <c r="A384" s="7" t="s">
        <v>1212</v>
      </c>
      <c r="B384" s="13" t="s">
        <v>1076</v>
      </c>
      <c r="C384" s="9">
        <v>45887.0</v>
      </c>
      <c r="D384" s="9">
        <v>45887.0</v>
      </c>
      <c r="E384" s="7" t="s">
        <v>744</v>
      </c>
      <c r="F384" s="11" t="s">
        <v>23</v>
      </c>
      <c r="G384" s="11" t="s">
        <v>172</v>
      </c>
      <c r="H384" s="11" t="s">
        <v>25</v>
      </c>
      <c r="I384" s="16"/>
      <c r="J384" s="12" t="s">
        <v>1213</v>
      </c>
      <c r="K384" s="36" t="s">
        <v>1214</v>
      </c>
      <c r="L384" s="11" t="s">
        <v>27</v>
      </c>
      <c r="M384" s="7" t="s">
        <v>744</v>
      </c>
      <c r="N384" s="14" t="b">
        <f t="shared" si="28"/>
        <v>1</v>
      </c>
      <c r="O384" s="15" t="b">
        <f t="shared" si="2"/>
        <v>0</v>
      </c>
      <c r="P384" s="15" t="str">
        <f t="shared" si="3"/>
        <v>APPROVED</v>
      </c>
    </row>
    <row r="385" ht="15.75" customHeight="1">
      <c r="A385" s="24" t="s">
        <v>1215</v>
      </c>
      <c r="B385" s="25" t="s">
        <v>1216</v>
      </c>
      <c r="C385" s="26">
        <v>45888.0</v>
      </c>
      <c r="D385" s="26">
        <v>45888.0</v>
      </c>
      <c r="E385" s="24" t="s">
        <v>744</v>
      </c>
      <c r="F385" s="28" t="s">
        <v>23</v>
      </c>
      <c r="G385" s="28" t="s">
        <v>172</v>
      </c>
      <c r="H385" s="28" t="s">
        <v>49</v>
      </c>
      <c r="J385" s="29"/>
      <c r="K385" s="135" t="s">
        <v>1217</v>
      </c>
      <c r="L385" s="28" t="s">
        <v>27</v>
      </c>
      <c r="M385" s="24" t="s">
        <v>744</v>
      </c>
      <c r="N385" s="14" t="b">
        <f t="shared" si="28"/>
        <v>0</v>
      </c>
      <c r="O385" s="15" t="b">
        <f t="shared" si="2"/>
        <v>0</v>
      </c>
      <c r="P385" s="15" t="str">
        <f t="shared" si="3"/>
        <v>PENDING</v>
      </c>
    </row>
    <row r="386" ht="15.75" customHeight="1">
      <c r="A386" s="24" t="s">
        <v>1218</v>
      </c>
      <c r="B386" s="25" t="s">
        <v>1219</v>
      </c>
      <c r="C386" s="26">
        <v>45888.0</v>
      </c>
      <c r="D386" s="26">
        <v>45888.0</v>
      </c>
      <c r="E386" s="24" t="s">
        <v>744</v>
      </c>
      <c r="F386" s="28" t="s">
        <v>23</v>
      </c>
      <c r="G386" s="28" t="s">
        <v>172</v>
      </c>
      <c r="H386" s="28" t="s">
        <v>482</v>
      </c>
      <c r="J386" s="29"/>
      <c r="K386" s="25"/>
      <c r="L386" s="28" t="s">
        <v>27</v>
      </c>
      <c r="M386" s="24" t="s">
        <v>744</v>
      </c>
      <c r="N386" s="14" t="b">
        <f t="shared" si="28"/>
        <v>0</v>
      </c>
      <c r="O386" s="15" t="b">
        <f t="shared" si="2"/>
        <v>0</v>
      </c>
      <c r="P386" s="15" t="str">
        <f t="shared" si="3"/>
        <v>PENDING</v>
      </c>
    </row>
    <row r="387" ht="15.75" customHeight="1">
      <c r="A387" s="7" t="s">
        <v>1220</v>
      </c>
      <c r="B387" s="13" t="s">
        <v>992</v>
      </c>
      <c r="C387" s="9">
        <v>45888.0</v>
      </c>
      <c r="D387" s="9">
        <v>45888.0</v>
      </c>
      <c r="E387" s="7" t="s">
        <v>744</v>
      </c>
      <c r="F387" s="11" t="s">
        <v>23</v>
      </c>
      <c r="G387" s="11" t="s">
        <v>172</v>
      </c>
      <c r="H387" s="11" t="s">
        <v>25</v>
      </c>
      <c r="I387" s="16"/>
      <c r="J387" s="12" t="s">
        <v>1221</v>
      </c>
      <c r="K387" s="13"/>
      <c r="L387" s="11" t="s">
        <v>27</v>
      </c>
      <c r="M387" s="7" t="s">
        <v>744</v>
      </c>
      <c r="N387" s="14" t="b">
        <f t="shared" si="28"/>
        <v>1</v>
      </c>
      <c r="O387" s="15" t="b">
        <f t="shared" si="2"/>
        <v>0</v>
      </c>
      <c r="P387" s="15" t="str">
        <f t="shared" si="3"/>
        <v>APPROVED</v>
      </c>
    </row>
    <row r="388" ht="15.75" customHeight="1">
      <c r="A388" s="7" t="s">
        <v>1222</v>
      </c>
      <c r="B388" s="13" t="s">
        <v>1223</v>
      </c>
      <c r="C388" s="9">
        <v>45889.0</v>
      </c>
      <c r="D388" s="9">
        <v>45889.0</v>
      </c>
      <c r="E388" s="7" t="s">
        <v>177</v>
      </c>
      <c r="F388" s="11" t="s">
        <v>23</v>
      </c>
      <c r="G388" s="11" t="s">
        <v>30</v>
      </c>
      <c r="H388" s="11" t="s">
        <v>25</v>
      </c>
      <c r="I388" s="16"/>
      <c r="J388" s="12"/>
      <c r="K388" s="13"/>
      <c r="L388" s="11" t="s">
        <v>27</v>
      </c>
      <c r="M388" s="7" t="s">
        <v>177</v>
      </c>
      <c r="N388" s="14" t="b">
        <f t="shared" si="28"/>
        <v>1</v>
      </c>
      <c r="O388" s="15" t="b">
        <f t="shared" si="2"/>
        <v>0</v>
      </c>
      <c r="P388" s="15" t="str">
        <f t="shared" si="3"/>
        <v>APPROVED</v>
      </c>
    </row>
    <row r="389" ht="15.75" customHeight="1">
      <c r="A389" s="7" t="s">
        <v>1224</v>
      </c>
      <c r="B389" s="13" t="s">
        <v>1007</v>
      </c>
      <c r="C389" s="9">
        <v>45889.0</v>
      </c>
      <c r="D389" s="9">
        <v>45889.0</v>
      </c>
      <c r="E389" s="7" t="s">
        <v>177</v>
      </c>
      <c r="F389" s="11" t="s">
        <v>23</v>
      </c>
      <c r="G389" s="11" t="s">
        <v>30</v>
      </c>
      <c r="H389" s="11" t="s">
        <v>25</v>
      </c>
      <c r="I389" s="16"/>
      <c r="J389" s="12"/>
      <c r="K389" s="13"/>
      <c r="L389" s="11" t="s">
        <v>27</v>
      </c>
      <c r="M389" s="7" t="s">
        <v>177</v>
      </c>
      <c r="N389" s="14" t="b">
        <f t="shared" si="28"/>
        <v>1</v>
      </c>
      <c r="O389" s="15" t="b">
        <f t="shared" si="2"/>
        <v>0</v>
      </c>
      <c r="P389" s="15" t="str">
        <f t="shared" si="3"/>
        <v>APPROVED</v>
      </c>
    </row>
    <row r="390" ht="15.75" customHeight="1">
      <c r="A390" s="7" t="s">
        <v>1225</v>
      </c>
      <c r="B390" s="13" t="s">
        <v>730</v>
      </c>
      <c r="C390" s="9">
        <v>45889.0</v>
      </c>
      <c r="D390" s="9">
        <v>45889.0</v>
      </c>
      <c r="E390" s="7" t="s">
        <v>177</v>
      </c>
      <c r="F390" s="11" t="s">
        <v>23</v>
      </c>
      <c r="G390" s="11" t="s">
        <v>172</v>
      </c>
      <c r="H390" s="11" t="s">
        <v>25</v>
      </c>
      <c r="I390" s="16"/>
      <c r="J390" s="12" t="s">
        <v>1226</v>
      </c>
      <c r="K390" s="13"/>
      <c r="L390" s="11" t="s">
        <v>27</v>
      </c>
      <c r="M390" s="7" t="s">
        <v>177</v>
      </c>
      <c r="N390" s="14" t="b">
        <f t="shared" si="28"/>
        <v>1</v>
      </c>
      <c r="O390" s="15" t="b">
        <f t="shared" si="2"/>
        <v>0</v>
      </c>
      <c r="P390" s="15" t="str">
        <f t="shared" si="3"/>
        <v>APPROVED</v>
      </c>
    </row>
    <row r="391" ht="15.75" customHeight="1">
      <c r="A391" s="24" t="s">
        <v>1227</v>
      </c>
      <c r="B391" s="25" t="s">
        <v>1228</v>
      </c>
      <c r="C391" s="26">
        <v>45889.0</v>
      </c>
      <c r="D391" s="26">
        <v>45889.0</v>
      </c>
      <c r="E391" s="24" t="s">
        <v>744</v>
      </c>
      <c r="F391" s="28" t="s">
        <v>23</v>
      </c>
      <c r="G391" s="28" t="s">
        <v>172</v>
      </c>
      <c r="H391" s="28" t="s">
        <v>84</v>
      </c>
      <c r="J391" s="29" t="s">
        <v>1229</v>
      </c>
      <c r="K391" s="25"/>
      <c r="L391" s="28" t="s">
        <v>27</v>
      </c>
      <c r="M391" s="24" t="s">
        <v>744</v>
      </c>
      <c r="N391" s="14" t="b">
        <f t="shared" si="28"/>
        <v>0</v>
      </c>
      <c r="O391" s="15" t="b">
        <f t="shared" si="2"/>
        <v>0</v>
      </c>
      <c r="P391" s="15" t="str">
        <f t="shared" si="3"/>
        <v>PENDING</v>
      </c>
    </row>
    <row r="392" ht="15.75" customHeight="1">
      <c r="A392" s="7" t="s">
        <v>1230</v>
      </c>
      <c r="B392" s="8" t="s">
        <v>222</v>
      </c>
      <c r="C392" s="9">
        <v>45889.0</v>
      </c>
      <c r="D392" s="9">
        <v>45889.0</v>
      </c>
      <c r="E392" s="7" t="s">
        <v>177</v>
      </c>
      <c r="F392" s="11" t="s">
        <v>716</v>
      </c>
      <c r="G392" s="11" t="s">
        <v>30</v>
      </c>
      <c r="H392" s="7" t="s">
        <v>31</v>
      </c>
      <c r="I392" s="16"/>
      <c r="J392" s="12"/>
      <c r="K392" s="8" t="s">
        <v>914</v>
      </c>
      <c r="L392" s="11" t="s">
        <v>27</v>
      </c>
      <c r="M392" s="7" t="s">
        <v>177</v>
      </c>
      <c r="N392" s="175" t="b">
        <v>1</v>
      </c>
      <c r="O392" s="15" t="b">
        <f t="shared" si="2"/>
        <v>0</v>
      </c>
      <c r="P392" s="15" t="str">
        <f t="shared" si="3"/>
        <v>PENDING</v>
      </c>
    </row>
    <row r="393" ht="15.75" customHeight="1">
      <c r="A393" s="24" t="s">
        <v>1231</v>
      </c>
      <c r="B393" s="115" t="s">
        <v>970</v>
      </c>
      <c r="C393" s="26">
        <v>45888.0</v>
      </c>
      <c r="D393" s="26">
        <v>45888.0</v>
      </c>
      <c r="E393" s="24" t="s">
        <v>715</v>
      </c>
      <c r="F393" s="28" t="s">
        <v>23</v>
      </c>
      <c r="G393" s="28" t="s">
        <v>172</v>
      </c>
      <c r="H393" s="28" t="s">
        <v>49</v>
      </c>
      <c r="J393" s="29"/>
      <c r="K393" s="25"/>
      <c r="L393" s="28" t="s">
        <v>27</v>
      </c>
      <c r="M393" s="24" t="s">
        <v>715</v>
      </c>
      <c r="N393" s="14" t="b">
        <f t="shared" ref="N393:N400" si="29">if(H393=$H$2,TRUE,O393)</f>
        <v>0</v>
      </c>
      <c r="O393" s="15" t="b">
        <f t="shared" si="2"/>
        <v>0</v>
      </c>
      <c r="P393" s="15" t="str">
        <f t="shared" si="3"/>
        <v>PENDING</v>
      </c>
    </row>
    <row r="394" ht="15.75" customHeight="1">
      <c r="A394" s="7" t="s">
        <v>1232</v>
      </c>
      <c r="B394" s="13" t="s">
        <v>1233</v>
      </c>
      <c r="C394" s="9">
        <v>45889.0</v>
      </c>
      <c r="D394" s="9">
        <v>45889.0</v>
      </c>
      <c r="E394" s="7" t="s">
        <v>715</v>
      </c>
      <c r="F394" s="11" t="s">
        <v>23</v>
      </c>
      <c r="G394" s="11" t="s">
        <v>30</v>
      </c>
      <c r="H394" s="11" t="s">
        <v>25</v>
      </c>
      <c r="I394" s="16"/>
      <c r="J394" s="12"/>
      <c r="K394" s="13"/>
      <c r="L394" s="11" t="s">
        <v>27</v>
      </c>
      <c r="M394" s="7" t="s">
        <v>715</v>
      </c>
      <c r="N394" s="14" t="b">
        <f t="shared" si="29"/>
        <v>1</v>
      </c>
      <c r="O394" s="15" t="b">
        <f t="shared" si="2"/>
        <v>0</v>
      </c>
      <c r="P394" s="15" t="str">
        <f t="shared" si="3"/>
        <v>APPROVED</v>
      </c>
    </row>
    <row r="395" ht="15.75" customHeight="1">
      <c r="A395" s="7" t="s">
        <v>1234</v>
      </c>
      <c r="B395" s="13" t="s">
        <v>1235</v>
      </c>
      <c r="C395" s="9">
        <v>45890.0</v>
      </c>
      <c r="D395" s="9">
        <v>45890.0</v>
      </c>
      <c r="E395" s="7" t="s">
        <v>177</v>
      </c>
      <c r="F395" s="11" t="s">
        <v>23</v>
      </c>
      <c r="G395" s="11" t="s">
        <v>172</v>
      </c>
      <c r="H395" s="11" t="s">
        <v>25</v>
      </c>
      <c r="I395" s="16"/>
      <c r="J395" s="12" t="s">
        <v>1236</v>
      </c>
      <c r="K395" s="13"/>
      <c r="L395" s="11" t="s">
        <v>27</v>
      </c>
      <c r="M395" s="7" t="s">
        <v>177</v>
      </c>
      <c r="N395" s="14" t="b">
        <f t="shared" si="29"/>
        <v>1</v>
      </c>
      <c r="O395" s="15" t="b">
        <f t="shared" si="2"/>
        <v>0</v>
      </c>
      <c r="P395" s="15" t="str">
        <f t="shared" si="3"/>
        <v>APPROVED</v>
      </c>
    </row>
    <row r="396" ht="15.75" customHeight="1">
      <c r="A396" s="24" t="s">
        <v>1237</v>
      </c>
      <c r="B396" s="115" t="s">
        <v>527</v>
      </c>
      <c r="C396" s="26">
        <v>45890.0</v>
      </c>
      <c r="D396" s="26">
        <v>45890.0</v>
      </c>
      <c r="E396" s="24" t="s">
        <v>177</v>
      </c>
      <c r="F396" s="28" t="s">
        <v>23</v>
      </c>
      <c r="G396" s="28" t="s">
        <v>172</v>
      </c>
      <c r="H396" s="28" t="s">
        <v>84</v>
      </c>
      <c r="J396" s="29" t="s">
        <v>1238</v>
      </c>
      <c r="K396" s="25"/>
      <c r="L396" s="28" t="s">
        <v>27</v>
      </c>
      <c r="M396" s="24" t="s">
        <v>177</v>
      </c>
      <c r="N396" s="14" t="b">
        <f t="shared" si="29"/>
        <v>0</v>
      </c>
      <c r="O396" s="15" t="b">
        <f t="shared" si="2"/>
        <v>0</v>
      </c>
      <c r="P396" s="15" t="str">
        <f t="shared" si="3"/>
        <v>PENDING</v>
      </c>
    </row>
    <row r="397" ht="15.75" customHeight="1">
      <c r="A397" s="7" t="s">
        <v>1239</v>
      </c>
      <c r="B397" s="8" t="s">
        <v>529</v>
      </c>
      <c r="C397" s="9">
        <v>45890.0</v>
      </c>
      <c r="D397" s="9">
        <v>45890.0</v>
      </c>
      <c r="E397" s="7" t="s">
        <v>177</v>
      </c>
      <c r="F397" s="11" t="s">
        <v>23</v>
      </c>
      <c r="G397" s="11" t="s">
        <v>172</v>
      </c>
      <c r="H397" s="11" t="s">
        <v>25</v>
      </c>
      <c r="I397" s="16"/>
      <c r="J397" s="12" t="s">
        <v>1240</v>
      </c>
      <c r="K397" s="13"/>
      <c r="L397" s="11" t="s">
        <v>27</v>
      </c>
      <c r="M397" s="7" t="s">
        <v>177</v>
      </c>
      <c r="N397" s="14" t="b">
        <f t="shared" si="29"/>
        <v>1</v>
      </c>
      <c r="O397" s="15" t="b">
        <f t="shared" si="2"/>
        <v>0</v>
      </c>
      <c r="P397" s="15" t="str">
        <f t="shared" si="3"/>
        <v>APPROVED</v>
      </c>
    </row>
    <row r="398" ht="15.75" customHeight="1">
      <c r="A398" s="7" t="s">
        <v>1241</v>
      </c>
      <c r="B398" s="13" t="s">
        <v>1242</v>
      </c>
      <c r="C398" s="9">
        <v>45890.0</v>
      </c>
      <c r="D398" s="9">
        <v>45890.0</v>
      </c>
      <c r="E398" s="7" t="s">
        <v>177</v>
      </c>
      <c r="F398" s="11" t="s">
        <v>23</v>
      </c>
      <c r="G398" s="11" t="s">
        <v>172</v>
      </c>
      <c r="H398" s="11" t="s">
        <v>25</v>
      </c>
      <c r="I398" s="16"/>
      <c r="J398" s="12" t="s">
        <v>1243</v>
      </c>
      <c r="K398" s="13"/>
      <c r="L398" s="11" t="s">
        <v>27</v>
      </c>
      <c r="M398" s="7" t="s">
        <v>177</v>
      </c>
      <c r="N398" s="14" t="b">
        <f t="shared" si="29"/>
        <v>1</v>
      </c>
      <c r="O398" s="15" t="b">
        <f t="shared" si="2"/>
        <v>0</v>
      </c>
      <c r="P398" s="15" t="str">
        <f t="shared" si="3"/>
        <v>APPROVED</v>
      </c>
    </row>
    <row r="399" ht="15.75" customHeight="1">
      <c r="A399" s="7" t="s">
        <v>1244</v>
      </c>
      <c r="B399" s="8" t="s">
        <v>533</v>
      </c>
      <c r="C399" s="9">
        <v>45890.0</v>
      </c>
      <c r="D399" s="9">
        <v>45890.0</v>
      </c>
      <c r="E399" s="7" t="s">
        <v>177</v>
      </c>
      <c r="F399" s="11" t="s">
        <v>23</v>
      </c>
      <c r="G399" s="11" t="s">
        <v>172</v>
      </c>
      <c r="H399" s="11" t="s">
        <v>25</v>
      </c>
      <c r="I399" s="16"/>
      <c r="J399" s="12" t="s">
        <v>1245</v>
      </c>
      <c r="K399" s="13"/>
      <c r="L399" s="11" t="s">
        <v>27</v>
      </c>
      <c r="M399" s="7" t="s">
        <v>177</v>
      </c>
      <c r="N399" s="14" t="b">
        <f t="shared" si="29"/>
        <v>1</v>
      </c>
      <c r="O399" s="15" t="b">
        <f t="shared" si="2"/>
        <v>0</v>
      </c>
      <c r="P399" s="15" t="str">
        <f t="shared" si="3"/>
        <v>APPROVED</v>
      </c>
    </row>
    <row r="400" ht="15.0" customHeight="1">
      <c r="A400" s="24" t="s">
        <v>1246</v>
      </c>
      <c r="B400" s="25" t="s">
        <v>1247</v>
      </c>
      <c r="C400" s="26">
        <v>45894.0</v>
      </c>
      <c r="D400" s="26">
        <v>45894.0</v>
      </c>
      <c r="E400" s="24" t="s">
        <v>715</v>
      </c>
      <c r="F400" s="28" t="s">
        <v>23</v>
      </c>
      <c r="G400" s="28" t="s">
        <v>172</v>
      </c>
      <c r="H400" s="28" t="s">
        <v>482</v>
      </c>
      <c r="J400" s="29"/>
      <c r="K400" s="25"/>
      <c r="L400" s="28" t="s">
        <v>27</v>
      </c>
      <c r="M400" s="24" t="s">
        <v>715</v>
      </c>
      <c r="N400" s="14" t="b">
        <f t="shared" si="29"/>
        <v>0</v>
      </c>
      <c r="O400" s="15" t="b">
        <f t="shared" si="2"/>
        <v>0</v>
      </c>
      <c r="P400" s="15" t="str">
        <f t="shared" si="3"/>
        <v>PENDING</v>
      </c>
    </row>
    <row r="401" ht="15.75" customHeight="1">
      <c r="A401" s="7" t="s">
        <v>1248</v>
      </c>
      <c r="B401" s="13" t="s">
        <v>714</v>
      </c>
      <c r="C401" s="9">
        <v>45890.0</v>
      </c>
      <c r="D401" s="9">
        <v>45890.0</v>
      </c>
      <c r="E401" s="7" t="s">
        <v>22</v>
      </c>
      <c r="F401" s="11" t="s">
        <v>23</v>
      </c>
      <c r="G401" s="11"/>
      <c r="H401" s="11" t="s">
        <v>31</v>
      </c>
      <c r="I401" s="16"/>
      <c r="J401" s="49"/>
      <c r="K401" s="13" t="s">
        <v>914</v>
      </c>
      <c r="L401" s="11" t="s">
        <v>27</v>
      </c>
      <c r="M401" s="24" t="s">
        <v>22</v>
      </c>
      <c r="N401" s="175" t="b">
        <v>1</v>
      </c>
      <c r="O401" s="15" t="b">
        <f t="shared" si="2"/>
        <v>0</v>
      </c>
      <c r="P401" s="15" t="str">
        <f t="shared" si="3"/>
        <v>PENDING</v>
      </c>
    </row>
    <row r="402" ht="15.75" customHeight="1">
      <c r="A402" s="24" t="s">
        <v>1249</v>
      </c>
      <c r="B402" s="25" t="s">
        <v>515</v>
      </c>
      <c r="C402" s="26">
        <v>45892.0</v>
      </c>
      <c r="D402" s="26">
        <v>45892.0</v>
      </c>
      <c r="E402" s="24" t="s">
        <v>177</v>
      </c>
      <c r="F402" s="28" t="s">
        <v>23</v>
      </c>
      <c r="G402" s="28" t="s">
        <v>172</v>
      </c>
      <c r="H402" s="28" t="s">
        <v>84</v>
      </c>
      <c r="J402" s="29" t="s">
        <v>1250</v>
      </c>
      <c r="K402" s="25"/>
      <c r="L402" s="28" t="s">
        <v>27</v>
      </c>
      <c r="M402" s="24" t="s">
        <v>177</v>
      </c>
      <c r="N402" s="14" t="b">
        <f t="shared" ref="N402:N426" si="30">if(H402=$H$2,TRUE,O402)</f>
        <v>0</v>
      </c>
      <c r="O402" s="15" t="b">
        <f t="shared" si="2"/>
        <v>0</v>
      </c>
      <c r="P402" s="15" t="str">
        <f t="shared" si="3"/>
        <v>PENDING</v>
      </c>
    </row>
    <row r="403" ht="15.75" customHeight="1">
      <c r="A403" s="24" t="s">
        <v>1251</v>
      </c>
      <c r="B403" s="25" t="s">
        <v>1252</v>
      </c>
      <c r="C403" s="26">
        <v>45895.0</v>
      </c>
      <c r="D403" s="26">
        <v>45697.0</v>
      </c>
      <c r="E403" s="24" t="s">
        <v>744</v>
      </c>
      <c r="F403" s="28" t="s">
        <v>23</v>
      </c>
      <c r="G403" s="28" t="s">
        <v>172</v>
      </c>
      <c r="H403" s="28" t="s">
        <v>482</v>
      </c>
      <c r="J403" s="29"/>
      <c r="K403" s="29" t="s">
        <v>1253</v>
      </c>
      <c r="L403" s="28" t="s">
        <v>27</v>
      </c>
      <c r="M403" s="24" t="s">
        <v>744</v>
      </c>
      <c r="N403" s="14" t="b">
        <f t="shared" si="30"/>
        <v>0</v>
      </c>
      <c r="O403" s="15" t="b">
        <f t="shared" si="2"/>
        <v>0</v>
      </c>
      <c r="P403" s="15" t="str">
        <f t="shared" si="3"/>
        <v>PENDING</v>
      </c>
    </row>
    <row r="404" ht="15.75" customHeight="1">
      <c r="A404" s="7" t="s">
        <v>1254</v>
      </c>
      <c r="B404" s="13" t="s">
        <v>1255</v>
      </c>
      <c r="C404" s="9">
        <v>45895.0</v>
      </c>
      <c r="D404" s="9">
        <v>45895.0</v>
      </c>
      <c r="E404" s="7" t="s">
        <v>177</v>
      </c>
      <c r="F404" s="11" t="s">
        <v>23</v>
      </c>
      <c r="G404" s="11" t="s">
        <v>30</v>
      </c>
      <c r="H404" s="11" t="s">
        <v>25</v>
      </c>
      <c r="I404" s="16"/>
      <c r="J404" s="12" t="s">
        <v>30</v>
      </c>
      <c r="K404" s="13" t="s">
        <v>376</v>
      </c>
      <c r="L404" s="11" t="s">
        <v>27</v>
      </c>
      <c r="M404" s="7" t="s">
        <v>177</v>
      </c>
      <c r="N404" s="14" t="b">
        <f t="shared" si="30"/>
        <v>1</v>
      </c>
      <c r="O404" s="15" t="b">
        <f t="shared" si="2"/>
        <v>0</v>
      </c>
      <c r="P404" s="15" t="str">
        <f t="shared" si="3"/>
        <v>APPROVED</v>
      </c>
    </row>
    <row r="405" ht="15.75" customHeight="1">
      <c r="A405" s="7" t="s">
        <v>1256</v>
      </c>
      <c r="B405" s="8" t="s">
        <v>495</v>
      </c>
      <c r="C405" s="9">
        <v>45895.0</v>
      </c>
      <c r="D405" s="9">
        <v>45895.0</v>
      </c>
      <c r="E405" s="7" t="s">
        <v>177</v>
      </c>
      <c r="F405" s="11" t="s">
        <v>23</v>
      </c>
      <c r="G405" s="11" t="s">
        <v>172</v>
      </c>
      <c r="H405" s="11" t="s">
        <v>25</v>
      </c>
      <c r="I405" s="16"/>
      <c r="J405" s="12" t="s">
        <v>1257</v>
      </c>
      <c r="K405" s="13"/>
      <c r="L405" s="11" t="s">
        <v>27</v>
      </c>
      <c r="M405" s="7" t="s">
        <v>177</v>
      </c>
      <c r="N405" s="14" t="b">
        <f t="shared" si="30"/>
        <v>1</v>
      </c>
      <c r="O405" s="15" t="b">
        <f t="shared" si="2"/>
        <v>0</v>
      </c>
      <c r="P405" s="15" t="str">
        <f t="shared" si="3"/>
        <v>APPROVED</v>
      </c>
    </row>
    <row r="406" ht="15.75" customHeight="1">
      <c r="A406" s="24" t="s">
        <v>1258</v>
      </c>
      <c r="B406" s="25" t="s">
        <v>302</v>
      </c>
      <c r="C406" s="26">
        <v>45895.0</v>
      </c>
      <c r="D406" s="26">
        <v>45895.0</v>
      </c>
      <c r="E406" s="24" t="s">
        <v>177</v>
      </c>
      <c r="F406" s="28" t="s">
        <v>23</v>
      </c>
      <c r="G406" s="28" t="s">
        <v>172</v>
      </c>
      <c r="H406" s="28" t="s">
        <v>84</v>
      </c>
      <c r="J406" s="29" t="s">
        <v>1259</v>
      </c>
      <c r="K406" s="25"/>
      <c r="L406" s="28" t="s">
        <v>27</v>
      </c>
      <c r="M406" s="24" t="s">
        <v>177</v>
      </c>
      <c r="N406" s="14" t="b">
        <f t="shared" si="30"/>
        <v>0</v>
      </c>
      <c r="O406" s="15" t="b">
        <f t="shared" si="2"/>
        <v>0</v>
      </c>
      <c r="P406" s="15" t="str">
        <f t="shared" si="3"/>
        <v>PENDING</v>
      </c>
    </row>
    <row r="407" ht="15.75" customHeight="1">
      <c r="A407" s="24" t="s">
        <v>1260</v>
      </c>
      <c r="B407" s="115" t="s">
        <v>1261</v>
      </c>
      <c r="C407" s="26">
        <v>45895.0</v>
      </c>
      <c r="D407" s="26">
        <v>45895.0</v>
      </c>
      <c r="E407" s="24" t="s">
        <v>715</v>
      </c>
      <c r="F407" s="28" t="s">
        <v>23</v>
      </c>
      <c r="G407" s="28" t="s">
        <v>172</v>
      </c>
      <c r="H407" s="28" t="s">
        <v>49</v>
      </c>
      <c r="J407" s="29"/>
      <c r="K407" s="25"/>
      <c r="L407" s="28" t="s">
        <v>27</v>
      </c>
      <c r="M407" s="24" t="s">
        <v>715</v>
      </c>
      <c r="N407" s="14" t="b">
        <f t="shared" si="30"/>
        <v>0</v>
      </c>
      <c r="O407" s="15" t="b">
        <f t="shared" si="2"/>
        <v>0</v>
      </c>
      <c r="P407" s="15" t="str">
        <f t="shared" si="3"/>
        <v>PENDING</v>
      </c>
    </row>
    <row r="408" ht="15.75" customHeight="1">
      <c r="A408" s="24" t="s">
        <v>1262</v>
      </c>
      <c r="B408" s="25" t="s">
        <v>1263</v>
      </c>
      <c r="C408" s="26">
        <v>45895.0</v>
      </c>
      <c r="D408" s="26">
        <v>45895.0</v>
      </c>
      <c r="E408" s="24" t="s">
        <v>715</v>
      </c>
      <c r="F408" s="28" t="s">
        <v>23</v>
      </c>
      <c r="G408" s="28" t="s">
        <v>172</v>
      </c>
      <c r="H408" s="28" t="s">
        <v>49</v>
      </c>
      <c r="J408" s="29"/>
      <c r="K408" s="25"/>
      <c r="L408" s="28" t="s">
        <v>27</v>
      </c>
      <c r="M408" s="24" t="s">
        <v>715</v>
      </c>
      <c r="N408" s="14" t="b">
        <f t="shared" si="30"/>
        <v>0</v>
      </c>
      <c r="O408" s="15" t="b">
        <f t="shared" si="2"/>
        <v>0</v>
      </c>
      <c r="P408" s="15" t="str">
        <f t="shared" si="3"/>
        <v>PENDING</v>
      </c>
    </row>
    <row r="409" ht="15.75" customHeight="1">
      <c r="A409" s="24" t="s">
        <v>1264</v>
      </c>
      <c r="B409" s="25" t="s">
        <v>886</v>
      </c>
      <c r="C409" s="26">
        <v>45895.0</v>
      </c>
      <c r="D409" s="26">
        <v>45895.0</v>
      </c>
      <c r="E409" s="24" t="s">
        <v>715</v>
      </c>
      <c r="F409" s="28" t="s">
        <v>23</v>
      </c>
      <c r="G409" s="28" t="s">
        <v>172</v>
      </c>
      <c r="H409" s="28" t="s">
        <v>49</v>
      </c>
      <c r="J409" s="29"/>
      <c r="K409" s="25"/>
      <c r="L409" s="28" t="s">
        <v>27</v>
      </c>
      <c r="M409" s="24" t="s">
        <v>715</v>
      </c>
      <c r="N409" s="14" t="b">
        <f t="shared" si="30"/>
        <v>0</v>
      </c>
      <c r="O409" s="15" t="b">
        <f t="shared" si="2"/>
        <v>0</v>
      </c>
      <c r="P409" s="15" t="str">
        <f t="shared" si="3"/>
        <v>PENDING</v>
      </c>
    </row>
    <row r="410" ht="15.75" customHeight="1">
      <c r="A410" s="24" t="s">
        <v>1265</v>
      </c>
      <c r="B410" s="115" t="s">
        <v>714</v>
      </c>
      <c r="C410" s="26">
        <v>45896.0</v>
      </c>
      <c r="D410" s="26"/>
      <c r="E410" s="24" t="s">
        <v>715</v>
      </c>
      <c r="F410" s="28" t="s">
        <v>23</v>
      </c>
      <c r="G410" s="24"/>
      <c r="H410" s="28" t="s">
        <v>31</v>
      </c>
      <c r="J410" s="29"/>
      <c r="K410" s="25"/>
      <c r="L410" s="28" t="s">
        <v>27</v>
      </c>
      <c r="M410" s="24" t="s">
        <v>715</v>
      </c>
      <c r="N410" s="14" t="b">
        <f t="shared" si="30"/>
        <v>0</v>
      </c>
      <c r="O410" s="15" t="b">
        <f t="shared" si="2"/>
        <v>0</v>
      </c>
      <c r="P410" s="15" t="str">
        <f t="shared" si="3"/>
        <v>PENDING</v>
      </c>
    </row>
    <row r="411" ht="15.75" customHeight="1">
      <c r="A411" s="24" t="s">
        <v>1266</v>
      </c>
      <c r="B411" s="25" t="s">
        <v>369</v>
      </c>
      <c r="C411" s="26">
        <v>45896.0</v>
      </c>
      <c r="D411" s="26">
        <v>45896.0</v>
      </c>
      <c r="E411" s="24" t="s">
        <v>177</v>
      </c>
      <c r="F411" s="28" t="s">
        <v>23</v>
      </c>
      <c r="G411" s="28" t="s">
        <v>172</v>
      </c>
      <c r="H411" s="28" t="s">
        <v>84</v>
      </c>
      <c r="J411" s="29" t="s">
        <v>1267</v>
      </c>
      <c r="K411" s="25"/>
      <c r="L411" s="28" t="s">
        <v>27</v>
      </c>
      <c r="M411" s="24" t="s">
        <v>177</v>
      </c>
      <c r="N411" s="14" t="b">
        <f t="shared" si="30"/>
        <v>0</v>
      </c>
      <c r="O411" s="15" t="b">
        <f t="shared" si="2"/>
        <v>0</v>
      </c>
      <c r="P411" s="15" t="str">
        <f t="shared" si="3"/>
        <v>PENDING</v>
      </c>
    </row>
    <row r="412" ht="15.75" customHeight="1">
      <c r="A412" s="24" t="s">
        <v>1268</v>
      </c>
      <c r="B412" s="25" t="s">
        <v>919</v>
      </c>
      <c r="C412" s="26">
        <v>45898.0</v>
      </c>
      <c r="D412" s="26">
        <v>45725.0</v>
      </c>
      <c r="E412" s="24" t="s">
        <v>744</v>
      </c>
      <c r="F412" s="28" t="s">
        <v>23</v>
      </c>
      <c r="G412" s="28" t="s">
        <v>172</v>
      </c>
      <c r="H412" s="28" t="s">
        <v>482</v>
      </c>
      <c r="J412" s="29"/>
      <c r="K412" s="29" t="s">
        <v>1269</v>
      </c>
      <c r="L412" s="28" t="s">
        <v>27</v>
      </c>
      <c r="M412" s="24" t="s">
        <v>744</v>
      </c>
      <c r="N412" s="14" t="b">
        <f t="shared" si="30"/>
        <v>0</v>
      </c>
      <c r="O412" s="15" t="b">
        <f t="shared" si="2"/>
        <v>0</v>
      </c>
      <c r="P412" s="15" t="str">
        <f t="shared" si="3"/>
        <v>PENDING</v>
      </c>
    </row>
    <row r="413" ht="15.75" customHeight="1">
      <c r="A413" s="24" t="s">
        <v>1270</v>
      </c>
      <c r="B413" s="25" t="s">
        <v>1130</v>
      </c>
      <c r="C413" s="26">
        <v>45898.0</v>
      </c>
      <c r="D413" s="26">
        <v>45898.0</v>
      </c>
      <c r="E413" s="24" t="s">
        <v>177</v>
      </c>
      <c r="F413" s="28" t="s">
        <v>23</v>
      </c>
      <c r="G413" s="28" t="s">
        <v>172</v>
      </c>
      <c r="H413" s="28" t="s">
        <v>84</v>
      </c>
      <c r="J413" s="29" t="s">
        <v>1131</v>
      </c>
      <c r="K413" s="25"/>
      <c r="L413" s="28" t="s">
        <v>1271</v>
      </c>
      <c r="M413" s="24" t="s">
        <v>177</v>
      </c>
      <c r="N413" s="14" t="b">
        <f t="shared" si="30"/>
        <v>0</v>
      </c>
      <c r="O413" s="15" t="b">
        <f t="shared" si="2"/>
        <v>0</v>
      </c>
      <c r="P413" s="15" t="str">
        <f t="shared" si="3"/>
        <v>PENDING</v>
      </c>
    </row>
    <row r="414" ht="16.5" customHeight="1">
      <c r="A414" s="30" t="s">
        <v>1272</v>
      </c>
      <c r="B414" s="58" t="s">
        <v>1273</v>
      </c>
      <c r="C414" s="32">
        <v>45880.0</v>
      </c>
      <c r="D414" s="32">
        <v>45725.0</v>
      </c>
      <c r="E414" s="30" t="s">
        <v>1182</v>
      </c>
      <c r="F414" s="34" t="s">
        <v>23</v>
      </c>
      <c r="G414" s="34" t="s">
        <v>172</v>
      </c>
      <c r="H414" s="34" t="s">
        <v>49</v>
      </c>
      <c r="I414" s="66"/>
      <c r="J414" s="35" t="s">
        <v>1274</v>
      </c>
      <c r="K414" s="31"/>
      <c r="L414" s="30" t="s">
        <v>98</v>
      </c>
      <c r="M414" s="30" t="s">
        <v>1182</v>
      </c>
      <c r="N414" s="14" t="b">
        <f t="shared" si="30"/>
        <v>1</v>
      </c>
      <c r="O414" s="15" t="b">
        <f t="shared" si="2"/>
        <v>1</v>
      </c>
      <c r="P414" s="15" t="str">
        <f t="shared" si="3"/>
        <v>PENDING</v>
      </c>
    </row>
    <row r="415" ht="15.75" customHeight="1">
      <c r="A415" s="30" t="s">
        <v>1275</v>
      </c>
      <c r="B415" s="31" t="s">
        <v>1276</v>
      </c>
      <c r="C415" s="32">
        <v>45881.0</v>
      </c>
      <c r="D415" s="32">
        <v>45725.0</v>
      </c>
      <c r="E415" s="30" t="s">
        <v>1182</v>
      </c>
      <c r="F415" s="34" t="s">
        <v>23</v>
      </c>
      <c r="G415" s="34" t="s">
        <v>172</v>
      </c>
      <c r="H415" s="34" t="s">
        <v>49</v>
      </c>
      <c r="I415" s="66"/>
      <c r="J415" s="35" t="s">
        <v>1274</v>
      </c>
      <c r="K415" s="31"/>
      <c r="L415" s="30" t="s">
        <v>98</v>
      </c>
      <c r="M415" s="30" t="s">
        <v>1182</v>
      </c>
      <c r="N415" s="14" t="b">
        <f t="shared" si="30"/>
        <v>1</v>
      </c>
      <c r="O415" s="15" t="b">
        <f t="shared" si="2"/>
        <v>1</v>
      </c>
      <c r="P415" s="15" t="str">
        <f t="shared" si="3"/>
        <v>PENDING</v>
      </c>
    </row>
    <row r="416" ht="15.75" customHeight="1">
      <c r="A416" s="30" t="s">
        <v>1277</v>
      </c>
      <c r="B416" s="31" t="s">
        <v>1278</v>
      </c>
      <c r="C416" s="32">
        <v>45883.0</v>
      </c>
      <c r="D416" s="32">
        <v>45725.0</v>
      </c>
      <c r="E416" s="30" t="s">
        <v>1182</v>
      </c>
      <c r="F416" s="34" t="s">
        <v>23</v>
      </c>
      <c r="G416" s="34" t="s">
        <v>172</v>
      </c>
      <c r="H416" s="34" t="s">
        <v>49</v>
      </c>
      <c r="I416" s="66"/>
      <c r="J416" s="35" t="s">
        <v>1274</v>
      </c>
      <c r="K416" s="31"/>
      <c r="L416" s="30" t="s">
        <v>98</v>
      </c>
      <c r="M416" s="30" t="s">
        <v>1182</v>
      </c>
      <c r="N416" s="14" t="b">
        <f t="shared" si="30"/>
        <v>1</v>
      </c>
      <c r="O416" s="15" t="b">
        <f t="shared" si="2"/>
        <v>1</v>
      </c>
      <c r="P416" s="15" t="str">
        <f t="shared" si="3"/>
        <v>PENDING</v>
      </c>
    </row>
    <row r="417" ht="15.75" customHeight="1">
      <c r="A417" s="24" t="s">
        <v>1279</v>
      </c>
      <c r="B417" s="25" t="s">
        <v>1280</v>
      </c>
      <c r="C417" s="26">
        <v>45884.0</v>
      </c>
      <c r="D417" s="26">
        <v>45725.0</v>
      </c>
      <c r="E417" s="24" t="s">
        <v>1182</v>
      </c>
      <c r="F417" s="28" t="s">
        <v>23</v>
      </c>
      <c r="G417" s="28" t="s">
        <v>24</v>
      </c>
      <c r="H417" s="28" t="s">
        <v>49</v>
      </c>
      <c r="J417" s="29" t="s">
        <v>1274</v>
      </c>
      <c r="K417" s="25"/>
      <c r="L417" s="28" t="s">
        <v>27</v>
      </c>
      <c r="M417" s="24" t="s">
        <v>1182</v>
      </c>
      <c r="N417" s="14" t="b">
        <f t="shared" si="30"/>
        <v>0</v>
      </c>
      <c r="O417" s="15" t="b">
        <f t="shared" si="2"/>
        <v>0</v>
      </c>
      <c r="P417" s="15" t="str">
        <f t="shared" si="3"/>
        <v>PENDING</v>
      </c>
    </row>
    <row r="418" ht="15.75" customHeight="1">
      <c r="A418" s="24" t="s">
        <v>1281</v>
      </c>
      <c r="B418" s="115" t="s">
        <v>1273</v>
      </c>
      <c r="C418" s="26">
        <v>45885.0</v>
      </c>
      <c r="D418" s="26">
        <v>45725.0</v>
      </c>
      <c r="E418" s="24" t="s">
        <v>1182</v>
      </c>
      <c r="F418" s="28" t="s">
        <v>23</v>
      </c>
      <c r="G418" s="28" t="s">
        <v>172</v>
      </c>
      <c r="H418" s="28" t="s">
        <v>49</v>
      </c>
      <c r="J418" s="29" t="s">
        <v>1274</v>
      </c>
      <c r="K418" s="25"/>
      <c r="L418" s="28" t="s">
        <v>27</v>
      </c>
      <c r="M418" s="24" t="s">
        <v>1182</v>
      </c>
      <c r="N418" s="14" t="b">
        <f t="shared" si="30"/>
        <v>0</v>
      </c>
      <c r="O418" s="15" t="b">
        <f t="shared" si="2"/>
        <v>0</v>
      </c>
      <c r="P418" s="15" t="str">
        <f t="shared" si="3"/>
        <v>PENDING</v>
      </c>
    </row>
    <row r="419" ht="15.75" customHeight="1">
      <c r="A419" s="24" t="s">
        <v>1282</v>
      </c>
      <c r="B419" s="25" t="s">
        <v>1283</v>
      </c>
      <c r="C419" s="26">
        <v>45887.0</v>
      </c>
      <c r="D419" s="26">
        <v>45725.0</v>
      </c>
      <c r="E419" s="24" t="s">
        <v>1182</v>
      </c>
      <c r="F419" s="28" t="s">
        <v>23</v>
      </c>
      <c r="G419" s="28" t="s">
        <v>172</v>
      </c>
      <c r="H419" s="28" t="s">
        <v>49</v>
      </c>
      <c r="J419" s="29" t="s">
        <v>1274</v>
      </c>
      <c r="K419" s="25"/>
      <c r="L419" s="28" t="s">
        <v>27</v>
      </c>
      <c r="M419" s="24" t="s">
        <v>1182</v>
      </c>
      <c r="N419" s="14" t="b">
        <f t="shared" si="30"/>
        <v>0</v>
      </c>
      <c r="O419" s="15" t="b">
        <f t="shared" si="2"/>
        <v>0</v>
      </c>
      <c r="P419" s="15" t="str">
        <f t="shared" si="3"/>
        <v>PENDING</v>
      </c>
    </row>
    <row r="420" ht="15.75" customHeight="1">
      <c r="A420" s="24" t="s">
        <v>1284</v>
      </c>
      <c r="B420" s="115" t="s">
        <v>1285</v>
      </c>
      <c r="C420" s="26">
        <v>45888.0</v>
      </c>
      <c r="D420" s="26">
        <v>45725.0</v>
      </c>
      <c r="E420" s="24" t="s">
        <v>1182</v>
      </c>
      <c r="F420" s="28" t="s">
        <v>23</v>
      </c>
      <c r="G420" s="28" t="s">
        <v>172</v>
      </c>
      <c r="H420" s="28" t="s">
        <v>49</v>
      </c>
      <c r="J420" s="29" t="s">
        <v>1274</v>
      </c>
      <c r="K420" s="25"/>
      <c r="L420" s="28" t="s">
        <v>27</v>
      </c>
      <c r="M420" s="24" t="s">
        <v>1182</v>
      </c>
      <c r="N420" s="14" t="b">
        <f t="shared" si="30"/>
        <v>0</v>
      </c>
      <c r="O420" s="15" t="b">
        <f t="shared" si="2"/>
        <v>0</v>
      </c>
      <c r="P420" s="15" t="str">
        <f t="shared" si="3"/>
        <v>PENDING</v>
      </c>
    </row>
    <row r="421" ht="15.75" customHeight="1">
      <c r="A421" s="7" t="s">
        <v>1286</v>
      </c>
      <c r="B421" s="13" t="s">
        <v>1276</v>
      </c>
      <c r="C421" s="9">
        <v>45890.0</v>
      </c>
      <c r="D421" s="9">
        <v>45725.0</v>
      </c>
      <c r="E421" s="7" t="s">
        <v>1182</v>
      </c>
      <c r="F421" s="11" t="s">
        <v>23</v>
      </c>
      <c r="G421" s="11" t="s">
        <v>172</v>
      </c>
      <c r="H421" s="11" t="s">
        <v>25</v>
      </c>
      <c r="I421" s="16"/>
      <c r="J421" s="12"/>
      <c r="K421" s="13"/>
      <c r="L421" s="11" t="s">
        <v>27</v>
      </c>
      <c r="M421" s="7" t="s">
        <v>1182</v>
      </c>
      <c r="N421" s="14" t="b">
        <f t="shared" si="30"/>
        <v>1</v>
      </c>
      <c r="O421" s="15" t="b">
        <f t="shared" si="2"/>
        <v>0</v>
      </c>
      <c r="P421" s="15" t="str">
        <f t="shared" si="3"/>
        <v>APPROVED</v>
      </c>
    </row>
    <row r="422" ht="15.75" customHeight="1">
      <c r="A422" s="30" t="s">
        <v>1288</v>
      </c>
      <c r="B422" s="31" t="s">
        <v>1276</v>
      </c>
      <c r="C422" s="32">
        <v>45889.0</v>
      </c>
      <c r="D422" s="32">
        <v>45725.0</v>
      </c>
      <c r="E422" s="30" t="s">
        <v>1182</v>
      </c>
      <c r="F422" s="34" t="s">
        <v>23</v>
      </c>
      <c r="G422" s="34" t="s">
        <v>172</v>
      </c>
      <c r="H422" s="34" t="s">
        <v>49</v>
      </c>
      <c r="I422" s="66"/>
      <c r="J422" s="35" t="s">
        <v>1274</v>
      </c>
      <c r="K422" s="31"/>
      <c r="L422" s="30" t="s">
        <v>98</v>
      </c>
      <c r="M422" s="30" t="s">
        <v>1182</v>
      </c>
      <c r="N422" s="14" t="b">
        <f t="shared" si="30"/>
        <v>1</v>
      </c>
      <c r="O422" s="15" t="b">
        <f t="shared" si="2"/>
        <v>1</v>
      </c>
      <c r="P422" s="15" t="str">
        <f t="shared" si="3"/>
        <v>PENDING</v>
      </c>
    </row>
    <row r="423" ht="15.75" customHeight="1">
      <c r="A423" s="24" t="s">
        <v>1289</v>
      </c>
      <c r="B423" s="25" t="s">
        <v>1276</v>
      </c>
      <c r="C423" s="26">
        <v>45890.0</v>
      </c>
      <c r="D423" s="26">
        <v>45725.0</v>
      </c>
      <c r="E423" s="24" t="s">
        <v>1182</v>
      </c>
      <c r="F423" s="28" t="s">
        <v>23</v>
      </c>
      <c r="G423" s="28" t="s">
        <v>172</v>
      </c>
      <c r="H423" s="28" t="s">
        <v>84</v>
      </c>
      <c r="J423" s="29" t="s">
        <v>1290</v>
      </c>
      <c r="K423" s="135" t="s">
        <v>1291</v>
      </c>
      <c r="L423" s="28" t="s">
        <v>27</v>
      </c>
      <c r="M423" s="24" t="s">
        <v>1182</v>
      </c>
      <c r="N423" s="14" t="b">
        <f t="shared" si="30"/>
        <v>0</v>
      </c>
      <c r="O423" s="15" t="b">
        <f t="shared" si="2"/>
        <v>0</v>
      </c>
      <c r="P423" s="15" t="str">
        <f t="shared" si="3"/>
        <v>PENDING</v>
      </c>
    </row>
    <row r="424" ht="15.75" customHeight="1">
      <c r="A424" s="24" t="s">
        <v>1292</v>
      </c>
      <c r="B424" s="25" t="s">
        <v>1283</v>
      </c>
      <c r="C424" s="26">
        <v>45897.0</v>
      </c>
      <c r="D424" s="26">
        <v>45725.0</v>
      </c>
      <c r="E424" s="24" t="s">
        <v>1182</v>
      </c>
      <c r="F424" s="28" t="s">
        <v>23</v>
      </c>
      <c r="G424" s="28" t="s">
        <v>172</v>
      </c>
      <c r="H424" s="28" t="s">
        <v>49</v>
      </c>
      <c r="J424" s="29" t="s">
        <v>1274</v>
      </c>
      <c r="K424" s="25"/>
      <c r="L424" s="28" t="s">
        <v>27</v>
      </c>
      <c r="M424" s="24" t="s">
        <v>1182</v>
      </c>
      <c r="N424" s="14" t="b">
        <f t="shared" si="30"/>
        <v>0</v>
      </c>
      <c r="O424" s="15" t="b">
        <f t="shared" si="2"/>
        <v>0</v>
      </c>
      <c r="P424" s="15" t="str">
        <f t="shared" si="3"/>
        <v>PENDING</v>
      </c>
    </row>
    <row r="425" ht="15.75" customHeight="1">
      <c r="A425" s="24" t="s">
        <v>1293</v>
      </c>
      <c r="B425" s="25" t="s">
        <v>1294</v>
      </c>
      <c r="C425" s="26">
        <v>45882.0</v>
      </c>
      <c r="D425" s="26">
        <v>45725.0</v>
      </c>
      <c r="E425" s="24" t="s">
        <v>1182</v>
      </c>
      <c r="F425" s="28" t="s">
        <v>23</v>
      </c>
      <c r="G425" s="28" t="s">
        <v>35</v>
      </c>
      <c r="H425" s="28" t="s">
        <v>49</v>
      </c>
      <c r="J425" s="29" t="s">
        <v>1274</v>
      </c>
      <c r="K425" s="25"/>
      <c r="L425" s="28" t="s">
        <v>27</v>
      </c>
      <c r="M425" s="24" t="s">
        <v>1182</v>
      </c>
      <c r="N425" s="14" t="b">
        <f t="shared" si="30"/>
        <v>0</v>
      </c>
      <c r="O425" s="15" t="b">
        <f t="shared" si="2"/>
        <v>0</v>
      </c>
      <c r="P425" s="15" t="str">
        <f t="shared" si="3"/>
        <v>PENDING</v>
      </c>
    </row>
    <row r="426" ht="15.75" customHeight="1">
      <c r="A426" s="24" t="s">
        <v>1295</v>
      </c>
      <c r="B426" s="25" t="s">
        <v>1278</v>
      </c>
      <c r="C426" s="26">
        <v>45883.0</v>
      </c>
      <c r="D426" s="26">
        <v>45725.0</v>
      </c>
      <c r="E426" s="24" t="s">
        <v>1182</v>
      </c>
      <c r="F426" s="28" t="s">
        <v>23</v>
      </c>
      <c r="G426" s="28" t="s">
        <v>172</v>
      </c>
      <c r="H426" s="28" t="s">
        <v>49</v>
      </c>
      <c r="J426" s="29" t="s">
        <v>1274</v>
      </c>
      <c r="K426" s="25"/>
      <c r="L426" s="28" t="s">
        <v>27</v>
      </c>
      <c r="M426" s="24" t="s">
        <v>1182</v>
      </c>
      <c r="N426" s="14" t="b">
        <f t="shared" si="30"/>
        <v>0</v>
      </c>
      <c r="O426" s="15" t="b">
        <f t="shared" si="2"/>
        <v>0</v>
      </c>
      <c r="P426" s="15" t="str">
        <f t="shared" si="3"/>
        <v>PENDING</v>
      </c>
    </row>
    <row r="427" ht="15.75" customHeight="1">
      <c r="A427" s="136" t="s">
        <v>1296</v>
      </c>
      <c r="B427" s="137" t="s">
        <v>999</v>
      </c>
      <c r="C427" s="138">
        <v>45898.0</v>
      </c>
      <c r="D427" s="138">
        <v>45898.0</v>
      </c>
      <c r="E427" s="136" t="s">
        <v>715</v>
      </c>
      <c r="F427" s="140" t="s">
        <v>23</v>
      </c>
      <c r="G427" s="140" t="s">
        <v>30</v>
      </c>
      <c r="H427" s="140" t="s">
        <v>25</v>
      </c>
      <c r="I427" s="141"/>
      <c r="J427" s="29" t="s">
        <v>1297</v>
      </c>
      <c r="K427" s="142"/>
      <c r="L427" s="140" t="s">
        <v>27</v>
      </c>
      <c r="M427" s="136" t="s">
        <v>715</v>
      </c>
      <c r="N427" s="175" t="b">
        <v>0</v>
      </c>
      <c r="O427" s="15" t="b">
        <f t="shared" si="2"/>
        <v>0</v>
      </c>
      <c r="P427" s="15" t="str">
        <f t="shared" si="3"/>
        <v>APPROVED</v>
      </c>
    </row>
    <row r="428" ht="15.75" customHeight="1">
      <c r="A428" s="7" t="s">
        <v>1298</v>
      </c>
      <c r="B428" s="8" t="s">
        <v>1101</v>
      </c>
      <c r="C428" s="9">
        <v>45882.0</v>
      </c>
      <c r="D428" s="9">
        <v>45882.0</v>
      </c>
      <c r="E428" s="7" t="s">
        <v>715</v>
      </c>
      <c r="F428" s="11" t="s">
        <v>23</v>
      </c>
      <c r="G428" s="11" t="s">
        <v>48</v>
      </c>
      <c r="H428" s="11" t="s">
        <v>25</v>
      </c>
      <c r="I428" s="16"/>
      <c r="J428" s="67" t="s">
        <v>1299</v>
      </c>
      <c r="K428" s="13"/>
      <c r="L428" s="11" t="s">
        <v>27</v>
      </c>
      <c r="M428" s="7" t="s">
        <v>715</v>
      </c>
      <c r="N428" s="14" t="b">
        <f>if(H428=$H$2,TRUE,O428)</f>
        <v>1</v>
      </c>
      <c r="O428" s="15" t="b">
        <f t="shared" si="2"/>
        <v>0</v>
      </c>
      <c r="P428" s="15" t="str">
        <f t="shared" si="3"/>
        <v>APPROVED</v>
      </c>
    </row>
    <row r="429" ht="15.75" customHeight="1">
      <c r="A429" s="24" t="s">
        <v>1300</v>
      </c>
      <c r="B429" s="25" t="s">
        <v>306</v>
      </c>
      <c r="C429" s="26">
        <v>45901.0</v>
      </c>
      <c r="D429" s="26">
        <v>45666.0</v>
      </c>
      <c r="E429" s="24" t="s">
        <v>177</v>
      </c>
      <c r="F429" s="28" t="s">
        <v>23</v>
      </c>
      <c r="G429" s="28" t="s">
        <v>172</v>
      </c>
      <c r="H429" s="28" t="s">
        <v>25</v>
      </c>
      <c r="J429" s="29" t="s">
        <v>1301</v>
      </c>
      <c r="K429" s="25"/>
      <c r="L429" s="28" t="s">
        <v>1271</v>
      </c>
      <c r="M429" s="24" t="s">
        <v>177</v>
      </c>
      <c r="N429" s="175" t="b">
        <v>0</v>
      </c>
      <c r="O429" s="15" t="b">
        <f t="shared" si="2"/>
        <v>0</v>
      </c>
      <c r="P429" s="15" t="str">
        <f t="shared" si="3"/>
        <v>APPROVED</v>
      </c>
    </row>
    <row r="430" ht="15.75" customHeight="1">
      <c r="A430" s="7" t="s">
        <v>1302</v>
      </c>
      <c r="B430" s="8" t="s">
        <v>288</v>
      </c>
      <c r="C430" s="9">
        <v>45902.0</v>
      </c>
      <c r="D430" s="9">
        <v>45697.0</v>
      </c>
      <c r="E430" s="7" t="s">
        <v>177</v>
      </c>
      <c r="F430" s="11" t="s">
        <v>23</v>
      </c>
      <c r="G430" s="11" t="s">
        <v>35</v>
      </c>
      <c r="H430" s="11" t="s">
        <v>25</v>
      </c>
      <c r="I430" s="16"/>
      <c r="J430" s="12" t="s">
        <v>1303</v>
      </c>
      <c r="K430" s="13"/>
      <c r="L430" s="11" t="s">
        <v>27</v>
      </c>
      <c r="M430" s="7" t="s">
        <v>177</v>
      </c>
      <c r="N430" s="14" t="b">
        <f>if(H430=$H$2,TRUE,O430)</f>
        <v>1</v>
      </c>
      <c r="O430" s="15" t="b">
        <f t="shared" si="2"/>
        <v>0</v>
      </c>
      <c r="P430" s="15" t="str">
        <f t="shared" si="3"/>
        <v>APPROVED</v>
      </c>
    </row>
    <row r="431" ht="15.75" customHeight="1">
      <c r="A431" s="7" t="s">
        <v>1304</v>
      </c>
      <c r="B431" s="13" t="s">
        <v>574</v>
      </c>
      <c r="C431" s="9">
        <v>45903.0</v>
      </c>
      <c r="D431" s="9">
        <v>45725.0</v>
      </c>
      <c r="E431" s="7" t="s">
        <v>1182</v>
      </c>
      <c r="F431" s="11" t="s">
        <v>23</v>
      </c>
      <c r="G431" s="11"/>
      <c r="H431" s="11" t="s">
        <v>31</v>
      </c>
      <c r="I431" s="16"/>
      <c r="J431" s="49"/>
      <c r="K431" s="13"/>
      <c r="L431" s="11" t="s">
        <v>27</v>
      </c>
      <c r="M431" s="24" t="s">
        <v>1182</v>
      </c>
      <c r="N431" s="175" t="b">
        <v>1</v>
      </c>
      <c r="O431" s="15" t="b">
        <f t="shared" si="2"/>
        <v>0</v>
      </c>
      <c r="P431" s="15" t="str">
        <f t="shared" si="3"/>
        <v>PENDING</v>
      </c>
    </row>
    <row r="432" ht="15.75" customHeight="1">
      <c r="A432" s="7" t="s">
        <v>1305</v>
      </c>
      <c r="B432" s="13" t="s">
        <v>574</v>
      </c>
      <c r="C432" s="9">
        <v>45903.0</v>
      </c>
      <c r="D432" s="9">
        <v>45725.0</v>
      </c>
      <c r="E432" s="7" t="s">
        <v>744</v>
      </c>
      <c r="F432" s="11" t="s">
        <v>23</v>
      </c>
      <c r="G432" s="11"/>
      <c r="H432" s="11" t="s">
        <v>31</v>
      </c>
      <c r="I432" s="16"/>
      <c r="J432" s="49"/>
      <c r="K432" s="13"/>
      <c r="L432" s="11" t="s">
        <v>27</v>
      </c>
      <c r="M432" s="24" t="s">
        <v>744</v>
      </c>
      <c r="N432" s="175" t="b">
        <v>1</v>
      </c>
      <c r="O432" s="15" t="b">
        <f t="shared" si="2"/>
        <v>0</v>
      </c>
      <c r="P432" s="15" t="str">
        <f t="shared" si="3"/>
        <v>PENDING</v>
      </c>
    </row>
    <row r="433" ht="15.75" customHeight="1">
      <c r="A433" s="7" t="s">
        <v>1306</v>
      </c>
      <c r="B433" s="8" t="s">
        <v>1307</v>
      </c>
      <c r="C433" s="9">
        <v>45903.0</v>
      </c>
      <c r="D433" s="9">
        <v>45725.0</v>
      </c>
      <c r="E433" s="7" t="s">
        <v>715</v>
      </c>
      <c r="F433" s="11" t="s">
        <v>23</v>
      </c>
      <c r="G433" s="11" t="s">
        <v>30</v>
      </c>
      <c r="H433" s="11" t="s">
        <v>25</v>
      </c>
      <c r="I433" s="16"/>
      <c r="J433" s="12"/>
      <c r="K433" s="13"/>
      <c r="L433" s="11" t="s">
        <v>27</v>
      </c>
      <c r="M433" s="7" t="s">
        <v>715</v>
      </c>
      <c r="N433" s="14" t="b">
        <f t="shared" ref="N433:N435" si="31">if(H433=$H$2,TRUE,O433)</f>
        <v>1</v>
      </c>
      <c r="O433" s="15" t="b">
        <f t="shared" si="2"/>
        <v>0</v>
      </c>
      <c r="P433" s="15" t="str">
        <f t="shared" si="3"/>
        <v>APPROVED</v>
      </c>
    </row>
    <row r="434" ht="15.75" customHeight="1">
      <c r="A434" s="24" t="s">
        <v>1308</v>
      </c>
      <c r="B434" s="115" t="s">
        <v>1087</v>
      </c>
      <c r="C434" s="26">
        <v>45903.0</v>
      </c>
      <c r="D434" s="26">
        <v>45725.0</v>
      </c>
      <c r="E434" s="24" t="s">
        <v>744</v>
      </c>
      <c r="F434" s="28" t="s">
        <v>23</v>
      </c>
      <c r="G434" s="28" t="s">
        <v>172</v>
      </c>
      <c r="H434" s="28" t="s">
        <v>482</v>
      </c>
      <c r="J434" s="29"/>
      <c r="K434" s="25"/>
      <c r="L434" s="28" t="s">
        <v>27</v>
      </c>
      <c r="M434" s="24" t="s">
        <v>744</v>
      </c>
      <c r="N434" s="14" t="b">
        <f t="shared" si="31"/>
        <v>0</v>
      </c>
      <c r="O434" s="15" t="b">
        <f t="shared" si="2"/>
        <v>0</v>
      </c>
      <c r="P434" s="15" t="str">
        <f t="shared" si="3"/>
        <v>PENDING</v>
      </c>
    </row>
    <row r="435" ht="15.75" customHeight="1">
      <c r="A435" s="24" t="s">
        <v>1309</v>
      </c>
      <c r="B435" s="25" t="s">
        <v>886</v>
      </c>
      <c r="C435" s="26">
        <v>45903.0</v>
      </c>
      <c r="D435" s="26">
        <v>45725.0</v>
      </c>
      <c r="E435" s="24" t="s">
        <v>715</v>
      </c>
      <c r="F435" s="28" t="s">
        <v>23</v>
      </c>
      <c r="G435" s="28" t="s">
        <v>172</v>
      </c>
      <c r="H435" s="28" t="s">
        <v>49</v>
      </c>
      <c r="J435" s="29"/>
      <c r="K435" s="25"/>
      <c r="L435" s="28" t="s">
        <v>27</v>
      </c>
      <c r="M435" s="24" t="s">
        <v>715</v>
      </c>
      <c r="N435" s="14" t="b">
        <f t="shared" si="31"/>
        <v>0</v>
      </c>
      <c r="O435" s="15" t="b">
        <f t="shared" si="2"/>
        <v>0</v>
      </c>
      <c r="P435" s="15" t="str">
        <f t="shared" si="3"/>
        <v>PENDING</v>
      </c>
    </row>
    <row r="436" ht="15.75" customHeight="1">
      <c r="A436" s="24" t="s">
        <v>1310</v>
      </c>
      <c r="B436" s="25" t="s">
        <v>1311</v>
      </c>
      <c r="C436" s="26">
        <v>45901.0</v>
      </c>
      <c r="D436" s="26">
        <v>45666.0</v>
      </c>
      <c r="E436" s="24" t="s">
        <v>715</v>
      </c>
      <c r="F436" s="28" t="s">
        <v>23</v>
      </c>
      <c r="G436" s="28" t="s">
        <v>172</v>
      </c>
      <c r="H436" s="28" t="s">
        <v>25</v>
      </c>
      <c r="J436" s="29" t="s">
        <v>1312</v>
      </c>
      <c r="K436" s="25"/>
      <c r="L436" s="28" t="s">
        <v>27</v>
      </c>
      <c r="M436" s="24" t="s">
        <v>715</v>
      </c>
      <c r="N436" s="175" t="b">
        <v>0</v>
      </c>
      <c r="O436" s="15" t="b">
        <f t="shared" si="2"/>
        <v>0</v>
      </c>
      <c r="P436" s="15" t="str">
        <f t="shared" si="3"/>
        <v>APPROVED</v>
      </c>
    </row>
    <row r="437" ht="15.75" customHeight="1">
      <c r="A437" s="7" t="s">
        <v>1313</v>
      </c>
      <c r="B437" s="13" t="s">
        <v>222</v>
      </c>
      <c r="C437" s="9">
        <v>45901.0</v>
      </c>
      <c r="D437" s="9"/>
      <c r="E437" s="7" t="s">
        <v>22</v>
      </c>
      <c r="F437" s="11" t="s">
        <v>716</v>
      </c>
      <c r="G437" s="11"/>
      <c r="H437" s="11" t="s">
        <v>31</v>
      </c>
      <c r="I437" s="16"/>
      <c r="J437" s="49"/>
      <c r="K437" s="13" t="s">
        <v>32</v>
      </c>
      <c r="L437" s="11" t="s">
        <v>27</v>
      </c>
      <c r="M437" s="24" t="s">
        <v>22</v>
      </c>
      <c r="N437" s="175" t="b">
        <v>1</v>
      </c>
      <c r="O437" s="15" t="b">
        <f t="shared" si="2"/>
        <v>0</v>
      </c>
      <c r="P437" s="15" t="str">
        <f t="shared" si="3"/>
        <v>PENDING</v>
      </c>
    </row>
    <row r="438" ht="15.75" customHeight="1">
      <c r="A438" s="7" t="s">
        <v>1314</v>
      </c>
      <c r="B438" s="13" t="s">
        <v>1027</v>
      </c>
      <c r="C438" s="9">
        <v>45903.0</v>
      </c>
      <c r="D438" s="9">
        <v>45756.0</v>
      </c>
      <c r="E438" s="7" t="s">
        <v>22</v>
      </c>
      <c r="F438" s="11" t="s">
        <v>23</v>
      </c>
      <c r="G438" s="11" t="s">
        <v>30</v>
      </c>
      <c r="H438" s="11" t="s">
        <v>25</v>
      </c>
      <c r="I438" s="16"/>
      <c r="J438" s="12" t="s">
        <v>1029</v>
      </c>
      <c r="K438" s="13"/>
      <c r="L438" s="11" t="s">
        <v>27</v>
      </c>
      <c r="M438" s="7" t="s">
        <v>22</v>
      </c>
      <c r="N438" s="14" t="b">
        <f>if(H438=$H$2,TRUE,O438)</f>
        <v>1</v>
      </c>
      <c r="O438" s="15" t="b">
        <f t="shared" si="2"/>
        <v>0</v>
      </c>
      <c r="P438" s="15" t="str">
        <f t="shared" si="3"/>
        <v>APPROVED</v>
      </c>
    </row>
    <row r="439" ht="15.75" customHeight="1">
      <c r="A439" s="7" t="s">
        <v>1315</v>
      </c>
      <c r="B439" s="13" t="s">
        <v>1316</v>
      </c>
      <c r="C439" s="9">
        <v>45904.0</v>
      </c>
      <c r="D439" s="9">
        <v>45756.0</v>
      </c>
      <c r="E439" s="7" t="s">
        <v>744</v>
      </c>
      <c r="F439" s="11" t="s">
        <v>716</v>
      </c>
      <c r="G439" s="11"/>
      <c r="H439" s="11" t="s">
        <v>31</v>
      </c>
      <c r="I439" s="16"/>
      <c r="J439" s="49"/>
      <c r="K439" s="13" t="s">
        <v>914</v>
      </c>
      <c r="L439" s="11" t="s">
        <v>27</v>
      </c>
      <c r="M439" s="24" t="s">
        <v>744</v>
      </c>
      <c r="N439" s="175" t="b">
        <v>1</v>
      </c>
      <c r="O439" s="15" t="b">
        <f t="shared" si="2"/>
        <v>0</v>
      </c>
      <c r="P439" s="15" t="str">
        <f t="shared" si="3"/>
        <v>PENDING</v>
      </c>
    </row>
    <row r="440" ht="15.75" customHeight="1">
      <c r="A440" s="24" t="s">
        <v>1317</v>
      </c>
      <c r="B440" s="25" t="s">
        <v>1318</v>
      </c>
      <c r="C440" s="26">
        <v>45905.0</v>
      </c>
      <c r="D440" s="26">
        <v>45786.0</v>
      </c>
      <c r="E440" s="24" t="s">
        <v>744</v>
      </c>
      <c r="F440" s="28" t="s">
        <v>23</v>
      </c>
      <c r="G440" s="28" t="s">
        <v>172</v>
      </c>
      <c r="H440" s="28" t="s">
        <v>482</v>
      </c>
      <c r="J440" s="29"/>
      <c r="K440" s="29" t="s">
        <v>1319</v>
      </c>
      <c r="L440" s="28" t="s">
        <v>27</v>
      </c>
      <c r="M440" s="24" t="s">
        <v>744</v>
      </c>
      <c r="N440" s="14" t="b">
        <f t="shared" ref="N440:N441" si="32">if(H440=$H$2,TRUE,O440)</f>
        <v>0</v>
      </c>
      <c r="O440" s="15" t="b">
        <f t="shared" si="2"/>
        <v>0</v>
      </c>
      <c r="P440" s="15" t="str">
        <f t="shared" si="3"/>
        <v>PENDING</v>
      </c>
    </row>
    <row r="441" ht="15.75" customHeight="1">
      <c r="A441" s="24" t="s">
        <v>1320</v>
      </c>
      <c r="B441" s="25" t="s">
        <v>906</v>
      </c>
      <c r="C441" s="26">
        <v>45906.0</v>
      </c>
      <c r="D441" s="26">
        <v>45817.0</v>
      </c>
      <c r="E441" s="24" t="s">
        <v>715</v>
      </c>
      <c r="F441" s="28" t="s">
        <v>23</v>
      </c>
      <c r="G441" s="28" t="s">
        <v>172</v>
      </c>
      <c r="H441" s="28" t="s">
        <v>482</v>
      </c>
      <c r="J441" s="29"/>
      <c r="K441" s="25"/>
      <c r="L441" s="28" t="s">
        <v>27</v>
      </c>
      <c r="M441" s="24" t="s">
        <v>715</v>
      </c>
      <c r="N441" s="14" t="b">
        <f t="shared" si="32"/>
        <v>0</v>
      </c>
      <c r="O441" s="15" t="b">
        <f t="shared" si="2"/>
        <v>0</v>
      </c>
      <c r="P441" s="15" t="str">
        <f t="shared" si="3"/>
        <v>PENDING</v>
      </c>
    </row>
    <row r="442" ht="15.75" customHeight="1">
      <c r="A442" s="7" t="s">
        <v>1321</v>
      </c>
      <c r="B442" s="13" t="s">
        <v>714</v>
      </c>
      <c r="C442" s="9">
        <v>45906.0</v>
      </c>
      <c r="D442" s="9">
        <v>45817.0</v>
      </c>
      <c r="E442" s="7" t="s">
        <v>715</v>
      </c>
      <c r="F442" s="11" t="s">
        <v>23</v>
      </c>
      <c r="G442" s="11"/>
      <c r="H442" s="11" t="s">
        <v>31</v>
      </c>
      <c r="I442" s="16"/>
      <c r="J442" s="49"/>
      <c r="K442" s="13"/>
      <c r="L442" s="11" t="s">
        <v>27</v>
      </c>
      <c r="M442" s="24" t="s">
        <v>715</v>
      </c>
      <c r="N442" s="175" t="b">
        <v>1</v>
      </c>
      <c r="O442" s="15" t="b">
        <f t="shared" si="2"/>
        <v>0</v>
      </c>
      <c r="P442" s="15" t="str">
        <f t="shared" si="3"/>
        <v>PENDING</v>
      </c>
    </row>
    <row r="443" ht="15.75" customHeight="1">
      <c r="A443" s="7" t="s">
        <v>1322</v>
      </c>
      <c r="B443" s="8" t="s">
        <v>1323</v>
      </c>
      <c r="C443" s="9">
        <v>45908.0</v>
      </c>
      <c r="D443" s="9">
        <v>45878.0</v>
      </c>
      <c r="E443" s="7" t="s">
        <v>177</v>
      </c>
      <c r="F443" s="11" t="s">
        <v>23</v>
      </c>
      <c r="G443" s="11" t="s">
        <v>30</v>
      </c>
      <c r="H443" s="11" t="s">
        <v>25</v>
      </c>
      <c r="I443" s="16"/>
      <c r="J443" s="12" t="s">
        <v>1324</v>
      </c>
      <c r="K443" s="13"/>
      <c r="L443" s="11" t="s">
        <v>27</v>
      </c>
      <c r="M443" s="7" t="s">
        <v>177</v>
      </c>
      <c r="N443" s="14" t="b">
        <f t="shared" ref="N443:N454" si="33">if(H443=$H$2,TRUE,O443)</f>
        <v>1</v>
      </c>
      <c r="O443" s="15" t="b">
        <f t="shared" si="2"/>
        <v>0</v>
      </c>
      <c r="P443" s="15" t="str">
        <f t="shared" si="3"/>
        <v>APPROVED</v>
      </c>
    </row>
    <row r="444" ht="15.75" customHeight="1">
      <c r="A444" s="24" t="s">
        <v>1325</v>
      </c>
      <c r="B444" s="25" t="s">
        <v>919</v>
      </c>
      <c r="C444" s="26">
        <v>45903.0</v>
      </c>
      <c r="D444" s="26">
        <v>45725.0</v>
      </c>
      <c r="E444" s="24" t="s">
        <v>744</v>
      </c>
      <c r="F444" s="28" t="s">
        <v>23</v>
      </c>
      <c r="G444" s="28" t="s">
        <v>172</v>
      </c>
      <c r="H444" s="28" t="s">
        <v>482</v>
      </c>
      <c r="J444" s="29"/>
      <c r="K444" s="25"/>
      <c r="L444" s="28" t="s">
        <v>27</v>
      </c>
      <c r="M444" s="24" t="s">
        <v>744</v>
      </c>
      <c r="N444" s="14" t="b">
        <f t="shared" si="33"/>
        <v>0</v>
      </c>
      <c r="O444" s="15" t="b">
        <f t="shared" si="2"/>
        <v>0</v>
      </c>
      <c r="P444" s="15" t="str">
        <f t="shared" si="3"/>
        <v>PENDING</v>
      </c>
    </row>
    <row r="445" ht="15.75" customHeight="1">
      <c r="A445" s="24" t="s">
        <v>1326</v>
      </c>
      <c r="B445" s="25" t="s">
        <v>515</v>
      </c>
      <c r="C445" s="26">
        <v>45908.0</v>
      </c>
      <c r="D445" s="26">
        <v>45878.0</v>
      </c>
      <c r="E445" s="24" t="s">
        <v>177</v>
      </c>
      <c r="F445" s="28" t="s">
        <v>23</v>
      </c>
      <c r="G445" s="28" t="s">
        <v>172</v>
      </c>
      <c r="H445" s="28" t="s">
        <v>482</v>
      </c>
      <c r="J445" s="29"/>
      <c r="K445" s="25"/>
      <c r="L445" s="28" t="s">
        <v>27</v>
      </c>
      <c r="M445" s="24" t="s">
        <v>177</v>
      </c>
      <c r="N445" s="14" t="b">
        <f t="shared" si="33"/>
        <v>0</v>
      </c>
      <c r="O445" s="15" t="b">
        <f t="shared" si="2"/>
        <v>0</v>
      </c>
      <c r="P445" s="15" t="str">
        <f t="shared" si="3"/>
        <v>PENDING</v>
      </c>
    </row>
    <row r="446" ht="15.75" customHeight="1">
      <c r="A446" s="24" t="s">
        <v>1327</v>
      </c>
      <c r="B446" s="25" t="s">
        <v>1328</v>
      </c>
      <c r="C446" s="26">
        <v>45908.0</v>
      </c>
      <c r="D446" s="26">
        <v>45878.0</v>
      </c>
      <c r="E446" s="24" t="s">
        <v>177</v>
      </c>
      <c r="F446" s="28" t="s">
        <v>23</v>
      </c>
      <c r="G446" s="28" t="s">
        <v>172</v>
      </c>
      <c r="H446" s="28" t="s">
        <v>84</v>
      </c>
      <c r="J446" s="29" t="s">
        <v>1329</v>
      </c>
      <c r="K446" s="25"/>
      <c r="L446" s="28" t="s">
        <v>27</v>
      </c>
      <c r="M446" s="24" t="s">
        <v>177</v>
      </c>
      <c r="N446" s="14" t="b">
        <f t="shared" si="33"/>
        <v>0</v>
      </c>
      <c r="O446" s="15" t="b">
        <f t="shared" si="2"/>
        <v>0</v>
      </c>
      <c r="P446" s="15" t="str">
        <f t="shared" si="3"/>
        <v>PENDING</v>
      </c>
    </row>
    <row r="447" ht="15.75" customHeight="1">
      <c r="A447" s="24" t="s">
        <v>1330</v>
      </c>
      <c r="B447" s="25" t="s">
        <v>1255</v>
      </c>
      <c r="C447" s="26">
        <v>45908.0</v>
      </c>
      <c r="D447" s="26">
        <v>45878.0</v>
      </c>
      <c r="E447" s="24" t="s">
        <v>177</v>
      </c>
      <c r="F447" s="28" t="s">
        <v>23</v>
      </c>
      <c r="G447" s="28" t="s">
        <v>172</v>
      </c>
      <c r="H447" s="28" t="s">
        <v>482</v>
      </c>
      <c r="J447" s="29"/>
      <c r="K447" s="25"/>
      <c r="L447" s="28" t="s">
        <v>27</v>
      </c>
      <c r="M447" s="24" t="s">
        <v>177</v>
      </c>
      <c r="N447" s="14" t="b">
        <f t="shared" si="33"/>
        <v>0</v>
      </c>
      <c r="O447" s="15" t="b">
        <f t="shared" si="2"/>
        <v>0</v>
      </c>
      <c r="P447" s="15" t="str">
        <f t="shared" si="3"/>
        <v>PENDING</v>
      </c>
    </row>
    <row r="448" ht="15.75" customHeight="1">
      <c r="A448" s="24" t="s">
        <v>1331</v>
      </c>
      <c r="B448" s="115" t="s">
        <v>643</v>
      </c>
      <c r="C448" s="26">
        <v>45909.0</v>
      </c>
      <c r="D448" s="26">
        <v>45909.0</v>
      </c>
      <c r="E448" s="24" t="s">
        <v>177</v>
      </c>
      <c r="F448" s="28" t="s">
        <v>23</v>
      </c>
      <c r="G448" s="28" t="s">
        <v>172</v>
      </c>
      <c r="H448" s="28" t="s">
        <v>49</v>
      </c>
      <c r="J448" s="29"/>
      <c r="K448" s="25"/>
      <c r="L448" s="28" t="s">
        <v>27</v>
      </c>
      <c r="M448" s="24" t="s">
        <v>177</v>
      </c>
      <c r="N448" s="14" t="b">
        <f t="shared" si="33"/>
        <v>0</v>
      </c>
      <c r="O448" s="15" t="b">
        <f t="shared" si="2"/>
        <v>0</v>
      </c>
      <c r="P448" s="15" t="str">
        <f t="shared" si="3"/>
        <v>PENDING</v>
      </c>
    </row>
    <row r="449" ht="15.75" customHeight="1">
      <c r="A449" s="24" t="s">
        <v>1332</v>
      </c>
      <c r="B449" s="25" t="s">
        <v>574</v>
      </c>
      <c r="C449" s="26">
        <v>45902.0</v>
      </c>
      <c r="D449" s="26">
        <v>45909.0</v>
      </c>
      <c r="E449" s="24" t="s">
        <v>1182</v>
      </c>
      <c r="F449" s="28" t="s">
        <v>23</v>
      </c>
      <c r="G449" s="28" t="s">
        <v>24</v>
      </c>
      <c r="H449" s="28" t="s">
        <v>49</v>
      </c>
      <c r="J449" s="29" t="s">
        <v>1274</v>
      </c>
      <c r="K449" s="25"/>
      <c r="L449" s="28" t="s">
        <v>27</v>
      </c>
      <c r="M449" s="24" t="s">
        <v>1182</v>
      </c>
      <c r="N449" s="14" t="b">
        <f t="shared" si="33"/>
        <v>0</v>
      </c>
      <c r="O449" s="15" t="b">
        <f t="shared" si="2"/>
        <v>0</v>
      </c>
      <c r="P449" s="15" t="str">
        <f t="shared" si="3"/>
        <v>PENDING</v>
      </c>
    </row>
    <row r="450" ht="15.75" customHeight="1">
      <c r="A450" s="24" t="s">
        <v>1333</v>
      </c>
      <c r="B450" s="115" t="s">
        <v>1334</v>
      </c>
      <c r="C450" s="26">
        <v>45903.0</v>
      </c>
      <c r="D450" s="26">
        <v>45909.0</v>
      </c>
      <c r="E450" s="24" t="s">
        <v>1182</v>
      </c>
      <c r="F450" s="28" t="s">
        <v>23</v>
      </c>
      <c r="G450" s="28" t="s">
        <v>24</v>
      </c>
      <c r="H450" s="28" t="s">
        <v>49</v>
      </c>
      <c r="J450" s="29" t="s">
        <v>1274</v>
      </c>
      <c r="K450" s="25"/>
      <c r="L450" s="28" t="s">
        <v>27</v>
      </c>
      <c r="M450" s="24" t="s">
        <v>1182</v>
      </c>
      <c r="N450" s="14" t="b">
        <f t="shared" si="33"/>
        <v>0</v>
      </c>
      <c r="O450" s="15" t="b">
        <f t="shared" si="2"/>
        <v>0</v>
      </c>
      <c r="P450" s="15" t="str">
        <f t="shared" si="3"/>
        <v>PENDING</v>
      </c>
    </row>
    <row r="451" ht="15.75" customHeight="1">
      <c r="A451" s="24" t="s">
        <v>1335</v>
      </c>
      <c r="B451" s="25" t="s">
        <v>574</v>
      </c>
      <c r="C451" s="26">
        <v>45904.0</v>
      </c>
      <c r="D451" s="26">
        <v>45909.0</v>
      </c>
      <c r="E451" s="24" t="s">
        <v>1182</v>
      </c>
      <c r="F451" s="28" t="s">
        <v>23</v>
      </c>
      <c r="G451" s="28" t="s">
        <v>24</v>
      </c>
      <c r="H451" s="28" t="s">
        <v>49</v>
      </c>
      <c r="J451" s="29" t="s">
        <v>1274</v>
      </c>
      <c r="K451" s="25"/>
      <c r="L451" s="28" t="s">
        <v>27</v>
      </c>
      <c r="M451" s="24" t="s">
        <v>1182</v>
      </c>
      <c r="N451" s="14" t="b">
        <f t="shared" si="33"/>
        <v>0</v>
      </c>
      <c r="O451" s="15" t="b">
        <f t="shared" si="2"/>
        <v>0</v>
      </c>
      <c r="P451" s="15" t="str">
        <f t="shared" si="3"/>
        <v>PENDING</v>
      </c>
    </row>
    <row r="452" ht="15.75" customHeight="1">
      <c r="A452" s="24" t="s">
        <v>1336</v>
      </c>
      <c r="B452" s="115" t="s">
        <v>1337</v>
      </c>
      <c r="C452" s="26">
        <v>45905.0</v>
      </c>
      <c r="D452" s="26">
        <v>45909.0</v>
      </c>
      <c r="E452" s="24" t="s">
        <v>1182</v>
      </c>
      <c r="F452" s="28" t="s">
        <v>23</v>
      </c>
      <c r="G452" s="28" t="s">
        <v>35</v>
      </c>
      <c r="H452" s="28" t="s">
        <v>49</v>
      </c>
      <c r="J452" s="29" t="s">
        <v>1274</v>
      </c>
      <c r="K452" s="25"/>
      <c r="L452" s="28" t="s">
        <v>27</v>
      </c>
      <c r="M452" s="24" t="s">
        <v>1182</v>
      </c>
      <c r="N452" s="14" t="b">
        <f t="shared" si="33"/>
        <v>0</v>
      </c>
      <c r="O452" s="15" t="b">
        <f t="shared" si="2"/>
        <v>0</v>
      </c>
      <c r="P452" s="15" t="str">
        <f t="shared" si="3"/>
        <v>PENDING</v>
      </c>
    </row>
    <row r="453" ht="15.75" customHeight="1">
      <c r="A453" s="24" t="s">
        <v>1338</v>
      </c>
      <c r="B453" s="25" t="s">
        <v>1339</v>
      </c>
      <c r="C453" s="26">
        <v>45906.0</v>
      </c>
      <c r="D453" s="26">
        <v>45909.0</v>
      </c>
      <c r="E453" s="24" t="s">
        <v>1182</v>
      </c>
      <c r="F453" s="28" t="s">
        <v>23</v>
      </c>
      <c r="G453" s="28" t="s">
        <v>24</v>
      </c>
      <c r="H453" s="28" t="s">
        <v>49</v>
      </c>
      <c r="J453" s="29" t="s">
        <v>1274</v>
      </c>
      <c r="K453" s="25"/>
      <c r="L453" s="28" t="s">
        <v>27</v>
      </c>
      <c r="M453" s="24" t="s">
        <v>1182</v>
      </c>
      <c r="N453" s="14" t="b">
        <f t="shared" si="33"/>
        <v>0</v>
      </c>
      <c r="O453" s="15" t="b">
        <f t="shared" si="2"/>
        <v>0</v>
      </c>
      <c r="P453" s="15" t="str">
        <f t="shared" si="3"/>
        <v>PENDING</v>
      </c>
    </row>
    <row r="454" ht="15.75" customHeight="1">
      <c r="A454" s="24" t="s">
        <v>1340</v>
      </c>
      <c r="B454" s="115" t="s">
        <v>1283</v>
      </c>
      <c r="C454" s="26">
        <v>45908.0</v>
      </c>
      <c r="D454" s="26">
        <v>45909.0</v>
      </c>
      <c r="E454" s="24" t="s">
        <v>1182</v>
      </c>
      <c r="F454" s="28" t="s">
        <v>23</v>
      </c>
      <c r="G454" s="28" t="s">
        <v>24</v>
      </c>
      <c r="H454" s="28" t="s">
        <v>49</v>
      </c>
      <c r="J454" s="29" t="s">
        <v>1274</v>
      </c>
      <c r="K454" s="25"/>
      <c r="L454" s="28" t="s">
        <v>27</v>
      </c>
      <c r="M454" s="24" t="s">
        <v>1182</v>
      </c>
      <c r="N454" s="14" t="b">
        <f t="shared" si="33"/>
        <v>0</v>
      </c>
      <c r="O454" s="15" t="b">
        <f t="shared" si="2"/>
        <v>0</v>
      </c>
      <c r="P454" s="15" t="str">
        <f t="shared" si="3"/>
        <v>PENDING</v>
      </c>
    </row>
    <row r="455" ht="15.75" customHeight="1">
      <c r="A455" s="7" t="s">
        <v>1341</v>
      </c>
      <c r="B455" s="13" t="s">
        <v>29</v>
      </c>
      <c r="C455" s="9">
        <v>45909.0</v>
      </c>
      <c r="D455" s="9">
        <v>45909.0</v>
      </c>
      <c r="E455" s="7" t="s">
        <v>22</v>
      </c>
      <c r="F455" s="11" t="s">
        <v>23</v>
      </c>
      <c r="G455" s="11"/>
      <c r="H455" s="11" t="s">
        <v>31</v>
      </c>
      <c r="I455" s="16"/>
      <c r="J455" s="49"/>
      <c r="K455" s="13" t="s">
        <v>914</v>
      </c>
      <c r="L455" s="11" t="s">
        <v>27</v>
      </c>
      <c r="M455" s="24" t="s">
        <v>22</v>
      </c>
      <c r="N455" s="175" t="b">
        <v>1</v>
      </c>
      <c r="O455" s="15" t="b">
        <f t="shared" si="2"/>
        <v>0</v>
      </c>
      <c r="P455" s="15" t="str">
        <f t="shared" si="3"/>
        <v>PENDING</v>
      </c>
    </row>
    <row r="456" ht="15.75" customHeight="1">
      <c r="A456" s="24" t="s">
        <v>1342</v>
      </c>
      <c r="B456" s="115" t="s">
        <v>1343</v>
      </c>
      <c r="C456" s="26">
        <v>45909.0</v>
      </c>
      <c r="D456" s="26">
        <v>45939.0</v>
      </c>
      <c r="E456" s="24" t="s">
        <v>1182</v>
      </c>
      <c r="F456" s="28" t="s">
        <v>23</v>
      </c>
      <c r="G456" s="28" t="s">
        <v>24</v>
      </c>
      <c r="H456" s="28" t="s">
        <v>49</v>
      </c>
      <c r="J456" s="29" t="s">
        <v>1274</v>
      </c>
      <c r="K456" s="25"/>
      <c r="L456" s="28" t="s">
        <v>27</v>
      </c>
      <c r="M456" s="24" t="s">
        <v>1182</v>
      </c>
      <c r="N456" s="14" t="b">
        <f t="shared" ref="N456:N460" si="34">if(H456=$H$2,TRUE,O456)</f>
        <v>0</v>
      </c>
      <c r="O456" s="15" t="b">
        <f t="shared" si="2"/>
        <v>0</v>
      </c>
      <c r="P456" s="15" t="str">
        <f t="shared" si="3"/>
        <v>PENDING</v>
      </c>
    </row>
    <row r="457" ht="15.75" customHeight="1">
      <c r="A457" s="7" t="s">
        <v>1344</v>
      </c>
      <c r="B457" s="8" t="s">
        <v>554</v>
      </c>
      <c r="C457" s="9">
        <v>45910.0</v>
      </c>
      <c r="D457" s="9">
        <v>45939.0</v>
      </c>
      <c r="E457" s="7" t="s">
        <v>177</v>
      </c>
      <c r="F457" s="11" t="s">
        <v>23</v>
      </c>
      <c r="G457" s="11" t="s">
        <v>30</v>
      </c>
      <c r="H457" s="11" t="s">
        <v>25</v>
      </c>
      <c r="I457" s="16"/>
      <c r="J457" s="12"/>
      <c r="K457" s="13"/>
      <c r="L457" s="11" t="s">
        <v>27</v>
      </c>
      <c r="M457" s="7" t="s">
        <v>177</v>
      </c>
      <c r="N457" s="14" t="b">
        <f t="shared" si="34"/>
        <v>1</v>
      </c>
      <c r="O457" s="15" t="b">
        <f t="shared" si="2"/>
        <v>0</v>
      </c>
      <c r="P457" s="15" t="str">
        <f t="shared" si="3"/>
        <v>APPROVED</v>
      </c>
    </row>
    <row r="458" ht="15.75" customHeight="1">
      <c r="A458" s="24" t="s">
        <v>1345</v>
      </c>
      <c r="B458" s="25" t="s">
        <v>1346</v>
      </c>
      <c r="C458" s="26">
        <v>45910.0</v>
      </c>
      <c r="D458" s="26">
        <v>45939.0</v>
      </c>
      <c r="E458" s="24" t="s">
        <v>177</v>
      </c>
      <c r="F458" s="28" t="s">
        <v>23</v>
      </c>
      <c r="G458" s="28" t="s">
        <v>172</v>
      </c>
      <c r="H458" s="28" t="s">
        <v>84</v>
      </c>
      <c r="J458" s="29" t="s">
        <v>1347</v>
      </c>
      <c r="K458" s="25"/>
      <c r="L458" s="28" t="s">
        <v>27</v>
      </c>
      <c r="M458" s="24" t="s">
        <v>177</v>
      </c>
      <c r="N458" s="14" t="b">
        <f t="shared" si="34"/>
        <v>0</v>
      </c>
      <c r="O458" s="15" t="b">
        <f t="shared" si="2"/>
        <v>0</v>
      </c>
      <c r="P458" s="15" t="str">
        <f t="shared" si="3"/>
        <v>PENDING</v>
      </c>
    </row>
    <row r="459" ht="15.75" customHeight="1">
      <c r="A459" s="24" t="s">
        <v>1348</v>
      </c>
      <c r="B459" s="25" t="s">
        <v>730</v>
      </c>
      <c r="C459" s="26">
        <v>45910.0</v>
      </c>
      <c r="D459" s="26">
        <v>45939.0</v>
      </c>
      <c r="E459" s="24" t="s">
        <v>177</v>
      </c>
      <c r="F459" s="28" t="s">
        <v>23</v>
      </c>
      <c r="G459" s="28" t="s">
        <v>172</v>
      </c>
      <c r="H459" s="28" t="s">
        <v>482</v>
      </c>
      <c r="J459" s="29"/>
      <c r="K459" s="25"/>
      <c r="L459" s="28" t="s">
        <v>27</v>
      </c>
      <c r="M459" s="24" t="s">
        <v>177</v>
      </c>
      <c r="N459" s="14" t="b">
        <f t="shared" si="34"/>
        <v>0</v>
      </c>
      <c r="O459" s="15" t="b">
        <f t="shared" si="2"/>
        <v>0</v>
      </c>
      <c r="P459" s="15" t="str">
        <f t="shared" si="3"/>
        <v>PENDING</v>
      </c>
    </row>
    <row r="460" ht="15.75" customHeight="1">
      <c r="A460" s="7" t="s">
        <v>1349</v>
      </c>
      <c r="B460" s="13" t="s">
        <v>461</v>
      </c>
      <c r="C460" s="9">
        <v>45911.0</v>
      </c>
      <c r="D460" s="9">
        <v>45970.0</v>
      </c>
      <c r="E460" s="7" t="s">
        <v>177</v>
      </c>
      <c r="F460" s="11" t="s">
        <v>23</v>
      </c>
      <c r="G460" s="11" t="s">
        <v>172</v>
      </c>
      <c r="H460" s="11" t="s">
        <v>25</v>
      </c>
      <c r="I460" s="16"/>
      <c r="J460" s="12" t="s">
        <v>1350</v>
      </c>
      <c r="K460" s="13"/>
      <c r="L460" s="11" t="s">
        <v>27</v>
      </c>
      <c r="M460" s="7" t="s">
        <v>177</v>
      </c>
      <c r="N460" s="14" t="b">
        <f t="shared" si="34"/>
        <v>1</v>
      </c>
      <c r="O460" s="15" t="b">
        <f t="shared" si="2"/>
        <v>0</v>
      </c>
      <c r="P460" s="15" t="str">
        <f t="shared" si="3"/>
        <v>APPROVED</v>
      </c>
    </row>
    <row r="461" ht="15.75" customHeight="1">
      <c r="A461" s="7" t="s">
        <v>1351</v>
      </c>
      <c r="B461" s="13" t="s">
        <v>117</v>
      </c>
      <c r="C461" s="9">
        <v>45911.0</v>
      </c>
      <c r="D461" s="9">
        <v>45970.0</v>
      </c>
      <c r="E461" s="7" t="s">
        <v>22</v>
      </c>
      <c r="F461" s="11" t="s">
        <v>716</v>
      </c>
      <c r="G461" s="11"/>
      <c r="H461" s="11" t="s">
        <v>31</v>
      </c>
      <c r="I461" s="16"/>
      <c r="J461" s="49"/>
      <c r="K461" s="13" t="s">
        <v>914</v>
      </c>
      <c r="L461" s="11" t="s">
        <v>27</v>
      </c>
      <c r="M461" s="24" t="s">
        <v>22</v>
      </c>
      <c r="N461" s="175" t="b">
        <v>1</v>
      </c>
      <c r="O461" s="15" t="b">
        <f t="shared" si="2"/>
        <v>0</v>
      </c>
      <c r="P461" s="15" t="str">
        <f t="shared" si="3"/>
        <v>PENDING</v>
      </c>
    </row>
    <row r="462" ht="15.75" customHeight="1">
      <c r="A462" s="24" t="s">
        <v>1352</v>
      </c>
      <c r="B462" s="25" t="s">
        <v>1353</v>
      </c>
      <c r="C462" s="26">
        <v>45911.0</v>
      </c>
      <c r="D462" s="26">
        <v>45970.0</v>
      </c>
      <c r="E462" s="24" t="s">
        <v>177</v>
      </c>
      <c r="F462" s="28" t="s">
        <v>23</v>
      </c>
      <c r="G462" s="28" t="s">
        <v>172</v>
      </c>
      <c r="H462" s="28" t="s">
        <v>84</v>
      </c>
      <c r="J462" s="29" t="s">
        <v>1354</v>
      </c>
      <c r="K462" s="25"/>
      <c r="L462" s="28" t="s">
        <v>27</v>
      </c>
      <c r="M462" s="24" t="s">
        <v>177</v>
      </c>
      <c r="N462" s="14" t="b">
        <f t="shared" ref="N462:N469" si="35">if(H462=$H$2,TRUE,O462)</f>
        <v>0</v>
      </c>
      <c r="O462" s="15" t="b">
        <f t="shared" si="2"/>
        <v>0</v>
      </c>
      <c r="P462" s="15" t="str">
        <f t="shared" si="3"/>
        <v>PENDING</v>
      </c>
    </row>
    <row r="463" ht="15.75" customHeight="1">
      <c r="A463" s="24" t="s">
        <v>1355</v>
      </c>
      <c r="B463" s="25" t="s">
        <v>1353</v>
      </c>
      <c r="C463" s="26">
        <v>45911.0</v>
      </c>
      <c r="D463" s="26">
        <v>45970.0</v>
      </c>
      <c r="E463" s="24" t="s">
        <v>177</v>
      </c>
      <c r="F463" s="28" t="s">
        <v>23</v>
      </c>
      <c r="G463" s="28" t="s">
        <v>172</v>
      </c>
      <c r="H463" s="28" t="s">
        <v>84</v>
      </c>
      <c r="J463" s="29" t="s">
        <v>1354</v>
      </c>
      <c r="K463" s="25"/>
      <c r="L463" s="28" t="s">
        <v>27</v>
      </c>
      <c r="M463" s="24" t="s">
        <v>177</v>
      </c>
      <c r="N463" s="14" t="b">
        <f t="shared" si="35"/>
        <v>0</v>
      </c>
      <c r="O463" s="15" t="b">
        <f t="shared" si="2"/>
        <v>0</v>
      </c>
      <c r="P463" s="15" t="str">
        <f t="shared" si="3"/>
        <v>PENDING</v>
      </c>
    </row>
    <row r="464" ht="15.75" customHeight="1">
      <c r="A464" s="24" t="s">
        <v>1356</v>
      </c>
      <c r="B464" s="25" t="s">
        <v>302</v>
      </c>
      <c r="C464" s="26">
        <v>45911.0</v>
      </c>
      <c r="D464" s="26">
        <v>45970.0</v>
      </c>
      <c r="E464" s="24" t="s">
        <v>177</v>
      </c>
      <c r="F464" s="28" t="s">
        <v>23</v>
      </c>
      <c r="G464" s="28" t="s">
        <v>172</v>
      </c>
      <c r="H464" s="28" t="s">
        <v>84</v>
      </c>
      <c r="J464" s="29" t="s">
        <v>1357</v>
      </c>
      <c r="K464" s="25"/>
      <c r="L464" s="28" t="s">
        <v>27</v>
      </c>
      <c r="M464" s="24" t="s">
        <v>177</v>
      </c>
      <c r="N464" s="14" t="b">
        <f t="shared" si="35"/>
        <v>0</v>
      </c>
      <c r="O464" s="15" t="b">
        <f t="shared" si="2"/>
        <v>0</v>
      </c>
      <c r="P464" s="15" t="str">
        <f t="shared" si="3"/>
        <v>PENDING</v>
      </c>
    </row>
    <row r="465" ht="15.75" customHeight="1">
      <c r="A465" s="24" t="s">
        <v>1358</v>
      </c>
      <c r="B465" s="25" t="s">
        <v>737</v>
      </c>
      <c r="C465" s="26">
        <v>45911.0</v>
      </c>
      <c r="D465" s="26">
        <v>45970.0</v>
      </c>
      <c r="E465" s="24" t="s">
        <v>177</v>
      </c>
      <c r="F465" s="28" t="s">
        <v>23</v>
      </c>
      <c r="G465" s="28" t="s">
        <v>172</v>
      </c>
      <c r="H465" s="28" t="s">
        <v>84</v>
      </c>
      <c r="J465" s="29" t="s">
        <v>1359</v>
      </c>
      <c r="K465" s="25"/>
      <c r="L465" s="28" t="s">
        <v>27</v>
      </c>
      <c r="M465" s="24" t="s">
        <v>177</v>
      </c>
      <c r="N465" s="14" t="b">
        <f t="shared" si="35"/>
        <v>0</v>
      </c>
      <c r="O465" s="15" t="b">
        <f t="shared" si="2"/>
        <v>0</v>
      </c>
      <c r="P465" s="15" t="str">
        <f t="shared" si="3"/>
        <v>PENDING</v>
      </c>
    </row>
    <row r="466" ht="15.75" customHeight="1">
      <c r="A466" s="24" t="s">
        <v>1360</v>
      </c>
      <c r="B466" s="25" t="s">
        <v>1007</v>
      </c>
      <c r="C466" s="26">
        <v>45911.0</v>
      </c>
      <c r="D466" s="26">
        <v>45970.0</v>
      </c>
      <c r="E466" s="24" t="s">
        <v>177</v>
      </c>
      <c r="F466" s="28" t="s">
        <v>23</v>
      </c>
      <c r="G466" s="28" t="s">
        <v>30</v>
      </c>
      <c r="H466" s="28" t="s">
        <v>84</v>
      </c>
      <c r="J466" s="29"/>
      <c r="K466" s="25"/>
      <c r="L466" s="28" t="s">
        <v>27</v>
      </c>
      <c r="M466" s="24" t="s">
        <v>177</v>
      </c>
      <c r="N466" s="14" t="b">
        <f t="shared" si="35"/>
        <v>0</v>
      </c>
      <c r="O466" s="15" t="b">
        <f t="shared" si="2"/>
        <v>0</v>
      </c>
      <c r="P466" s="15" t="str">
        <f t="shared" si="3"/>
        <v>PENDING</v>
      </c>
    </row>
    <row r="467" ht="15.75" customHeight="1">
      <c r="A467" s="7" t="s">
        <v>1361</v>
      </c>
      <c r="B467" s="8" t="s">
        <v>1079</v>
      </c>
      <c r="C467" s="9">
        <v>45911.0</v>
      </c>
      <c r="D467" s="9">
        <v>45970.0</v>
      </c>
      <c r="E467" s="7" t="s">
        <v>715</v>
      </c>
      <c r="F467" s="11" t="s">
        <v>23</v>
      </c>
      <c r="G467" s="11" t="s">
        <v>35</v>
      </c>
      <c r="H467" s="11" t="s">
        <v>25</v>
      </c>
      <c r="I467" s="16"/>
      <c r="J467" s="12" t="s">
        <v>1081</v>
      </c>
      <c r="K467" s="13"/>
      <c r="L467" s="11" t="s">
        <v>27</v>
      </c>
      <c r="M467" s="7" t="s">
        <v>715</v>
      </c>
      <c r="N467" s="14" t="b">
        <f t="shared" si="35"/>
        <v>1</v>
      </c>
      <c r="O467" s="15" t="b">
        <f t="shared" si="2"/>
        <v>0</v>
      </c>
      <c r="P467" s="15" t="str">
        <f t="shared" si="3"/>
        <v>APPROVED</v>
      </c>
    </row>
    <row r="468" ht="15.75" customHeight="1">
      <c r="A468" s="7" t="s">
        <v>1362</v>
      </c>
      <c r="B468" s="8" t="s">
        <v>764</v>
      </c>
      <c r="C468" s="9">
        <v>45912.0</v>
      </c>
      <c r="D468" s="9">
        <v>46000.0</v>
      </c>
      <c r="E468" s="7" t="s">
        <v>177</v>
      </c>
      <c r="F468" s="11" t="s">
        <v>23</v>
      </c>
      <c r="G468" s="11" t="s">
        <v>172</v>
      </c>
      <c r="H468" s="11" t="s">
        <v>25</v>
      </c>
      <c r="I468" s="16"/>
      <c r="J468" s="12" t="s">
        <v>781</v>
      </c>
      <c r="K468" s="13"/>
      <c r="L468" s="11" t="s">
        <v>27</v>
      </c>
      <c r="M468" s="7" t="s">
        <v>177</v>
      </c>
      <c r="N468" s="14" t="b">
        <f t="shared" si="35"/>
        <v>1</v>
      </c>
      <c r="O468" s="15" t="b">
        <f t="shared" si="2"/>
        <v>0</v>
      </c>
      <c r="P468" s="15" t="str">
        <f t="shared" si="3"/>
        <v>APPROVED</v>
      </c>
    </row>
    <row r="469" ht="15.75" customHeight="1">
      <c r="A469" s="24" t="s">
        <v>1363</v>
      </c>
      <c r="B469" s="25" t="s">
        <v>1364</v>
      </c>
      <c r="C469" s="26">
        <v>45912.0</v>
      </c>
      <c r="D469" s="26">
        <v>46000.0</v>
      </c>
      <c r="E469" s="24" t="s">
        <v>715</v>
      </c>
      <c r="F469" s="28" t="s">
        <v>23</v>
      </c>
      <c r="G469" s="28" t="s">
        <v>172</v>
      </c>
      <c r="H469" s="28" t="s">
        <v>49</v>
      </c>
      <c r="J469" s="29"/>
      <c r="K469" s="25"/>
      <c r="L469" s="28" t="s">
        <v>27</v>
      </c>
      <c r="M469" s="24" t="s">
        <v>715</v>
      </c>
      <c r="N469" s="14" t="b">
        <f t="shared" si="35"/>
        <v>0</v>
      </c>
      <c r="O469" s="15" t="b">
        <f t="shared" si="2"/>
        <v>0</v>
      </c>
      <c r="P469" s="15" t="str">
        <f t="shared" si="3"/>
        <v>PENDING</v>
      </c>
    </row>
    <row r="470" ht="15.75" customHeight="1">
      <c r="A470" s="7" t="s">
        <v>1365</v>
      </c>
      <c r="B470" s="13" t="s">
        <v>117</v>
      </c>
      <c r="C470" s="9">
        <v>45912.0</v>
      </c>
      <c r="D470" s="9">
        <v>46000.0</v>
      </c>
      <c r="E470" s="7" t="s">
        <v>22</v>
      </c>
      <c r="F470" s="11" t="s">
        <v>716</v>
      </c>
      <c r="G470" s="11"/>
      <c r="H470" s="11" t="s">
        <v>31</v>
      </c>
      <c r="I470" s="16"/>
      <c r="J470" s="49"/>
      <c r="K470" s="13" t="s">
        <v>914</v>
      </c>
      <c r="L470" s="11" t="s">
        <v>27</v>
      </c>
      <c r="M470" s="24" t="s">
        <v>22</v>
      </c>
      <c r="N470" s="175" t="b">
        <v>1</v>
      </c>
      <c r="O470" s="15" t="b">
        <f t="shared" si="2"/>
        <v>0</v>
      </c>
      <c r="P470" s="15" t="str">
        <f t="shared" si="3"/>
        <v>PENDING</v>
      </c>
    </row>
    <row r="471" ht="15.75" customHeight="1">
      <c r="A471" s="24" t="s">
        <v>1366</v>
      </c>
      <c r="B471" s="25" t="s">
        <v>457</v>
      </c>
      <c r="C471" s="26">
        <v>45912.0</v>
      </c>
      <c r="D471" s="26">
        <v>46000.0</v>
      </c>
      <c r="E471" s="24" t="s">
        <v>177</v>
      </c>
      <c r="F471" s="28" t="s">
        <v>23</v>
      </c>
      <c r="G471" s="28" t="s">
        <v>172</v>
      </c>
      <c r="H471" s="28" t="s">
        <v>84</v>
      </c>
      <c r="J471" s="29" t="s">
        <v>1367</v>
      </c>
      <c r="K471" s="25"/>
      <c r="L471" s="28" t="s">
        <v>27</v>
      </c>
      <c r="M471" s="24" t="s">
        <v>177</v>
      </c>
      <c r="N471" s="14" t="b">
        <f t="shared" ref="N471:N483" si="36">if(H471=$H$2,TRUE,O471)</f>
        <v>0</v>
      </c>
      <c r="O471" s="15" t="b">
        <f t="shared" si="2"/>
        <v>0</v>
      </c>
      <c r="P471" s="15" t="str">
        <f t="shared" si="3"/>
        <v>PENDING</v>
      </c>
    </row>
    <row r="472" ht="15.75" customHeight="1">
      <c r="A472" s="24" t="s">
        <v>1368</v>
      </c>
      <c r="B472" s="115" t="s">
        <v>722</v>
      </c>
      <c r="C472" s="26">
        <v>45912.0</v>
      </c>
      <c r="D472" s="26">
        <v>46000.0</v>
      </c>
      <c r="E472" s="24" t="s">
        <v>177</v>
      </c>
      <c r="F472" s="28" t="s">
        <v>23</v>
      </c>
      <c r="G472" s="28" t="s">
        <v>172</v>
      </c>
      <c r="H472" s="28" t="s">
        <v>482</v>
      </c>
      <c r="J472" s="29"/>
      <c r="K472" s="25"/>
      <c r="L472" s="28" t="s">
        <v>27</v>
      </c>
      <c r="M472" s="24" t="s">
        <v>177</v>
      </c>
      <c r="N472" s="14" t="b">
        <f t="shared" si="36"/>
        <v>0</v>
      </c>
      <c r="O472" s="15" t="b">
        <f t="shared" si="2"/>
        <v>0</v>
      </c>
      <c r="P472" s="15" t="str">
        <f t="shared" si="3"/>
        <v>PENDING</v>
      </c>
    </row>
    <row r="473" ht="15.75" customHeight="1">
      <c r="A473" s="24" t="s">
        <v>1369</v>
      </c>
      <c r="B473" s="115" t="s">
        <v>189</v>
      </c>
      <c r="C473" s="26">
        <v>45912.0</v>
      </c>
      <c r="D473" s="26">
        <v>46000.0</v>
      </c>
      <c r="E473" s="24" t="s">
        <v>177</v>
      </c>
      <c r="F473" s="28" t="s">
        <v>23</v>
      </c>
      <c r="G473" s="28" t="s">
        <v>172</v>
      </c>
      <c r="H473" s="28" t="s">
        <v>84</v>
      </c>
      <c r="J473" s="29" t="s">
        <v>1370</v>
      </c>
      <c r="K473" s="25"/>
      <c r="L473" s="28" t="s">
        <v>27</v>
      </c>
      <c r="M473" s="24" t="s">
        <v>177</v>
      </c>
      <c r="N473" s="14" t="b">
        <f t="shared" si="36"/>
        <v>0</v>
      </c>
      <c r="O473" s="15" t="b">
        <f t="shared" si="2"/>
        <v>0</v>
      </c>
      <c r="P473" s="15" t="str">
        <f t="shared" si="3"/>
        <v>PENDING</v>
      </c>
    </row>
    <row r="474" ht="15.75" customHeight="1">
      <c r="A474" s="7" t="s">
        <v>1371</v>
      </c>
      <c r="B474" s="8" t="s">
        <v>495</v>
      </c>
      <c r="C474" s="9">
        <v>45912.0</v>
      </c>
      <c r="D474" s="9">
        <v>46000.0</v>
      </c>
      <c r="E474" s="7" t="s">
        <v>177</v>
      </c>
      <c r="F474" s="11" t="s">
        <v>23</v>
      </c>
      <c r="G474" s="11" t="s">
        <v>172</v>
      </c>
      <c r="H474" s="11" t="s">
        <v>25</v>
      </c>
      <c r="I474" s="16"/>
      <c r="J474" s="12"/>
      <c r="K474" s="13"/>
      <c r="L474" s="11" t="s">
        <v>27</v>
      </c>
      <c r="M474" s="7" t="s">
        <v>177</v>
      </c>
      <c r="N474" s="14" t="b">
        <f t="shared" si="36"/>
        <v>1</v>
      </c>
      <c r="O474" s="15" t="b">
        <f t="shared" si="2"/>
        <v>0</v>
      </c>
      <c r="P474" s="15" t="str">
        <f t="shared" si="3"/>
        <v>APPROVED</v>
      </c>
    </row>
    <row r="475" ht="15.75" customHeight="1">
      <c r="A475" s="24" t="s">
        <v>1372</v>
      </c>
      <c r="B475" s="25" t="s">
        <v>1373</v>
      </c>
      <c r="C475" s="26">
        <v>45912.0</v>
      </c>
      <c r="D475" s="26">
        <v>46000.0</v>
      </c>
      <c r="E475" s="24" t="s">
        <v>177</v>
      </c>
      <c r="F475" s="28" t="s">
        <v>23</v>
      </c>
      <c r="G475" s="28" t="s">
        <v>172</v>
      </c>
      <c r="H475" s="28" t="s">
        <v>482</v>
      </c>
      <c r="J475" s="29"/>
      <c r="K475" s="25"/>
      <c r="L475" s="28" t="s">
        <v>27</v>
      </c>
      <c r="M475" s="24" t="s">
        <v>177</v>
      </c>
      <c r="N475" s="14" t="b">
        <f t="shared" si="36"/>
        <v>0</v>
      </c>
      <c r="O475" s="15" t="b">
        <f t="shared" si="2"/>
        <v>0</v>
      </c>
      <c r="P475" s="15" t="str">
        <f t="shared" si="3"/>
        <v>PENDING</v>
      </c>
    </row>
    <row r="476" ht="15.75" customHeight="1">
      <c r="A476" s="24" t="s">
        <v>1374</v>
      </c>
      <c r="B476" s="25" t="s">
        <v>1375</v>
      </c>
      <c r="C476" s="26">
        <v>45913.0</v>
      </c>
      <c r="D476" s="26">
        <v>45913.0</v>
      </c>
      <c r="E476" s="24" t="s">
        <v>1376</v>
      </c>
      <c r="F476" s="28" t="s">
        <v>23</v>
      </c>
      <c r="G476" s="28" t="s">
        <v>35</v>
      </c>
      <c r="H476" s="28" t="s">
        <v>84</v>
      </c>
      <c r="J476" s="29" t="s">
        <v>1377</v>
      </c>
      <c r="K476" s="25"/>
      <c r="L476" s="28" t="s">
        <v>27</v>
      </c>
      <c r="M476" s="24" t="s">
        <v>1376</v>
      </c>
      <c r="N476" s="14" t="b">
        <f t="shared" si="36"/>
        <v>0</v>
      </c>
      <c r="O476" s="15" t="b">
        <f t="shared" si="2"/>
        <v>0</v>
      </c>
      <c r="P476" s="15" t="str">
        <f t="shared" si="3"/>
        <v>PENDING</v>
      </c>
    </row>
    <row r="477" ht="15.75" customHeight="1">
      <c r="A477" s="24" t="s">
        <v>1378</v>
      </c>
      <c r="B477" s="25" t="s">
        <v>1379</v>
      </c>
      <c r="C477" s="26">
        <v>45913.0</v>
      </c>
      <c r="D477" s="26">
        <v>45913.0</v>
      </c>
      <c r="E477" s="24" t="s">
        <v>1376</v>
      </c>
      <c r="F477" s="28" t="s">
        <v>23</v>
      </c>
      <c r="G477" s="28" t="s">
        <v>35</v>
      </c>
      <c r="H477" s="28" t="s">
        <v>482</v>
      </c>
      <c r="J477" s="29"/>
      <c r="K477" s="25"/>
      <c r="L477" s="28" t="s">
        <v>27</v>
      </c>
      <c r="M477" s="24" t="s">
        <v>1376</v>
      </c>
      <c r="N477" s="14" t="b">
        <f t="shared" si="36"/>
        <v>0</v>
      </c>
      <c r="O477" s="15" t="b">
        <f t="shared" si="2"/>
        <v>0</v>
      </c>
      <c r="P477" s="15" t="str">
        <f t="shared" si="3"/>
        <v>PENDING</v>
      </c>
    </row>
    <row r="478" ht="15.75" customHeight="1">
      <c r="A478" s="24" t="s">
        <v>1380</v>
      </c>
      <c r="B478" s="25" t="s">
        <v>1379</v>
      </c>
      <c r="C478" s="26">
        <v>45913.0</v>
      </c>
      <c r="D478" s="26">
        <v>45913.0</v>
      </c>
      <c r="E478" s="24" t="s">
        <v>1376</v>
      </c>
      <c r="F478" s="28" t="s">
        <v>23</v>
      </c>
      <c r="G478" s="28" t="s">
        <v>35</v>
      </c>
      <c r="H478" s="28" t="s">
        <v>84</v>
      </c>
      <c r="J478" s="29" t="s">
        <v>1381</v>
      </c>
      <c r="K478" s="25"/>
      <c r="L478" s="28" t="s">
        <v>27</v>
      </c>
      <c r="M478" s="24" t="s">
        <v>1376</v>
      </c>
      <c r="N478" s="14" t="b">
        <f t="shared" si="36"/>
        <v>0</v>
      </c>
      <c r="O478" s="15" t="b">
        <f t="shared" si="2"/>
        <v>0</v>
      </c>
      <c r="P478" s="15" t="str">
        <f t="shared" si="3"/>
        <v>PENDING</v>
      </c>
    </row>
    <row r="479" ht="15.75" customHeight="1">
      <c r="A479" s="24" t="s">
        <v>1382</v>
      </c>
      <c r="B479" s="25" t="s">
        <v>1383</v>
      </c>
      <c r="C479" s="26">
        <v>45913.0</v>
      </c>
      <c r="D479" s="26">
        <v>45913.0</v>
      </c>
      <c r="E479" s="24" t="s">
        <v>1376</v>
      </c>
      <c r="F479" s="28" t="s">
        <v>23</v>
      </c>
      <c r="G479" s="28" t="s">
        <v>35</v>
      </c>
      <c r="H479" s="28" t="s">
        <v>84</v>
      </c>
      <c r="J479" s="29" t="s">
        <v>1384</v>
      </c>
      <c r="K479" s="25"/>
      <c r="L479" s="28" t="s">
        <v>27</v>
      </c>
      <c r="M479" s="24" t="s">
        <v>1376</v>
      </c>
      <c r="N479" s="14" t="b">
        <f t="shared" si="36"/>
        <v>0</v>
      </c>
      <c r="O479" s="15" t="b">
        <f t="shared" si="2"/>
        <v>0</v>
      </c>
      <c r="P479" s="15" t="str">
        <f t="shared" si="3"/>
        <v>PENDING</v>
      </c>
    </row>
    <row r="480" ht="15.75" customHeight="1">
      <c r="A480" s="24" t="s">
        <v>1385</v>
      </c>
      <c r="B480" s="25" t="s">
        <v>1386</v>
      </c>
      <c r="C480" s="26">
        <v>45913.0</v>
      </c>
      <c r="D480" s="26">
        <v>45913.0</v>
      </c>
      <c r="E480" s="24" t="s">
        <v>1387</v>
      </c>
      <c r="F480" s="28" t="s">
        <v>23</v>
      </c>
      <c r="G480" s="28" t="s">
        <v>172</v>
      </c>
      <c r="H480" s="28" t="s">
        <v>482</v>
      </c>
      <c r="J480" s="29"/>
      <c r="K480" s="25"/>
      <c r="L480" s="28" t="s">
        <v>27</v>
      </c>
      <c r="M480" s="24" t="s">
        <v>1387</v>
      </c>
      <c r="N480" s="14" t="b">
        <f t="shared" si="36"/>
        <v>0</v>
      </c>
      <c r="O480" s="15" t="b">
        <f t="shared" si="2"/>
        <v>0</v>
      </c>
      <c r="P480" s="15" t="str">
        <f t="shared" si="3"/>
        <v>PENDING</v>
      </c>
    </row>
    <row r="481" ht="15.75" customHeight="1">
      <c r="A481" s="24" t="s">
        <v>1388</v>
      </c>
      <c r="B481" s="25" t="s">
        <v>1389</v>
      </c>
      <c r="C481" s="26">
        <v>45913.0</v>
      </c>
      <c r="D481" s="26">
        <v>45913.0</v>
      </c>
      <c r="E481" s="24" t="s">
        <v>1376</v>
      </c>
      <c r="F481" s="28" t="s">
        <v>23</v>
      </c>
      <c r="G481" s="28" t="s">
        <v>48</v>
      </c>
      <c r="H481" s="28" t="s">
        <v>84</v>
      </c>
      <c r="J481" s="29" t="s">
        <v>1390</v>
      </c>
      <c r="K481" s="25"/>
      <c r="L481" s="28" t="s">
        <v>27</v>
      </c>
      <c r="M481" s="24" t="s">
        <v>1376</v>
      </c>
      <c r="N481" s="14" t="b">
        <f t="shared" si="36"/>
        <v>0</v>
      </c>
      <c r="O481" s="15" t="b">
        <f t="shared" si="2"/>
        <v>0</v>
      </c>
      <c r="P481" s="15" t="str">
        <f t="shared" si="3"/>
        <v>PENDING</v>
      </c>
    </row>
    <row r="482" ht="15.75" customHeight="1">
      <c r="A482" s="24" t="s">
        <v>1391</v>
      </c>
      <c r="B482" s="25" t="s">
        <v>1392</v>
      </c>
      <c r="C482" s="26">
        <v>45913.0</v>
      </c>
      <c r="D482" s="26">
        <v>45913.0</v>
      </c>
      <c r="E482" s="24" t="s">
        <v>1376</v>
      </c>
      <c r="F482" s="28" t="s">
        <v>23</v>
      </c>
      <c r="G482" s="28" t="s">
        <v>48</v>
      </c>
      <c r="H482" s="28" t="s">
        <v>84</v>
      </c>
      <c r="J482" s="29" t="s">
        <v>1393</v>
      </c>
      <c r="K482" s="25"/>
      <c r="L482" s="28" t="s">
        <v>27</v>
      </c>
      <c r="M482" s="24" t="s">
        <v>1376</v>
      </c>
      <c r="N482" s="14" t="b">
        <f t="shared" si="36"/>
        <v>0</v>
      </c>
      <c r="O482" s="15" t="b">
        <f t="shared" si="2"/>
        <v>0</v>
      </c>
      <c r="P482" s="15" t="str">
        <f t="shared" si="3"/>
        <v>PENDING</v>
      </c>
    </row>
    <row r="483" ht="15.75" customHeight="1">
      <c r="A483" s="24" t="s">
        <v>1394</v>
      </c>
      <c r="B483" s="25" t="s">
        <v>1395</v>
      </c>
      <c r="C483" s="26">
        <v>45913.0</v>
      </c>
      <c r="D483" s="26">
        <v>45913.0</v>
      </c>
      <c r="E483" s="24" t="s">
        <v>177</v>
      </c>
      <c r="F483" s="28" t="s">
        <v>23</v>
      </c>
      <c r="G483" s="28" t="s">
        <v>172</v>
      </c>
      <c r="H483" s="28" t="s">
        <v>482</v>
      </c>
      <c r="J483" s="29"/>
      <c r="K483" s="25"/>
      <c r="L483" s="28" t="s">
        <v>27</v>
      </c>
      <c r="M483" s="24" t="s">
        <v>177</v>
      </c>
      <c r="N483" s="14" t="b">
        <f t="shared" si="36"/>
        <v>0</v>
      </c>
      <c r="O483" s="15" t="b">
        <f t="shared" si="2"/>
        <v>0</v>
      </c>
      <c r="P483" s="15" t="str">
        <f t="shared" si="3"/>
        <v>PENDING</v>
      </c>
    </row>
    <row r="484" ht="15.75" customHeight="1">
      <c r="A484" s="24" t="s">
        <v>1396</v>
      </c>
      <c r="B484" s="25" t="s">
        <v>1142</v>
      </c>
      <c r="C484" s="26">
        <v>45913.0</v>
      </c>
      <c r="D484" s="26">
        <v>45913.0</v>
      </c>
      <c r="E484" s="24" t="s">
        <v>177</v>
      </c>
      <c r="F484" s="28" t="s">
        <v>23</v>
      </c>
      <c r="G484" s="28" t="s">
        <v>35</v>
      </c>
      <c r="H484" s="28" t="s">
        <v>25</v>
      </c>
      <c r="J484" s="29" t="s">
        <v>1143</v>
      </c>
      <c r="K484" s="57" t="s">
        <v>1144</v>
      </c>
      <c r="L484" s="28" t="s">
        <v>27</v>
      </c>
      <c r="M484" s="24" t="s">
        <v>177</v>
      </c>
      <c r="N484" s="175" t="b">
        <v>0</v>
      </c>
      <c r="O484" s="15" t="b">
        <f t="shared" si="2"/>
        <v>0</v>
      </c>
      <c r="P484" s="15" t="str">
        <f t="shared" si="3"/>
        <v>APPROVED</v>
      </c>
    </row>
    <row r="485" ht="15.75" customHeight="1">
      <c r="A485" s="7" t="s">
        <v>1397</v>
      </c>
      <c r="B485" s="13" t="s">
        <v>789</v>
      </c>
      <c r="C485" s="9">
        <v>45913.0</v>
      </c>
      <c r="D485" s="9">
        <v>45913.0</v>
      </c>
      <c r="E485" s="7" t="s">
        <v>22</v>
      </c>
      <c r="F485" s="11" t="s">
        <v>716</v>
      </c>
      <c r="G485" s="11"/>
      <c r="H485" s="11" t="s">
        <v>31</v>
      </c>
      <c r="I485" s="16"/>
      <c r="J485" s="49"/>
      <c r="K485" s="13"/>
      <c r="L485" s="11" t="s">
        <v>27</v>
      </c>
      <c r="M485" s="24" t="s">
        <v>22</v>
      </c>
      <c r="N485" s="175" t="b">
        <v>1</v>
      </c>
      <c r="O485" s="15" t="b">
        <f t="shared" si="2"/>
        <v>0</v>
      </c>
      <c r="P485" s="15" t="str">
        <f t="shared" si="3"/>
        <v>PENDING</v>
      </c>
    </row>
    <row r="486" ht="15.75" customHeight="1">
      <c r="A486" s="24" t="s">
        <v>1398</v>
      </c>
      <c r="B486" s="115" t="s">
        <v>338</v>
      </c>
      <c r="C486" s="26">
        <v>45913.0</v>
      </c>
      <c r="D486" s="26">
        <v>45913.0</v>
      </c>
      <c r="E486" s="24" t="s">
        <v>744</v>
      </c>
      <c r="F486" s="28" t="s">
        <v>23</v>
      </c>
      <c r="G486" s="28" t="s">
        <v>172</v>
      </c>
      <c r="H486" s="28" t="s">
        <v>84</v>
      </c>
      <c r="J486" s="29" t="s">
        <v>1399</v>
      </c>
      <c r="K486" s="25"/>
      <c r="L486" s="28" t="s">
        <v>27</v>
      </c>
      <c r="M486" s="24" t="s">
        <v>744</v>
      </c>
      <c r="N486" s="14" t="b">
        <f t="shared" ref="N486:N490" si="37">if(H486=$H$2,TRUE,O486)</f>
        <v>0</v>
      </c>
      <c r="O486" s="15" t="b">
        <f t="shared" si="2"/>
        <v>0</v>
      </c>
      <c r="P486" s="15" t="str">
        <f t="shared" si="3"/>
        <v>PENDING</v>
      </c>
    </row>
    <row r="487" ht="15.75" customHeight="1">
      <c r="A487" s="24" t="s">
        <v>1400</v>
      </c>
      <c r="B487" s="25" t="s">
        <v>919</v>
      </c>
      <c r="C487" s="26">
        <v>45913.0</v>
      </c>
      <c r="D487" s="26">
        <v>45913.0</v>
      </c>
      <c r="E487" s="24" t="s">
        <v>744</v>
      </c>
      <c r="F487" s="28" t="s">
        <v>23</v>
      </c>
      <c r="G487" s="28" t="s">
        <v>172</v>
      </c>
      <c r="H487" s="28" t="s">
        <v>482</v>
      </c>
      <c r="J487" s="29"/>
      <c r="K487" s="25"/>
      <c r="L487" s="28" t="s">
        <v>27</v>
      </c>
      <c r="M487" s="24" t="s">
        <v>744</v>
      </c>
      <c r="N487" s="14" t="b">
        <f t="shared" si="37"/>
        <v>0</v>
      </c>
      <c r="O487" s="15" t="b">
        <f t="shared" si="2"/>
        <v>0</v>
      </c>
      <c r="P487" s="15" t="str">
        <f t="shared" si="3"/>
        <v>PENDING</v>
      </c>
    </row>
    <row r="488" ht="15.75" customHeight="1">
      <c r="A488" s="24" t="s">
        <v>1401</v>
      </c>
      <c r="B488" s="115" t="s">
        <v>1087</v>
      </c>
      <c r="C488" s="26">
        <v>45913.0</v>
      </c>
      <c r="D488" s="26">
        <v>45913.0</v>
      </c>
      <c r="E488" s="24" t="s">
        <v>744</v>
      </c>
      <c r="F488" s="28" t="s">
        <v>23</v>
      </c>
      <c r="G488" s="28" t="s">
        <v>172</v>
      </c>
      <c r="H488" s="28" t="s">
        <v>482</v>
      </c>
      <c r="J488" s="29"/>
      <c r="K488" s="25"/>
      <c r="L488" s="28" t="s">
        <v>27</v>
      </c>
      <c r="M488" s="24" t="s">
        <v>744</v>
      </c>
      <c r="N488" s="14" t="b">
        <f t="shared" si="37"/>
        <v>0</v>
      </c>
      <c r="O488" s="15" t="b">
        <f t="shared" si="2"/>
        <v>0</v>
      </c>
      <c r="P488" s="15" t="str">
        <f t="shared" si="3"/>
        <v>PENDING</v>
      </c>
    </row>
    <row r="489" ht="15.75" customHeight="1">
      <c r="A489" s="24" t="s">
        <v>1402</v>
      </c>
      <c r="B489" s="115" t="s">
        <v>785</v>
      </c>
      <c r="C489" s="26">
        <v>45913.0</v>
      </c>
      <c r="D489" s="26">
        <v>45913.0</v>
      </c>
      <c r="E489" s="24" t="s">
        <v>744</v>
      </c>
      <c r="F489" s="28" t="s">
        <v>23</v>
      </c>
      <c r="G489" s="28" t="s">
        <v>172</v>
      </c>
      <c r="H489" s="28" t="s">
        <v>482</v>
      </c>
      <c r="J489" s="29"/>
      <c r="K489" s="25"/>
      <c r="L489" s="28" t="s">
        <v>27</v>
      </c>
      <c r="M489" s="24" t="s">
        <v>744</v>
      </c>
      <c r="N489" s="14" t="b">
        <f t="shared" si="37"/>
        <v>0</v>
      </c>
      <c r="O489" s="15" t="b">
        <f t="shared" si="2"/>
        <v>0</v>
      </c>
      <c r="P489" s="15" t="str">
        <f t="shared" si="3"/>
        <v>PENDING</v>
      </c>
    </row>
    <row r="490" ht="15.75" customHeight="1">
      <c r="A490" s="24" t="s">
        <v>1403</v>
      </c>
      <c r="B490" s="115" t="s">
        <v>779</v>
      </c>
      <c r="C490" s="26">
        <v>45913.0</v>
      </c>
      <c r="D490" s="26">
        <v>45913.0</v>
      </c>
      <c r="E490" s="24" t="s">
        <v>744</v>
      </c>
      <c r="F490" s="28" t="s">
        <v>23</v>
      </c>
      <c r="G490" s="28" t="s">
        <v>172</v>
      </c>
      <c r="H490" s="28" t="s">
        <v>84</v>
      </c>
      <c r="J490" s="29" t="s">
        <v>1404</v>
      </c>
      <c r="K490" s="25"/>
      <c r="L490" s="28" t="s">
        <v>27</v>
      </c>
      <c r="M490" s="24" t="s">
        <v>744</v>
      </c>
      <c r="N490" s="14" t="b">
        <f t="shared" si="37"/>
        <v>0</v>
      </c>
      <c r="O490" s="15" t="b">
        <f t="shared" si="2"/>
        <v>0</v>
      </c>
      <c r="P490" s="15" t="str">
        <f t="shared" si="3"/>
        <v>PENDING</v>
      </c>
    </row>
    <row r="491" ht="15.75" customHeight="1">
      <c r="A491" s="7" t="s">
        <v>1405</v>
      </c>
      <c r="B491" s="13" t="s">
        <v>117</v>
      </c>
      <c r="C491" s="9">
        <v>45908.0</v>
      </c>
      <c r="D491" s="9">
        <v>45878.0</v>
      </c>
      <c r="E491" s="7" t="s">
        <v>22</v>
      </c>
      <c r="F491" s="11" t="s">
        <v>716</v>
      </c>
      <c r="G491" s="11" t="s">
        <v>30</v>
      </c>
      <c r="H491" s="11" t="s">
        <v>31</v>
      </c>
      <c r="I491" s="16"/>
      <c r="J491" s="49"/>
      <c r="K491" s="13" t="s">
        <v>1406</v>
      </c>
      <c r="L491" s="11" t="s">
        <v>27</v>
      </c>
      <c r="M491" s="24" t="s">
        <v>22</v>
      </c>
      <c r="N491" s="175" t="b">
        <v>1</v>
      </c>
      <c r="O491" s="15" t="b">
        <f t="shared" si="2"/>
        <v>0</v>
      </c>
      <c r="P491" s="15" t="str">
        <f t="shared" si="3"/>
        <v>PENDING</v>
      </c>
    </row>
    <row r="492" ht="15.75" customHeight="1">
      <c r="A492" s="24" t="s">
        <v>1407</v>
      </c>
      <c r="B492" s="25" t="s">
        <v>1395</v>
      </c>
      <c r="C492" s="26">
        <v>45915.0</v>
      </c>
      <c r="D492" s="26">
        <v>45915.0</v>
      </c>
      <c r="E492" s="24" t="s">
        <v>1376</v>
      </c>
      <c r="F492" s="28" t="s">
        <v>23</v>
      </c>
      <c r="G492" s="28" t="s">
        <v>172</v>
      </c>
      <c r="H492" s="28" t="s">
        <v>482</v>
      </c>
      <c r="J492" s="29"/>
      <c r="K492" s="25"/>
      <c r="L492" s="28" t="s">
        <v>27</v>
      </c>
      <c r="M492" s="24" t="s">
        <v>1376</v>
      </c>
      <c r="N492" s="14" t="b">
        <f t="shared" ref="N492:N501" si="38">if(H492=$H$2,TRUE,O492)</f>
        <v>0</v>
      </c>
      <c r="O492" s="15" t="b">
        <f t="shared" si="2"/>
        <v>0</v>
      </c>
      <c r="P492" s="15" t="str">
        <f t="shared" si="3"/>
        <v>PENDING</v>
      </c>
    </row>
    <row r="493" ht="15.75" customHeight="1">
      <c r="A493" s="24" t="s">
        <v>1408</v>
      </c>
      <c r="B493" s="115" t="s">
        <v>1409</v>
      </c>
      <c r="C493" s="26">
        <v>45915.0</v>
      </c>
      <c r="D493" s="26">
        <v>45915.0</v>
      </c>
      <c r="E493" s="24" t="s">
        <v>1376</v>
      </c>
      <c r="F493" s="28" t="s">
        <v>23</v>
      </c>
      <c r="G493" s="28" t="s">
        <v>35</v>
      </c>
      <c r="H493" s="28" t="s">
        <v>49</v>
      </c>
      <c r="J493" s="29"/>
      <c r="K493" s="29" t="s">
        <v>1410</v>
      </c>
      <c r="L493" s="28" t="s">
        <v>27</v>
      </c>
      <c r="M493" s="24" t="s">
        <v>1376</v>
      </c>
      <c r="N493" s="14" t="b">
        <f t="shared" si="38"/>
        <v>0</v>
      </c>
      <c r="O493" s="15" t="b">
        <f t="shared" si="2"/>
        <v>0</v>
      </c>
      <c r="P493" s="15" t="str">
        <f t="shared" si="3"/>
        <v>PENDING</v>
      </c>
    </row>
    <row r="494" ht="15.75" customHeight="1">
      <c r="A494" s="24" t="s">
        <v>1411</v>
      </c>
      <c r="B494" s="115" t="s">
        <v>1409</v>
      </c>
      <c r="C494" s="26">
        <v>45915.0</v>
      </c>
      <c r="D494" s="26">
        <v>45915.0</v>
      </c>
      <c r="E494" s="24" t="s">
        <v>1376</v>
      </c>
      <c r="F494" s="28" t="s">
        <v>23</v>
      </c>
      <c r="G494" s="28" t="s">
        <v>35</v>
      </c>
      <c r="H494" s="28" t="s">
        <v>49</v>
      </c>
      <c r="J494" s="29"/>
      <c r="K494" s="29" t="s">
        <v>1410</v>
      </c>
      <c r="L494" s="28" t="s">
        <v>27</v>
      </c>
      <c r="M494" s="24" t="s">
        <v>1376</v>
      </c>
      <c r="N494" s="14" t="b">
        <f t="shared" si="38"/>
        <v>0</v>
      </c>
      <c r="O494" s="15" t="b">
        <f t="shared" si="2"/>
        <v>0</v>
      </c>
      <c r="P494" s="15" t="str">
        <f t="shared" si="3"/>
        <v>PENDING</v>
      </c>
    </row>
    <row r="495" ht="15.75" customHeight="1">
      <c r="A495" s="7" t="s">
        <v>1412</v>
      </c>
      <c r="B495" s="13" t="s">
        <v>1413</v>
      </c>
      <c r="C495" s="9">
        <v>45915.0</v>
      </c>
      <c r="D495" s="9">
        <v>45915.0</v>
      </c>
      <c r="E495" s="7" t="s">
        <v>1376</v>
      </c>
      <c r="F495" s="11" t="s">
        <v>23</v>
      </c>
      <c r="G495" s="11" t="s">
        <v>30</v>
      </c>
      <c r="H495" s="11" t="s">
        <v>25</v>
      </c>
      <c r="I495" s="16"/>
      <c r="J495" s="12"/>
      <c r="K495" s="13"/>
      <c r="L495" s="11" t="s">
        <v>27</v>
      </c>
      <c r="M495" s="7" t="s">
        <v>1376</v>
      </c>
      <c r="N495" s="14" t="b">
        <f t="shared" si="38"/>
        <v>1</v>
      </c>
      <c r="O495" s="15" t="b">
        <f t="shared" si="2"/>
        <v>0</v>
      </c>
      <c r="P495" s="15" t="str">
        <f t="shared" si="3"/>
        <v>APPROVED</v>
      </c>
    </row>
    <row r="496" ht="15.75" customHeight="1">
      <c r="A496" s="24" t="s">
        <v>1414</v>
      </c>
      <c r="B496" s="25" t="s">
        <v>1413</v>
      </c>
      <c r="C496" s="26">
        <v>45915.0</v>
      </c>
      <c r="D496" s="26">
        <v>45915.0</v>
      </c>
      <c r="E496" s="24" t="s">
        <v>1376</v>
      </c>
      <c r="F496" s="28" t="s">
        <v>23</v>
      </c>
      <c r="G496" s="28" t="s">
        <v>172</v>
      </c>
      <c r="H496" s="28" t="s">
        <v>49</v>
      </c>
      <c r="J496" s="29"/>
      <c r="K496" s="25"/>
      <c r="L496" s="28" t="s">
        <v>27</v>
      </c>
      <c r="M496" s="24" t="s">
        <v>1376</v>
      </c>
      <c r="N496" s="14" t="b">
        <f t="shared" si="38"/>
        <v>0</v>
      </c>
      <c r="O496" s="15" t="b">
        <f t="shared" si="2"/>
        <v>0</v>
      </c>
      <c r="P496" s="15" t="str">
        <f t="shared" si="3"/>
        <v>PENDING</v>
      </c>
    </row>
    <row r="497" ht="15.75" customHeight="1">
      <c r="A497" s="24" t="s">
        <v>1415</v>
      </c>
      <c r="B497" s="115" t="s">
        <v>714</v>
      </c>
      <c r="C497" s="26">
        <v>45915.0</v>
      </c>
      <c r="D497" s="26">
        <v>45915.0</v>
      </c>
      <c r="E497" s="24" t="s">
        <v>22</v>
      </c>
      <c r="F497" s="28" t="s">
        <v>23</v>
      </c>
      <c r="G497" s="28" t="s">
        <v>172</v>
      </c>
      <c r="H497" s="28" t="s">
        <v>49</v>
      </c>
      <c r="J497" s="29"/>
      <c r="K497" s="115" t="s">
        <v>914</v>
      </c>
      <c r="L497" s="28" t="s">
        <v>27</v>
      </c>
      <c r="M497" s="24" t="s">
        <v>22</v>
      </c>
      <c r="N497" s="14" t="b">
        <f t="shared" si="38"/>
        <v>0</v>
      </c>
      <c r="O497" s="15" t="b">
        <f t="shared" si="2"/>
        <v>0</v>
      </c>
      <c r="P497" s="15" t="str">
        <f t="shared" si="3"/>
        <v>PENDING</v>
      </c>
    </row>
    <row r="498" ht="15.75" customHeight="1">
      <c r="A498" s="24" t="s">
        <v>1416</v>
      </c>
      <c r="B498" s="25" t="s">
        <v>1417</v>
      </c>
      <c r="C498" s="26">
        <v>45915.0</v>
      </c>
      <c r="D498" s="26" t="s">
        <v>1418</v>
      </c>
      <c r="E498" s="24" t="s">
        <v>715</v>
      </c>
      <c r="F498" s="28" t="s">
        <v>23</v>
      </c>
      <c r="G498" s="28" t="s">
        <v>172</v>
      </c>
      <c r="H498" s="28" t="s">
        <v>49</v>
      </c>
      <c r="J498" s="29"/>
      <c r="K498" s="25"/>
      <c r="L498" s="28" t="s">
        <v>27</v>
      </c>
      <c r="M498" s="24" t="s">
        <v>715</v>
      </c>
      <c r="N498" s="14" t="b">
        <f t="shared" si="38"/>
        <v>0</v>
      </c>
      <c r="O498" s="15" t="b">
        <f t="shared" si="2"/>
        <v>0</v>
      </c>
      <c r="P498" s="15" t="str">
        <f t="shared" si="3"/>
        <v>PENDING</v>
      </c>
    </row>
    <row r="499" ht="15.75" customHeight="1">
      <c r="A499" s="7" t="s">
        <v>1419</v>
      </c>
      <c r="B499" s="13" t="s">
        <v>1420</v>
      </c>
      <c r="C499" s="9">
        <v>45915.0</v>
      </c>
      <c r="D499" s="9">
        <v>45915.0</v>
      </c>
      <c r="E499" s="7" t="s">
        <v>715</v>
      </c>
      <c r="F499" s="11" t="s">
        <v>23</v>
      </c>
      <c r="G499" s="11" t="s">
        <v>172</v>
      </c>
      <c r="H499" s="11" t="s">
        <v>25</v>
      </c>
      <c r="I499" s="16"/>
      <c r="J499" s="12" t="s">
        <v>274</v>
      </c>
      <c r="K499" s="13"/>
      <c r="L499" s="11" t="s">
        <v>27</v>
      </c>
      <c r="M499" s="7" t="s">
        <v>715</v>
      </c>
      <c r="N499" s="14" t="b">
        <f t="shared" si="38"/>
        <v>1</v>
      </c>
      <c r="O499" s="15" t="b">
        <f t="shared" si="2"/>
        <v>0</v>
      </c>
      <c r="P499" s="15" t="str">
        <f t="shared" si="3"/>
        <v>APPROVED</v>
      </c>
    </row>
    <row r="500" ht="15.75" customHeight="1">
      <c r="A500" s="7" t="s">
        <v>1421</v>
      </c>
      <c r="B500" s="13" t="s">
        <v>1422</v>
      </c>
      <c r="C500" s="9">
        <v>45915.0</v>
      </c>
      <c r="D500" s="9">
        <v>45915.0</v>
      </c>
      <c r="E500" s="7" t="s">
        <v>715</v>
      </c>
      <c r="F500" s="11" t="s">
        <v>23</v>
      </c>
      <c r="G500" s="11" t="s">
        <v>172</v>
      </c>
      <c r="H500" s="11" t="s">
        <v>25</v>
      </c>
      <c r="I500" s="16"/>
      <c r="J500" s="12" t="s">
        <v>1329</v>
      </c>
      <c r="K500" s="13"/>
      <c r="L500" s="11" t="s">
        <v>27</v>
      </c>
      <c r="M500" s="7" t="s">
        <v>715</v>
      </c>
      <c r="N500" s="14" t="b">
        <f t="shared" si="38"/>
        <v>1</v>
      </c>
      <c r="O500" s="15" t="b">
        <f t="shared" si="2"/>
        <v>0</v>
      </c>
      <c r="P500" s="15" t="str">
        <f t="shared" si="3"/>
        <v>APPROVED</v>
      </c>
    </row>
    <row r="501" ht="15.75" customHeight="1">
      <c r="A501" s="24" t="s">
        <v>1423</v>
      </c>
      <c r="B501" s="25" t="s">
        <v>1364</v>
      </c>
      <c r="C501" s="26">
        <v>45915.0</v>
      </c>
      <c r="D501" s="26">
        <v>45915.0</v>
      </c>
      <c r="E501" s="24" t="s">
        <v>715</v>
      </c>
      <c r="F501" s="28" t="s">
        <v>23</v>
      </c>
      <c r="G501" s="28" t="s">
        <v>172</v>
      </c>
      <c r="H501" s="28" t="s">
        <v>49</v>
      </c>
      <c r="J501" s="29"/>
      <c r="K501" s="25"/>
      <c r="L501" s="28" t="s">
        <v>27</v>
      </c>
      <c r="M501" s="24" t="s">
        <v>715</v>
      </c>
      <c r="N501" s="14" t="b">
        <f t="shared" si="38"/>
        <v>0</v>
      </c>
      <c r="O501" s="15" t="b">
        <f t="shared" si="2"/>
        <v>0</v>
      </c>
      <c r="P501" s="15" t="str">
        <f t="shared" si="3"/>
        <v>PENDING</v>
      </c>
    </row>
    <row r="502" ht="15.75" customHeight="1">
      <c r="A502" s="7" t="s">
        <v>1424</v>
      </c>
      <c r="B502" s="13" t="s">
        <v>714</v>
      </c>
      <c r="C502" s="9">
        <v>45915.0</v>
      </c>
      <c r="D502" s="9">
        <v>45915.0</v>
      </c>
      <c r="E502" s="7" t="s">
        <v>715</v>
      </c>
      <c r="F502" s="11" t="s">
        <v>716</v>
      </c>
      <c r="G502" s="11"/>
      <c r="H502" s="11" t="s">
        <v>31</v>
      </c>
      <c r="I502" s="16"/>
      <c r="J502" s="49"/>
      <c r="K502" s="13"/>
      <c r="L502" s="11" t="s">
        <v>27</v>
      </c>
      <c r="M502" s="24" t="s">
        <v>715</v>
      </c>
      <c r="N502" s="175" t="b">
        <v>1</v>
      </c>
      <c r="O502" s="15" t="b">
        <f t="shared" si="2"/>
        <v>0</v>
      </c>
      <c r="P502" s="15" t="str">
        <f t="shared" si="3"/>
        <v>PENDING</v>
      </c>
    </row>
    <row r="503" ht="15.75" customHeight="1">
      <c r="A503" s="7" t="s">
        <v>1425</v>
      </c>
      <c r="B503" s="13" t="s">
        <v>714</v>
      </c>
      <c r="C503" s="9">
        <v>45915.0</v>
      </c>
      <c r="D503" s="9">
        <v>45915.0</v>
      </c>
      <c r="E503" s="7" t="s">
        <v>715</v>
      </c>
      <c r="F503" s="11" t="s">
        <v>716</v>
      </c>
      <c r="G503" s="11"/>
      <c r="H503" s="11" t="s">
        <v>31</v>
      </c>
      <c r="I503" s="16"/>
      <c r="J503" s="49"/>
      <c r="K503" s="13"/>
      <c r="L503" s="11" t="s">
        <v>27</v>
      </c>
      <c r="M503" s="24" t="s">
        <v>715</v>
      </c>
      <c r="N503" s="175" t="b">
        <v>1</v>
      </c>
      <c r="O503" s="15" t="b">
        <f t="shared" si="2"/>
        <v>0</v>
      </c>
      <c r="P503" s="15" t="str">
        <f t="shared" si="3"/>
        <v>PENDING</v>
      </c>
    </row>
    <row r="504" ht="15.75" customHeight="1">
      <c r="A504" s="24" t="s">
        <v>1426</v>
      </c>
      <c r="B504" s="115" t="s">
        <v>1031</v>
      </c>
      <c r="C504" s="26">
        <v>45915.0</v>
      </c>
      <c r="D504" s="26">
        <v>45915.0</v>
      </c>
      <c r="E504" s="24" t="s">
        <v>744</v>
      </c>
      <c r="F504" s="28" t="s">
        <v>23</v>
      </c>
      <c r="G504" s="28" t="s">
        <v>172</v>
      </c>
      <c r="H504" s="28" t="s">
        <v>482</v>
      </c>
      <c r="J504" s="29"/>
      <c r="K504" s="25"/>
      <c r="L504" s="28" t="s">
        <v>27</v>
      </c>
      <c r="M504" s="24" t="s">
        <v>744</v>
      </c>
      <c r="N504" s="14" t="b">
        <f t="shared" ref="N504:N513" si="39">if(H504=$H$2,TRUE,O504)</f>
        <v>0</v>
      </c>
      <c r="O504" s="15" t="b">
        <f t="shared" si="2"/>
        <v>0</v>
      </c>
      <c r="P504" s="15" t="str">
        <f t="shared" si="3"/>
        <v>PENDING</v>
      </c>
    </row>
    <row r="505" ht="15.75" customHeight="1">
      <c r="A505" s="24" t="s">
        <v>1427</v>
      </c>
      <c r="B505" s="25" t="s">
        <v>1428</v>
      </c>
      <c r="C505" s="26">
        <v>45915.0</v>
      </c>
      <c r="D505" s="26">
        <v>45915.0</v>
      </c>
      <c r="E505" s="24" t="s">
        <v>744</v>
      </c>
      <c r="F505" s="28" t="s">
        <v>23</v>
      </c>
      <c r="G505" s="28" t="s">
        <v>172</v>
      </c>
      <c r="H505" s="28" t="s">
        <v>482</v>
      </c>
      <c r="J505" s="29"/>
      <c r="K505" s="25"/>
      <c r="L505" s="28" t="s">
        <v>27</v>
      </c>
      <c r="M505" s="24" t="s">
        <v>744</v>
      </c>
      <c r="N505" s="14" t="b">
        <f t="shared" si="39"/>
        <v>0</v>
      </c>
      <c r="O505" s="15" t="b">
        <f t="shared" si="2"/>
        <v>0</v>
      </c>
      <c r="P505" s="15" t="str">
        <f t="shared" si="3"/>
        <v>PENDING</v>
      </c>
    </row>
    <row r="506" ht="16.5" customHeight="1">
      <c r="A506" s="24" t="s">
        <v>1429</v>
      </c>
      <c r="B506" s="25" t="s">
        <v>743</v>
      </c>
      <c r="C506" s="26">
        <v>45915.0</v>
      </c>
      <c r="D506" s="26">
        <v>45915.0</v>
      </c>
      <c r="E506" s="24" t="s">
        <v>744</v>
      </c>
      <c r="F506" s="28" t="s">
        <v>23</v>
      </c>
      <c r="G506" s="28" t="s">
        <v>172</v>
      </c>
      <c r="H506" s="28" t="s">
        <v>84</v>
      </c>
      <c r="J506" s="29" t="s">
        <v>1430</v>
      </c>
      <c r="K506" s="25"/>
      <c r="L506" s="28" t="s">
        <v>27</v>
      </c>
      <c r="M506" s="24" t="s">
        <v>744</v>
      </c>
      <c r="N506" s="14" t="b">
        <f t="shared" si="39"/>
        <v>0</v>
      </c>
      <c r="O506" s="15" t="b">
        <f t="shared" si="2"/>
        <v>0</v>
      </c>
      <c r="P506" s="15" t="str">
        <f t="shared" si="3"/>
        <v>PENDING</v>
      </c>
    </row>
    <row r="507" ht="15.75" customHeight="1">
      <c r="A507" s="24" t="s">
        <v>1431</v>
      </c>
      <c r="B507" s="25" t="s">
        <v>992</v>
      </c>
      <c r="C507" s="26">
        <v>45915.0</v>
      </c>
      <c r="D507" s="26">
        <v>45915.0</v>
      </c>
      <c r="E507" s="24" t="s">
        <v>744</v>
      </c>
      <c r="F507" s="28" t="s">
        <v>23</v>
      </c>
      <c r="G507" s="28" t="s">
        <v>172</v>
      </c>
      <c r="H507" s="28" t="s">
        <v>482</v>
      </c>
      <c r="J507" s="29"/>
      <c r="K507" s="25"/>
      <c r="L507" s="28" t="s">
        <v>27</v>
      </c>
      <c r="M507" s="24" t="s">
        <v>744</v>
      </c>
      <c r="N507" s="14" t="b">
        <f t="shared" si="39"/>
        <v>0</v>
      </c>
      <c r="O507" s="15" t="b">
        <f t="shared" si="2"/>
        <v>0</v>
      </c>
      <c r="P507" s="15" t="str">
        <f t="shared" si="3"/>
        <v>PENDING</v>
      </c>
    </row>
    <row r="508" ht="15.75" customHeight="1">
      <c r="A508" s="7" t="s">
        <v>1432</v>
      </c>
      <c r="B508" s="8" t="s">
        <v>29</v>
      </c>
      <c r="C508" s="9">
        <v>45916.0</v>
      </c>
      <c r="D508" s="9">
        <v>45916.0</v>
      </c>
      <c r="E508" s="7" t="s">
        <v>22</v>
      </c>
      <c r="F508" s="11" t="s">
        <v>23</v>
      </c>
      <c r="G508" s="11" t="s">
        <v>70</v>
      </c>
      <c r="H508" s="11" t="s">
        <v>25</v>
      </c>
      <c r="I508" s="16"/>
      <c r="J508" s="12" t="s">
        <v>1433</v>
      </c>
      <c r="K508" s="36" t="s">
        <v>2091</v>
      </c>
      <c r="L508" s="11" t="s">
        <v>27</v>
      </c>
      <c r="M508" s="7" t="s">
        <v>22</v>
      </c>
      <c r="N508" s="14" t="b">
        <f t="shared" si="39"/>
        <v>1</v>
      </c>
      <c r="O508" s="15" t="b">
        <f t="shared" si="2"/>
        <v>0</v>
      </c>
      <c r="P508" s="15" t="str">
        <f t="shared" si="3"/>
        <v>APPROVED</v>
      </c>
    </row>
    <row r="509" ht="15.75" customHeight="1">
      <c r="A509" s="24" t="s">
        <v>1436</v>
      </c>
      <c r="B509" s="25" t="s">
        <v>1437</v>
      </c>
      <c r="C509" s="26">
        <v>45917.0</v>
      </c>
      <c r="D509" s="26">
        <v>45917.0</v>
      </c>
      <c r="E509" s="24" t="s">
        <v>1376</v>
      </c>
      <c r="F509" s="28" t="s">
        <v>23</v>
      </c>
      <c r="G509" s="28" t="s">
        <v>35</v>
      </c>
      <c r="H509" s="28" t="s">
        <v>84</v>
      </c>
      <c r="J509" s="29" t="s">
        <v>1438</v>
      </c>
      <c r="K509" s="25"/>
      <c r="L509" s="28" t="s">
        <v>27</v>
      </c>
      <c r="M509" s="24" t="s">
        <v>1376</v>
      </c>
      <c r="N509" s="14" t="b">
        <f t="shared" si="39"/>
        <v>0</v>
      </c>
      <c r="O509" s="15" t="b">
        <f t="shared" si="2"/>
        <v>0</v>
      </c>
      <c r="P509" s="15" t="str">
        <f t="shared" si="3"/>
        <v>PENDING</v>
      </c>
    </row>
    <row r="510" ht="15.75" customHeight="1">
      <c r="A510" s="24" t="s">
        <v>1439</v>
      </c>
      <c r="B510" s="25" t="s">
        <v>1440</v>
      </c>
      <c r="C510" s="26">
        <v>45917.0</v>
      </c>
      <c r="D510" s="26">
        <v>45917.0</v>
      </c>
      <c r="E510" s="24" t="s">
        <v>1376</v>
      </c>
      <c r="F510" s="28" t="s">
        <v>23</v>
      </c>
      <c r="G510" s="28" t="s">
        <v>35</v>
      </c>
      <c r="H510" s="28" t="s">
        <v>84</v>
      </c>
      <c r="J510" s="29" t="s">
        <v>1441</v>
      </c>
      <c r="K510" s="25"/>
      <c r="L510" s="28" t="s">
        <v>27</v>
      </c>
      <c r="M510" s="24" t="s">
        <v>1376</v>
      </c>
      <c r="N510" s="14" t="b">
        <f t="shared" si="39"/>
        <v>0</v>
      </c>
      <c r="O510" s="15" t="b">
        <f t="shared" si="2"/>
        <v>0</v>
      </c>
      <c r="P510" s="15" t="str">
        <f t="shared" si="3"/>
        <v>PENDING</v>
      </c>
    </row>
    <row r="511" ht="15.75" customHeight="1">
      <c r="A511" s="24" t="s">
        <v>1442</v>
      </c>
      <c r="B511" s="115" t="s">
        <v>876</v>
      </c>
      <c r="C511" s="26">
        <v>45917.0</v>
      </c>
      <c r="D511" s="26">
        <v>45918.0</v>
      </c>
      <c r="E511" s="24" t="s">
        <v>177</v>
      </c>
      <c r="F511" s="28" t="s">
        <v>23</v>
      </c>
      <c r="G511" s="28" t="s">
        <v>172</v>
      </c>
      <c r="H511" s="28" t="s">
        <v>482</v>
      </c>
      <c r="J511" s="29"/>
      <c r="K511" s="25"/>
      <c r="L511" s="28" t="s">
        <v>27</v>
      </c>
      <c r="M511" s="24" t="s">
        <v>177</v>
      </c>
      <c r="N511" s="14" t="b">
        <f t="shared" si="39"/>
        <v>0</v>
      </c>
      <c r="O511" s="15" t="b">
        <f t="shared" si="2"/>
        <v>0</v>
      </c>
      <c r="P511" s="15" t="str">
        <f t="shared" si="3"/>
        <v>PENDING</v>
      </c>
    </row>
    <row r="512" ht="15.75" customHeight="1">
      <c r="A512" s="24" t="s">
        <v>1443</v>
      </c>
      <c r="B512" s="25" t="s">
        <v>1444</v>
      </c>
      <c r="C512" s="26">
        <v>45917.0</v>
      </c>
      <c r="D512" s="26">
        <v>45918.0</v>
      </c>
      <c r="E512" s="24" t="s">
        <v>177</v>
      </c>
      <c r="F512" s="28" t="s">
        <v>23</v>
      </c>
      <c r="G512" s="28" t="s">
        <v>172</v>
      </c>
      <c r="H512" s="28" t="s">
        <v>84</v>
      </c>
      <c r="J512" s="29" t="s">
        <v>1445</v>
      </c>
      <c r="K512" s="25"/>
      <c r="L512" s="28" t="s">
        <v>27</v>
      </c>
      <c r="M512" s="24" t="s">
        <v>177</v>
      </c>
      <c r="N512" s="14" t="b">
        <f t="shared" si="39"/>
        <v>0</v>
      </c>
      <c r="O512" s="15" t="b">
        <f t="shared" si="2"/>
        <v>0</v>
      </c>
      <c r="P512" s="15" t="str">
        <f t="shared" si="3"/>
        <v>PENDING</v>
      </c>
    </row>
    <row r="513" ht="15.75" customHeight="1">
      <c r="A513" s="24" t="s">
        <v>1446</v>
      </c>
      <c r="B513" s="25" t="s">
        <v>369</v>
      </c>
      <c r="C513" s="26">
        <v>45917.0</v>
      </c>
      <c r="D513" s="26">
        <v>45918.0</v>
      </c>
      <c r="E513" s="24" t="s">
        <v>177</v>
      </c>
      <c r="F513" s="28" t="s">
        <v>23</v>
      </c>
      <c r="G513" s="28" t="s">
        <v>172</v>
      </c>
      <c r="H513" s="28" t="s">
        <v>84</v>
      </c>
      <c r="J513" s="29" t="s">
        <v>1447</v>
      </c>
      <c r="K513" s="25"/>
      <c r="L513" s="28" t="s">
        <v>27</v>
      </c>
      <c r="M513" s="24" t="s">
        <v>177</v>
      </c>
      <c r="N513" s="14" t="b">
        <f t="shared" si="39"/>
        <v>0</v>
      </c>
      <c r="O513" s="15" t="b">
        <f t="shared" si="2"/>
        <v>0</v>
      </c>
      <c r="P513" s="15" t="str">
        <f t="shared" si="3"/>
        <v>PENDING</v>
      </c>
    </row>
    <row r="514" ht="15.75" customHeight="1">
      <c r="A514" s="24" t="s">
        <v>1448</v>
      </c>
      <c r="B514" s="25" t="s">
        <v>1449</v>
      </c>
      <c r="C514" s="26">
        <v>45917.0</v>
      </c>
      <c r="D514" s="26">
        <v>45917.0</v>
      </c>
      <c r="E514" s="24" t="s">
        <v>744</v>
      </c>
      <c r="F514" s="28" t="s">
        <v>23</v>
      </c>
      <c r="G514" s="28" t="s">
        <v>172</v>
      </c>
      <c r="H514" s="28" t="s">
        <v>25</v>
      </c>
      <c r="J514" s="29" t="s">
        <v>923</v>
      </c>
      <c r="K514" s="25"/>
      <c r="L514" s="28" t="s">
        <v>27</v>
      </c>
      <c r="M514" s="24" t="s">
        <v>744</v>
      </c>
      <c r="N514" s="175" t="b">
        <v>0</v>
      </c>
      <c r="O514" s="15" t="b">
        <f t="shared" si="2"/>
        <v>0</v>
      </c>
      <c r="P514" s="15" t="str">
        <f t="shared" si="3"/>
        <v>APPROVED</v>
      </c>
    </row>
    <row r="515" ht="15.75" customHeight="1">
      <c r="A515" s="24" t="s">
        <v>1450</v>
      </c>
      <c r="B515" s="115" t="s">
        <v>253</v>
      </c>
      <c r="C515" s="26">
        <v>45917.0</v>
      </c>
      <c r="D515" s="26">
        <v>45917.0</v>
      </c>
      <c r="E515" s="24" t="s">
        <v>744</v>
      </c>
      <c r="F515" s="28" t="s">
        <v>23</v>
      </c>
      <c r="G515" s="28" t="s">
        <v>172</v>
      </c>
      <c r="H515" s="28" t="s">
        <v>84</v>
      </c>
      <c r="J515" s="29" t="s">
        <v>1451</v>
      </c>
      <c r="K515" s="25"/>
      <c r="L515" s="28" t="s">
        <v>27</v>
      </c>
      <c r="M515" s="24" t="s">
        <v>744</v>
      </c>
      <c r="N515" s="14" t="b">
        <f>if(H515=$H$2,TRUE,O515)</f>
        <v>0</v>
      </c>
      <c r="O515" s="15" t="b">
        <f t="shared" si="2"/>
        <v>0</v>
      </c>
      <c r="P515" s="15" t="str">
        <f t="shared" si="3"/>
        <v>PENDING</v>
      </c>
    </row>
    <row r="516" ht="15.75" customHeight="1">
      <c r="A516" s="7" t="s">
        <v>1452</v>
      </c>
      <c r="B516" s="13" t="s">
        <v>1181</v>
      </c>
      <c r="C516" s="9">
        <v>45918.0</v>
      </c>
      <c r="D516" s="9">
        <v>45918.0</v>
      </c>
      <c r="E516" s="7" t="s">
        <v>1182</v>
      </c>
      <c r="F516" s="11" t="s">
        <v>23</v>
      </c>
      <c r="G516" s="11"/>
      <c r="H516" s="11" t="s">
        <v>31</v>
      </c>
      <c r="I516" s="16"/>
      <c r="J516" s="49"/>
      <c r="K516" s="13"/>
      <c r="L516" s="11" t="s">
        <v>27</v>
      </c>
      <c r="M516" s="24" t="s">
        <v>1182</v>
      </c>
      <c r="N516" s="175" t="b">
        <v>1</v>
      </c>
      <c r="O516" s="15" t="b">
        <f t="shared" si="2"/>
        <v>0</v>
      </c>
      <c r="P516" s="15" t="str">
        <f t="shared" si="3"/>
        <v>PENDING</v>
      </c>
    </row>
    <row r="517" ht="15.75" customHeight="1">
      <c r="A517" s="24" t="s">
        <v>1453</v>
      </c>
      <c r="B517" s="115" t="s">
        <v>1454</v>
      </c>
      <c r="C517" s="26">
        <v>45918.0</v>
      </c>
      <c r="D517" s="26">
        <v>45919.0</v>
      </c>
      <c r="E517" s="24" t="s">
        <v>1387</v>
      </c>
      <c r="F517" s="28" t="s">
        <v>23</v>
      </c>
      <c r="G517" s="28" t="s">
        <v>172</v>
      </c>
      <c r="H517" s="28" t="s">
        <v>84</v>
      </c>
      <c r="J517" s="29" t="s">
        <v>1455</v>
      </c>
      <c r="K517" s="25"/>
      <c r="L517" s="28" t="s">
        <v>27</v>
      </c>
      <c r="M517" s="24" t="s">
        <v>1387</v>
      </c>
      <c r="N517" s="14" t="b">
        <f t="shared" ref="N517:N519" si="40">if(H517=$H$2,TRUE,O517)</f>
        <v>0</v>
      </c>
      <c r="O517" s="15" t="b">
        <f t="shared" si="2"/>
        <v>0</v>
      </c>
      <c r="P517" s="15" t="str">
        <f t="shared" si="3"/>
        <v>PENDING</v>
      </c>
    </row>
    <row r="518" ht="15.75" customHeight="1">
      <c r="A518" s="24" t="s">
        <v>1456</v>
      </c>
      <c r="B518" s="25" t="s">
        <v>1457</v>
      </c>
      <c r="C518" s="26">
        <v>45918.0</v>
      </c>
      <c r="D518" s="26">
        <v>45919.0</v>
      </c>
      <c r="E518" s="24" t="s">
        <v>1387</v>
      </c>
      <c r="F518" s="28" t="s">
        <v>23</v>
      </c>
      <c r="G518" s="28" t="s">
        <v>172</v>
      </c>
      <c r="H518" s="28" t="s">
        <v>84</v>
      </c>
      <c r="J518" s="29" t="s">
        <v>1458</v>
      </c>
      <c r="K518" s="25"/>
      <c r="L518" s="28" t="s">
        <v>27</v>
      </c>
      <c r="M518" s="24" t="s">
        <v>1387</v>
      </c>
      <c r="N518" s="14" t="b">
        <f t="shared" si="40"/>
        <v>0</v>
      </c>
      <c r="O518" s="15" t="b">
        <f t="shared" si="2"/>
        <v>0</v>
      </c>
      <c r="P518" s="15" t="str">
        <f t="shared" si="3"/>
        <v>PENDING</v>
      </c>
    </row>
    <row r="519" ht="15.75" customHeight="1">
      <c r="A519" s="24" t="s">
        <v>1459</v>
      </c>
      <c r="B519" s="25" t="s">
        <v>1395</v>
      </c>
      <c r="C519" s="26">
        <v>45918.0</v>
      </c>
      <c r="D519" s="26">
        <v>45919.0</v>
      </c>
      <c r="E519" s="24" t="s">
        <v>1376</v>
      </c>
      <c r="F519" s="28" t="s">
        <v>23</v>
      </c>
      <c r="G519" s="28" t="s">
        <v>35</v>
      </c>
      <c r="H519" s="28" t="s">
        <v>482</v>
      </c>
      <c r="J519" s="29"/>
      <c r="K519" s="25"/>
      <c r="L519" s="28" t="s">
        <v>27</v>
      </c>
      <c r="M519" s="24" t="s">
        <v>1376</v>
      </c>
      <c r="N519" s="14" t="b">
        <f t="shared" si="40"/>
        <v>0</v>
      </c>
      <c r="O519" s="15" t="b">
        <f t="shared" si="2"/>
        <v>0</v>
      </c>
      <c r="P519" s="15" t="str">
        <f t="shared" si="3"/>
        <v>PENDING</v>
      </c>
    </row>
    <row r="520" ht="15.75" customHeight="1">
      <c r="A520" s="24" t="s">
        <v>1460</v>
      </c>
      <c r="B520" s="25" t="s">
        <v>1461</v>
      </c>
      <c r="C520" s="26">
        <v>45918.0</v>
      </c>
      <c r="D520" s="26">
        <v>45919.0</v>
      </c>
      <c r="E520" s="24" t="s">
        <v>1376</v>
      </c>
      <c r="F520" s="28" t="s">
        <v>23</v>
      </c>
      <c r="G520" s="28" t="s">
        <v>35</v>
      </c>
      <c r="H520" s="28" t="s">
        <v>25</v>
      </c>
      <c r="J520" s="29"/>
      <c r="K520" s="25"/>
      <c r="L520" s="28" t="s">
        <v>27</v>
      </c>
      <c r="M520" s="24" t="s">
        <v>1376</v>
      </c>
      <c r="N520" s="175" t="b">
        <v>0</v>
      </c>
      <c r="O520" s="15" t="b">
        <f t="shared" si="2"/>
        <v>0</v>
      </c>
      <c r="P520" s="15" t="str">
        <f t="shared" si="3"/>
        <v>APPROVED</v>
      </c>
    </row>
    <row r="521" ht="15.75" customHeight="1">
      <c r="A521" s="24" t="s">
        <v>1462</v>
      </c>
      <c r="B521" s="25" t="s">
        <v>1463</v>
      </c>
      <c r="C521" s="26">
        <v>45918.0</v>
      </c>
      <c r="D521" s="26">
        <v>45919.0</v>
      </c>
      <c r="E521" s="24" t="s">
        <v>1376</v>
      </c>
      <c r="F521" s="28" t="s">
        <v>23</v>
      </c>
      <c r="G521" s="28" t="s">
        <v>35</v>
      </c>
      <c r="H521" s="28" t="s">
        <v>482</v>
      </c>
      <c r="J521" s="29"/>
      <c r="K521" s="25"/>
      <c r="L521" s="28" t="s">
        <v>27</v>
      </c>
      <c r="M521" s="24" t="s">
        <v>1376</v>
      </c>
      <c r="N521" s="14" t="b">
        <f t="shared" ref="N521:N528" si="41">if(H521=$H$2,TRUE,O521)</f>
        <v>0</v>
      </c>
      <c r="O521" s="15" t="b">
        <f t="shared" si="2"/>
        <v>0</v>
      </c>
      <c r="P521" s="15" t="str">
        <f t="shared" si="3"/>
        <v>PENDING</v>
      </c>
    </row>
    <row r="522" ht="18.0" customHeight="1">
      <c r="A522" s="24" t="s">
        <v>1464</v>
      </c>
      <c r="B522" s="25" t="s">
        <v>1465</v>
      </c>
      <c r="C522" s="26">
        <v>45918.0</v>
      </c>
      <c r="D522" s="26">
        <v>45919.0</v>
      </c>
      <c r="E522" s="24" t="s">
        <v>1387</v>
      </c>
      <c r="F522" s="28" t="s">
        <v>23</v>
      </c>
      <c r="G522" s="28" t="s">
        <v>172</v>
      </c>
      <c r="H522" s="28" t="s">
        <v>482</v>
      </c>
      <c r="J522" s="29"/>
      <c r="K522" s="25"/>
      <c r="L522" s="28" t="s">
        <v>27</v>
      </c>
      <c r="M522" s="24" t="s">
        <v>1387</v>
      </c>
      <c r="N522" s="14" t="b">
        <f t="shared" si="41"/>
        <v>0</v>
      </c>
      <c r="O522" s="15" t="b">
        <f t="shared" si="2"/>
        <v>0</v>
      </c>
      <c r="P522" s="15" t="str">
        <f t="shared" si="3"/>
        <v>PENDING</v>
      </c>
    </row>
    <row r="523" ht="15.75" customHeight="1">
      <c r="A523" s="24" t="s">
        <v>1466</v>
      </c>
      <c r="B523" s="25" t="s">
        <v>1467</v>
      </c>
      <c r="C523" s="26">
        <v>45918.0</v>
      </c>
      <c r="D523" s="26">
        <v>45919.0</v>
      </c>
      <c r="E523" s="24" t="s">
        <v>1387</v>
      </c>
      <c r="F523" s="28" t="s">
        <v>23</v>
      </c>
      <c r="G523" s="28" t="s">
        <v>172</v>
      </c>
      <c r="H523" s="28" t="s">
        <v>482</v>
      </c>
      <c r="J523" s="29"/>
      <c r="K523" s="25"/>
      <c r="L523" s="28" t="s">
        <v>27</v>
      </c>
      <c r="M523" s="24" t="s">
        <v>1387</v>
      </c>
      <c r="N523" s="14" t="b">
        <f t="shared" si="41"/>
        <v>0</v>
      </c>
      <c r="O523" s="15" t="b">
        <f t="shared" si="2"/>
        <v>0</v>
      </c>
      <c r="P523" s="15" t="str">
        <f t="shared" si="3"/>
        <v>PENDING</v>
      </c>
    </row>
    <row r="524" ht="15.75" customHeight="1">
      <c r="A524" s="24" t="s">
        <v>1468</v>
      </c>
      <c r="B524" s="115" t="s">
        <v>511</v>
      </c>
      <c r="C524" s="26">
        <v>45918.0</v>
      </c>
      <c r="D524" s="26">
        <v>45918.0</v>
      </c>
      <c r="E524" s="24" t="s">
        <v>177</v>
      </c>
      <c r="F524" s="28" t="s">
        <v>23</v>
      </c>
      <c r="G524" s="28" t="s">
        <v>172</v>
      </c>
      <c r="H524" s="28" t="s">
        <v>482</v>
      </c>
      <c r="J524" s="29"/>
      <c r="K524" s="25"/>
      <c r="L524" s="28" t="s">
        <v>27</v>
      </c>
      <c r="M524" s="24" t="s">
        <v>177</v>
      </c>
      <c r="N524" s="14" t="b">
        <f t="shared" si="41"/>
        <v>0</v>
      </c>
      <c r="O524" s="15" t="b">
        <f t="shared" si="2"/>
        <v>0</v>
      </c>
      <c r="P524" s="15" t="str">
        <f t="shared" si="3"/>
        <v>PENDING</v>
      </c>
    </row>
    <row r="525" ht="15.75" customHeight="1">
      <c r="A525" s="24" t="s">
        <v>1469</v>
      </c>
      <c r="B525" s="25" t="s">
        <v>515</v>
      </c>
      <c r="C525" s="26">
        <v>45918.0</v>
      </c>
      <c r="D525" s="26">
        <v>45918.0</v>
      </c>
      <c r="E525" s="24" t="s">
        <v>177</v>
      </c>
      <c r="F525" s="28" t="s">
        <v>23</v>
      </c>
      <c r="G525" s="28" t="s">
        <v>172</v>
      </c>
      <c r="H525" s="28" t="s">
        <v>482</v>
      </c>
      <c r="J525" s="29"/>
      <c r="K525" s="25"/>
      <c r="L525" s="28" t="s">
        <v>27</v>
      </c>
      <c r="M525" s="24" t="s">
        <v>177</v>
      </c>
      <c r="N525" s="14" t="b">
        <f t="shared" si="41"/>
        <v>0</v>
      </c>
      <c r="O525" s="15" t="b">
        <f t="shared" si="2"/>
        <v>0</v>
      </c>
      <c r="P525" s="15" t="str">
        <f t="shared" si="3"/>
        <v>PENDING</v>
      </c>
    </row>
    <row r="526" ht="15.75" customHeight="1">
      <c r="A526" s="24" t="s">
        <v>1470</v>
      </c>
      <c r="B526" s="115" t="s">
        <v>791</v>
      </c>
      <c r="C526" s="26">
        <v>45918.0</v>
      </c>
      <c r="D526" s="26">
        <v>45918.0</v>
      </c>
      <c r="E526" s="24" t="s">
        <v>177</v>
      </c>
      <c r="F526" s="28" t="s">
        <v>23</v>
      </c>
      <c r="G526" s="28" t="s">
        <v>172</v>
      </c>
      <c r="H526" s="28" t="s">
        <v>482</v>
      </c>
      <c r="J526" s="29"/>
      <c r="K526" s="25"/>
      <c r="L526" s="28" t="s">
        <v>27</v>
      </c>
      <c r="M526" s="24" t="s">
        <v>177</v>
      </c>
      <c r="N526" s="14" t="b">
        <f t="shared" si="41"/>
        <v>0</v>
      </c>
      <c r="O526" s="15" t="b">
        <f t="shared" si="2"/>
        <v>0</v>
      </c>
      <c r="P526" s="15" t="str">
        <f t="shared" si="3"/>
        <v>PENDING</v>
      </c>
    </row>
    <row r="527" ht="15.75" customHeight="1">
      <c r="A527" s="24" t="s">
        <v>1471</v>
      </c>
      <c r="B527" s="25" t="s">
        <v>357</v>
      </c>
      <c r="C527" s="26">
        <v>45918.0</v>
      </c>
      <c r="D527" s="26">
        <v>45918.0</v>
      </c>
      <c r="E527" s="24" t="s">
        <v>177</v>
      </c>
      <c r="F527" s="28" t="s">
        <v>23</v>
      </c>
      <c r="G527" s="28" t="s">
        <v>172</v>
      </c>
      <c r="H527" s="28" t="s">
        <v>482</v>
      </c>
      <c r="J527" s="29"/>
      <c r="K527" s="25"/>
      <c r="L527" s="28" t="s">
        <v>27</v>
      </c>
      <c r="M527" s="24" t="s">
        <v>177</v>
      </c>
      <c r="N527" s="14" t="b">
        <f t="shared" si="41"/>
        <v>0</v>
      </c>
      <c r="O527" s="15" t="b">
        <f t="shared" si="2"/>
        <v>0</v>
      </c>
      <c r="P527" s="15" t="str">
        <f t="shared" si="3"/>
        <v>PENDING</v>
      </c>
    </row>
    <row r="528" ht="15.75" customHeight="1">
      <c r="A528" s="7" t="s">
        <v>1472</v>
      </c>
      <c r="B528" s="13" t="s">
        <v>473</v>
      </c>
      <c r="C528" s="9">
        <v>45918.0</v>
      </c>
      <c r="D528" s="9">
        <v>45918.0</v>
      </c>
      <c r="E528" s="7" t="s">
        <v>177</v>
      </c>
      <c r="F528" s="11" t="s">
        <v>23</v>
      </c>
      <c r="G528" s="11" t="s">
        <v>30</v>
      </c>
      <c r="H528" s="11" t="s">
        <v>25</v>
      </c>
      <c r="I528" s="16"/>
      <c r="J528" s="12" t="s">
        <v>1473</v>
      </c>
      <c r="K528" s="13"/>
      <c r="L528" s="11" t="s">
        <v>27</v>
      </c>
      <c r="M528" s="7" t="s">
        <v>177</v>
      </c>
      <c r="N528" s="14" t="b">
        <f t="shared" si="41"/>
        <v>1</v>
      </c>
      <c r="O528" s="15" t="b">
        <f t="shared" si="2"/>
        <v>0</v>
      </c>
      <c r="P528" s="15" t="str">
        <f t="shared" si="3"/>
        <v>APPROVED</v>
      </c>
    </row>
    <row r="529" ht="15.75" customHeight="1">
      <c r="A529" s="7" t="s">
        <v>1474</v>
      </c>
      <c r="B529" s="13" t="s">
        <v>38</v>
      </c>
      <c r="C529" s="9">
        <v>45919.0</v>
      </c>
      <c r="D529" s="9">
        <v>45919.0</v>
      </c>
      <c r="E529" s="7" t="s">
        <v>22</v>
      </c>
      <c r="F529" s="11" t="s">
        <v>716</v>
      </c>
      <c r="G529" s="11" t="s">
        <v>30</v>
      </c>
      <c r="H529" s="11" t="s">
        <v>31</v>
      </c>
      <c r="I529" s="16"/>
      <c r="J529" s="49"/>
      <c r="K529" s="13"/>
      <c r="L529" s="11" t="s">
        <v>27</v>
      </c>
      <c r="M529" s="24" t="s">
        <v>22</v>
      </c>
      <c r="N529" s="175" t="b">
        <v>1</v>
      </c>
      <c r="O529" s="15" t="b">
        <f t="shared" si="2"/>
        <v>0</v>
      </c>
      <c r="P529" s="15" t="str">
        <f t="shared" si="3"/>
        <v>PENDING</v>
      </c>
    </row>
    <row r="530" ht="15.75" customHeight="1">
      <c r="A530" s="24" t="s">
        <v>1475</v>
      </c>
      <c r="B530" s="25" t="s">
        <v>1476</v>
      </c>
      <c r="C530" s="26">
        <v>45919.0</v>
      </c>
      <c r="D530" s="26">
        <v>45920.0</v>
      </c>
      <c r="E530" s="24" t="s">
        <v>1376</v>
      </c>
      <c r="F530" s="28" t="s">
        <v>23</v>
      </c>
      <c r="G530" s="28" t="s">
        <v>172</v>
      </c>
      <c r="H530" s="28" t="s">
        <v>482</v>
      </c>
      <c r="J530" s="29"/>
      <c r="K530" s="25"/>
      <c r="L530" s="28" t="s">
        <v>27</v>
      </c>
      <c r="M530" s="24" t="s">
        <v>1376</v>
      </c>
      <c r="N530" s="14" t="b">
        <f t="shared" ref="N530:N531" si="42">if(H530=$H$2,TRUE,O530)</f>
        <v>0</v>
      </c>
      <c r="O530" s="15" t="b">
        <f t="shared" si="2"/>
        <v>0</v>
      </c>
      <c r="P530" s="15" t="str">
        <f t="shared" si="3"/>
        <v>PENDING</v>
      </c>
    </row>
    <row r="531" ht="15.75" customHeight="1">
      <c r="A531" s="24" t="s">
        <v>1477</v>
      </c>
      <c r="B531" s="25" t="s">
        <v>1478</v>
      </c>
      <c r="C531" s="26">
        <v>45919.0</v>
      </c>
      <c r="D531" s="26">
        <v>45922.0</v>
      </c>
      <c r="E531" s="24" t="s">
        <v>1387</v>
      </c>
      <c r="F531" s="28" t="s">
        <v>23</v>
      </c>
      <c r="G531" s="28" t="s">
        <v>172</v>
      </c>
      <c r="H531" s="28" t="s">
        <v>482</v>
      </c>
      <c r="J531" s="29"/>
      <c r="K531" s="25"/>
      <c r="L531" s="28" t="s">
        <v>27</v>
      </c>
      <c r="M531" s="24" t="s">
        <v>1387</v>
      </c>
      <c r="N531" s="14" t="b">
        <f t="shared" si="42"/>
        <v>0</v>
      </c>
      <c r="O531" s="15" t="b">
        <f t="shared" si="2"/>
        <v>0</v>
      </c>
      <c r="P531" s="15" t="str">
        <f t="shared" si="3"/>
        <v>PENDING</v>
      </c>
    </row>
    <row r="532" ht="18.0" customHeight="1">
      <c r="A532" s="7" t="s">
        <v>1479</v>
      </c>
      <c r="B532" s="13" t="s">
        <v>117</v>
      </c>
      <c r="C532" s="9">
        <v>45919.0</v>
      </c>
      <c r="D532" s="9">
        <v>45919.0</v>
      </c>
      <c r="E532" s="7" t="s">
        <v>22</v>
      </c>
      <c r="F532" s="11" t="s">
        <v>716</v>
      </c>
      <c r="G532" s="11"/>
      <c r="H532" s="11" t="s">
        <v>31</v>
      </c>
      <c r="I532" s="16"/>
      <c r="J532" s="49"/>
      <c r="K532" s="13" t="s">
        <v>914</v>
      </c>
      <c r="L532" s="11" t="s">
        <v>27</v>
      </c>
      <c r="M532" s="24" t="s">
        <v>22</v>
      </c>
      <c r="N532" s="175" t="b">
        <v>1</v>
      </c>
      <c r="O532" s="15" t="b">
        <f t="shared" si="2"/>
        <v>0</v>
      </c>
      <c r="P532" s="15" t="str">
        <f t="shared" si="3"/>
        <v>PENDING</v>
      </c>
    </row>
    <row r="533" ht="15.75" customHeight="1">
      <c r="A533" s="7" t="s">
        <v>1480</v>
      </c>
      <c r="B533" s="13" t="s">
        <v>117</v>
      </c>
      <c r="C533" s="9">
        <v>45919.0</v>
      </c>
      <c r="D533" s="9">
        <v>45919.0</v>
      </c>
      <c r="E533" s="7" t="s">
        <v>22</v>
      </c>
      <c r="F533" s="11" t="s">
        <v>716</v>
      </c>
      <c r="G533" s="11"/>
      <c r="H533" s="11" t="s">
        <v>31</v>
      </c>
      <c r="I533" s="16"/>
      <c r="J533" s="49"/>
      <c r="K533" s="13" t="s">
        <v>914</v>
      </c>
      <c r="L533" s="11" t="s">
        <v>27</v>
      </c>
      <c r="M533" s="24" t="s">
        <v>22</v>
      </c>
      <c r="N533" s="175" t="b">
        <v>1</v>
      </c>
      <c r="O533" s="15" t="b">
        <f t="shared" si="2"/>
        <v>0</v>
      </c>
      <c r="P533" s="15" t="str">
        <f t="shared" si="3"/>
        <v>PENDING</v>
      </c>
    </row>
    <row r="534" ht="15.75" customHeight="1">
      <c r="A534" s="7" t="s">
        <v>1481</v>
      </c>
      <c r="B534" s="13" t="s">
        <v>1482</v>
      </c>
      <c r="C534" s="9">
        <v>45919.0</v>
      </c>
      <c r="D534" s="9">
        <v>45919.0</v>
      </c>
      <c r="E534" s="7" t="s">
        <v>1376</v>
      </c>
      <c r="F534" s="11" t="s">
        <v>23</v>
      </c>
      <c r="G534" s="11" t="s">
        <v>172</v>
      </c>
      <c r="H534" s="11" t="s">
        <v>25</v>
      </c>
      <c r="I534" s="16"/>
      <c r="J534" s="12" t="s">
        <v>1483</v>
      </c>
      <c r="K534" s="13"/>
      <c r="L534" s="11" t="s">
        <v>27</v>
      </c>
      <c r="M534" s="7" t="s">
        <v>1376</v>
      </c>
      <c r="N534" s="14" t="b">
        <f t="shared" ref="N534:N572" si="43">if(H534=$H$2,TRUE,O534)</f>
        <v>1</v>
      </c>
      <c r="O534" s="15" t="b">
        <f t="shared" si="2"/>
        <v>0</v>
      </c>
      <c r="P534" s="15" t="str">
        <f t="shared" si="3"/>
        <v>APPROVED</v>
      </c>
    </row>
    <row r="535" ht="15.75" customHeight="1">
      <c r="A535" s="24" t="s">
        <v>1484</v>
      </c>
      <c r="B535" s="25" t="s">
        <v>1485</v>
      </c>
      <c r="C535" s="26">
        <v>45919.0</v>
      </c>
      <c r="D535" s="26">
        <v>45919.0</v>
      </c>
      <c r="E535" s="24" t="s">
        <v>1376</v>
      </c>
      <c r="F535" s="28" t="s">
        <v>23</v>
      </c>
      <c r="G535" s="28" t="s">
        <v>172</v>
      </c>
      <c r="H535" s="28" t="s">
        <v>84</v>
      </c>
      <c r="J535" s="29" t="s">
        <v>1486</v>
      </c>
      <c r="K535" s="135" t="s">
        <v>1487</v>
      </c>
      <c r="L535" s="28" t="s">
        <v>27</v>
      </c>
      <c r="M535" s="24" t="s">
        <v>1376</v>
      </c>
      <c r="N535" s="14" t="b">
        <f t="shared" si="43"/>
        <v>0</v>
      </c>
      <c r="O535" s="15" t="b">
        <f t="shared" si="2"/>
        <v>0</v>
      </c>
      <c r="P535" s="15" t="str">
        <f t="shared" si="3"/>
        <v>PENDING</v>
      </c>
    </row>
    <row r="536" ht="15.75" customHeight="1">
      <c r="A536" s="24" t="s">
        <v>1488</v>
      </c>
      <c r="B536" s="25" t="s">
        <v>1489</v>
      </c>
      <c r="C536" s="26">
        <v>45920.0</v>
      </c>
      <c r="D536" s="26">
        <v>45922.0</v>
      </c>
      <c r="E536" s="24" t="s">
        <v>1387</v>
      </c>
      <c r="F536" s="28" t="s">
        <v>23</v>
      </c>
      <c r="G536" s="28" t="s">
        <v>172</v>
      </c>
      <c r="H536" s="28" t="s">
        <v>84</v>
      </c>
      <c r="J536" s="29"/>
      <c r="K536" s="25"/>
      <c r="L536" s="28" t="s">
        <v>27</v>
      </c>
      <c r="M536" s="24" t="s">
        <v>1387</v>
      </c>
      <c r="N536" s="14" t="b">
        <f t="shared" si="43"/>
        <v>0</v>
      </c>
      <c r="O536" s="15" t="b">
        <f t="shared" si="2"/>
        <v>0</v>
      </c>
      <c r="P536" s="15" t="str">
        <f t="shared" si="3"/>
        <v>PENDING</v>
      </c>
    </row>
    <row r="537" ht="15.75" customHeight="1">
      <c r="A537" s="24" t="s">
        <v>1490</v>
      </c>
      <c r="B537" s="115" t="s">
        <v>1491</v>
      </c>
      <c r="C537" s="26">
        <v>45920.0</v>
      </c>
      <c r="D537" s="26">
        <v>45922.0</v>
      </c>
      <c r="E537" s="24" t="s">
        <v>1387</v>
      </c>
      <c r="F537" s="28" t="s">
        <v>23</v>
      </c>
      <c r="G537" s="28" t="s">
        <v>172</v>
      </c>
      <c r="H537" s="28" t="s">
        <v>84</v>
      </c>
      <c r="J537" s="29" t="s">
        <v>1492</v>
      </c>
      <c r="K537" s="25"/>
      <c r="L537" s="28" t="s">
        <v>27</v>
      </c>
      <c r="M537" s="24" t="s">
        <v>1387</v>
      </c>
      <c r="N537" s="14" t="b">
        <f t="shared" si="43"/>
        <v>0</v>
      </c>
      <c r="O537" s="15" t="b">
        <f t="shared" si="2"/>
        <v>0</v>
      </c>
      <c r="P537" s="15" t="str">
        <f t="shared" si="3"/>
        <v>PENDING</v>
      </c>
    </row>
    <row r="538" ht="15.75" customHeight="1">
      <c r="A538" s="7" t="s">
        <v>1493</v>
      </c>
      <c r="B538" s="13" t="s">
        <v>1494</v>
      </c>
      <c r="C538" s="9">
        <v>45920.0</v>
      </c>
      <c r="D538" s="9">
        <v>45922.0</v>
      </c>
      <c r="E538" s="7" t="s">
        <v>1387</v>
      </c>
      <c r="F538" s="11" t="s">
        <v>23</v>
      </c>
      <c r="G538" s="11" t="s">
        <v>172</v>
      </c>
      <c r="H538" s="11" t="s">
        <v>25</v>
      </c>
      <c r="I538" s="16"/>
      <c r="J538" s="12" t="s">
        <v>1495</v>
      </c>
      <c r="K538" s="13"/>
      <c r="L538" s="11" t="s">
        <v>27</v>
      </c>
      <c r="M538" s="7" t="s">
        <v>1387</v>
      </c>
      <c r="N538" s="14" t="b">
        <f t="shared" si="43"/>
        <v>1</v>
      </c>
      <c r="O538" s="15" t="b">
        <f t="shared" si="2"/>
        <v>0</v>
      </c>
      <c r="P538" s="15" t="str">
        <f t="shared" si="3"/>
        <v>APPROVED</v>
      </c>
    </row>
    <row r="539" ht="15.75" customHeight="1">
      <c r="A539" s="24" t="s">
        <v>1497</v>
      </c>
      <c r="B539" s="25" t="s">
        <v>1498</v>
      </c>
      <c r="C539" s="26">
        <v>45920.0</v>
      </c>
      <c r="D539" s="26">
        <v>45925.0</v>
      </c>
      <c r="E539" s="24" t="s">
        <v>1376</v>
      </c>
      <c r="F539" s="28" t="s">
        <v>23</v>
      </c>
      <c r="G539" s="28" t="s">
        <v>35</v>
      </c>
      <c r="H539" s="28" t="s">
        <v>84</v>
      </c>
      <c r="J539" s="29" t="s">
        <v>1499</v>
      </c>
      <c r="K539" s="25"/>
      <c r="L539" s="28" t="s">
        <v>27</v>
      </c>
      <c r="M539" s="24" t="s">
        <v>1376</v>
      </c>
      <c r="N539" s="14" t="b">
        <f t="shared" si="43"/>
        <v>0</v>
      </c>
      <c r="O539" s="15" t="b">
        <f t="shared" si="2"/>
        <v>0</v>
      </c>
      <c r="P539" s="15" t="str">
        <f t="shared" si="3"/>
        <v>PENDING</v>
      </c>
    </row>
    <row r="540" ht="15.75" customHeight="1">
      <c r="A540" s="24" t="s">
        <v>1500</v>
      </c>
      <c r="B540" s="143" t="s">
        <v>1501</v>
      </c>
      <c r="C540" s="26">
        <v>45920.0</v>
      </c>
      <c r="D540" s="26">
        <v>45920.0</v>
      </c>
      <c r="E540" s="24" t="s">
        <v>177</v>
      </c>
      <c r="F540" s="28" t="s">
        <v>23</v>
      </c>
      <c r="G540" s="28" t="s">
        <v>172</v>
      </c>
      <c r="H540" s="28" t="s">
        <v>482</v>
      </c>
      <c r="J540" s="29"/>
      <c r="K540" s="25"/>
      <c r="L540" s="28" t="s">
        <v>27</v>
      </c>
      <c r="M540" s="24" t="s">
        <v>177</v>
      </c>
      <c r="N540" s="14" t="b">
        <f t="shared" si="43"/>
        <v>0</v>
      </c>
      <c r="O540" s="15" t="b">
        <f t="shared" si="2"/>
        <v>0</v>
      </c>
      <c r="P540" s="15" t="str">
        <f t="shared" si="3"/>
        <v>PENDING</v>
      </c>
    </row>
    <row r="541" ht="15.75" customHeight="1">
      <c r="A541" s="24" t="s">
        <v>1502</v>
      </c>
      <c r="B541" s="115" t="s">
        <v>73</v>
      </c>
      <c r="C541" s="26">
        <v>45920.0</v>
      </c>
      <c r="D541" s="26">
        <v>45920.0</v>
      </c>
      <c r="E541" s="24" t="s">
        <v>177</v>
      </c>
      <c r="F541" s="28" t="s">
        <v>23</v>
      </c>
      <c r="G541" s="28" t="s">
        <v>172</v>
      </c>
      <c r="H541" s="28" t="s">
        <v>84</v>
      </c>
      <c r="J541" s="29" t="s">
        <v>1503</v>
      </c>
      <c r="K541" s="25"/>
      <c r="L541" s="28" t="s">
        <v>27</v>
      </c>
      <c r="M541" s="24" t="s">
        <v>177</v>
      </c>
      <c r="N541" s="14" t="b">
        <f t="shared" si="43"/>
        <v>0</v>
      </c>
      <c r="O541" s="15" t="b">
        <f t="shared" si="2"/>
        <v>0</v>
      </c>
      <c r="P541" s="15" t="str">
        <f t="shared" si="3"/>
        <v>PENDING</v>
      </c>
    </row>
    <row r="542" ht="15.75" customHeight="1">
      <c r="A542" s="24" t="s">
        <v>1504</v>
      </c>
      <c r="B542" s="25" t="s">
        <v>1505</v>
      </c>
      <c r="C542" s="26">
        <v>45920.0</v>
      </c>
      <c r="D542" s="26">
        <v>45920.0</v>
      </c>
      <c r="E542" s="24" t="s">
        <v>177</v>
      </c>
      <c r="F542" s="28" t="s">
        <v>23</v>
      </c>
      <c r="G542" s="28" t="s">
        <v>172</v>
      </c>
      <c r="H542" s="28" t="s">
        <v>482</v>
      </c>
      <c r="J542" s="29"/>
      <c r="K542" s="25"/>
      <c r="L542" s="28" t="s">
        <v>27</v>
      </c>
      <c r="M542" s="24" t="s">
        <v>177</v>
      </c>
      <c r="N542" s="14" t="b">
        <f t="shared" si="43"/>
        <v>0</v>
      </c>
      <c r="O542" s="15" t="b">
        <f t="shared" si="2"/>
        <v>0</v>
      </c>
      <c r="P542" s="15" t="str">
        <f t="shared" si="3"/>
        <v>PENDING</v>
      </c>
    </row>
    <row r="543" ht="15.75" customHeight="1">
      <c r="A543" s="24" t="s">
        <v>1506</v>
      </c>
      <c r="B543" s="25" t="s">
        <v>20</v>
      </c>
      <c r="C543" s="26">
        <v>45919.0</v>
      </c>
      <c r="D543" s="26">
        <v>45922.0</v>
      </c>
      <c r="E543" s="24" t="s">
        <v>715</v>
      </c>
      <c r="F543" s="28" t="s">
        <v>23</v>
      </c>
      <c r="G543" s="28" t="s">
        <v>24</v>
      </c>
      <c r="H543" s="28" t="s">
        <v>482</v>
      </c>
      <c r="J543" s="29"/>
      <c r="K543" s="25"/>
      <c r="L543" s="28" t="s">
        <v>27</v>
      </c>
      <c r="M543" s="24" t="s">
        <v>715</v>
      </c>
      <c r="N543" s="14" t="b">
        <f t="shared" si="43"/>
        <v>0</v>
      </c>
      <c r="O543" s="15" t="b">
        <f t="shared" si="2"/>
        <v>0</v>
      </c>
      <c r="P543" s="15" t="str">
        <f t="shared" si="3"/>
        <v>PENDING</v>
      </c>
    </row>
    <row r="544" ht="15.75" customHeight="1">
      <c r="A544" s="7" t="s">
        <v>1507</v>
      </c>
      <c r="B544" s="13" t="s">
        <v>714</v>
      </c>
      <c r="C544" s="9">
        <v>45922.0</v>
      </c>
      <c r="D544" s="9"/>
      <c r="E544" s="7" t="s">
        <v>715</v>
      </c>
      <c r="F544" s="11" t="s">
        <v>23</v>
      </c>
      <c r="G544" s="11"/>
      <c r="H544" s="11" t="s">
        <v>49</v>
      </c>
      <c r="I544" s="16"/>
      <c r="J544" s="49"/>
      <c r="K544" s="13"/>
      <c r="L544" s="11" t="s">
        <v>27</v>
      </c>
      <c r="M544" s="24" t="s">
        <v>715</v>
      </c>
      <c r="N544" s="14" t="b">
        <f t="shared" si="43"/>
        <v>0</v>
      </c>
      <c r="O544" s="15" t="b">
        <f t="shared" si="2"/>
        <v>0</v>
      </c>
      <c r="P544" s="15" t="str">
        <f t="shared" si="3"/>
        <v>PENDING</v>
      </c>
    </row>
    <row r="545" ht="15.75" customHeight="1">
      <c r="A545" s="24" t="s">
        <v>1508</v>
      </c>
      <c r="B545" s="25" t="s">
        <v>1509</v>
      </c>
      <c r="C545" s="26">
        <v>45919.0</v>
      </c>
      <c r="D545" s="26">
        <v>45919.0</v>
      </c>
      <c r="E545" s="24" t="s">
        <v>715</v>
      </c>
      <c r="F545" s="28" t="s">
        <v>23</v>
      </c>
      <c r="G545" s="28" t="s">
        <v>172</v>
      </c>
      <c r="H545" s="28" t="s">
        <v>49</v>
      </c>
      <c r="J545" s="29"/>
      <c r="K545" s="25"/>
      <c r="L545" s="28" t="s">
        <v>27</v>
      </c>
      <c r="M545" s="24" t="s">
        <v>715</v>
      </c>
      <c r="N545" s="14" t="b">
        <f t="shared" si="43"/>
        <v>0</v>
      </c>
      <c r="O545" s="15" t="b">
        <f t="shared" si="2"/>
        <v>0</v>
      </c>
      <c r="P545" s="15" t="str">
        <f t="shared" si="3"/>
        <v>PENDING</v>
      </c>
    </row>
    <row r="546" ht="15.75" customHeight="1">
      <c r="A546" s="7" t="s">
        <v>1510</v>
      </c>
      <c r="B546" s="13" t="s">
        <v>1511</v>
      </c>
      <c r="C546" s="9">
        <v>45920.0</v>
      </c>
      <c r="D546" s="9">
        <v>45920.0</v>
      </c>
      <c r="E546" s="7" t="s">
        <v>715</v>
      </c>
      <c r="F546" s="11" t="s">
        <v>23</v>
      </c>
      <c r="G546" s="11" t="s">
        <v>30</v>
      </c>
      <c r="H546" s="11" t="s">
        <v>25</v>
      </c>
      <c r="I546" s="16"/>
      <c r="J546" s="12"/>
      <c r="K546" s="13"/>
      <c r="L546" s="11" t="s">
        <v>27</v>
      </c>
      <c r="M546" s="7" t="s">
        <v>715</v>
      </c>
      <c r="N546" s="14" t="b">
        <f t="shared" si="43"/>
        <v>1</v>
      </c>
      <c r="O546" s="15" t="b">
        <f t="shared" si="2"/>
        <v>0</v>
      </c>
      <c r="P546" s="15" t="str">
        <f t="shared" si="3"/>
        <v>APPROVED</v>
      </c>
    </row>
    <row r="547" ht="15.75" customHeight="1">
      <c r="A547" s="24" t="s">
        <v>1512</v>
      </c>
      <c r="B547" s="25" t="s">
        <v>1195</v>
      </c>
      <c r="C547" s="26">
        <v>45916.0</v>
      </c>
      <c r="D547" s="26">
        <v>45916.0</v>
      </c>
      <c r="E547" s="24" t="s">
        <v>715</v>
      </c>
      <c r="F547" s="28" t="s">
        <v>23</v>
      </c>
      <c r="G547" s="28" t="s">
        <v>48</v>
      </c>
      <c r="H547" s="28" t="s">
        <v>49</v>
      </c>
      <c r="J547" s="29"/>
      <c r="K547" s="25"/>
      <c r="L547" s="28" t="s">
        <v>27</v>
      </c>
      <c r="M547" s="24" t="s">
        <v>715</v>
      </c>
      <c r="N547" s="14" t="b">
        <f t="shared" si="43"/>
        <v>0</v>
      </c>
      <c r="O547" s="15" t="b">
        <f t="shared" si="2"/>
        <v>0</v>
      </c>
      <c r="P547" s="15" t="str">
        <f t="shared" si="3"/>
        <v>PENDING</v>
      </c>
    </row>
    <row r="548" ht="15.75" customHeight="1">
      <c r="A548" s="24" t="s">
        <v>1513</v>
      </c>
      <c r="B548" s="115" t="s">
        <v>999</v>
      </c>
      <c r="C548" s="26">
        <v>45916.0</v>
      </c>
      <c r="D548" s="26">
        <v>45916.0</v>
      </c>
      <c r="E548" s="24" t="s">
        <v>715</v>
      </c>
      <c r="F548" s="28" t="s">
        <v>23</v>
      </c>
      <c r="G548" s="28" t="s">
        <v>30</v>
      </c>
      <c r="H548" s="28" t="s">
        <v>49</v>
      </c>
      <c r="J548" s="29"/>
      <c r="K548" s="25"/>
      <c r="L548" s="28" t="s">
        <v>27</v>
      </c>
      <c r="M548" s="24" t="s">
        <v>715</v>
      </c>
      <c r="N548" s="14" t="b">
        <f t="shared" si="43"/>
        <v>0</v>
      </c>
      <c r="O548" s="15" t="b">
        <f t="shared" si="2"/>
        <v>0</v>
      </c>
      <c r="P548" s="15" t="str">
        <f t="shared" si="3"/>
        <v>PENDING</v>
      </c>
    </row>
    <row r="549" ht="15.75" customHeight="1">
      <c r="A549" s="24" t="s">
        <v>1514</v>
      </c>
      <c r="B549" s="25" t="s">
        <v>1013</v>
      </c>
      <c r="C549" s="26">
        <v>45922.0</v>
      </c>
      <c r="D549" s="26">
        <v>45922.0</v>
      </c>
      <c r="E549" s="24" t="s">
        <v>177</v>
      </c>
      <c r="F549" s="28" t="s">
        <v>23</v>
      </c>
      <c r="G549" s="28" t="s">
        <v>172</v>
      </c>
      <c r="H549" s="28" t="s">
        <v>482</v>
      </c>
      <c r="J549" s="29"/>
      <c r="K549" s="25"/>
      <c r="L549" s="28" t="s">
        <v>27</v>
      </c>
      <c r="M549" s="24" t="s">
        <v>177</v>
      </c>
      <c r="N549" s="14" t="b">
        <f t="shared" si="43"/>
        <v>0</v>
      </c>
      <c r="O549" s="15" t="b">
        <f t="shared" si="2"/>
        <v>0</v>
      </c>
      <c r="P549" s="15" t="str">
        <f t="shared" si="3"/>
        <v>PENDING</v>
      </c>
    </row>
    <row r="550" ht="15.75" customHeight="1">
      <c r="A550" s="24" t="s">
        <v>1515</v>
      </c>
      <c r="B550" s="25" t="s">
        <v>398</v>
      </c>
      <c r="C550" s="26">
        <v>45922.0</v>
      </c>
      <c r="D550" s="26">
        <v>45922.0</v>
      </c>
      <c r="E550" s="24" t="s">
        <v>177</v>
      </c>
      <c r="F550" s="28" t="s">
        <v>23</v>
      </c>
      <c r="G550" s="28" t="s">
        <v>172</v>
      </c>
      <c r="H550" s="28" t="s">
        <v>84</v>
      </c>
      <c r="J550" s="29" t="s">
        <v>1109</v>
      </c>
      <c r="K550" s="25"/>
      <c r="L550" s="28" t="s">
        <v>27</v>
      </c>
      <c r="M550" s="24" t="s">
        <v>177</v>
      </c>
      <c r="N550" s="14" t="b">
        <f t="shared" si="43"/>
        <v>0</v>
      </c>
      <c r="O550" s="15" t="b">
        <f t="shared" si="2"/>
        <v>0</v>
      </c>
      <c r="P550" s="15" t="str">
        <f t="shared" si="3"/>
        <v>PENDING</v>
      </c>
    </row>
    <row r="551" ht="15.75" customHeight="1">
      <c r="A551" s="24" t="s">
        <v>1516</v>
      </c>
      <c r="B551" s="25" t="s">
        <v>1517</v>
      </c>
      <c r="C551" s="26">
        <v>45922.0</v>
      </c>
      <c r="D551" s="26">
        <v>45922.0</v>
      </c>
      <c r="E551" s="24" t="s">
        <v>177</v>
      </c>
      <c r="F551" s="28" t="s">
        <v>23</v>
      </c>
      <c r="G551" s="28" t="s">
        <v>172</v>
      </c>
      <c r="H551" s="28" t="s">
        <v>84</v>
      </c>
      <c r="J551" s="29" t="s">
        <v>1455</v>
      </c>
      <c r="K551" s="25"/>
      <c r="L551" s="28" t="s">
        <v>27</v>
      </c>
      <c r="M551" s="24" t="s">
        <v>177</v>
      </c>
      <c r="N551" s="14" t="b">
        <f t="shared" si="43"/>
        <v>0</v>
      </c>
      <c r="O551" s="15" t="b">
        <f t="shared" si="2"/>
        <v>0</v>
      </c>
      <c r="P551" s="15" t="str">
        <f t="shared" si="3"/>
        <v>PENDING</v>
      </c>
    </row>
    <row r="552" ht="15.75" customHeight="1">
      <c r="A552" s="24" t="s">
        <v>1518</v>
      </c>
      <c r="B552" s="25" t="s">
        <v>1519</v>
      </c>
      <c r="C552" s="26">
        <v>45923.0</v>
      </c>
      <c r="D552" s="26">
        <v>45923.0</v>
      </c>
      <c r="E552" s="24" t="s">
        <v>177</v>
      </c>
      <c r="F552" s="28" t="s">
        <v>23</v>
      </c>
      <c r="G552" s="28" t="s">
        <v>172</v>
      </c>
      <c r="H552" s="28" t="s">
        <v>84</v>
      </c>
      <c r="J552" s="29" t="s">
        <v>1520</v>
      </c>
      <c r="K552" s="25"/>
      <c r="L552" s="28" t="s">
        <v>27</v>
      </c>
      <c r="M552" s="24" t="s">
        <v>177</v>
      </c>
      <c r="N552" s="14" t="b">
        <f t="shared" si="43"/>
        <v>0</v>
      </c>
      <c r="O552" s="15" t="b">
        <f t="shared" si="2"/>
        <v>0</v>
      </c>
      <c r="P552" s="15" t="str">
        <f t="shared" si="3"/>
        <v>PENDING</v>
      </c>
    </row>
    <row r="553" ht="15.75" customHeight="1">
      <c r="A553" s="24" t="s">
        <v>1521</v>
      </c>
      <c r="B553" s="115" t="s">
        <v>202</v>
      </c>
      <c r="C553" s="26">
        <v>45924.0</v>
      </c>
      <c r="D553" s="26">
        <v>45924.0</v>
      </c>
      <c r="E553" s="24" t="s">
        <v>177</v>
      </c>
      <c r="F553" s="28" t="s">
        <v>23</v>
      </c>
      <c r="G553" s="28" t="s">
        <v>172</v>
      </c>
      <c r="H553" s="28" t="s">
        <v>482</v>
      </c>
      <c r="J553" s="29"/>
      <c r="K553" s="135" t="s">
        <v>1522</v>
      </c>
      <c r="L553" s="28" t="s">
        <v>27</v>
      </c>
      <c r="M553" s="24" t="s">
        <v>177</v>
      </c>
      <c r="N553" s="14" t="b">
        <f t="shared" si="43"/>
        <v>0</v>
      </c>
      <c r="O553" s="15" t="b">
        <f t="shared" si="2"/>
        <v>0</v>
      </c>
      <c r="P553" s="15" t="str">
        <f t="shared" si="3"/>
        <v>PENDING</v>
      </c>
    </row>
    <row r="554" ht="15.75" customHeight="1">
      <c r="A554" s="24" t="s">
        <v>1523</v>
      </c>
      <c r="B554" s="25" t="s">
        <v>1519</v>
      </c>
      <c r="C554" s="26">
        <v>45924.0</v>
      </c>
      <c r="D554" s="26">
        <v>45924.0</v>
      </c>
      <c r="E554" s="24" t="s">
        <v>177</v>
      </c>
      <c r="F554" s="28" t="s">
        <v>23</v>
      </c>
      <c r="G554" s="28" t="s">
        <v>172</v>
      </c>
      <c r="H554" s="28" t="s">
        <v>84</v>
      </c>
      <c r="J554" s="29" t="s">
        <v>1520</v>
      </c>
      <c r="K554" s="25"/>
      <c r="L554" s="28" t="s">
        <v>27</v>
      </c>
      <c r="M554" s="24" t="s">
        <v>177</v>
      </c>
      <c r="N554" s="14" t="b">
        <f t="shared" si="43"/>
        <v>0</v>
      </c>
      <c r="O554" s="15" t="b">
        <f t="shared" si="2"/>
        <v>0</v>
      </c>
      <c r="P554" s="15" t="str">
        <f t="shared" si="3"/>
        <v>PENDING</v>
      </c>
    </row>
    <row r="555" ht="15.75" customHeight="1">
      <c r="A555" s="24" t="s">
        <v>1524</v>
      </c>
      <c r="B555" s="25" t="s">
        <v>276</v>
      </c>
      <c r="C555" s="26">
        <v>45924.0</v>
      </c>
      <c r="D555" s="26">
        <v>45924.0</v>
      </c>
      <c r="E555" s="24" t="s">
        <v>177</v>
      </c>
      <c r="F555" s="28" t="s">
        <v>23</v>
      </c>
      <c r="G555" s="28" t="s">
        <v>172</v>
      </c>
      <c r="H555" s="28" t="s">
        <v>84</v>
      </c>
      <c r="J555" s="29" t="s">
        <v>1525</v>
      </c>
      <c r="K555" s="29" t="s">
        <v>1526</v>
      </c>
      <c r="L555" s="28" t="s">
        <v>27</v>
      </c>
      <c r="M555" s="24" t="s">
        <v>177</v>
      </c>
      <c r="N555" s="14" t="b">
        <f t="shared" si="43"/>
        <v>0</v>
      </c>
      <c r="O555" s="15" t="b">
        <f t="shared" si="2"/>
        <v>0</v>
      </c>
      <c r="P555" s="15" t="str">
        <f t="shared" si="3"/>
        <v>PENDING</v>
      </c>
    </row>
    <row r="556" ht="15.75" customHeight="1">
      <c r="A556" s="24" t="s">
        <v>1527</v>
      </c>
      <c r="B556" s="144" t="s">
        <v>378</v>
      </c>
      <c r="C556" s="26">
        <v>45924.0</v>
      </c>
      <c r="D556" s="26">
        <v>45924.0</v>
      </c>
      <c r="E556" s="24" t="s">
        <v>177</v>
      </c>
      <c r="F556" s="28" t="s">
        <v>23</v>
      </c>
      <c r="G556" s="28" t="s">
        <v>172</v>
      </c>
      <c r="H556" s="28" t="s">
        <v>482</v>
      </c>
      <c r="J556" s="29"/>
      <c r="K556" s="29" t="s">
        <v>1526</v>
      </c>
      <c r="L556" s="28" t="s">
        <v>27</v>
      </c>
      <c r="M556" s="24" t="s">
        <v>177</v>
      </c>
      <c r="N556" s="14" t="b">
        <f t="shared" si="43"/>
        <v>0</v>
      </c>
      <c r="O556" s="15" t="b">
        <f t="shared" si="2"/>
        <v>0</v>
      </c>
      <c r="P556" s="15" t="str">
        <f t="shared" si="3"/>
        <v>PENDING</v>
      </c>
    </row>
    <row r="557" ht="15.75" customHeight="1">
      <c r="A557" s="24" t="s">
        <v>1528</v>
      </c>
      <c r="B557" s="25" t="s">
        <v>176</v>
      </c>
      <c r="C557" s="26">
        <v>45924.0</v>
      </c>
      <c r="D557" s="26">
        <v>45924.0</v>
      </c>
      <c r="E557" s="24" t="s">
        <v>177</v>
      </c>
      <c r="F557" s="28" t="s">
        <v>23</v>
      </c>
      <c r="G557" s="28" t="s">
        <v>172</v>
      </c>
      <c r="H557" s="28" t="s">
        <v>84</v>
      </c>
      <c r="J557" s="29" t="s">
        <v>1529</v>
      </c>
      <c r="K557" s="135" t="s">
        <v>1530</v>
      </c>
      <c r="L557" s="28" t="s">
        <v>27</v>
      </c>
      <c r="M557" s="24" t="s">
        <v>177</v>
      </c>
      <c r="N557" s="14" t="b">
        <f t="shared" si="43"/>
        <v>0</v>
      </c>
      <c r="O557" s="15" t="b">
        <f t="shared" si="2"/>
        <v>0</v>
      </c>
      <c r="P557" s="15" t="str">
        <f t="shared" si="3"/>
        <v>PENDING</v>
      </c>
    </row>
    <row r="558" ht="15.75" customHeight="1">
      <c r="A558" s="24" t="s">
        <v>1531</v>
      </c>
      <c r="B558" s="25" t="s">
        <v>1532</v>
      </c>
      <c r="C558" s="26">
        <v>45923.0</v>
      </c>
      <c r="D558" s="26">
        <v>45925.0</v>
      </c>
      <c r="E558" s="24" t="s">
        <v>1376</v>
      </c>
      <c r="F558" s="28" t="s">
        <v>23</v>
      </c>
      <c r="G558" s="28" t="s">
        <v>35</v>
      </c>
      <c r="H558" s="28" t="s">
        <v>84</v>
      </c>
      <c r="J558" s="29" t="s">
        <v>1533</v>
      </c>
      <c r="K558" s="25"/>
      <c r="L558" s="28" t="s">
        <v>27</v>
      </c>
      <c r="M558" s="24" t="s">
        <v>1376</v>
      </c>
      <c r="N558" s="14" t="b">
        <f t="shared" si="43"/>
        <v>0</v>
      </c>
      <c r="O558" s="15" t="b">
        <f t="shared" si="2"/>
        <v>0</v>
      </c>
      <c r="P558" s="15" t="str">
        <f t="shared" si="3"/>
        <v>PENDING</v>
      </c>
    </row>
    <row r="559" ht="15.75" customHeight="1">
      <c r="A559" s="24" t="s">
        <v>1534</v>
      </c>
      <c r="B559" s="25" t="s">
        <v>1535</v>
      </c>
      <c r="C559" s="26">
        <v>45923.0</v>
      </c>
      <c r="D559" s="26">
        <v>45925.0</v>
      </c>
      <c r="E559" s="24" t="s">
        <v>1376</v>
      </c>
      <c r="F559" s="28" t="s">
        <v>23</v>
      </c>
      <c r="G559" s="28" t="s">
        <v>35</v>
      </c>
      <c r="H559" s="28" t="s">
        <v>84</v>
      </c>
      <c r="J559" s="29" t="s">
        <v>1536</v>
      </c>
      <c r="K559" s="25"/>
      <c r="L559" s="28" t="s">
        <v>27</v>
      </c>
      <c r="M559" s="24" t="s">
        <v>1376</v>
      </c>
      <c r="N559" s="14" t="b">
        <f t="shared" si="43"/>
        <v>0</v>
      </c>
      <c r="O559" s="15" t="b">
        <f t="shared" si="2"/>
        <v>0</v>
      </c>
      <c r="P559" s="15" t="str">
        <f t="shared" si="3"/>
        <v>PENDING</v>
      </c>
    </row>
    <row r="560" ht="15.75" customHeight="1">
      <c r="A560" s="24" t="s">
        <v>1537</v>
      </c>
      <c r="B560" s="25" t="s">
        <v>1538</v>
      </c>
      <c r="C560" s="26">
        <v>45923.0</v>
      </c>
      <c r="D560" s="26">
        <v>45925.0</v>
      </c>
      <c r="E560" s="24" t="s">
        <v>1376</v>
      </c>
      <c r="F560" s="28" t="s">
        <v>23</v>
      </c>
      <c r="G560" s="28" t="s">
        <v>172</v>
      </c>
      <c r="H560" s="28" t="s">
        <v>84</v>
      </c>
      <c r="J560" s="29" t="s">
        <v>1539</v>
      </c>
      <c r="K560" s="25"/>
      <c r="L560" s="28" t="s">
        <v>27</v>
      </c>
      <c r="M560" s="24" t="s">
        <v>1376</v>
      </c>
      <c r="N560" s="14" t="b">
        <f t="shared" si="43"/>
        <v>0</v>
      </c>
      <c r="O560" s="15" t="b">
        <f t="shared" si="2"/>
        <v>0</v>
      </c>
      <c r="P560" s="15" t="str">
        <f t="shared" si="3"/>
        <v>PENDING</v>
      </c>
    </row>
    <row r="561" ht="15.75" customHeight="1">
      <c r="A561" s="24" t="s">
        <v>1540</v>
      </c>
      <c r="B561" s="25" t="s">
        <v>1541</v>
      </c>
      <c r="C561" s="26">
        <v>45923.0</v>
      </c>
      <c r="D561" s="26">
        <v>45925.0</v>
      </c>
      <c r="E561" s="24" t="s">
        <v>1376</v>
      </c>
      <c r="F561" s="28" t="s">
        <v>23</v>
      </c>
      <c r="G561" s="28" t="s">
        <v>172</v>
      </c>
      <c r="H561" s="28" t="s">
        <v>482</v>
      </c>
      <c r="J561" s="29"/>
      <c r="K561" s="25"/>
      <c r="L561" s="28" t="s">
        <v>27</v>
      </c>
      <c r="M561" s="24" t="s">
        <v>1376</v>
      </c>
      <c r="N561" s="14" t="b">
        <f t="shared" si="43"/>
        <v>0</v>
      </c>
      <c r="O561" s="15" t="b">
        <f t="shared" si="2"/>
        <v>0</v>
      </c>
      <c r="P561" s="15" t="str">
        <f t="shared" si="3"/>
        <v>PENDING</v>
      </c>
    </row>
    <row r="562" ht="15.75" customHeight="1">
      <c r="A562" s="24" t="s">
        <v>1542</v>
      </c>
      <c r="B562" s="115" t="s">
        <v>916</v>
      </c>
      <c r="C562" s="26">
        <v>45925.0</v>
      </c>
      <c r="D562" s="26"/>
      <c r="E562" s="24" t="s">
        <v>744</v>
      </c>
      <c r="F562" s="28" t="s">
        <v>23</v>
      </c>
      <c r="G562" s="28" t="s">
        <v>172</v>
      </c>
      <c r="H562" s="28" t="s">
        <v>84</v>
      </c>
      <c r="J562" s="29" t="s">
        <v>1543</v>
      </c>
      <c r="K562" s="25"/>
      <c r="L562" s="28" t="s">
        <v>27</v>
      </c>
      <c r="M562" s="24" t="s">
        <v>744</v>
      </c>
      <c r="N562" s="14" t="b">
        <f t="shared" si="43"/>
        <v>0</v>
      </c>
      <c r="O562" s="15" t="b">
        <f t="shared" si="2"/>
        <v>0</v>
      </c>
      <c r="P562" s="15" t="str">
        <f t="shared" si="3"/>
        <v>PENDING</v>
      </c>
    </row>
    <row r="563" ht="15.75" customHeight="1">
      <c r="A563" s="24" t="s">
        <v>1544</v>
      </c>
      <c r="B563" s="115" t="s">
        <v>1121</v>
      </c>
      <c r="C563" s="26">
        <v>45925.0</v>
      </c>
      <c r="D563" s="26"/>
      <c r="E563" s="24" t="s">
        <v>744</v>
      </c>
      <c r="F563" s="28" t="s">
        <v>23</v>
      </c>
      <c r="G563" s="28" t="s">
        <v>48</v>
      </c>
      <c r="H563" s="28" t="s">
        <v>482</v>
      </c>
      <c r="J563" s="29"/>
      <c r="K563" s="25"/>
      <c r="L563" s="28" t="s">
        <v>27</v>
      </c>
      <c r="M563" s="24" t="s">
        <v>744</v>
      </c>
      <c r="N563" s="14" t="b">
        <f t="shared" si="43"/>
        <v>0</v>
      </c>
      <c r="O563" s="15" t="b">
        <f t="shared" si="2"/>
        <v>0</v>
      </c>
      <c r="P563" s="15" t="str">
        <f t="shared" si="3"/>
        <v>PENDING</v>
      </c>
    </row>
    <row r="564" ht="15.75" customHeight="1">
      <c r="A564" s="24" t="s">
        <v>1545</v>
      </c>
      <c r="B564" s="115" t="s">
        <v>815</v>
      </c>
      <c r="C564" s="26">
        <v>45925.0</v>
      </c>
      <c r="D564" s="26"/>
      <c r="E564" s="24" t="s">
        <v>744</v>
      </c>
      <c r="F564" s="28" t="s">
        <v>23</v>
      </c>
      <c r="G564" s="28" t="s">
        <v>172</v>
      </c>
      <c r="H564" s="28" t="s">
        <v>482</v>
      </c>
      <c r="J564" s="29"/>
      <c r="K564" s="25"/>
      <c r="L564" s="28" t="s">
        <v>27</v>
      </c>
      <c r="M564" s="24" t="s">
        <v>744</v>
      </c>
      <c r="N564" s="14" t="b">
        <f t="shared" si="43"/>
        <v>0</v>
      </c>
      <c r="O564" s="15" t="b">
        <f t="shared" si="2"/>
        <v>0</v>
      </c>
      <c r="P564" s="15" t="str">
        <f t="shared" si="3"/>
        <v>PENDING</v>
      </c>
    </row>
    <row r="565" ht="15.75" customHeight="1">
      <c r="A565" s="24" t="s">
        <v>1546</v>
      </c>
      <c r="B565" s="115" t="s">
        <v>1547</v>
      </c>
      <c r="C565" s="26">
        <v>45925.0</v>
      </c>
      <c r="D565" s="26">
        <v>45925.0</v>
      </c>
      <c r="E565" s="24" t="s">
        <v>744</v>
      </c>
      <c r="F565" s="28" t="s">
        <v>23</v>
      </c>
      <c r="G565" s="28" t="s">
        <v>172</v>
      </c>
      <c r="H565" s="28" t="s">
        <v>482</v>
      </c>
      <c r="J565" s="29"/>
      <c r="K565" s="25"/>
      <c r="L565" s="28" t="s">
        <v>27</v>
      </c>
      <c r="M565" s="24" t="s">
        <v>744</v>
      </c>
      <c r="N565" s="14" t="b">
        <f t="shared" si="43"/>
        <v>0</v>
      </c>
      <c r="O565" s="15" t="b">
        <f t="shared" si="2"/>
        <v>0</v>
      </c>
      <c r="P565" s="15" t="str">
        <f t="shared" si="3"/>
        <v>PENDING</v>
      </c>
    </row>
    <row r="566" ht="15.75" customHeight="1">
      <c r="A566" s="24" t="s">
        <v>1548</v>
      </c>
      <c r="B566" s="115" t="s">
        <v>353</v>
      </c>
      <c r="C566" s="26">
        <v>45925.0</v>
      </c>
      <c r="D566" s="26"/>
      <c r="E566" s="24" t="s">
        <v>744</v>
      </c>
      <c r="F566" s="28" t="s">
        <v>23</v>
      </c>
      <c r="G566" s="28" t="s">
        <v>172</v>
      </c>
      <c r="H566" s="28" t="s">
        <v>482</v>
      </c>
      <c r="J566" s="29"/>
      <c r="K566" s="25"/>
      <c r="L566" s="28" t="s">
        <v>27</v>
      </c>
      <c r="M566" s="24" t="s">
        <v>744</v>
      </c>
      <c r="N566" s="14" t="b">
        <f t="shared" si="43"/>
        <v>0</v>
      </c>
      <c r="O566" s="15" t="b">
        <f t="shared" si="2"/>
        <v>0</v>
      </c>
      <c r="P566" s="15" t="str">
        <f t="shared" si="3"/>
        <v>PENDING</v>
      </c>
    </row>
    <row r="567" ht="15.75" customHeight="1">
      <c r="A567" s="24" t="s">
        <v>1549</v>
      </c>
      <c r="B567" s="25" t="s">
        <v>811</v>
      </c>
      <c r="C567" s="26">
        <v>45925.0</v>
      </c>
      <c r="D567" s="26">
        <v>45925.0</v>
      </c>
      <c r="E567" s="24" t="s">
        <v>744</v>
      </c>
      <c r="F567" s="28" t="s">
        <v>23</v>
      </c>
      <c r="G567" s="28" t="s">
        <v>172</v>
      </c>
      <c r="H567" s="28" t="s">
        <v>482</v>
      </c>
      <c r="J567" s="29"/>
      <c r="K567" s="25"/>
      <c r="L567" s="28" t="s">
        <v>27</v>
      </c>
      <c r="M567" s="24" t="s">
        <v>744</v>
      </c>
      <c r="N567" s="14" t="b">
        <f t="shared" si="43"/>
        <v>0</v>
      </c>
      <c r="O567" s="15" t="b">
        <f t="shared" si="2"/>
        <v>0</v>
      </c>
      <c r="P567" s="15" t="str">
        <f t="shared" si="3"/>
        <v>PENDING</v>
      </c>
    </row>
    <row r="568" ht="15.75" customHeight="1">
      <c r="A568" s="24" t="s">
        <v>1550</v>
      </c>
      <c r="B568" s="25" t="s">
        <v>1551</v>
      </c>
      <c r="C568" s="26">
        <v>45925.0</v>
      </c>
      <c r="D568" s="26">
        <v>45667.0</v>
      </c>
      <c r="E568" s="24" t="s">
        <v>1387</v>
      </c>
      <c r="F568" s="28" t="s">
        <v>23</v>
      </c>
      <c r="G568" s="28" t="s">
        <v>172</v>
      </c>
      <c r="H568" s="28" t="s">
        <v>482</v>
      </c>
      <c r="J568" s="29"/>
      <c r="K568" s="25"/>
      <c r="L568" s="28" t="s">
        <v>27</v>
      </c>
      <c r="M568" s="24" t="s">
        <v>1387</v>
      </c>
      <c r="N568" s="14" t="b">
        <f t="shared" si="43"/>
        <v>0</v>
      </c>
      <c r="O568" s="15" t="b">
        <f t="shared" si="2"/>
        <v>0</v>
      </c>
      <c r="P568" s="15" t="str">
        <f t="shared" si="3"/>
        <v>PENDING</v>
      </c>
    </row>
    <row r="569" ht="15.75" customHeight="1">
      <c r="A569" s="24" t="s">
        <v>1552</v>
      </c>
      <c r="B569" s="25" t="s">
        <v>1553</v>
      </c>
      <c r="C569" s="26">
        <v>45926.0</v>
      </c>
      <c r="D569" s="26">
        <v>45667.0</v>
      </c>
      <c r="E569" s="24" t="s">
        <v>1387</v>
      </c>
      <c r="F569" s="28" t="s">
        <v>23</v>
      </c>
      <c r="G569" s="28" t="s">
        <v>172</v>
      </c>
      <c r="H569" s="28" t="s">
        <v>25</v>
      </c>
      <c r="J569" s="29" t="s">
        <v>1554</v>
      </c>
      <c r="K569" s="25"/>
      <c r="L569" s="28" t="s">
        <v>27</v>
      </c>
      <c r="M569" s="24" t="s">
        <v>1387</v>
      </c>
      <c r="N569" s="14" t="b">
        <f t="shared" si="43"/>
        <v>1</v>
      </c>
      <c r="O569" s="15" t="b">
        <f t="shared" si="2"/>
        <v>0</v>
      </c>
      <c r="P569" s="15" t="str">
        <f t="shared" si="3"/>
        <v>APPROVED</v>
      </c>
    </row>
    <row r="570" ht="15.75" customHeight="1">
      <c r="A570" s="24" t="s">
        <v>1555</v>
      </c>
      <c r="B570" s="115" t="s">
        <v>1556</v>
      </c>
      <c r="C570" s="26">
        <v>45926.0</v>
      </c>
      <c r="D570" s="26"/>
      <c r="E570" s="24" t="s">
        <v>22</v>
      </c>
      <c r="F570" s="28" t="s">
        <v>23</v>
      </c>
      <c r="G570" s="28" t="s">
        <v>172</v>
      </c>
      <c r="H570" s="28" t="s">
        <v>49</v>
      </c>
      <c r="J570" s="29"/>
      <c r="K570" s="25"/>
      <c r="L570" s="28" t="s">
        <v>27</v>
      </c>
      <c r="M570" s="24" t="s">
        <v>22</v>
      </c>
      <c r="N570" s="14" t="b">
        <f t="shared" si="43"/>
        <v>0</v>
      </c>
      <c r="O570" s="15" t="b">
        <f t="shared" si="2"/>
        <v>0</v>
      </c>
      <c r="P570" s="15" t="str">
        <f t="shared" si="3"/>
        <v>PENDING</v>
      </c>
    </row>
    <row r="571" ht="15.75" customHeight="1">
      <c r="A571" s="24" t="s">
        <v>1557</v>
      </c>
      <c r="B571" s="25" t="s">
        <v>1558</v>
      </c>
      <c r="C571" s="26">
        <v>45927.0</v>
      </c>
      <c r="D571" s="26">
        <v>45929.0</v>
      </c>
      <c r="E571" s="24" t="s">
        <v>177</v>
      </c>
      <c r="F571" s="28" t="s">
        <v>23</v>
      </c>
      <c r="G571" s="28" t="s">
        <v>172</v>
      </c>
      <c r="H571" s="28" t="s">
        <v>84</v>
      </c>
      <c r="J571" s="29" t="s">
        <v>1559</v>
      </c>
      <c r="K571" s="135" t="s">
        <v>1560</v>
      </c>
      <c r="L571" s="28" t="s">
        <v>27</v>
      </c>
      <c r="M571" s="24" t="s">
        <v>177</v>
      </c>
      <c r="N571" s="14" t="b">
        <f t="shared" si="43"/>
        <v>0</v>
      </c>
      <c r="O571" s="15" t="b">
        <f t="shared" si="2"/>
        <v>0</v>
      </c>
      <c r="P571" s="15" t="str">
        <f t="shared" si="3"/>
        <v>PENDING</v>
      </c>
    </row>
    <row r="572" ht="15.75" customHeight="1">
      <c r="A572" s="24" t="s">
        <v>1561</v>
      </c>
      <c r="B572" s="115" t="s">
        <v>302</v>
      </c>
      <c r="C572" s="26">
        <v>45927.0</v>
      </c>
      <c r="D572" s="26">
        <v>45929.0</v>
      </c>
      <c r="E572" s="24" t="s">
        <v>177</v>
      </c>
      <c r="F572" s="28" t="s">
        <v>23</v>
      </c>
      <c r="G572" s="28" t="s">
        <v>172</v>
      </c>
      <c r="H572" s="28" t="s">
        <v>84</v>
      </c>
      <c r="J572" s="29" t="s">
        <v>1562</v>
      </c>
      <c r="K572" s="135" t="s">
        <v>2092</v>
      </c>
      <c r="L572" s="28" t="s">
        <v>27</v>
      </c>
      <c r="M572" s="24" t="s">
        <v>177</v>
      </c>
      <c r="N572" s="14" t="b">
        <f t="shared" si="43"/>
        <v>0</v>
      </c>
      <c r="O572" s="15" t="b">
        <f t="shared" si="2"/>
        <v>0</v>
      </c>
      <c r="P572" s="15" t="str">
        <f t="shared" si="3"/>
        <v>PENDING</v>
      </c>
    </row>
    <row r="573" ht="15.75" customHeight="1">
      <c r="A573" s="7" t="s">
        <v>1565</v>
      </c>
      <c r="B573" s="13" t="s">
        <v>789</v>
      </c>
      <c r="C573" s="9">
        <v>45927.0</v>
      </c>
      <c r="D573" s="9"/>
      <c r="E573" s="7" t="s">
        <v>22</v>
      </c>
      <c r="F573" s="11" t="s">
        <v>716</v>
      </c>
      <c r="G573" s="11" t="s">
        <v>30</v>
      </c>
      <c r="H573" s="7" t="s">
        <v>31</v>
      </c>
      <c r="I573" s="16"/>
      <c r="J573" s="12"/>
      <c r="K573" s="13"/>
      <c r="L573" s="11" t="s">
        <v>27</v>
      </c>
      <c r="M573" s="7" t="s">
        <v>22</v>
      </c>
      <c r="N573" s="175" t="b">
        <v>1</v>
      </c>
      <c r="O573" s="15" t="b">
        <f t="shared" si="2"/>
        <v>0</v>
      </c>
      <c r="P573" s="15" t="str">
        <f t="shared" si="3"/>
        <v>PENDING</v>
      </c>
    </row>
    <row r="574" ht="15.75" customHeight="1">
      <c r="A574" s="24" t="s">
        <v>1566</v>
      </c>
      <c r="B574" s="25" t="s">
        <v>1567</v>
      </c>
      <c r="C574" s="26">
        <v>45927.0</v>
      </c>
      <c r="D574" s="26">
        <v>45927.0</v>
      </c>
      <c r="E574" s="24" t="s">
        <v>744</v>
      </c>
      <c r="F574" s="28" t="s">
        <v>23</v>
      </c>
      <c r="G574" s="28" t="s">
        <v>172</v>
      </c>
      <c r="H574" s="28" t="s">
        <v>482</v>
      </c>
      <c r="J574" s="29"/>
      <c r="K574" s="25"/>
      <c r="L574" s="28" t="s">
        <v>27</v>
      </c>
      <c r="M574" s="24" t="s">
        <v>744</v>
      </c>
      <c r="N574" s="14" t="b">
        <f t="shared" ref="N574:N582" si="44">if(H574=$H$2,TRUE,O574)</f>
        <v>0</v>
      </c>
      <c r="O574" s="15" t="b">
        <f t="shared" si="2"/>
        <v>0</v>
      </c>
      <c r="P574" s="15" t="str">
        <f t="shared" si="3"/>
        <v>PENDING</v>
      </c>
    </row>
    <row r="575" ht="15.75" customHeight="1">
      <c r="A575" s="24" t="s">
        <v>1568</v>
      </c>
      <c r="B575" s="115" t="s">
        <v>1569</v>
      </c>
      <c r="C575" s="26">
        <v>45927.0</v>
      </c>
      <c r="D575" s="26">
        <v>45667.0</v>
      </c>
      <c r="E575" s="24" t="s">
        <v>177</v>
      </c>
      <c r="F575" s="28" t="s">
        <v>23</v>
      </c>
      <c r="G575" s="28" t="s">
        <v>172</v>
      </c>
      <c r="H575" s="28" t="s">
        <v>84</v>
      </c>
      <c r="J575" s="29" t="s">
        <v>1570</v>
      </c>
      <c r="K575" s="135" t="s">
        <v>1571</v>
      </c>
      <c r="L575" s="28" t="s">
        <v>27</v>
      </c>
      <c r="M575" s="24" t="s">
        <v>177</v>
      </c>
      <c r="N575" s="14" t="b">
        <f t="shared" si="44"/>
        <v>0</v>
      </c>
      <c r="O575" s="15" t="b">
        <f t="shared" si="2"/>
        <v>0</v>
      </c>
      <c r="P575" s="15" t="str">
        <f t="shared" si="3"/>
        <v>PENDING</v>
      </c>
    </row>
    <row r="576" ht="15.75" customHeight="1">
      <c r="A576" s="24" t="s">
        <v>1572</v>
      </c>
      <c r="B576" s="115" t="s">
        <v>581</v>
      </c>
      <c r="C576" s="26">
        <v>45927.0</v>
      </c>
      <c r="D576" s="26">
        <v>45927.0</v>
      </c>
      <c r="E576" s="24" t="s">
        <v>177</v>
      </c>
      <c r="F576" s="28" t="s">
        <v>23</v>
      </c>
      <c r="G576" s="28" t="s">
        <v>172</v>
      </c>
      <c r="H576" s="28" t="s">
        <v>49</v>
      </c>
      <c r="J576" s="29"/>
      <c r="K576" s="25"/>
      <c r="L576" s="28" t="s">
        <v>27</v>
      </c>
      <c r="M576" s="24" t="s">
        <v>177</v>
      </c>
      <c r="N576" s="14" t="b">
        <f t="shared" si="44"/>
        <v>0</v>
      </c>
      <c r="O576" s="15" t="b">
        <f t="shared" si="2"/>
        <v>0</v>
      </c>
      <c r="P576" s="15" t="str">
        <f t="shared" si="3"/>
        <v>PENDING</v>
      </c>
    </row>
    <row r="577" ht="15.75" customHeight="1">
      <c r="A577" s="24" t="s">
        <v>1573</v>
      </c>
      <c r="B577" s="25" t="s">
        <v>1574</v>
      </c>
      <c r="C577" s="26">
        <v>45927.0</v>
      </c>
      <c r="D577" s="26">
        <v>45927.0</v>
      </c>
      <c r="E577" s="24" t="s">
        <v>1376</v>
      </c>
      <c r="F577" s="28" t="s">
        <v>23</v>
      </c>
      <c r="G577" s="28" t="s">
        <v>172</v>
      </c>
      <c r="H577" s="28" t="s">
        <v>482</v>
      </c>
      <c r="J577" s="29"/>
      <c r="K577" s="25"/>
      <c r="L577" s="28" t="s">
        <v>27</v>
      </c>
      <c r="M577" s="24" t="s">
        <v>1376</v>
      </c>
      <c r="N577" s="14" t="b">
        <f t="shared" si="44"/>
        <v>0</v>
      </c>
      <c r="O577" s="15" t="b">
        <f t="shared" si="2"/>
        <v>0</v>
      </c>
      <c r="P577" s="15" t="str">
        <f t="shared" si="3"/>
        <v>PENDING</v>
      </c>
    </row>
    <row r="578" ht="15.75" customHeight="1">
      <c r="A578" s="24" t="s">
        <v>1575</v>
      </c>
      <c r="B578" s="25" t="s">
        <v>1498</v>
      </c>
      <c r="C578" s="26">
        <v>45927.0</v>
      </c>
      <c r="D578" s="26">
        <v>45927.0</v>
      </c>
      <c r="E578" s="24" t="s">
        <v>1376</v>
      </c>
      <c r="F578" s="28" t="s">
        <v>23</v>
      </c>
      <c r="G578" s="28" t="s">
        <v>172</v>
      </c>
      <c r="H578" s="28" t="s">
        <v>84</v>
      </c>
      <c r="J578" s="29" t="s">
        <v>1576</v>
      </c>
      <c r="K578" s="25"/>
      <c r="L578" s="28" t="s">
        <v>27</v>
      </c>
      <c r="M578" s="24" t="s">
        <v>1376</v>
      </c>
      <c r="N578" s="14" t="b">
        <f t="shared" si="44"/>
        <v>0</v>
      </c>
      <c r="O578" s="15" t="b">
        <f t="shared" si="2"/>
        <v>0</v>
      </c>
      <c r="P578" s="15" t="str">
        <f t="shared" si="3"/>
        <v>PENDING</v>
      </c>
    </row>
    <row r="579" ht="15.75" customHeight="1">
      <c r="A579" s="24" t="s">
        <v>1577</v>
      </c>
      <c r="B579" s="115" t="s">
        <v>680</v>
      </c>
      <c r="C579" s="26">
        <v>45924.0</v>
      </c>
      <c r="D579" s="26">
        <v>45924.0</v>
      </c>
      <c r="E579" s="24" t="s">
        <v>715</v>
      </c>
      <c r="F579" s="28" t="s">
        <v>23</v>
      </c>
      <c r="G579" s="28" t="s">
        <v>172</v>
      </c>
      <c r="H579" s="28" t="s">
        <v>84</v>
      </c>
      <c r="J579" s="29" t="s">
        <v>1201</v>
      </c>
      <c r="K579" s="25"/>
      <c r="L579" s="28" t="s">
        <v>27</v>
      </c>
      <c r="M579" s="24" t="s">
        <v>715</v>
      </c>
      <c r="N579" s="14" t="b">
        <f t="shared" si="44"/>
        <v>0</v>
      </c>
      <c r="O579" s="15" t="b">
        <f t="shared" si="2"/>
        <v>0</v>
      </c>
      <c r="P579" s="15" t="str">
        <f t="shared" si="3"/>
        <v>PENDING</v>
      </c>
    </row>
    <row r="580" ht="15.75" customHeight="1">
      <c r="A580" s="7" t="s">
        <v>1578</v>
      </c>
      <c r="B580" s="13" t="s">
        <v>1579</v>
      </c>
      <c r="C580" s="9">
        <v>45927.0</v>
      </c>
      <c r="D580" s="9">
        <v>45927.0</v>
      </c>
      <c r="E580" s="7" t="s">
        <v>715</v>
      </c>
      <c r="F580" s="11" t="s">
        <v>23</v>
      </c>
      <c r="G580" s="11" t="s">
        <v>30</v>
      </c>
      <c r="H580" s="11" t="s">
        <v>25</v>
      </c>
      <c r="I580" s="16"/>
      <c r="J580" s="12" t="s">
        <v>30</v>
      </c>
      <c r="K580" s="13"/>
      <c r="L580" s="11" t="s">
        <v>27</v>
      </c>
      <c r="M580" s="7" t="s">
        <v>715</v>
      </c>
      <c r="N580" s="14" t="b">
        <f t="shared" si="44"/>
        <v>1</v>
      </c>
      <c r="O580" s="15" t="b">
        <f t="shared" si="2"/>
        <v>0</v>
      </c>
      <c r="P580" s="15" t="str">
        <f t="shared" si="3"/>
        <v>APPROVED</v>
      </c>
    </row>
    <row r="581" ht="15.75" customHeight="1">
      <c r="A581" s="7" t="s">
        <v>1580</v>
      </c>
      <c r="B581" s="13" t="s">
        <v>1581</v>
      </c>
      <c r="C581" s="9">
        <v>45926.0</v>
      </c>
      <c r="D581" s="9">
        <v>45926.0</v>
      </c>
      <c r="E581" s="7" t="s">
        <v>715</v>
      </c>
      <c r="F581" s="11" t="s">
        <v>23</v>
      </c>
      <c r="G581" s="11" t="s">
        <v>30</v>
      </c>
      <c r="H581" s="11" t="s">
        <v>25</v>
      </c>
      <c r="I581" s="16"/>
      <c r="J581" s="12" t="s">
        <v>30</v>
      </c>
      <c r="K581" s="13"/>
      <c r="L581" s="11" t="s">
        <v>27</v>
      </c>
      <c r="M581" s="7" t="s">
        <v>715</v>
      </c>
      <c r="N581" s="14" t="b">
        <f t="shared" si="44"/>
        <v>1</v>
      </c>
      <c r="O581" s="15" t="b">
        <f t="shared" si="2"/>
        <v>0</v>
      </c>
      <c r="P581" s="15" t="str">
        <f t="shared" si="3"/>
        <v>APPROVED</v>
      </c>
    </row>
    <row r="582" ht="15.75" customHeight="1">
      <c r="A582" s="145" t="s">
        <v>1582</v>
      </c>
      <c r="B582" s="146" t="s">
        <v>1101</v>
      </c>
      <c r="C582" s="147"/>
      <c r="D582" s="147"/>
      <c r="E582" s="145" t="s">
        <v>715</v>
      </c>
      <c r="F582" s="149" t="s">
        <v>23</v>
      </c>
      <c r="G582" s="149" t="s">
        <v>30</v>
      </c>
      <c r="H582" s="145" t="s">
        <v>31</v>
      </c>
      <c r="I582" s="150"/>
      <c r="J582" s="151"/>
      <c r="K582" s="152"/>
      <c r="L582" s="145" t="s">
        <v>98</v>
      </c>
      <c r="M582" s="145" t="s">
        <v>715</v>
      </c>
      <c r="N582" s="14" t="b">
        <f t="shared" si="44"/>
        <v>1</v>
      </c>
      <c r="O582" s="15" t="b">
        <f t="shared" si="2"/>
        <v>1</v>
      </c>
      <c r="P582" s="15" t="str">
        <f t="shared" si="3"/>
        <v>PENDING</v>
      </c>
    </row>
    <row r="583" ht="15.75" customHeight="1">
      <c r="A583" s="7" t="s">
        <v>1583</v>
      </c>
      <c r="B583" s="13" t="s">
        <v>714</v>
      </c>
      <c r="C583" s="9">
        <v>45929.0</v>
      </c>
      <c r="D583" s="9"/>
      <c r="E583" s="7" t="s">
        <v>715</v>
      </c>
      <c r="F583" s="11" t="s">
        <v>716</v>
      </c>
      <c r="G583" s="11" t="s">
        <v>30</v>
      </c>
      <c r="H583" s="7" t="s">
        <v>31</v>
      </c>
      <c r="I583" s="16"/>
      <c r="J583" s="12"/>
      <c r="K583" s="13"/>
      <c r="L583" s="11" t="s">
        <v>27</v>
      </c>
      <c r="M583" s="7" t="s">
        <v>715</v>
      </c>
      <c r="N583" s="175" t="b">
        <v>1</v>
      </c>
      <c r="O583" s="15" t="b">
        <f t="shared" si="2"/>
        <v>0</v>
      </c>
      <c r="P583" s="15" t="str">
        <f t="shared" si="3"/>
        <v>PENDING</v>
      </c>
    </row>
    <row r="584" ht="15.75" customHeight="1">
      <c r="A584" s="7" t="s">
        <v>1584</v>
      </c>
      <c r="B584" s="8" t="s">
        <v>222</v>
      </c>
      <c r="C584" s="9">
        <v>45929.0</v>
      </c>
      <c r="D584" s="9"/>
      <c r="E584" s="7" t="s">
        <v>177</v>
      </c>
      <c r="F584" s="11" t="s">
        <v>716</v>
      </c>
      <c r="G584" s="11" t="s">
        <v>30</v>
      </c>
      <c r="H584" s="7" t="s">
        <v>31</v>
      </c>
      <c r="I584" s="16"/>
      <c r="J584" s="12"/>
      <c r="K584" s="8" t="s">
        <v>914</v>
      </c>
      <c r="L584" s="11" t="s">
        <v>27</v>
      </c>
      <c r="M584" s="7" t="s">
        <v>177</v>
      </c>
      <c r="N584" s="175" t="b">
        <v>1</v>
      </c>
      <c r="O584" s="15" t="b">
        <f t="shared" si="2"/>
        <v>0</v>
      </c>
      <c r="P584" s="15" t="str">
        <f t="shared" si="3"/>
        <v>PENDING</v>
      </c>
    </row>
    <row r="585" ht="15.75" customHeight="1">
      <c r="A585" s="24" t="s">
        <v>1585</v>
      </c>
      <c r="B585" s="25" t="s">
        <v>1586</v>
      </c>
      <c r="C585" s="26">
        <v>45930.0</v>
      </c>
      <c r="D585" s="26">
        <v>45698.0</v>
      </c>
      <c r="E585" s="24" t="s">
        <v>1376</v>
      </c>
      <c r="F585" s="28" t="s">
        <v>23</v>
      </c>
      <c r="G585" s="28" t="s">
        <v>172</v>
      </c>
      <c r="H585" s="28" t="s">
        <v>84</v>
      </c>
      <c r="J585" s="29" t="s">
        <v>1587</v>
      </c>
      <c r="K585" s="25"/>
      <c r="L585" s="28" t="s">
        <v>27</v>
      </c>
      <c r="M585" s="24" t="s">
        <v>1376</v>
      </c>
      <c r="N585" s="14" t="b">
        <f t="shared" ref="N585:N600" si="45">if(H585=$H$2,TRUE,O585)</f>
        <v>0</v>
      </c>
      <c r="O585" s="15" t="b">
        <f t="shared" si="2"/>
        <v>0</v>
      </c>
      <c r="P585" s="15" t="str">
        <f t="shared" si="3"/>
        <v>PENDING</v>
      </c>
    </row>
    <row r="586" ht="15.75" customHeight="1">
      <c r="A586" s="24" t="s">
        <v>1588</v>
      </c>
      <c r="B586" s="115" t="s">
        <v>1589</v>
      </c>
      <c r="C586" s="26">
        <v>45930.0</v>
      </c>
      <c r="D586" s="26">
        <v>45818.0</v>
      </c>
      <c r="E586" s="24" t="s">
        <v>1376</v>
      </c>
      <c r="F586" s="28" t="s">
        <v>23</v>
      </c>
      <c r="G586" s="28" t="s">
        <v>48</v>
      </c>
      <c r="H586" s="28" t="s">
        <v>84</v>
      </c>
      <c r="J586" s="29" t="s">
        <v>1590</v>
      </c>
      <c r="K586" s="29" t="s">
        <v>1591</v>
      </c>
      <c r="L586" s="28" t="s">
        <v>27</v>
      </c>
      <c r="M586" s="24" t="s">
        <v>1376</v>
      </c>
      <c r="N586" s="14" t="b">
        <f t="shared" si="45"/>
        <v>0</v>
      </c>
      <c r="O586" s="15" t="b">
        <f t="shared" si="2"/>
        <v>0</v>
      </c>
      <c r="P586" s="15" t="str">
        <f t="shared" si="3"/>
        <v>PENDING</v>
      </c>
    </row>
    <row r="587" ht="15.75" customHeight="1">
      <c r="A587" s="145" t="s">
        <v>1592</v>
      </c>
      <c r="B587" s="146" t="s">
        <v>1593</v>
      </c>
      <c r="C587" s="147">
        <v>45930.0</v>
      </c>
      <c r="D587" s="153"/>
      <c r="E587" s="145" t="s">
        <v>1376</v>
      </c>
      <c r="F587" s="149" t="s">
        <v>23</v>
      </c>
      <c r="G587" s="149" t="s">
        <v>24</v>
      </c>
      <c r="H587" s="149" t="s">
        <v>49</v>
      </c>
      <c r="I587" s="150"/>
      <c r="J587" s="151"/>
      <c r="K587" s="152"/>
      <c r="L587" s="145" t="s">
        <v>98</v>
      </c>
      <c r="M587" s="145" t="s">
        <v>1376</v>
      </c>
      <c r="N587" s="14" t="b">
        <f t="shared" si="45"/>
        <v>1</v>
      </c>
      <c r="O587" s="15" t="b">
        <f t="shared" si="2"/>
        <v>1</v>
      </c>
      <c r="P587" s="15" t="str">
        <f t="shared" si="3"/>
        <v>PENDING</v>
      </c>
    </row>
    <row r="588" ht="15.75" customHeight="1">
      <c r="A588" s="24" t="s">
        <v>1594</v>
      </c>
      <c r="B588" s="115" t="s">
        <v>1595</v>
      </c>
      <c r="C588" s="26">
        <v>45930.0</v>
      </c>
      <c r="D588" s="26">
        <v>45818.0</v>
      </c>
      <c r="E588" s="24" t="s">
        <v>1376</v>
      </c>
      <c r="F588" s="28" t="s">
        <v>23</v>
      </c>
      <c r="G588" s="28" t="s">
        <v>48</v>
      </c>
      <c r="H588" s="28" t="s">
        <v>482</v>
      </c>
      <c r="J588" s="29"/>
      <c r="K588" s="25"/>
      <c r="L588" s="28" t="s">
        <v>27</v>
      </c>
      <c r="M588" s="24" t="s">
        <v>1376</v>
      </c>
      <c r="N588" s="14" t="b">
        <f t="shared" si="45"/>
        <v>0</v>
      </c>
      <c r="O588" s="15" t="b">
        <f t="shared" si="2"/>
        <v>0</v>
      </c>
      <c r="P588" s="15" t="str">
        <f t="shared" si="3"/>
        <v>PENDING</v>
      </c>
    </row>
    <row r="589" ht="15.75" customHeight="1">
      <c r="A589" s="24" t="s">
        <v>1596</v>
      </c>
      <c r="B589" s="25" t="s">
        <v>862</v>
      </c>
      <c r="C589" s="26">
        <v>45930.0</v>
      </c>
      <c r="D589" s="26">
        <v>45930.0</v>
      </c>
      <c r="E589" s="24" t="s">
        <v>177</v>
      </c>
      <c r="F589" s="28" t="s">
        <v>23</v>
      </c>
      <c r="G589" s="28" t="s">
        <v>30</v>
      </c>
      <c r="H589" s="28" t="s">
        <v>84</v>
      </c>
      <c r="J589" s="29"/>
      <c r="K589" s="25"/>
      <c r="L589" s="28" t="s">
        <v>27</v>
      </c>
      <c r="M589" s="24" t="s">
        <v>177</v>
      </c>
      <c r="N589" s="14" t="b">
        <f t="shared" si="45"/>
        <v>0</v>
      </c>
      <c r="O589" s="15" t="b">
        <f t="shared" si="2"/>
        <v>0</v>
      </c>
      <c r="P589" s="15" t="str">
        <f t="shared" si="3"/>
        <v>PENDING</v>
      </c>
    </row>
    <row r="590" ht="15.75" customHeight="1">
      <c r="A590" s="24" t="s">
        <v>1597</v>
      </c>
      <c r="B590" s="115" t="s">
        <v>873</v>
      </c>
      <c r="C590" s="26">
        <v>45930.0</v>
      </c>
      <c r="D590" s="26">
        <v>45930.0</v>
      </c>
      <c r="E590" s="24" t="s">
        <v>177</v>
      </c>
      <c r="F590" s="28" t="s">
        <v>23</v>
      </c>
      <c r="G590" s="28" t="s">
        <v>172</v>
      </c>
      <c r="H590" s="28" t="s">
        <v>482</v>
      </c>
      <c r="J590" s="29"/>
      <c r="K590" s="25"/>
      <c r="L590" s="28" t="s">
        <v>27</v>
      </c>
      <c r="M590" s="24" t="s">
        <v>177</v>
      </c>
      <c r="N590" s="14" t="b">
        <f t="shared" si="45"/>
        <v>0</v>
      </c>
      <c r="O590" s="15" t="b">
        <f t="shared" si="2"/>
        <v>0</v>
      </c>
      <c r="P590" s="15" t="str">
        <f t="shared" si="3"/>
        <v>PENDING</v>
      </c>
    </row>
    <row r="591" ht="15.75" customHeight="1">
      <c r="A591" s="24" t="s">
        <v>1598</v>
      </c>
      <c r="B591" s="25" t="s">
        <v>708</v>
      </c>
      <c r="C591" s="26">
        <v>45930.0</v>
      </c>
      <c r="D591" s="26">
        <v>45930.0</v>
      </c>
      <c r="E591" s="24" t="s">
        <v>177</v>
      </c>
      <c r="F591" s="28" t="s">
        <v>23</v>
      </c>
      <c r="G591" s="28" t="s">
        <v>172</v>
      </c>
      <c r="H591" s="28" t="s">
        <v>482</v>
      </c>
      <c r="J591" s="29"/>
      <c r="K591" s="25"/>
      <c r="L591" s="28" t="s">
        <v>27</v>
      </c>
      <c r="M591" s="24" t="s">
        <v>177</v>
      </c>
      <c r="N591" s="14" t="b">
        <f t="shared" si="45"/>
        <v>0</v>
      </c>
      <c r="O591" s="15" t="b">
        <f t="shared" si="2"/>
        <v>0</v>
      </c>
      <c r="P591" s="15" t="str">
        <f t="shared" si="3"/>
        <v>PENDING</v>
      </c>
    </row>
    <row r="592" ht="15.75" customHeight="1">
      <c r="A592" s="24" t="s">
        <v>1599</v>
      </c>
      <c r="B592" s="25" t="s">
        <v>618</v>
      </c>
      <c r="C592" s="26">
        <v>45930.0</v>
      </c>
      <c r="D592" s="26">
        <v>45930.0</v>
      </c>
      <c r="E592" s="24" t="s">
        <v>177</v>
      </c>
      <c r="F592" s="28" t="s">
        <v>23</v>
      </c>
      <c r="G592" s="28" t="s">
        <v>172</v>
      </c>
      <c r="H592" s="28" t="s">
        <v>84</v>
      </c>
      <c r="J592" s="29" t="s">
        <v>1600</v>
      </c>
      <c r="K592" s="25"/>
      <c r="L592" s="28" t="s">
        <v>27</v>
      </c>
      <c r="M592" s="24" t="s">
        <v>177</v>
      </c>
      <c r="N592" s="14" t="b">
        <f t="shared" si="45"/>
        <v>0</v>
      </c>
      <c r="O592" s="15" t="b">
        <f t="shared" si="2"/>
        <v>0</v>
      </c>
      <c r="P592" s="15" t="str">
        <f t="shared" si="3"/>
        <v>PENDING</v>
      </c>
    </row>
    <row r="593" ht="15.75" customHeight="1">
      <c r="A593" s="24" t="s">
        <v>1601</v>
      </c>
      <c r="B593" s="115" t="s">
        <v>865</v>
      </c>
      <c r="C593" s="26">
        <v>45930.0</v>
      </c>
      <c r="D593" s="26">
        <v>45930.0</v>
      </c>
      <c r="E593" s="24" t="s">
        <v>177</v>
      </c>
      <c r="F593" s="28" t="s">
        <v>23</v>
      </c>
      <c r="G593" s="28" t="s">
        <v>30</v>
      </c>
      <c r="H593" s="28" t="s">
        <v>49</v>
      </c>
      <c r="J593" s="29"/>
      <c r="K593" s="25"/>
      <c r="L593" s="28" t="s">
        <v>27</v>
      </c>
      <c r="M593" s="24" t="s">
        <v>177</v>
      </c>
      <c r="N593" s="14" t="b">
        <f t="shared" si="45"/>
        <v>0</v>
      </c>
      <c r="O593" s="15" t="b">
        <f t="shared" si="2"/>
        <v>0</v>
      </c>
      <c r="P593" s="15" t="str">
        <f t="shared" si="3"/>
        <v>PENDING</v>
      </c>
    </row>
    <row r="594" ht="15.75" customHeight="1">
      <c r="A594" s="24" t="s">
        <v>1602</v>
      </c>
      <c r="B594" s="115" t="s">
        <v>1334</v>
      </c>
      <c r="C594" s="26">
        <v>45903.0</v>
      </c>
      <c r="D594" s="26">
        <v>45725.0</v>
      </c>
      <c r="E594" s="24" t="s">
        <v>1182</v>
      </c>
      <c r="F594" s="28" t="s">
        <v>23</v>
      </c>
      <c r="G594" s="28" t="s">
        <v>172</v>
      </c>
      <c r="H594" s="28" t="s">
        <v>49</v>
      </c>
      <c r="J594" s="29" t="s">
        <v>1603</v>
      </c>
      <c r="K594" s="25"/>
      <c r="L594" s="28" t="s">
        <v>27</v>
      </c>
      <c r="M594" s="24" t="s">
        <v>1182</v>
      </c>
      <c r="N594" s="14" t="b">
        <f t="shared" si="45"/>
        <v>0</v>
      </c>
      <c r="O594" s="15" t="b">
        <f t="shared" si="2"/>
        <v>0</v>
      </c>
      <c r="P594" s="15" t="str">
        <f t="shared" si="3"/>
        <v>PENDING</v>
      </c>
    </row>
    <row r="595" ht="15.75" customHeight="1">
      <c r="A595" s="24" t="s">
        <v>1604</v>
      </c>
      <c r="B595" s="115" t="s">
        <v>1343</v>
      </c>
      <c r="C595" s="26">
        <v>45909.0</v>
      </c>
      <c r="D595" s="26">
        <v>45909.0</v>
      </c>
      <c r="E595" s="24" t="s">
        <v>1182</v>
      </c>
      <c r="F595" s="28" t="s">
        <v>23</v>
      </c>
      <c r="G595" s="28" t="s">
        <v>172</v>
      </c>
      <c r="H595" s="28" t="s">
        <v>49</v>
      </c>
      <c r="J595" s="29" t="s">
        <v>1603</v>
      </c>
      <c r="K595" s="25"/>
      <c r="L595" s="28" t="s">
        <v>27</v>
      </c>
      <c r="M595" s="24" t="s">
        <v>1182</v>
      </c>
      <c r="N595" s="14" t="b">
        <f t="shared" si="45"/>
        <v>0</v>
      </c>
      <c r="O595" s="15" t="b">
        <f t="shared" si="2"/>
        <v>0</v>
      </c>
      <c r="P595" s="15" t="str">
        <f t="shared" si="3"/>
        <v>PENDING</v>
      </c>
    </row>
    <row r="596" ht="15.75" customHeight="1">
      <c r="A596" s="24" t="s">
        <v>1605</v>
      </c>
      <c r="B596" s="115" t="s">
        <v>1283</v>
      </c>
      <c r="C596" s="26">
        <v>45922.0</v>
      </c>
      <c r="D596" s="26">
        <v>45922.0</v>
      </c>
      <c r="E596" s="24" t="s">
        <v>1182</v>
      </c>
      <c r="F596" s="28" t="s">
        <v>23</v>
      </c>
      <c r="G596" s="28" t="s">
        <v>172</v>
      </c>
      <c r="H596" s="28" t="s">
        <v>49</v>
      </c>
      <c r="J596" s="29" t="s">
        <v>1603</v>
      </c>
      <c r="K596" s="25"/>
      <c r="L596" s="28" t="s">
        <v>27</v>
      </c>
      <c r="M596" s="24" t="s">
        <v>1182</v>
      </c>
      <c r="N596" s="14" t="b">
        <f t="shared" si="45"/>
        <v>0</v>
      </c>
      <c r="O596" s="15" t="b">
        <f t="shared" si="2"/>
        <v>0</v>
      </c>
      <c r="P596" s="15" t="str">
        <f t="shared" si="3"/>
        <v>PENDING</v>
      </c>
    </row>
    <row r="597" ht="15.75" customHeight="1">
      <c r="A597" s="7" t="s">
        <v>1606</v>
      </c>
      <c r="B597" s="8" t="s">
        <v>685</v>
      </c>
      <c r="C597" s="9">
        <v>45931.0</v>
      </c>
      <c r="D597" s="9">
        <v>45667.0</v>
      </c>
      <c r="E597" s="7" t="s">
        <v>22</v>
      </c>
      <c r="F597" s="11" t="s">
        <v>23</v>
      </c>
      <c r="G597" s="11" t="s">
        <v>30</v>
      </c>
      <c r="H597" s="11" t="s">
        <v>25</v>
      </c>
      <c r="I597" s="16"/>
      <c r="J597" s="12"/>
      <c r="K597" s="13"/>
      <c r="L597" s="11" t="s">
        <v>27</v>
      </c>
      <c r="M597" s="7" t="s">
        <v>22</v>
      </c>
      <c r="N597" s="14" t="b">
        <f t="shared" si="45"/>
        <v>1</v>
      </c>
      <c r="O597" s="15" t="b">
        <f t="shared" si="2"/>
        <v>0</v>
      </c>
      <c r="P597" s="15" t="str">
        <f t="shared" si="3"/>
        <v>APPROVED</v>
      </c>
    </row>
    <row r="598" ht="15.75" customHeight="1">
      <c r="A598" s="24" t="s">
        <v>1607</v>
      </c>
      <c r="B598" s="115" t="s">
        <v>224</v>
      </c>
      <c r="C598" s="26">
        <v>45931.0</v>
      </c>
      <c r="D598" s="26">
        <v>45667.0</v>
      </c>
      <c r="E598" s="24" t="s">
        <v>177</v>
      </c>
      <c r="F598" s="28" t="s">
        <v>23</v>
      </c>
      <c r="G598" s="28" t="s">
        <v>172</v>
      </c>
      <c r="H598" s="28" t="s">
        <v>482</v>
      </c>
      <c r="J598" s="29"/>
      <c r="K598" s="25"/>
      <c r="L598" s="28" t="s">
        <v>27</v>
      </c>
      <c r="M598" s="24" t="s">
        <v>177</v>
      </c>
      <c r="N598" s="14" t="b">
        <f t="shared" si="45"/>
        <v>0</v>
      </c>
      <c r="O598" s="15" t="b">
        <f t="shared" si="2"/>
        <v>0</v>
      </c>
      <c r="P598" s="15" t="str">
        <f t="shared" si="3"/>
        <v>PENDING</v>
      </c>
    </row>
    <row r="599" ht="15.75" customHeight="1">
      <c r="A599" s="24" t="s">
        <v>1608</v>
      </c>
      <c r="B599" s="25" t="s">
        <v>708</v>
      </c>
      <c r="C599" s="26">
        <v>45931.0</v>
      </c>
      <c r="D599" s="26">
        <v>45667.0</v>
      </c>
      <c r="E599" s="24" t="s">
        <v>177</v>
      </c>
      <c r="F599" s="28" t="s">
        <v>23</v>
      </c>
      <c r="G599" s="28" t="s">
        <v>172</v>
      </c>
      <c r="H599" s="28" t="s">
        <v>482</v>
      </c>
      <c r="J599" s="29"/>
      <c r="K599" s="25"/>
      <c r="L599" s="28" t="s">
        <v>27</v>
      </c>
      <c r="M599" s="24" t="s">
        <v>177</v>
      </c>
      <c r="N599" s="14" t="b">
        <f t="shared" si="45"/>
        <v>0</v>
      </c>
      <c r="O599" s="15" t="b">
        <f t="shared" si="2"/>
        <v>0</v>
      </c>
      <c r="P599" s="15" t="str">
        <f t="shared" si="3"/>
        <v>PENDING</v>
      </c>
    </row>
    <row r="600" ht="15.75" customHeight="1">
      <c r="A600" s="24" t="s">
        <v>1609</v>
      </c>
      <c r="B600" s="115" t="s">
        <v>194</v>
      </c>
      <c r="C600" s="26">
        <v>45931.0</v>
      </c>
      <c r="D600" s="26">
        <v>45667.0</v>
      </c>
      <c r="E600" s="24" t="s">
        <v>177</v>
      </c>
      <c r="F600" s="28" t="s">
        <v>23</v>
      </c>
      <c r="G600" s="28" t="s">
        <v>172</v>
      </c>
      <c r="H600" s="28" t="s">
        <v>482</v>
      </c>
      <c r="J600" s="29"/>
      <c r="K600" s="25"/>
      <c r="L600" s="28" t="s">
        <v>27</v>
      </c>
      <c r="M600" s="24" t="s">
        <v>177</v>
      </c>
      <c r="N600" s="14" t="b">
        <f t="shared" si="45"/>
        <v>0</v>
      </c>
      <c r="O600" s="15" t="b">
        <f t="shared" si="2"/>
        <v>0</v>
      </c>
      <c r="P600" s="15" t="str">
        <f t="shared" si="3"/>
        <v>PENDING</v>
      </c>
    </row>
    <row r="601" ht="15.75" customHeight="1">
      <c r="A601" s="7" t="s">
        <v>1610</v>
      </c>
      <c r="B601" s="13" t="s">
        <v>789</v>
      </c>
      <c r="C601" s="9">
        <v>45931.0</v>
      </c>
      <c r="D601" s="9">
        <v>45667.0</v>
      </c>
      <c r="E601" s="7" t="s">
        <v>744</v>
      </c>
      <c r="F601" s="11" t="s">
        <v>716</v>
      </c>
      <c r="G601" s="11"/>
      <c r="H601" s="11" t="s">
        <v>31</v>
      </c>
      <c r="I601" s="16"/>
      <c r="J601" s="49"/>
      <c r="K601" s="13"/>
      <c r="L601" s="11" t="s">
        <v>27</v>
      </c>
      <c r="M601" s="24" t="s">
        <v>744</v>
      </c>
      <c r="N601" s="175" t="b">
        <v>1</v>
      </c>
      <c r="O601" s="15" t="b">
        <f t="shared" si="2"/>
        <v>0</v>
      </c>
      <c r="P601" s="15" t="str">
        <f t="shared" si="3"/>
        <v>PENDING</v>
      </c>
    </row>
    <row r="602" ht="15.75" customHeight="1">
      <c r="A602" s="24" t="s">
        <v>1611</v>
      </c>
      <c r="B602" s="115" t="s">
        <v>1612</v>
      </c>
      <c r="C602" s="26">
        <v>45931.0</v>
      </c>
      <c r="D602" s="26">
        <v>45667.0</v>
      </c>
      <c r="E602" s="24" t="s">
        <v>744</v>
      </c>
      <c r="F602" s="28" t="s">
        <v>23</v>
      </c>
      <c r="G602" s="28" t="s">
        <v>172</v>
      </c>
      <c r="H602" s="28" t="s">
        <v>482</v>
      </c>
      <c r="J602" s="29"/>
      <c r="K602" s="25"/>
      <c r="L602" s="28" t="s">
        <v>27</v>
      </c>
      <c r="M602" s="24" t="s">
        <v>744</v>
      </c>
      <c r="N602" s="14" t="b">
        <f t="shared" ref="N602:N624" si="46">if(H602=$H$2,TRUE,O602)</f>
        <v>0</v>
      </c>
      <c r="O602" s="15" t="b">
        <f t="shared" si="2"/>
        <v>0</v>
      </c>
      <c r="P602" s="15" t="str">
        <f t="shared" si="3"/>
        <v>PENDING</v>
      </c>
    </row>
    <row r="603" ht="15.75" customHeight="1">
      <c r="A603" s="24" t="s">
        <v>1613</v>
      </c>
      <c r="B603" s="115" t="s">
        <v>1614</v>
      </c>
      <c r="C603" s="26">
        <v>45931.0</v>
      </c>
      <c r="D603" s="26">
        <v>45667.0</v>
      </c>
      <c r="E603" s="24" t="s">
        <v>744</v>
      </c>
      <c r="F603" s="28" t="s">
        <v>23</v>
      </c>
      <c r="G603" s="28" t="s">
        <v>172</v>
      </c>
      <c r="H603" s="28" t="s">
        <v>482</v>
      </c>
      <c r="J603" s="29"/>
      <c r="K603" s="25"/>
      <c r="L603" s="28" t="s">
        <v>27</v>
      </c>
      <c r="M603" s="24" t="s">
        <v>744</v>
      </c>
      <c r="N603" s="14" t="b">
        <f t="shared" si="46"/>
        <v>0</v>
      </c>
      <c r="O603" s="15" t="b">
        <f t="shared" si="2"/>
        <v>0</v>
      </c>
      <c r="P603" s="15" t="str">
        <f t="shared" si="3"/>
        <v>PENDING</v>
      </c>
    </row>
    <row r="604" ht="15.75" customHeight="1">
      <c r="A604" s="7" t="s">
        <v>1615</v>
      </c>
      <c r="B604" s="8" t="s">
        <v>29</v>
      </c>
      <c r="C604" s="9">
        <v>45932.0</v>
      </c>
      <c r="D604" s="9">
        <v>45698.0</v>
      </c>
      <c r="E604" s="7" t="s">
        <v>22</v>
      </c>
      <c r="F604" s="11" t="s">
        <v>23</v>
      </c>
      <c r="G604" s="11" t="s">
        <v>70</v>
      </c>
      <c r="H604" s="11" t="s">
        <v>25</v>
      </c>
      <c r="I604" s="16"/>
      <c r="J604" s="12" t="s">
        <v>1616</v>
      </c>
      <c r="K604" s="36" t="s">
        <v>2093</v>
      </c>
      <c r="L604" s="11" t="s">
        <v>27</v>
      </c>
      <c r="M604" s="7" t="s">
        <v>22</v>
      </c>
      <c r="N604" s="14" t="b">
        <f t="shared" si="46"/>
        <v>1</v>
      </c>
      <c r="O604" s="15" t="b">
        <f t="shared" si="2"/>
        <v>0</v>
      </c>
      <c r="P604" s="15" t="str">
        <f t="shared" si="3"/>
        <v>APPROVED</v>
      </c>
    </row>
    <row r="605" ht="15.75" customHeight="1">
      <c r="A605" s="24" t="s">
        <v>1619</v>
      </c>
      <c r="B605" s="115" t="s">
        <v>327</v>
      </c>
      <c r="C605" s="26">
        <v>45932.0</v>
      </c>
      <c r="D605" s="26">
        <v>45818.0</v>
      </c>
      <c r="E605" s="24" t="s">
        <v>1387</v>
      </c>
      <c r="F605" s="28" t="s">
        <v>23</v>
      </c>
      <c r="G605" s="28" t="s">
        <v>35</v>
      </c>
      <c r="H605" s="28" t="s">
        <v>482</v>
      </c>
      <c r="J605" s="29"/>
      <c r="K605" s="25"/>
      <c r="L605" s="28" t="s">
        <v>27</v>
      </c>
      <c r="M605" s="24" t="s">
        <v>1387</v>
      </c>
      <c r="N605" s="14" t="b">
        <f t="shared" si="46"/>
        <v>0</v>
      </c>
      <c r="O605" s="15" t="b">
        <f t="shared" si="2"/>
        <v>0</v>
      </c>
      <c r="P605" s="15" t="str">
        <f t="shared" si="3"/>
        <v>PENDING</v>
      </c>
    </row>
    <row r="606" ht="15.75" customHeight="1">
      <c r="A606" s="24" t="s">
        <v>1620</v>
      </c>
      <c r="B606" s="115" t="s">
        <v>265</v>
      </c>
      <c r="C606" s="26">
        <v>45932.0</v>
      </c>
      <c r="D606" s="26">
        <v>45818.0</v>
      </c>
      <c r="E606" s="24" t="s">
        <v>1387</v>
      </c>
      <c r="F606" s="28" t="s">
        <v>23</v>
      </c>
      <c r="G606" s="28" t="s">
        <v>172</v>
      </c>
      <c r="H606" s="28" t="s">
        <v>482</v>
      </c>
      <c r="J606" s="29"/>
      <c r="K606" s="25"/>
      <c r="L606" s="28" t="s">
        <v>27</v>
      </c>
      <c r="M606" s="24" t="s">
        <v>1387</v>
      </c>
      <c r="N606" s="14" t="b">
        <f t="shared" si="46"/>
        <v>0</v>
      </c>
      <c r="O606" s="15" t="b">
        <f t="shared" si="2"/>
        <v>0</v>
      </c>
      <c r="P606" s="15" t="str">
        <f t="shared" si="3"/>
        <v>PENDING</v>
      </c>
    </row>
    <row r="607" ht="15.75" customHeight="1">
      <c r="A607" s="30" t="s">
        <v>1621</v>
      </c>
      <c r="B607" s="58" t="s">
        <v>1228</v>
      </c>
      <c r="C607" s="32">
        <v>45932.0</v>
      </c>
      <c r="D607" s="32"/>
      <c r="E607" s="30" t="s">
        <v>1387</v>
      </c>
      <c r="F607" s="34" t="s">
        <v>23</v>
      </c>
      <c r="G607" s="34" t="s">
        <v>172</v>
      </c>
      <c r="H607" s="34" t="s">
        <v>49</v>
      </c>
      <c r="I607" s="66"/>
      <c r="J607" s="35"/>
      <c r="K607" s="31"/>
      <c r="L607" s="30" t="s">
        <v>98</v>
      </c>
      <c r="M607" s="30" t="s">
        <v>1387</v>
      </c>
      <c r="N607" s="14" t="b">
        <f t="shared" si="46"/>
        <v>1</v>
      </c>
      <c r="O607" s="15" t="b">
        <f t="shared" si="2"/>
        <v>1</v>
      </c>
      <c r="P607" s="15" t="str">
        <f t="shared" si="3"/>
        <v>PENDING</v>
      </c>
    </row>
    <row r="608" ht="15.75" customHeight="1">
      <c r="A608" s="24" t="s">
        <v>1623</v>
      </c>
      <c r="B608" s="115" t="s">
        <v>1624</v>
      </c>
      <c r="C608" s="26">
        <v>45932.0</v>
      </c>
      <c r="D608" s="26">
        <v>45698.0</v>
      </c>
      <c r="E608" s="24" t="s">
        <v>1376</v>
      </c>
      <c r="F608" s="28" t="s">
        <v>23</v>
      </c>
      <c r="G608" s="28" t="s">
        <v>172</v>
      </c>
      <c r="H608" s="28" t="s">
        <v>84</v>
      </c>
      <c r="J608" s="29" t="s">
        <v>1625</v>
      </c>
      <c r="K608" s="25"/>
      <c r="L608" s="28" t="s">
        <v>27</v>
      </c>
      <c r="M608" s="24" t="s">
        <v>1376</v>
      </c>
      <c r="N608" s="14" t="b">
        <f t="shared" si="46"/>
        <v>0</v>
      </c>
      <c r="O608" s="15" t="b">
        <f t="shared" si="2"/>
        <v>0</v>
      </c>
      <c r="P608" s="15" t="str">
        <f t="shared" si="3"/>
        <v>PENDING</v>
      </c>
    </row>
    <row r="609" ht="15.75" customHeight="1">
      <c r="A609" s="24" t="s">
        <v>1626</v>
      </c>
      <c r="B609" s="115" t="s">
        <v>1593</v>
      </c>
      <c r="C609" s="26">
        <v>45932.0</v>
      </c>
      <c r="D609" s="26">
        <v>45698.0</v>
      </c>
      <c r="E609" s="24" t="s">
        <v>1376</v>
      </c>
      <c r="F609" s="28" t="s">
        <v>23</v>
      </c>
      <c r="G609" s="28" t="s">
        <v>172</v>
      </c>
      <c r="H609" s="28" t="s">
        <v>84</v>
      </c>
      <c r="J609" s="29" t="s">
        <v>1627</v>
      </c>
      <c r="K609" s="25"/>
      <c r="L609" s="28" t="s">
        <v>27</v>
      </c>
      <c r="M609" s="24" t="s">
        <v>1376</v>
      </c>
      <c r="N609" s="14" t="b">
        <f t="shared" si="46"/>
        <v>0</v>
      </c>
      <c r="O609" s="15" t="b">
        <f t="shared" si="2"/>
        <v>0</v>
      </c>
      <c r="P609" s="15" t="str">
        <f t="shared" si="3"/>
        <v>PENDING</v>
      </c>
    </row>
    <row r="610" ht="15.75" customHeight="1">
      <c r="A610" s="24" t="s">
        <v>1628</v>
      </c>
      <c r="B610" s="115" t="s">
        <v>1593</v>
      </c>
      <c r="C610" s="26">
        <v>45932.0</v>
      </c>
      <c r="D610" s="26">
        <v>45698.0</v>
      </c>
      <c r="E610" s="24" t="s">
        <v>1376</v>
      </c>
      <c r="F610" s="28" t="s">
        <v>23</v>
      </c>
      <c r="G610" s="28" t="s">
        <v>172</v>
      </c>
      <c r="H610" s="28" t="s">
        <v>84</v>
      </c>
      <c r="J610" s="29" t="s">
        <v>1627</v>
      </c>
      <c r="K610" s="25"/>
      <c r="L610" s="28" t="s">
        <v>27</v>
      </c>
      <c r="M610" s="24" t="s">
        <v>1376</v>
      </c>
      <c r="N610" s="14" t="b">
        <f t="shared" si="46"/>
        <v>0</v>
      </c>
      <c r="O610" s="15" t="b">
        <f t="shared" si="2"/>
        <v>0</v>
      </c>
      <c r="P610" s="15" t="str">
        <f t="shared" si="3"/>
        <v>PENDING</v>
      </c>
    </row>
    <row r="611" ht="15.75" customHeight="1">
      <c r="A611" s="24" t="s">
        <v>1629</v>
      </c>
      <c r="B611" s="115" t="s">
        <v>113</v>
      </c>
      <c r="C611" s="26">
        <v>45932.0</v>
      </c>
      <c r="D611" s="26">
        <v>45698.0</v>
      </c>
      <c r="E611" s="24" t="s">
        <v>177</v>
      </c>
      <c r="F611" s="28" t="s">
        <v>23</v>
      </c>
      <c r="G611" s="28" t="s">
        <v>172</v>
      </c>
      <c r="H611" s="28" t="s">
        <v>482</v>
      </c>
      <c r="J611" s="29"/>
      <c r="K611" s="29" t="s">
        <v>1630</v>
      </c>
      <c r="L611" s="28" t="s">
        <v>27</v>
      </c>
      <c r="M611" s="24" t="s">
        <v>177</v>
      </c>
      <c r="N611" s="14" t="b">
        <f t="shared" si="46"/>
        <v>0</v>
      </c>
      <c r="O611" s="15" t="b">
        <f t="shared" si="2"/>
        <v>0</v>
      </c>
      <c r="P611" s="15" t="str">
        <f t="shared" si="3"/>
        <v>PENDING</v>
      </c>
    </row>
    <row r="612" ht="15.75" customHeight="1">
      <c r="A612" s="24" t="s">
        <v>1631</v>
      </c>
      <c r="B612" s="25" t="s">
        <v>737</v>
      </c>
      <c r="C612" s="26">
        <v>45933.0</v>
      </c>
      <c r="D612" s="26">
        <v>45726.0</v>
      </c>
      <c r="E612" s="24" t="s">
        <v>177</v>
      </c>
      <c r="F612" s="28" t="s">
        <v>23</v>
      </c>
      <c r="G612" s="28" t="s">
        <v>172</v>
      </c>
      <c r="H612" s="28" t="s">
        <v>482</v>
      </c>
      <c r="J612" s="29"/>
      <c r="K612" s="29" t="s">
        <v>1632</v>
      </c>
      <c r="L612" s="28" t="s">
        <v>27</v>
      </c>
      <c r="M612" s="24" t="s">
        <v>177</v>
      </c>
      <c r="N612" s="14" t="b">
        <f t="shared" si="46"/>
        <v>0</v>
      </c>
      <c r="O612" s="15" t="b">
        <f t="shared" si="2"/>
        <v>0</v>
      </c>
      <c r="P612" s="15" t="str">
        <f t="shared" si="3"/>
        <v>PENDING</v>
      </c>
    </row>
    <row r="613" ht="15.75" customHeight="1">
      <c r="A613" s="24" t="s">
        <v>1633</v>
      </c>
      <c r="B613" s="115" t="s">
        <v>1634</v>
      </c>
      <c r="C613" s="26">
        <v>45932.0</v>
      </c>
      <c r="D613" s="26">
        <v>45698.0</v>
      </c>
      <c r="E613" s="24" t="s">
        <v>715</v>
      </c>
      <c r="F613" s="28" t="s">
        <v>23</v>
      </c>
      <c r="G613" s="28" t="s">
        <v>172</v>
      </c>
      <c r="H613" s="28" t="s">
        <v>482</v>
      </c>
      <c r="J613" s="29"/>
      <c r="K613" s="25"/>
      <c r="L613" s="28" t="s">
        <v>27</v>
      </c>
      <c r="M613" s="24" t="s">
        <v>715</v>
      </c>
      <c r="N613" s="14" t="b">
        <f t="shared" si="46"/>
        <v>0</v>
      </c>
      <c r="O613" s="15" t="b">
        <f t="shared" si="2"/>
        <v>0</v>
      </c>
      <c r="P613" s="15" t="str">
        <f t="shared" si="3"/>
        <v>PENDING</v>
      </c>
    </row>
    <row r="614" ht="15.75" customHeight="1">
      <c r="A614" s="24" t="s">
        <v>1635</v>
      </c>
      <c r="B614" s="115" t="s">
        <v>1161</v>
      </c>
      <c r="C614" s="26">
        <v>45931.0</v>
      </c>
      <c r="D614" s="26">
        <v>45667.0</v>
      </c>
      <c r="E614" s="24" t="s">
        <v>715</v>
      </c>
      <c r="F614" s="28" t="s">
        <v>23</v>
      </c>
      <c r="G614" s="28" t="s">
        <v>172</v>
      </c>
      <c r="H614" s="28" t="s">
        <v>49</v>
      </c>
      <c r="J614" s="29"/>
      <c r="K614" s="25"/>
      <c r="L614" s="28" t="s">
        <v>27</v>
      </c>
      <c r="M614" s="24" t="s">
        <v>715</v>
      </c>
      <c r="N614" s="14" t="b">
        <f t="shared" si="46"/>
        <v>0</v>
      </c>
      <c r="O614" s="15" t="b">
        <f t="shared" si="2"/>
        <v>0</v>
      </c>
      <c r="P614" s="15" t="str">
        <f t="shared" si="3"/>
        <v>PENDING</v>
      </c>
    </row>
    <row r="615" ht="15.75" customHeight="1">
      <c r="A615" s="24" t="s">
        <v>1636</v>
      </c>
      <c r="B615" s="115" t="s">
        <v>1637</v>
      </c>
      <c r="C615" s="26">
        <v>45932.0</v>
      </c>
      <c r="D615" s="26">
        <v>45698.0</v>
      </c>
      <c r="E615" s="24" t="s">
        <v>715</v>
      </c>
      <c r="F615" s="28" t="s">
        <v>23</v>
      </c>
      <c r="G615" s="28" t="s">
        <v>172</v>
      </c>
      <c r="H615" s="28" t="s">
        <v>49</v>
      </c>
      <c r="J615" s="29"/>
      <c r="K615" s="25"/>
      <c r="L615" s="28" t="s">
        <v>27</v>
      </c>
      <c r="M615" s="24" t="s">
        <v>715</v>
      </c>
      <c r="N615" s="14" t="b">
        <f t="shared" si="46"/>
        <v>0</v>
      </c>
      <c r="O615" s="15" t="b">
        <f t="shared" si="2"/>
        <v>0</v>
      </c>
      <c r="P615" s="15" t="str">
        <f t="shared" si="3"/>
        <v>PENDING</v>
      </c>
    </row>
    <row r="616" ht="15.75" customHeight="1">
      <c r="A616" s="24" t="s">
        <v>1638</v>
      </c>
      <c r="B616" s="115" t="s">
        <v>988</v>
      </c>
      <c r="C616" s="26">
        <v>45932.0</v>
      </c>
      <c r="D616" s="26">
        <v>45698.0</v>
      </c>
      <c r="E616" s="24" t="s">
        <v>744</v>
      </c>
      <c r="F616" s="28" t="s">
        <v>23</v>
      </c>
      <c r="G616" s="28" t="s">
        <v>172</v>
      </c>
      <c r="H616" s="28" t="s">
        <v>482</v>
      </c>
      <c r="J616" s="29"/>
      <c r="K616" s="25"/>
      <c r="L616" s="28" t="s">
        <v>27</v>
      </c>
      <c r="M616" s="24" t="s">
        <v>744</v>
      </c>
      <c r="N616" s="14" t="b">
        <f t="shared" si="46"/>
        <v>0</v>
      </c>
      <c r="O616" s="15" t="b">
        <f t="shared" si="2"/>
        <v>0</v>
      </c>
      <c r="P616" s="15" t="str">
        <f t="shared" si="3"/>
        <v>PENDING</v>
      </c>
    </row>
    <row r="617" ht="15.75" customHeight="1">
      <c r="A617" s="24" t="s">
        <v>1639</v>
      </c>
      <c r="B617" s="25" t="s">
        <v>1035</v>
      </c>
      <c r="C617" s="26">
        <v>45932.0</v>
      </c>
      <c r="D617" s="26">
        <v>45698.0</v>
      </c>
      <c r="E617" s="24" t="s">
        <v>744</v>
      </c>
      <c r="F617" s="28" t="s">
        <v>23</v>
      </c>
      <c r="G617" s="28" t="s">
        <v>172</v>
      </c>
      <c r="H617" s="28" t="s">
        <v>49</v>
      </c>
      <c r="J617" s="29"/>
      <c r="K617" s="25"/>
      <c r="L617" s="28" t="s">
        <v>27</v>
      </c>
      <c r="M617" s="24" t="s">
        <v>744</v>
      </c>
      <c r="N617" s="14" t="b">
        <f t="shared" si="46"/>
        <v>0</v>
      </c>
      <c r="O617" s="15" t="b">
        <f t="shared" si="2"/>
        <v>0</v>
      </c>
      <c r="P617" s="15" t="str">
        <f t="shared" si="3"/>
        <v>PENDING</v>
      </c>
    </row>
    <row r="618" ht="15.75" customHeight="1">
      <c r="A618" s="24" t="s">
        <v>1640</v>
      </c>
      <c r="B618" s="115" t="s">
        <v>1641</v>
      </c>
      <c r="C618" s="26">
        <v>45932.0</v>
      </c>
      <c r="D618" s="26">
        <v>45698.0</v>
      </c>
      <c r="E618" s="24" t="s">
        <v>744</v>
      </c>
      <c r="F618" s="28" t="s">
        <v>23</v>
      </c>
      <c r="G618" s="28" t="s">
        <v>172</v>
      </c>
      <c r="H618" s="28" t="s">
        <v>482</v>
      </c>
      <c r="J618" s="29"/>
      <c r="K618" s="25"/>
      <c r="L618" s="28" t="s">
        <v>27</v>
      </c>
      <c r="M618" s="24" t="s">
        <v>744</v>
      </c>
      <c r="N618" s="14" t="b">
        <f t="shared" si="46"/>
        <v>0</v>
      </c>
      <c r="O618" s="15" t="b">
        <f t="shared" si="2"/>
        <v>0</v>
      </c>
      <c r="P618" s="15" t="str">
        <f t="shared" si="3"/>
        <v>PENDING</v>
      </c>
    </row>
    <row r="619" ht="15.75" customHeight="1">
      <c r="A619" s="24" t="s">
        <v>1642</v>
      </c>
      <c r="B619" s="115" t="s">
        <v>1643</v>
      </c>
      <c r="C619" s="26">
        <v>45933.0</v>
      </c>
      <c r="D619" s="26">
        <v>45726.0</v>
      </c>
      <c r="E619" s="24" t="s">
        <v>744</v>
      </c>
      <c r="F619" s="28" t="s">
        <v>23</v>
      </c>
      <c r="G619" s="28" t="s">
        <v>172</v>
      </c>
      <c r="H619" s="28" t="s">
        <v>482</v>
      </c>
      <c r="J619" s="29"/>
      <c r="K619" s="25"/>
      <c r="L619" s="28" t="s">
        <v>27</v>
      </c>
      <c r="M619" s="24" t="s">
        <v>744</v>
      </c>
      <c r="N619" s="14" t="b">
        <f t="shared" si="46"/>
        <v>0</v>
      </c>
      <c r="O619" s="15" t="b">
        <f t="shared" si="2"/>
        <v>0</v>
      </c>
      <c r="P619" s="15" t="str">
        <f t="shared" si="3"/>
        <v>PENDING</v>
      </c>
    </row>
    <row r="620" ht="15.75" customHeight="1">
      <c r="A620" s="24" t="s">
        <v>1644</v>
      </c>
      <c r="B620" s="115" t="s">
        <v>785</v>
      </c>
      <c r="C620" s="26">
        <v>45933.0</v>
      </c>
      <c r="D620" s="26">
        <v>45726.0</v>
      </c>
      <c r="E620" s="24" t="s">
        <v>744</v>
      </c>
      <c r="F620" s="28" t="s">
        <v>23</v>
      </c>
      <c r="G620" s="28" t="s">
        <v>172</v>
      </c>
      <c r="H620" s="28" t="s">
        <v>482</v>
      </c>
      <c r="J620" s="29"/>
      <c r="K620" s="25"/>
      <c r="L620" s="28" t="s">
        <v>27</v>
      </c>
      <c r="M620" s="24" t="s">
        <v>744</v>
      </c>
      <c r="N620" s="14" t="b">
        <f t="shared" si="46"/>
        <v>0</v>
      </c>
      <c r="O620" s="15" t="b">
        <f t="shared" si="2"/>
        <v>0</v>
      </c>
      <c r="P620" s="15" t="str">
        <f t="shared" si="3"/>
        <v>PENDING</v>
      </c>
    </row>
    <row r="621" ht="15.75" customHeight="1">
      <c r="A621" s="24" t="s">
        <v>1645</v>
      </c>
      <c r="B621" s="25" t="s">
        <v>947</v>
      </c>
      <c r="C621" s="26">
        <v>45929.0</v>
      </c>
      <c r="D621" s="26">
        <v>45929.0</v>
      </c>
      <c r="E621" s="24" t="s">
        <v>744</v>
      </c>
      <c r="F621" s="28" t="s">
        <v>23</v>
      </c>
      <c r="G621" s="28" t="s">
        <v>172</v>
      </c>
      <c r="H621" s="28" t="s">
        <v>49</v>
      </c>
      <c r="J621" s="29"/>
      <c r="K621" s="25"/>
      <c r="L621" s="28" t="s">
        <v>27</v>
      </c>
      <c r="M621" s="24" t="s">
        <v>744</v>
      </c>
      <c r="N621" s="14" t="b">
        <f t="shared" si="46"/>
        <v>0</v>
      </c>
      <c r="O621" s="15" t="b">
        <f t="shared" si="2"/>
        <v>0</v>
      </c>
      <c r="P621" s="15" t="str">
        <f t="shared" si="3"/>
        <v>PENDING</v>
      </c>
    </row>
    <row r="622" ht="15.75" customHeight="1">
      <c r="A622" s="24" t="s">
        <v>1646</v>
      </c>
      <c r="B622" s="25" t="s">
        <v>1647</v>
      </c>
      <c r="C622" s="26">
        <v>45934.0</v>
      </c>
      <c r="D622" s="26">
        <v>45818.0</v>
      </c>
      <c r="E622" s="24" t="s">
        <v>1387</v>
      </c>
      <c r="F622" s="28" t="s">
        <v>23</v>
      </c>
      <c r="G622" s="28" t="s">
        <v>172</v>
      </c>
      <c r="H622" s="28" t="s">
        <v>482</v>
      </c>
      <c r="J622" s="29"/>
      <c r="K622" s="25"/>
      <c r="L622" s="28" t="s">
        <v>27</v>
      </c>
      <c r="M622" s="24" t="s">
        <v>1387</v>
      </c>
      <c r="N622" s="14" t="b">
        <f t="shared" si="46"/>
        <v>0</v>
      </c>
      <c r="O622" s="15" t="b">
        <f t="shared" si="2"/>
        <v>0</v>
      </c>
      <c r="P622" s="15" t="str">
        <f t="shared" si="3"/>
        <v>PENDING</v>
      </c>
    </row>
    <row r="623" ht="15.75" customHeight="1">
      <c r="A623" s="24" t="s">
        <v>1648</v>
      </c>
      <c r="B623" s="115" t="s">
        <v>1649</v>
      </c>
      <c r="C623" s="26">
        <v>45934.0</v>
      </c>
      <c r="D623" s="26">
        <v>45818.0</v>
      </c>
      <c r="E623" s="24" t="s">
        <v>1376</v>
      </c>
      <c r="F623" s="28" t="s">
        <v>23</v>
      </c>
      <c r="G623" s="28" t="s">
        <v>172</v>
      </c>
      <c r="H623" s="28" t="s">
        <v>482</v>
      </c>
      <c r="J623" s="29"/>
      <c r="K623" s="25"/>
      <c r="L623" s="28" t="s">
        <v>27</v>
      </c>
      <c r="M623" s="24" t="s">
        <v>1376</v>
      </c>
      <c r="N623" s="14" t="b">
        <f t="shared" si="46"/>
        <v>0</v>
      </c>
      <c r="O623" s="15" t="b">
        <f t="shared" si="2"/>
        <v>0</v>
      </c>
      <c r="P623" s="15" t="str">
        <f t="shared" si="3"/>
        <v>PENDING</v>
      </c>
    </row>
    <row r="624" ht="15.75" customHeight="1">
      <c r="A624" s="24" t="s">
        <v>1650</v>
      </c>
      <c r="B624" s="115" t="s">
        <v>1651</v>
      </c>
      <c r="C624" s="26">
        <v>45936.0</v>
      </c>
      <c r="D624" s="26">
        <v>45818.0</v>
      </c>
      <c r="E624" s="24" t="s">
        <v>1376</v>
      </c>
      <c r="F624" s="28" t="s">
        <v>23</v>
      </c>
      <c r="G624" s="28" t="s">
        <v>172</v>
      </c>
      <c r="H624" s="28" t="s">
        <v>84</v>
      </c>
      <c r="J624" s="29" t="s">
        <v>1652</v>
      </c>
      <c r="K624" s="29" t="s">
        <v>1653</v>
      </c>
      <c r="L624" s="28" t="s">
        <v>27</v>
      </c>
      <c r="M624" s="24" t="s">
        <v>1376</v>
      </c>
      <c r="N624" s="14" t="b">
        <f t="shared" si="46"/>
        <v>0</v>
      </c>
      <c r="O624" s="15" t="b">
        <f t="shared" si="2"/>
        <v>0</v>
      </c>
      <c r="P624" s="15" t="str">
        <f t="shared" si="3"/>
        <v>PENDING</v>
      </c>
    </row>
    <row r="625" ht="15.75" customHeight="1">
      <c r="A625" s="7" t="s">
        <v>1655</v>
      </c>
      <c r="B625" s="13" t="s">
        <v>789</v>
      </c>
      <c r="C625" s="9">
        <v>45934.0</v>
      </c>
      <c r="D625" s="9">
        <v>45757.0</v>
      </c>
      <c r="E625" s="7" t="s">
        <v>744</v>
      </c>
      <c r="F625" s="11" t="s">
        <v>716</v>
      </c>
      <c r="G625" s="11"/>
      <c r="H625" s="11" t="s">
        <v>31</v>
      </c>
      <c r="I625" s="16"/>
      <c r="J625" s="49"/>
      <c r="K625" s="13"/>
      <c r="L625" s="11" t="s">
        <v>27</v>
      </c>
      <c r="M625" s="24" t="s">
        <v>744</v>
      </c>
      <c r="N625" s="175" t="b">
        <v>1</v>
      </c>
      <c r="O625" s="15" t="b">
        <f t="shared" si="2"/>
        <v>0</v>
      </c>
      <c r="P625" s="15" t="str">
        <f t="shared" si="3"/>
        <v>PENDING</v>
      </c>
    </row>
    <row r="626" ht="15.75" customHeight="1">
      <c r="A626" s="30" t="s">
        <v>1656</v>
      </c>
      <c r="B626" s="58" t="s">
        <v>1657</v>
      </c>
      <c r="C626" s="32">
        <v>45937.0</v>
      </c>
      <c r="D626" s="32"/>
      <c r="E626" s="30" t="s">
        <v>1376</v>
      </c>
      <c r="F626" s="34" t="s">
        <v>23</v>
      </c>
      <c r="G626" s="34" t="s">
        <v>24</v>
      </c>
      <c r="H626" s="34" t="s">
        <v>49</v>
      </c>
      <c r="I626" s="66"/>
      <c r="J626" s="35"/>
      <c r="K626" s="31"/>
      <c r="L626" s="30" t="s">
        <v>98</v>
      </c>
      <c r="M626" s="30" t="s">
        <v>1376</v>
      </c>
      <c r="N626" s="14" t="b">
        <f t="shared" ref="N626:N630" si="47">if(H626=$H$2,TRUE,O626)</f>
        <v>1</v>
      </c>
      <c r="O626" s="15" t="b">
        <f t="shared" si="2"/>
        <v>1</v>
      </c>
      <c r="P626" s="15" t="str">
        <f t="shared" si="3"/>
        <v>PENDING</v>
      </c>
    </row>
    <row r="627" ht="15.0" customHeight="1">
      <c r="A627" s="24" t="s">
        <v>1658</v>
      </c>
      <c r="B627" s="25" t="s">
        <v>942</v>
      </c>
      <c r="C627" s="26">
        <v>45936.0</v>
      </c>
      <c r="D627" s="26">
        <v>45818.0</v>
      </c>
      <c r="E627" s="24" t="s">
        <v>744</v>
      </c>
      <c r="F627" s="28" t="s">
        <v>23</v>
      </c>
      <c r="G627" s="28" t="s">
        <v>172</v>
      </c>
      <c r="H627" s="28" t="s">
        <v>482</v>
      </c>
      <c r="J627" s="29"/>
      <c r="K627" s="25"/>
      <c r="L627" s="28" t="s">
        <v>27</v>
      </c>
      <c r="M627" s="24" t="s">
        <v>744</v>
      </c>
      <c r="N627" s="14" t="b">
        <f t="shared" si="47"/>
        <v>0</v>
      </c>
      <c r="O627" s="15" t="b">
        <f t="shared" si="2"/>
        <v>0</v>
      </c>
      <c r="P627" s="15" t="str">
        <f t="shared" si="3"/>
        <v>PENDING</v>
      </c>
    </row>
    <row r="628" ht="15.75" customHeight="1">
      <c r="A628" s="24" t="s">
        <v>1659</v>
      </c>
      <c r="B628" s="115" t="s">
        <v>1031</v>
      </c>
      <c r="C628" s="26">
        <v>45936.0</v>
      </c>
      <c r="D628" s="26">
        <v>45818.0</v>
      </c>
      <c r="E628" s="24" t="s">
        <v>744</v>
      </c>
      <c r="F628" s="28" t="s">
        <v>23</v>
      </c>
      <c r="G628" s="28" t="s">
        <v>172</v>
      </c>
      <c r="H628" s="28" t="s">
        <v>482</v>
      </c>
      <c r="J628" s="29"/>
      <c r="K628" s="25"/>
      <c r="L628" s="28" t="s">
        <v>27</v>
      </c>
      <c r="M628" s="24" t="s">
        <v>744</v>
      </c>
      <c r="N628" s="14" t="b">
        <f t="shared" si="47"/>
        <v>0</v>
      </c>
      <c r="O628" s="15" t="b">
        <f t="shared" si="2"/>
        <v>0</v>
      </c>
      <c r="P628" s="15" t="str">
        <f t="shared" si="3"/>
        <v>PENDING</v>
      </c>
    </row>
    <row r="629" ht="15.75" customHeight="1">
      <c r="A629" s="24" t="s">
        <v>1660</v>
      </c>
      <c r="B629" s="115" t="s">
        <v>1318</v>
      </c>
      <c r="C629" s="26">
        <v>45932.0</v>
      </c>
      <c r="D629" s="26">
        <v>45698.0</v>
      </c>
      <c r="E629" s="24" t="s">
        <v>744</v>
      </c>
      <c r="F629" s="28" t="s">
        <v>23</v>
      </c>
      <c r="G629" s="28" t="s">
        <v>172</v>
      </c>
      <c r="H629" s="28" t="s">
        <v>482</v>
      </c>
      <c r="J629" s="29"/>
      <c r="K629" s="29" t="s">
        <v>1319</v>
      </c>
      <c r="L629" s="28" t="s">
        <v>27</v>
      </c>
      <c r="M629" s="24" t="s">
        <v>744</v>
      </c>
      <c r="N629" s="14" t="b">
        <f t="shared" si="47"/>
        <v>0</v>
      </c>
      <c r="O629" s="15" t="b">
        <f t="shared" si="2"/>
        <v>0</v>
      </c>
      <c r="P629" s="15" t="str">
        <f t="shared" si="3"/>
        <v>PENDING</v>
      </c>
    </row>
    <row r="630" ht="15.75" customHeight="1">
      <c r="A630" s="24" t="s">
        <v>1661</v>
      </c>
      <c r="B630" s="115" t="s">
        <v>1662</v>
      </c>
      <c r="C630" s="26">
        <v>45937.0</v>
      </c>
      <c r="D630" s="26">
        <v>45848.0</v>
      </c>
      <c r="E630" s="24" t="s">
        <v>715</v>
      </c>
      <c r="F630" s="28" t="s">
        <v>23</v>
      </c>
      <c r="G630" s="28" t="s">
        <v>172</v>
      </c>
      <c r="H630" s="28" t="s">
        <v>49</v>
      </c>
      <c r="J630" s="29"/>
      <c r="K630" s="25"/>
      <c r="L630" s="28" t="s">
        <v>27</v>
      </c>
      <c r="M630" s="24" t="s">
        <v>715</v>
      </c>
      <c r="N630" s="14" t="b">
        <f t="shared" si="47"/>
        <v>0</v>
      </c>
      <c r="O630" s="15" t="b">
        <f t="shared" si="2"/>
        <v>0</v>
      </c>
      <c r="P630" s="15" t="str">
        <f t="shared" si="3"/>
        <v>PENDING</v>
      </c>
    </row>
    <row r="631" ht="15.75" customHeight="1">
      <c r="A631" s="7" t="s">
        <v>1663</v>
      </c>
      <c r="B631" s="8" t="s">
        <v>714</v>
      </c>
      <c r="C631" s="9">
        <v>45937.0</v>
      </c>
      <c r="D631" s="9">
        <v>45848.0</v>
      </c>
      <c r="E631" s="7" t="s">
        <v>715</v>
      </c>
      <c r="F631" s="11" t="s">
        <v>716</v>
      </c>
      <c r="G631" s="11" t="s">
        <v>30</v>
      </c>
      <c r="H631" s="7" t="s">
        <v>31</v>
      </c>
      <c r="I631" s="16"/>
      <c r="J631" s="12"/>
      <c r="K631" s="13"/>
      <c r="L631" s="68" t="s">
        <v>27</v>
      </c>
      <c r="M631" s="7" t="s">
        <v>715</v>
      </c>
      <c r="N631" s="175" t="b">
        <v>1</v>
      </c>
      <c r="O631" s="15" t="b">
        <f t="shared" si="2"/>
        <v>0</v>
      </c>
      <c r="P631" s="15" t="str">
        <f t="shared" si="3"/>
        <v>PENDING</v>
      </c>
    </row>
    <row r="632" ht="15.75" customHeight="1">
      <c r="A632" s="24" t="s">
        <v>1664</v>
      </c>
      <c r="B632" s="115" t="s">
        <v>106</v>
      </c>
      <c r="C632" s="26">
        <v>45937.0</v>
      </c>
      <c r="D632" s="26">
        <v>45848.0</v>
      </c>
      <c r="E632" s="24" t="s">
        <v>177</v>
      </c>
      <c r="F632" s="28" t="s">
        <v>23</v>
      </c>
      <c r="G632" s="28" t="s">
        <v>172</v>
      </c>
      <c r="H632" s="28" t="s">
        <v>482</v>
      </c>
      <c r="J632" s="29"/>
      <c r="K632" s="25"/>
      <c r="L632" s="28" t="s">
        <v>27</v>
      </c>
      <c r="M632" s="24" t="s">
        <v>177</v>
      </c>
      <c r="N632" s="14" t="b">
        <f>if(H632=$H$2,TRUE,O632)</f>
        <v>0</v>
      </c>
      <c r="O632" s="15" t="b">
        <f t="shared" si="2"/>
        <v>0</v>
      </c>
      <c r="P632" s="15" t="str">
        <f t="shared" si="3"/>
        <v>PENDING</v>
      </c>
    </row>
    <row r="633" ht="15.75" customHeight="1">
      <c r="A633" s="24" t="s">
        <v>1665</v>
      </c>
      <c r="B633" s="115" t="s">
        <v>1223</v>
      </c>
      <c r="C633" s="26">
        <v>45937.0</v>
      </c>
      <c r="D633" s="26">
        <v>45848.0</v>
      </c>
      <c r="E633" s="24" t="s">
        <v>177</v>
      </c>
      <c r="F633" s="28" t="s">
        <v>23</v>
      </c>
      <c r="G633" s="28" t="s">
        <v>172</v>
      </c>
      <c r="H633" s="28" t="s">
        <v>25</v>
      </c>
      <c r="J633" s="29" t="s">
        <v>1666</v>
      </c>
      <c r="K633" s="29" t="s">
        <v>1632</v>
      </c>
      <c r="L633" s="28" t="s">
        <v>27</v>
      </c>
      <c r="M633" s="24" t="s">
        <v>177</v>
      </c>
      <c r="N633" s="175" t="b">
        <v>0</v>
      </c>
      <c r="O633" s="15" t="b">
        <f t="shared" si="2"/>
        <v>0</v>
      </c>
      <c r="P633" s="15" t="str">
        <f t="shared" si="3"/>
        <v>APPROVED</v>
      </c>
    </row>
    <row r="634" ht="15.75" customHeight="1">
      <c r="A634" s="24" t="s">
        <v>1667</v>
      </c>
      <c r="B634" s="115" t="s">
        <v>726</v>
      </c>
      <c r="C634" s="26">
        <v>45937.0</v>
      </c>
      <c r="D634" s="26">
        <v>45848.0</v>
      </c>
      <c r="E634" s="24" t="s">
        <v>177</v>
      </c>
      <c r="F634" s="28" t="s">
        <v>23</v>
      </c>
      <c r="G634" s="28" t="s">
        <v>172</v>
      </c>
      <c r="H634" s="28" t="s">
        <v>482</v>
      </c>
      <c r="J634" s="29"/>
      <c r="K634" s="25"/>
      <c r="L634" s="28" t="s">
        <v>27</v>
      </c>
      <c r="M634" s="24" t="s">
        <v>177</v>
      </c>
      <c r="N634" s="14" t="b">
        <f t="shared" ref="N634:N638" si="48">if(H634=$H$2,TRUE,O634)</f>
        <v>0</v>
      </c>
      <c r="O634" s="15" t="b">
        <f t="shared" si="2"/>
        <v>0</v>
      </c>
      <c r="P634" s="15" t="str">
        <f t="shared" si="3"/>
        <v>PENDING</v>
      </c>
    </row>
    <row r="635" ht="15.75" customHeight="1">
      <c r="A635" s="7" t="s">
        <v>1668</v>
      </c>
      <c r="B635" s="8" t="s">
        <v>262</v>
      </c>
      <c r="C635" s="9">
        <v>45938.0</v>
      </c>
      <c r="D635" s="9">
        <v>45879.0</v>
      </c>
      <c r="E635" s="7" t="s">
        <v>744</v>
      </c>
      <c r="F635" s="11" t="s">
        <v>23</v>
      </c>
      <c r="G635" s="11" t="s">
        <v>172</v>
      </c>
      <c r="H635" s="11" t="s">
        <v>25</v>
      </c>
      <c r="I635" s="16"/>
      <c r="J635" s="12"/>
      <c r="K635" s="13"/>
      <c r="L635" s="11" t="s">
        <v>27</v>
      </c>
      <c r="M635" s="7" t="s">
        <v>744</v>
      </c>
      <c r="N635" s="14" t="b">
        <f t="shared" si="48"/>
        <v>1</v>
      </c>
      <c r="O635" s="15" t="b">
        <f t="shared" si="2"/>
        <v>0</v>
      </c>
      <c r="P635" s="15" t="str">
        <f t="shared" si="3"/>
        <v>APPROVED</v>
      </c>
    </row>
    <row r="636" ht="15.0" customHeight="1">
      <c r="A636" s="24" t="s">
        <v>1669</v>
      </c>
      <c r="B636" s="115" t="s">
        <v>1670</v>
      </c>
      <c r="C636" s="26">
        <v>45939.0</v>
      </c>
      <c r="D636" s="26">
        <v>45939.0</v>
      </c>
      <c r="E636" s="24" t="s">
        <v>177</v>
      </c>
      <c r="F636" s="28" t="s">
        <v>23</v>
      </c>
      <c r="G636" s="28" t="s">
        <v>172</v>
      </c>
      <c r="H636" s="28" t="s">
        <v>482</v>
      </c>
      <c r="J636" s="29"/>
      <c r="K636" s="135" t="s">
        <v>1671</v>
      </c>
      <c r="L636" s="28" t="s">
        <v>27</v>
      </c>
      <c r="M636" s="24" t="s">
        <v>177</v>
      </c>
      <c r="N636" s="14" t="b">
        <f t="shared" si="48"/>
        <v>0</v>
      </c>
      <c r="O636" s="15" t="b">
        <f t="shared" si="2"/>
        <v>0</v>
      </c>
      <c r="P636" s="15" t="str">
        <f t="shared" si="3"/>
        <v>PENDING</v>
      </c>
    </row>
    <row r="637" ht="15.75" customHeight="1">
      <c r="A637" s="24" t="s">
        <v>1672</v>
      </c>
      <c r="B637" s="115" t="s">
        <v>1657</v>
      </c>
      <c r="C637" s="26">
        <v>45938.0</v>
      </c>
      <c r="D637" s="26">
        <v>45938.0</v>
      </c>
      <c r="E637" s="24" t="s">
        <v>177</v>
      </c>
      <c r="F637" s="28" t="s">
        <v>23</v>
      </c>
      <c r="G637" s="28" t="s">
        <v>172</v>
      </c>
      <c r="H637" s="28" t="s">
        <v>84</v>
      </c>
      <c r="J637" s="29" t="s">
        <v>1390</v>
      </c>
      <c r="K637" s="25"/>
      <c r="L637" s="28" t="s">
        <v>27</v>
      </c>
      <c r="M637" s="24" t="s">
        <v>177</v>
      </c>
      <c r="N637" s="14" t="b">
        <f t="shared" si="48"/>
        <v>0</v>
      </c>
      <c r="O637" s="15" t="b">
        <f t="shared" si="2"/>
        <v>0</v>
      </c>
      <c r="P637" s="15" t="str">
        <f t="shared" si="3"/>
        <v>PENDING</v>
      </c>
    </row>
    <row r="638" ht="15.75" customHeight="1">
      <c r="A638" s="24" t="s">
        <v>1673</v>
      </c>
      <c r="B638" s="25" t="s">
        <v>119</v>
      </c>
      <c r="C638" s="26">
        <v>45938.0</v>
      </c>
      <c r="D638" s="26">
        <v>45879.0</v>
      </c>
      <c r="E638" s="24" t="s">
        <v>177</v>
      </c>
      <c r="F638" s="28" t="s">
        <v>23</v>
      </c>
      <c r="G638" s="28" t="s">
        <v>172</v>
      </c>
      <c r="H638" s="28" t="s">
        <v>482</v>
      </c>
      <c r="J638" s="29"/>
      <c r="K638" s="29" t="s">
        <v>1632</v>
      </c>
      <c r="L638" s="28" t="s">
        <v>27</v>
      </c>
      <c r="M638" s="24" t="s">
        <v>177</v>
      </c>
      <c r="N638" s="14" t="b">
        <f t="shared" si="48"/>
        <v>0</v>
      </c>
      <c r="O638" s="15" t="b">
        <f t="shared" si="2"/>
        <v>0</v>
      </c>
      <c r="P638" s="15" t="str">
        <f t="shared" si="3"/>
        <v>PENDING</v>
      </c>
    </row>
    <row r="639" ht="13.5" customHeight="1">
      <c r="A639" s="7" t="s">
        <v>1674</v>
      </c>
      <c r="B639" s="8" t="s">
        <v>1675</v>
      </c>
      <c r="C639" s="9">
        <v>45939.0</v>
      </c>
      <c r="D639" s="9">
        <v>45939.0</v>
      </c>
      <c r="E639" s="7" t="s">
        <v>1376</v>
      </c>
      <c r="F639" s="11" t="s">
        <v>716</v>
      </c>
      <c r="G639" s="11" t="s">
        <v>30</v>
      </c>
      <c r="H639" s="7" t="s">
        <v>31</v>
      </c>
      <c r="I639" s="16"/>
      <c r="J639" s="12"/>
      <c r="K639" s="8" t="s">
        <v>32</v>
      </c>
      <c r="L639" s="11" t="s">
        <v>27</v>
      </c>
      <c r="M639" s="7" t="s">
        <v>1376</v>
      </c>
      <c r="N639" s="175" t="b">
        <v>1</v>
      </c>
      <c r="O639" s="15" t="b">
        <f t="shared" si="2"/>
        <v>0</v>
      </c>
      <c r="P639" s="15" t="str">
        <f t="shared" si="3"/>
        <v>PENDING</v>
      </c>
    </row>
    <row r="640" ht="15.75" customHeight="1">
      <c r="A640" s="24" t="s">
        <v>1676</v>
      </c>
      <c r="B640" s="115" t="s">
        <v>1677</v>
      </c>
      <c r="C640" s="26">
        <v>45939.0</v>
      </c>
      <c r="D640" s="26">
        <v>45940.0</v>
      </c>
      <c r="E640" s="24" t="s">
        <v>1387</v>
      </c>
      <c r="F640" s="28" t="s">
        <v>23</v>
      </c>
      <c r="G640" s="28" t="s">
        <v>172</v>
      </c>
      <c r="H640" s="28" t="s">
        <v>482</v>
      </c>
      <c r="J640" s="29"/>
      <c r="K640" s="25"/>
      <c r="L640" s="28" t="s">
        <v>27</v>
      </c>
      <c r="M640" s="24" t="s">
        <v>1387</v>
      </c>
      <c r="N640" s="14" t="b">
        <f t="shared" ref="N640:N648" si="49">if(H640=$H$2,TRUE,O640)</f>
        <v>0</v>
      </c>
      <c r="O640" s="15" t="b">
        <f t="shared" si="2"/>
        <v>0</v>
      </c>
      <c r="P640" s="15" t="str">
        <f t="shared" si="3"/>
        <v>PENDING</v>
      </c>
    </row>
    <row r="641" ht="15.75" customHeight="1">
      <c r="A641" s="24" t="s">
        <v>1678</v>
      </c>
      <c r="B641" s="115" t="s">
        <v>574</v>
      </c>
      <c r="C641" s="26">
        <v>45939.0</v>
      </c>
      <c r="D641" s="26">
        <v>45940.0</v>
      </c>
      <c r="E641" s="24" t="s">
        <v>1387</v>
      </c>
      <c r="F641" s="28" t="s">
        <v>23</v>
      </c>
      <c r="G641" s="28" t="s">
        <v>172</v>
      </c>
      <c r="H641" s="28" t="s">
        <v>482</v>
      </c>
      <c r="J641" s="29"/>
      <c r="K641" s="25"/>
      <c r="L641" s="28" t="s">
        <v>27</v>
      </c>
      <c r="M641" s="24" t="s">
        <v>1387</v>
      </c>
      <c r="N641" s="14" t="b">
        <f t="shared" si="49"/>
        <v>0</v>
      </c>
      <c r="O641" s="15" t="b">
        <f t="shared" si="2"/>
        <v>0</v>
      </c>
      <c r="P641" s="15" t="str">
        <f t="shared" si="3"/>
        <v>PENDING</v>
      </c>
    </row>
    <row r="642" ht="15.75" customHeight="1">
      <c r="A642" s="24" t="s">
        <v>1679</v>
      </c>
      <c r="B642" s="115" t="s">
        <v>1680</v>
      </c>
      <c r="C642" s="26">
        <v>45939.0</v>
      </c>
      <c r="D642" s="26">
        <v>45940.0</v>
      </c>
      <c r="E642" s="24" t="s">
        <v>1387</v>
      </c>
      <c r="F642" s="28" t="s">
        <v>23</v>
      </c>
      <c r="G642" s="28" t="s">
        <v>172</v>
      </c>
      <c r="H642" s="28" t="s">
        <v>49</v>
      </c>
      <c r="J642" s="29"/>
      <c r="K642" s="25"/>
      <c r="L642" s="28" t="s">
        <v>27</v>
      </c>
      <c r="M642" s="24" t="s">
        <v>1387</v>
      </c>
      <c r="N642" s="14" t="b">
        <f t="shared" si="49"/>
        <v>0</v>
      </c>
      <c r="O642" s="15" t="b">
        <f t="shared" si="2"/>
        <v>0</v>
      </c>
      <c r="P642" s="15" t="str">
        <f t="shared" si="3"/>
        <v>PENDING</v>
      </c>
    </row>
    <row r="643" ht="15.75" customHeight="1">
      <c r="A643" s="24" t="s">
        <v>1681</v>
      </c>
      <c r="B643" s="115" t="s">
        <v>995</v>
      </c>
      <c r="C643" s="26">
        <v>45940.0</v>
      </c>
      <c r="D643" s="26">
        <v>45940.0</v>
      </c>
      <c r="E643" s="24" t="s">
        <v>715</v>
      </c>
      <c r="F643" s="28" t="s">
        <v>23</v>
      </c>
      <c r="G643" s="28" t="s">
        <v>172</v>
      </c>
      <c r="H643" s="28" t="s">
        <v>49</v>
      </c>
      <c r="J643" s="29"/>
      <c r="K643" s="25"/>
      <c r="L643" s="28" t="s">
        <v>27</v>
      </c>
      <c r="M643" s="24" t="s">
        <v>715</v>
      </c>
      <c r="N643" s="14" t="b">
        <f t="shared" si="49"/>
        <v>0</v>
      </c>
      <c r="O643" s="15" t="b">
        <f t="shared" si="2"/>
        <v>0</v>
      </c>
      <c r="P643" s="15" t="str">
        <f t="shared" si="3"/>
        <v>PENDING</v>
      </c>
    </row>
    <row r="644" ht="15.75" customHeight="1">
      <c r="A644" s="24" t="s">
        <v>1682</v>
      </c>
      <c r="B644" s="128" t="s">
        <v>1683</v>
      </c>
      <c r="C644" s="26">
        <v>45940.0</v>
      </c>
      <c r="D644" s="26">
        <v>45940.0</v>
      </c>
      <c r="E644" s="24" t="s">
        <v>1387</v>
      </c>
      <c r="F644" s="28" t="s">
        <v>23</v>
      </c>
      <c r="G644" s="28" t="s">
        <v>172</v>
      </c>
      <c r="H644" s="28" t="s">
        <v>84</v>
      </c>
      <c r="J644" s="29" t="s">
        <v>1684</v>
      </c>
      <c r="K644" s="25"/>
      <c r="L644" s="28" t="s">
        <v>27</v>
      </c>
      <c r="M644" s="24" t="s">
        <v>1387</v>
      </c>
      <c r="N644" s="14" t="b">
        <f t="shared" si="49"/>
        <v>0</v>
      </c>
      <c r="O644" s="15" t="b">
        <f t="shared" si="2"/>
        <v>0</v>
      </c>
      <c r="P644" s="15" t="str">
        <f t="shared" si="3"/>
        <v>PENDING</v>
      </c>
    </row>
    <row r="645" ht="15.75" customHeight="1">
      <c r="A645" s="24" t="s">
        <v>1685</v>
      </c>
      <c r="B645" s="115" t="s">
        <v>1686</v>
      </c>
      <c r="C645" s="26">
        <v>45940.0</v>
      </c>
      <c r="D645" s="26">
        <v>45940.0</v>
      </c>
      <c r="E645" s="24" t="s">
        <v>1387</v>
      </c>
      <c r="F645" s="28" t="s">
        <v>23</v>
      </c>
      <c r="G645" s="28" t="s">
        <v>172</v>
      </c>
      <c r="H645" s="28" t="s">
        <v>482</v>
      </c>
      <c r="J645" s="29"/>
      <c r="K645" s="25"/>
      <c r="L645" s="28" t="s">
        <v>27</v>
      </c>
      <c r="M645" s="24" t="s">
        <v>1387</v>
      </c>
      <c r="N645" s="14" t="b">
        <f t="shared" si="49"/>
        <v>0</v>
      </c>
      <c r="O645" s="15" t="b">
        <f t="shared" si="2"/>
        <v>0</v>
      </c>
      <c r="P645" s="15" t="str">
        <f t="shared" si="3"/>
        <v>PENDING</v>
      </c>
    </row>
    <row r="646" ht="12.75" customHeight="1">
      <c r="A646" s="24" t="s">
        <v>1687</v>
      </c>
      <c r="B646" s="25" t="s">
        <v>1111</v>
      </c>
      <c r="C646" s="26">
        <v>45940.0</v>
      </c>
      <c r="D646" s="26">
        <v>45940.0</v>
      </c>
      <c r="E646" s="24" t="s">
        <v>177</v>
      </c>
      <c r="F646" s="28" t="s">
        <v>23</v>
      </c>
      <c r="G646" s="28" t="s">
        <v>172</v>
      </c>
      <c r="H646" s="28" t="s">
        <v>482</v>
      </c>
      <c r="J646" s="29"/>
      <c r="K646" s="25"/>
      <c r="L646" s="28" t="s">
        <v>27</v>
      </c>
      <c r="M646" s="24" t="s">
        <v>177</v>
      </c>
      <c r="N646" s="14" t="b">
        <f t="shared" si="49"/>
        <v>0</v>
      </c>
      <c r="O646" s="15" t="b">
        <f t="shared" si="2"/>
        <v>0</v>
      </c>
      <c r="P646" s="15" t="str">
        <f t="shared" si="3"/>
        <v>PENDING</v>
      </c>
    </row>
    <row r="647" ht="15.75" customHeight="1">
      <c r="A647" s="24" t="s">
        <v>1688</v>
      </c>
      <c r="B647" s="115" t="s">
        <v>1689</v>
      </c>
      <c r="C647" s="26">
        <v>45940.0</v>
      </c>
      <c r="D647" s="26">
        <v>45940.0</v>
      </c>
      <c r="E647" s="24" t="s">
        <v>1376</v>
      </c>
      <c r="F647" s="28" t="s">
        <v>23</v>
      </c>
      <c r="G647" s="28" t="s">
        <v>172</v>
      </c>
      <c r="H647" s="28" t="s">
        <v>84</v>
      </c>
      <c r="J647" s="29" t="s">
        <v>1690</v>
      </c>
      <c r="K647" s="25"/>
      <c r="L647" s="28" t="s">
        <v>27</v>
      </c>
      <c r="M647" s="24" t="s">
        <v>1376</v>
      </c>
      <c r="N647" s="14" t="b">
        <f t="shared" si="49"/>
        <v>0</v>
      </c>
      <c r="O647" s="15" t="b">
        <f t="shared" si="2"/>
        <v>0</v>
      </c>
      <c r="P647" s="15" t="str">
        <f t="shared" si="3"/>
        <v>PENDING</v>
      </c>
    </row>
    <row r="648" ht="15.75" customHeight="1">
      <c r="A648" s="24" t="s">
        <v>1691</v>
      </c>
      <c r="B648" s="115" t="s">
        <v>1692</v>
      </c>
      <c r="C648" s="26">
        <v>45940.0</v>
      </c>
      <c r="D648" s="26">
        <v>45940.0</v>
      </c>
      <c r="E648" s="24" t="s">
        <v>1376</v>
      </c>
      <c r="F648" s="28" t="s">
        <v>23</v>
      </c>
      <c r="G648" s="28" t="s">
        <v>172</v>
      </c>
      <c r="H648" s="28" t="s">
        <v>482</v>
      </c>
      <c r="J648" s="29"/>
      <c r="K648" s="25"/>
      <c r="L648" s="28" t="s">
        <v>27</v>
      </c>
      <c r="M648" s="24" t="s">
        <v>1376</v>
      </c>
      <c r="N648" s="14" t="b">
        <f t="shared" si="49"/>
        <v>0</v>
      </c>
      <c r="O648" s="15" t="b">
        <f t="shared" si="2"/>
        <v>0</v>
      </c>
      <c r="P648" s="15" t="str">
        <f t="shared" si="3"/>
        <v>PENDING</v>
      </c>
    </row>
    <row r="649" ht="15.75" customHeight="1">
      <c r="A649" s="7" t="s">
        <v>1693</v>
      </c>
      <c r="B649" s="8" t="s">
        <v>1675</v>
      </c>
      <c r="C649" s="9">
        <v>45940.0</v>
      </c>
      <c r="D649" s="9">
        <v>45940.0</v>
      </c>
      <c r="E649" s="7"/>
      <c r="F649" s="11" t="s">
        <v>716</v>
      </c>
      <c r="G649" s="11" t="s">
        <v>30</v>
      </c>
      <c r="H649" s="7" t="s">
        <v>31</v>
      </c>
      <c r="I649" s="16"/>
      <c r="J649" s="12"/>
      <c r="K649" s="8" t="s">
        <v>914</v>
      </c>
      <c r="L649" s="11" t="s">
        <v>27</v>
      </c>
      <c r="M649" s="7"/>
      <c r="N649" s="175" t="b">
        <v>1</v>
      </c>
      <c r="O649" s="15" t="b">
        <f t="shared" si="2"/>
        <v>0</v>
      </c>
      <c r="P649" s="15" t="str">
        <f t="shared" si="3"/>
        <v>PENDING</v>
      </c>
    </row>
    <row r="650" ht="15.75" customHeight="1">
      <c r="A650" s="7" t="s">
        <v>1694</v>
      </c>
      <c r="B650" s="8" t="s">
        <v>1695</v>
      </c>
      <c r="C650" s="9">
        <v>45940.0</v>
      </c>
      <c r="D650" s="9">
        <v>45940.0</v>
      </c>
      <c r="E650" s="7"/>
      <c r="F650" s="11" t="s">
        <v>716</v>
      </c>
      <c r="G650" s="11" t="s">
        <v>30</v>
      </c>
      <c r="H650" s="7" t="s">
        <v>31</v>
      </c>
      <c r="I650" s="16"/>
      <c r="J650" s="12"/>
      <c r="K650" s="8" t="s">
        <v>914</v>
      </c>
      <c r="L650" s="11" t="s">
        <v>27</v>
      </c>
      <c r="M650" s="7"/>
      <c r="N650" s="175" t="b">
        <v>1</v>
      </c>
      <c r="O650" s="15" t="b">
        <f t="shared" si="2"/>
        <v>0</v>
      </c>
      <c r="P650" s="15" t="str">
        <f t="shared" si="3"/>
        <v>PENDING</v>
      </c>
    </row>
    <row r="651" ht="15.75" customHeight="1">
      <c r="A651" s="24" t="s">
        <v>1696</v>
      </c>
      <c r="B651" s="25" t="s">
        <v>539</v>
      </c>
      <c r="C651" s="26">
        <v>45941.0</v>
      </c>
      <c r="D651" s="26">
        <v>45941.0</v>
      </c>
      <c r="E651" s="24" t="s">
        <v>177</v>
      </c>
      <c r="F651" s="28" t="s">
        <v>23</v>
      </c>
      <c r="G651" s="28" t="s">
        <v>172</v>
      </c>
      <c r="H651" s="28" t="s">
        <v>482</v>
      </c>
      <c r="J651" s="29"/>
      <c r="K651" s="25"/>
      <c r="L651" s="28" t="s">
        <v>27</v>
      </c>
      <c r="M651" s="24" t="s">
        <v>177</v>
      </c>
      <c r="N651" s="14" t="b">
        <f t="shared" ref="N651:N652" si="50">if(H651=$H$2,TRUE,O651)</f>
        <v>0</v>
      </c>
      <c r="O651" s="15" t="b">
        <f t="shared" si="2"/>
        <v>0</v>
      </c>
      <c r="P651" s="15" t="str">
        <f t="shared" si="3"/>
        <v>PENDING</v>
      </c>
    </row>
    <row r="652" ht="15.75" customHeight="1">
      <c r="A652" s="24" t="s">
        <v>1697</v>
      </c>
      <c r="B652" s="115" t="s">
        <v>1328</v>
      </c>
      <c r="C652" s="26">
        <v>45941.0</v>
      </c>
      <c r="D652" s="26">
        <v>45941.0</v>
      </c>
      <c r="E652" s="24" t="s">
        <v>177</v>
      </c>
      <c r="F652" s="28" t="s">
        <v>23</v>
      </c>
      <c r="G652" s="28" t="s">
        <v>172</v>
      </c>
      <c r="H652" s="28" t="s">
        <v>482</v>
      </c>
      <c r="J652" s="29"/>
      <c r="K652" s="25"/>
      <c r="L652" s="28" t="s">
        <v>27</v>
      </c>
      <c r="M652" s="24" t="s">
        <v>177</v>
      </c>
      <c r="N652" s="14" t="b">
        <f t="shared" si="50"/>
        <v>0</v>
      </c>
      <c r="O652" s="15" t="b">
        <f t="shared" si="2"/>
        <v>0</v>
      </c>
      <c r="P652" s="15" t="str">
        <f t="shared" si="3"/>
        <v>PENDING</v>
      </c>
    </row>
    <row r="653" ht="15.75" customHeight="1">
      <c r="A653" s="7" t="s">
        <v>1698</v>
      </c>
      <c r="B653" s="8" t="s">
        <v>222</v>
      </c>
      <c r="C653" s="9">
        <v>45941.0</v>
      </c>
      <c r="D653" s="9">
        <v>45941.0</v>
      </c>
      <c r="E653" s="7"/>
      <c r="F653" s="11" t="s">
        <v>716</v>
      </c>
      <c r="G653" s="11" t="s">
        <v>30</v>
      </c>
      <c r="H653" s="7" t="s">
        <v>31</v>
      </c>
      <c r="I653" s="16"/>
      <c r="J653" s="12"/>
      <c r="K653" s="8" t="s">
        <v>914</v>
      </c>
      <c r="L653" s="11" t="s">
        <v>27</v>
      </c>
      <c r="M653" s="7"/>
      <c r="N653" s="175" t="b">
        <v>1</v>
      </c>
      <c r="O653" s="15" t="b">
        <f t="shared" si="2"/>
        <v>0</v>
      </c>
      <c r="P653" s="15" t="str">
        <f t="shared" si="3"/>
        <v>PENDING</v>
      </c>
    </row>
    <row r="654" ht="15.75" customHeight="1">
      <c r="A654" s="7" t="s">
        <v>1699</v>
      </c>
      <c r="B654" s="8" t="s">
        <v>38</v>
      </c>
      <c r="C654" s="9">
        <v>45941.0</v>
      </c>
      <c r="D654" s="9">
        <v>45941.0</v>
      </c>
      <c r="E654" s="7"/>
      <c r="F654" s="11" t="s">
        <v>716</v>
      </c>
      <c r="G654" s="11" t="s">
        <v>30</v>
      </c>
      <c r="H654" s="7" t="s">
        <v>31</v>
      </c>
      <c r="I654" s="16"/>
      <c r="J654" s="12"/>
      <c r="K654" s="8" t="s">
        <v>914</v>
      </c>
      <c r="L654" s="11" t="s">
        <v>27</v>
      </c>
      <c r="M654" s="7"/>
      <c r="N654" s="175" t="b">
        <v>1</v>
      </c>
      <c r="O654" s="15" t="b">
        <f t="shared" si="2"/>
        <v>0</v>
      </c>
      <c r="P654" s="15" t="str">
        <f t="shared" si="3"/>
        <v>PENDING</v>
      </c>
    </row>
    <row r="655" ht="15.75" customHeight="1">
      <c r="A655" s="7" t="s">
        <v>1700</v>
      </c>
      <c r="B655" s="8" t="s">
        <v>222</v>
      </c>
      <c r="C655" s="9">
        <v>45943.0</v>
      </c>
      <c r="D655" s="9">
        <v>45943.0</v>
      </c>
      <c r="E655" s="7"/>
      <c r="F655" s="11" t="s">
        <v>716</v>
      </c>
      <c r="G655" s="11" t="s">
        <v>30</v>
      </c>
      <c r="H655" s="7" t="s">
        <v>31</v>
      </c>
      <c r="I655" s="16"/>
      <c r="J655" s="12"/>
      <c r="K655" s="8" t="s">
        <v>914</v>
      </c>
      <c r="L655" s="11" t="s">
        <v>27</v>
      </c>
      <c r="M655" s="7"/>
      <c r="N655" s="175" t="b">
        <v>1</v>
      </c>
      <c r="O655" s="15" t="b">
        <f t="shared" si="2"/>
        <v>0</v>
      </c>
      <c r="P655" s="15" t="str">
        <f t="shared" si="3"/>
        <v>PENDING</v>
      </c>
    </row>
    <row r="656" ht="15.75" customHeight="1">
      <c r="A656" s="7" t="s">
        <v>1701</v>
      </c>
      <c r="B656" s="8" t="s">
        <v>1556</v>
      </c>
      <c r="C656" s="9">
        <v>45943.0</v>
      </c>
      <c r="D656" s="9">
        <v>45944.0</v>
      </c>
      <c r="E656" s="7" t="s">
        <v>22</v>
      </c>
      <c r="F656" s="11" t="s">
        <v>23</v>
      </c>
      <c r="G656" s="11" t="s">
        <v>30</v>
      </c>
      <c r="H656" s="11" t="s">
        <v>25</v>
      </c>
      <c r="I656" s="16"/>
      <c r="J656" s="12" t="s">
        <v>1702</v>
      </c>
      <c r="K656" s="8"/>
      <c r="L656" s="11" t="s">
        <v>27</v>
      </c>
      <c r="M656" s="7" t="s">
        <v>22</v>
      </c>
      <c r="N656" s="14" t="b">
        <f t="shared" ref="N656:N664" si="51">if(H656=$H$2,TRUE,O656)</f>
        <v>1</v>
      </c>
      <c r="O656" s="15" t="b">
        <f t="shared" si="2"/>
        <v>0</v>
      </c>
      <c r="P656" s="15" t="str">
        <f t="shared" si="3"/>
        <v>APPROVED</v>
      </c>
    </row>
    <row r="657" ht="15.75" customHeight="1">
      <c r="A657" s="24" t="s">
        <v>1703</v>
      </c>
      <c r="B657" s="115" t="s">
        <v>1704</v>
      </c>
      <c r="C657" s="26">
        <v>45951.0</v>
      </c>
      <c r="D657" s="26">
        <v>45951.0</v>
      </c>
      <c r="E657" s="24" t="s">
        <v>1376</v>
      </c>
      <c r="F657" s="28" t="s">
        <v>23</v>
      </c>
      <c r="G657" s="28" t="s">
        <v>172</v>
      </c>
      <c r="H657" s="28" t="s">
        <v>84</v>
      </c>
      <c r="J657" s="29" t="s">
        <v>1705</v>
      </c>
      <c r="K657" s="25"/>
      <c r="L657" s="28" t="s">
        <v>27</v>
      </c>
      <c r="M657" s="24" t="s">
        <v>1376</v>
      </c>
      <c r="N657" s="14" t="b">
        <f t="shared" si="51"/>
        <v>0</v>
      </c>
      <c r="O657" s="15" t="b">
        <f t="shared" si="2"/>
        <v>0</v>
      </c>
      <c r="P657" s="15" t="str">
        <f t="shared" si="3"/>
        <v>PENDING</v>
      </c>
    </row>
    <row r="658" ht="15.75" customHeight="1">
      <c r="A658" s="24" t="s">
        <v>1706</v>
      </c>
      <c r="B658" s="115" t="s">
        <v>1031</v>
      </c>
      <c r="C658" s="26">
        <v>45943.0</v>
      </c>
      <c r="D658" s="26">
        <v>45945.0</v>
      </c>
      <c r="E658" s="24" t="s">
        <v>744</v>
      </c>
      <c r="F658" s="28" t="s">
        <v>23</v>
      </c>
      <c r="G658" s="28" t="s">
        <v>172</v>
      </c>
      <c r="H658" s="28" t="s">
        <v>482</v>
      </c>
      <c r="J658" s="29"/>
      <c r="K658" s="25"/>
      <c r="L658" s="28" t="s">
        <v>27</v>
      </c>
      <c r="M658" s="24" t="s">
        <v>744</v>
      </c>
      <c r="N658" s="14" t="b">
        <f t="shared" si="51"/>
        <v>0</v>
      </c>
      <c r="O658" s="15" t="b">
        <f t="shared" si="2"/>
        <v>0</v>
      </c>
      <c r="P658" s="15" t="str">
        <f t="shared" si="3"/>
        <v>PENDING</v>
      </c>
    </row>
    <row r="659" ht="15.75" customHeight="1">
      <c r="A659" s="24" t="s">
        <v>1707</v>
      </c>
      <c r="B659" s="115" t="s">
        <v>1708</v>
      </c>
      <c r="C659" s="26">
        <v>45951.0</v>
      </c>
      <c r="D659" s="26">
        <v>45951.0</v>
      </c>
      <c r="E659" s="24" t="s">
        <v>177</v>
      </c>
      <c r="F659" s="28" t="s">
        <v>23</v>
      </c>
      <c r="G659" s="28" t="s">
        <v>172</v>
      </c>
      <c r="H659" s="28" t="s">
        <v>482</v>
      </c>
      <c r="J659" s="29"/>
      <c r="K659" s="25"/>
      <c r="L659" s="28" t="s">
        <v>27</v>
      </c>
      <c r="M659" s="24" t="s">
        <v>177</v>
      </c>
      <c r="N659" s="14" t="b">
        <f t="shared" si="51"/>
        <v>0</v>
      </c>
      <c r="O659" s="15" t="b">
        <f t="shared" si="2"/>
        <v>0</v>
      </c>
      <c r="P659" s="15" t="str">
        <f t="shared" si="3"/>
        <v>PENDING</v>
      </c>
    </row>
    <row r="660" ht="15.75" customHeight="1">
      <c r="A660" s="24" t="s">
        <v>1709</v>
      </c>
      <c r="B660" s="115" t="s">
        <v>1710</v>
      </c>
      <c r="C660" s="26">
        <v>45943.0</v>
      </c>
      <c r="D660" s="26">
        <v>45945.0</v>
      </c>
      <c r="E660" s="24" t="s">
        <v>744</v>
      </c>
      <c r="F660" s="28" t="s">
        <v>23</v>
      </c>
      <c r="G660" s="28" t="s">
        <v>172</v>
      </c>
      <c r="H660" s="28" t="s">
        <v>482</v>
      </c>
      <c r="J660" s="29"/>
      <c r="K660" s="25"/>
      <c r="L660" s="28" t="s">
        <v>27</v>
      </c>
      <c r="M660" s="24" t="s">
        <v>744</v>
      </c>
      <c r="N660" s="14" t="b">
        <f t="shared" si="51"/>
        <v>0</v>
      </c>
      <c r="O660" s="15" t="b">
        <f t="shared" si="2"/>
        <v>0</v>
      </c>
      <c r="P660" s="15" t="str">
        <f t="shared" si="3"/>
        <v>PENDING</v>
      </c>
    </row>
    <row r="661" ht="15.75" customHeight="1">
      <c r="A661" s="24" t="s">
        <v>1712</v>
      </c>
      <c r="B661" s="115" t="s">
        <v>29</v>
      </c>
      <c r="C661" s="26">
        <v>45946.0</v>
      </c>
      <c r="D661" s="26">
        <v>45946.0</v>
      </c>
      <c r="E661" s="24" t="s">
        <v>22</v>
      </c>
      <c r="F661" s="28" t="s">
        <v>23</v>
      </c>
      <c r="G661" s="28" t="s">
        <v>70</v>
      </c>
      <c r="H661" s="28" t="s">
        <v>49</v>
      </c>
      <c r="J661" s="29"/>
      <c r="K661" s="135" t="s">
        <v>2094</v>
      </c>
      <c r="L661" s="28" t="s">
        <v>27</v>
      </c>
      <c r="M661" s="24" t="s">
        <v>22</v>
      </c>
      <c r="N661" s="14" t="b">
        <f t="shared" si="51"/>
        <v>0</v>
      </c>
      <c r="O661" s="15" t="b">
        <f t="shared" si="2"/>
        <v>0</v>
      </c>
      <c r="P661" s="15" t="str">
        <f t="shared" si="3"/>
        <v>PENDING</v>
      </c>
    </row>
    <row r="662" ht="15.75" customHeight="1">
      <c r="A662" s="24" t="s">
        <v>1715</v>
      </c>
      <c r="B662" s="115" t="s">
        <v>1716</v>
      </c>
      <c r="C662" s="26">
        <v>45947.0</v>
      </c>
      <c r="D662" s="26">
        <v>45947.0</v>
      </c>
      <c r="E662" s="24" t="s">
        <v>1376</v>
      </c>
      <c r="F662" s="28" t="s">
        <v>23</v>
      </c>
      <c r="G662" s="28" t="s">
        <v>172</v>
      </c>
      <c r="H662" s="28" t="s">
        <v>482</v>
      </c>
      <c r="J662" s="29"/>
      <c r="K662" s="25"/>
      <c r="L662" s="28" t="s">
        <v>27</v>
      </c>
      <c r="M662" s="24" t="s">
        <v>1376</v>
      </c>
      <c r="N662" s="14" t="b">
        <f t="shared" si="51"/>
        <v>0</v>
      </c>
      <c r="O662" s="15" t="b">
        <f t="shared" si="2"/>
        <v>0</v>
      </c>
      <c r="P662" s="15" t="str">
        <f t="shared" si="3"/>
        <v>PENDING</v>
      </c>
    </row>
    <row r="663" ht="15.75" customHeight="1">
      <c r="A663" s="24" t="s">
        <v>1717</v>
      </c>
      <c r="B663" s="115" t="s">
        <v>1718</v>
      </c>
      <c r="C663" s="26">
        <v>45944.0</v>
      </c>
      <c r="D663" s="26">
        <v>45944.0</v>
      </c>
      <c r="E663" s="24" t="s">
        <v>177</v>
      </c>
      <c r="F663" s="28" t="s">
        <v>23</v>
      </c>
      <c r="G663" s="28" t="s">
        <v>172</v>
      </c>
      <c r="H663" s="28" t="s">
        <v>482</v>
      </c>
      <c r="J663" s="29"/>
      <c r="K663" s="25"/>
      <c r="L663" s="28" t="s">
        <v>27</v>
      </c>
      <c r="M663" s="24" t="s">
        <v>177</v>
      </c>
      <c r="N663" s="14" t="b">
        <f t="shared" si="51"/>
        <v>0</v>
      </c>
      <c r="O663" s="15" t="b">
        <f t="shared" si="2"/>
        <v>0</v>
      </c>
      <c r="P663" s="15" t="str">
        <f t="shared" si="3"/>
        <v>PENDING</v>
      </c>
    </row>
    <row r="664" ht="15.75" customHeight="1">
      <c r="A664" s="24" t="s">
        <v>1719</v>
      </c>
      <c r="B664" s="115" t="s">
        <v>381</v>
      </c>
      <c r="C664" s="26">
        <v>45944.0</v>
      </c>
      <c r="D664" s="26">
        <v>45944.0</v>
      </c>
      <c r="E664" s="24" t="s">
        <v>177</v>
      </c>
      <c r="F664" s="28" t="s">
        <v>23</v>
      </c>
      <c r="G664" s="28" t="s">
        <v>172</v>
      </c>
      <c r="H664" s="28" t="s">
        <v>482</v>
      </c>
      <c r="J664" s="29"/>
      <c r="K664" s="25"/>
      <c r="L664" s="28" t="s">
        <v>27</v>
      </c>
      <c r="M664" s="24" t="s">
        <v>177</v>
      </c>
      <c r="N664" s="14" t="b">
        <f t="shared" si="51"/>
        <v>0</v>
      </c>
      <c r="O664" s="15" t="b">
        <f t="shared" si="2"/>
        <v>0</v>
      </c>
      <c r="P664" s="15" t="str">
        <f t="shared" si="3"/>
        <v>PENDING</v>
      </c>
    </row>
    <row r="665" ht="15.75" customHeight="1">
      <c r="A665" s="7" t="s">
        <v>1720</v>
      </c>
      <c r="B665" s="13" t="s">
        <v>1721</v>
      </c>
      <c r="C665" s="9">
        <v>45944.0</v>
      </c>
      <c r="D665" s="9">
        <v>45944.0</v>
      </c>
      <c r="E665" s="7" t="s">
        <v>22</v>
      </c>
      <c r="F665" s="11" t="s">
        <v>23</v>
      </c>
      <c r="G665" s="11" t="s">
        <v>30</v>
      </c>
      <c r="H665" s="11" t="s">
        <v>31</v>
      </c>
      <c r="I665" s="16"/>
      <c r="J665" s="49"/>
      <c r="K665" s="13"/>
      <c r="L665" s="11" t="s">
        <v>27</v>
      </c>
      <c r="M665" s="24" t="s">
        <v>22</v>
      </c>
      <c r="N665" s="175" t="b">
        <v>1</v>
      </c>
      <c r="O665" s="15" t="b">
        <f t="shared" si="2"/>
        <v>0</v>
      </c>
      <c r="P665" s="15" t="str">
        <f t="shared" si="3"/>
        <v>PENDING</v>
      </c>
    </row>
    <row r="666" ht="15.75" customHeight="1">
      <c r="A666" s="7" t="s">
        <v>1722</v>
      </c>
      <c r="B666" s="13" t="s">
        <v>1723</v>
      </c>
      <c r="C666" s="9">
        <v>45944.0</v>
      </c>
      <c r="D666" s="9">
        <v>45944.0</v>
      </c>
      <c r="E666" s="7" t="s">
        <v>1724</v>
      </c>
      <c r="F666" s="11" t="s">
        <v>716</v>
      </c>
      <c r="G666" s="11" t="s">
        <v>30</v>
      </c>
      <c r="H666" s="11" t="s">
        <v>31</v>
      </c>
      <c r="I666" s="16"/>
      <c r="J666" s="49"/>
      <c r="K666" s="13" t="s">
        <v>914</v>
      </c>
      <c r="L666" s="11" t="s">
        <v>27</v>
      </c>
      <c r="M666" s="24" t="s">
        <v>1724</v>
      </c>
      <c r="N666" s="175" t="b">
        <v>1</v>
      </c>
      <c r="O666" s="15" t="b">
        <f t="shared" si="2"/>
        <v>0</v>
      </c>
      <c r="P666" s="15" t="str">
        <f t="shared" si="3"/>
        <v>PENDING</v>
      </c>
    </row>
    <row r="667" ht="15.75" customHeight="1">
      <c r="A667" s="24" t="s">
        <v>1725</v>
      </c>
      <c r="B667" s="115" t="s">
        <v>302</v>
      </c>
      <c r="C667" s="26">
        <v>45951.0</v>
      </c>
      <c r="D667" s="26">
        <v>45951.0</v>
      </c>
      <c r="E667" s="24" t="s">
        <v>177</v>
      </c>
      <c r="F667" s="28" t="s">
        <v>23</v>
      </c>
      <c r="G667" s="28" t="s">
        <v>172</v>
      </c>
      <c r="H667" s="28" t="s">
        <v>84</v>
      </c>
      <c r="J667" s="29" t="s">
        <v>1562</v>
      </c>
      <c r="K667" s="135" t="s">
        <v>2095</v>
      </c>
      <c r="L667" s="28" t="s">
        <v>27</v>
      </c>
      <c r="M667" s="24" t="s">
        <v>177</v>
      </c>
      <c r="N667" s="14" t="b">
        <f t="shared" ref="N667:N684" si="52">if(H667=$H$2,TRUE,O667)</f>
        <v>0</v>
      </c>
      <c r="O667" s="15" t="b">
        <f t="shared" si="2"/>
        <v>0</v>
      </c>
      <c r="P667" s="15" t="str">
        <f t="shared" si="3"/>
        <v>PENDING</v>
      </c>
    </row>
    <row r="668" ht="15.75" customHeight="1">
      <c r="A668" s="30" t="s">
        <v>1728</v>
      </c>
      <c r="B668" s="58" t="s">
        <v>1716</v>
      </c>
      <c r="C668" s="32">
        <v>45947.0</v>
      </c>
      <c r="D668" s="32"/>
      <c r="E668" s="30" t="s">
        <v>1376</v>
      </c>
      <c r="F668" s="34" t="s">
        <v>23</v>
      </c>
      <c r="G668" s="34" t="s">
        <v>30</v>
      </c>
      <c r="H668" s="30" t="s">
        <v>31</v>
      </c>
      <c r="I668" s="66"/>
      <c r="J668" s="35"/>
      <c r="K668" s="31"/>
      <c r="L668" s="30" t="s">
        <v>98</v>
      </c>
      <c r="M668" s="30" t="s">
        <v>1376</v>
      </c>
      <c r="N668" s="14" t="b">
        <f t="shared" si="52"/>
        <v>1</v>
      </c>
      <c r="O668" s="15" t="b">
        <f t="shared" si="2"/>
        <v>1</v>
      </c>
      <c r="P668" s="15" t="str">
        <f t="shared" si="3"/>
        <v>PENDING</v>
      </c>
    </row>
    <row r="669" ht="15.75" customHeight="1">
      <c r="A669" s="24" t="s">
        <v>1729</v>
      </c>
      <c r="B669" s="115" t="s">
        <v>1375</v>
      </c>
      <c r="C669" s="26">
        <v>45947.0</v>
      </c>
      <c r="D669" s="26">
        <v>45947.0</v>
      </c>
      <c r="E669" s="24" t="s">
        <v>1376</v>
      </c>
      <c r="F669" s="28" t="s">
        <v>23</v>
      </c>
      <c r="G669" s="28" t="s">
        <v>172</v>
      </c>
      <c r="H669" s="28" t="s">
        <v>84</v>
      </c>
      <c r="J669" s="29" t="s">
        <v>1730</v>
      </c>
      <c r="K669" s="29" t="s">
        <v>1731</v>
      </c>
      <c r="L669" s="28" t="s">
        <v>27</v>
      </c>
      <c r="M669" s="24" t="s">
        <v>1376</v>
      </c>
      <c r="N669" s="14" t="b">
        <f t="shared" si="52"/>
        <v>0</v>
      </c>
      <c r="O669" s="15" t="b">
        <f t="shared" si="2"/>
        <v>0</v>
      </c>
      <c r="P669" s="15" t="str">
        <f t="shared" si="3"/>
        <v>PENDING</v>
      </c>
    </row>
    <row r="670" ht="15.75" customHeight="1">
      <c r="A670" s="24" t="s">
        <v>1732</v>
      </c>
      <c r="B670" s="115" t="s">
        <v>1130</v>
      </c>
      <c r="C670" s="26">
        <v>45948.0</v>
      </c>
      <c r="D670" s="26">
        <v>45948.0</v>
      </c>
      <c r="E670" s="24" t="s">
        <v>177</v>
      </c>
      <c r="F670" s="28" t="s">
        <v>23</v>
      </c>
      <c r="G670" s="28" t="s">
        <v>172</v>
      </c>
      <c r="H670" s="28" t="s">
        <v>482</v>
      </c>
      <c r="J670" s="29"/>
      <c r="K670" s="25"/>
      <c r="L670" s="28" t="s">
        <v>27</v>
      </c>
      <c r="M670" s="24" t="s">
        <v>177</v>
      </c>
      <c r="N670" s="14" t="b">
        <f t="shared" si="52"/>
        <v>0</v>
      </c>
      <c r="O670" s="15" t="b">
        <f t="shared" si="2"/>
        <v>0</v>
      </c>
      <c r="P670" s="15" t="str">
        <f t="shared" si="3"/>
        <v>PENDING</v>
      </c>
    </row>
    <row r="671" ht="15.75" customHeight="1">
      <c r="A671" s="24" t="s">
        <v>1733</v>
      </c>
      <c r="B671" s="115" t="s">
        <v>323</v>
      </c>
      <c r="C671" s="26">
        <v>45947.0</v>
      </c>
      <c r="D671" s="26">
        <v>45947.0</v>
      </c>
      <c r="E671" s="24" t="s">
        <v>177</v>
      </c>
      <c r="F671" s="28" t="s">
        <v>23</v>
      </c>
      <c r="G671" s="28" t="s">
        <v>172</v>
      </c>
      <c r="H671" s="28" t="s">
        <v>482</v>
      </c>
      <c r="J671" s="29"/>
      <c r="K671" s="25"/>
      <c r="L671" s="28" t="s">
        <v>27</v>
      </c>
      <c r="M671" s="24" t="s">
        <v>177</v>
      </c>
      <c r="N671" s="14" t="b">
        <f t="shared" si="52"/>
        <v>0</v>
      </c>
      <c r="O671" s="15" t="b">
        <f t="shared" si="2"/>
        <v>0</v>
      </c>
      <c r="P671" s="15" t="str">
        <f t="shared" si="3"/>
        <v>PENDING</v>
      </c>
    </row>
    <row r="672" ht="15.75" customHeight="1">
      <c r="A672" s="24" t="s">
        <v>1734</v>
      </c>
      <c r="B672" s="115" t="s">
        <v>1735</v>
      </c>
      <c r="C672" s="26">
        <v>45948.0</v>
      </c>
      <c r="D672" s="26">
        <v>45948.0</v>
      </c>
      <c r="E672" s="24" t="s">
        <v>1387</v>
      </c>
      <c r="F672" s="28" t="s">
        <v>23</v>
      </c>
      <c r="G672" s="28" t="s">
        <v>172</v>
      </c>
      <c r="H672" s="28" t="s">
        <v>84</v>
      </c>
      <c r="J672" s="29" t="s">
        <v>1736</v>
      </c>
      <c r="K672" s="25"/>
      <c r="L672" s="28" t="s">
        <v>27</v>
      </c>
      <c r="M672" s="24" t="s">
        <v>1387</v>
      </c>
      <c r="N672" s="14" t="b">
        <f t="shared" si="52"/>
        <v>0</v>
      </c>
      <c r="O672" s="15" t="b">
        <f t="shared" si="2"/>
        <v>0</v>
      </c>
      <c r="P672" s="15" t="str">
        <f t="shared" si="3"/>
        <v>PENDING</v>
      </c>
    </row>
    <row r="673" ht="15.75" customHeight="1">
      <c r="A673" s="24" t="s">
        <v>1737</v>
      </c>
      <c r="B673" s="115" t="s">
        <v>1738</v>
      </c>
      <c r="C673" s="26">
        <v>45950.0</v>
      </c>
      <c r="D673" s="26">
        <v>45950.0</v>
      </c>
      <c r="E673" s="24" t="s">
        <v>1376</v>
      </c>
      <c r="F673" s="28" t="s">
        <v>23</v>
      </c>
      <c r="G673" s="28" t="s">
        <v>24</v>
      </c>
      <c r="H673" s="28" t="s">
        <v>84</v>
      </c>
      <c r="J673" s="29" t="s">
        <v>1739</v>
      </c>
      <c r="K673" s="25"/>
      <c r="L673" s="28" t="s">
        <v>27</v>
      </c>
      <c r="M673" s="24" t="s">
        <v>1376</v>
      </c>
      <c r="N673" s="14" t="b">
        <f t="shared" si="52"/>
        <v>0</v>
      </c>
      <c r="O673" s="15" t="b">
        <f t="shared" si="2"/>
        <v>0</v>
      </c>
      <c r="P673" s="15" t="str">
        <f t="shared" si="3"/>
        <v>PENDING</v>
      </c>
    </row>
    <row r="674" ht="15.75" customHeight="1">
      <c r="A674" s="24" t="s">
        <v>1740</v>
      </c>
      <c r="B674" s="115" t="s">
        <v>1035</v>
      </c>
      <c r="C674" s="26">
        <v>45948.0</v>
      </c>
      <c r="D674" s="26">
        <v>45948.0</v>
      </c>
      <c r="E674" s="24" t="s">
        <v>744</v>
      </c>
      <c r="F674" s="28" t="s">
        <v>23</v>
      </c>
      <c r="G674" s="28" t="s">
        <v>172</v>
      </c>
      <c r="H674" s="28" t="s">
        <v>49</v>
      </c>
      <c r="J674" s="29"/>
      <c r="K674" s="25"/>
      <c r="L674" s="28" t="s">
        <v>27</v>
      </c>
      <c r="M674" s="24" t="s">
        <v>744</v>
      </c>
      <c r="N674" s="14" t="b">
        <f t="shared" si="52"/>
        <v>0</v>
      </c>
      <c r="O674" s="15" t="b">
        <f t="shared" si="2"/>
        <v>0</v>
      </c>
      <c r="P674" s="15" t="str">
        <f t="shared" si="3"/>
        <v>PENDING</v>
      </c>
    </row>
    <row r="675" ht="15.75" customHeight="1">
      <c r="A675" s="24" t="s">
        <v>1741</v>
      </c>
      <c r="B675" s="115" t="s">
        <v>1742</v>
      </c>
      <c r="C675" s="26">
        <v>45948.0</v>
      </c>
      <c r="D675" s="26">
        <v>45948.0</v>
      </c>
      <c r="E675" s="24" t="s">
        <v>177</v>
      </c>
      <c r="F675" s="28" t="s">
        <v>23</v>
      </c>
      <c r="G675" s="28" t="s">
        <v>172</v>
      </c>
      <c r="H675" s="28" t="s">
        <v>482</v>
      </c>
      <c r="J675" s="29"/>
      <c r="K675" s="25"/>
      <c r="L675" s="28" t="s">
        <v>27</v>
      </c>
      <c r="M675" s="24" t="s">
        <v>177</v>
      </c>
      <c r="N675" s="14" t="b">
        <f t="shared" si="52"/>
        <v>0</v>
      </c>
      <c r="O675" s="15" t="b">
        <f t="shared" si="2"/>
        <v>0</v>
      </c>
      <c r="P675" s="15" t="str">
        <f t="shared" si="3"/>
        <v>PENDING</v>
      </c>
    </row>
    <row r="676" ht="15.75" customHeight="1">
      <c r="A676" s="24" t="s">
        <v>1743</v>
      </c>
      <c r="B676" s="25" t="s">
        <v>643</v>
      </c>
      <c r="C676" s="26">
        <v>45948.0</v>
      </c>
      <c r="D676" s="26">
        <v>45948.0</v>
      </c>
      <c r="E676" s="24" t="s">
        <v>177</v>
      </c>
      <c r="F676" s="28" t="s">
        <v>23</v>
      </c>
      <c r="G676" s="28" t="s">
        <v>172</v>
      </c>
      <c r="H676" s="28" t="s">
        <v>49</v>
      </c>
      <c r="J676" s="29"/>
      <c r="K676" s="25"/>
      <c r="L676" s="28" t="s">
        <v>27</v>
      </c>
      <c r="M676" s="24" t="s">
        <v>177</v>
      </c>
      <c r="N676" s="14" t="b">
        <f t="shared" si="52"/>
        <v>0</v>
      </c>
      <c r="O676" s="15" t="b">
        <f t="shared" si="2"/>
        <v>0</v>
      </c>
      <c r="P676" s="15" t="str">
        <f t="shared" si="3"/>
        <v>PENDING</v>
      </c>
    </row>
    <row r="677" ht="15.75" customHeight="1">
      <c r="A677" s="24" t="s">
        <v>1744</v>
      </c>
      <c r="B677" s="115" t="s">
        <v>829</v>
      </c>
      <c r="C677" s="26">
        <v>45948.0</v>
      </c>
      <c r="D677" s="26">
        <v>45948.0</v>
      </c>
      <c r="E677" s="24" t="s">
        <v>177</v>
      </c>
      <c r="F677" s="28" t="s">
        <v>23</v>
      </c>
      <c r="G677" s="28" t="s">
        <v>172</v>
      </c>
      <c r="H677" s="28" t="s">
        <v>482</v>
      </c>
      <c r="J677" s="29"/>
      <c r="K677" s="25"/>
      <c r="L677" s="28" t="s">
        <v>27</v>
      </c>
      <c r="M677" s="24" t="s">
        <v>177</v>
      </c>
      <c r="N677" s="14" t="b">
        <f t="shared" si="52"/>
        <v>0</v>
      </c>
      <c r="O677" s="15" t="b">
        <f t="shared" si="2"/>
        <v>0</v>
      </c>
      <c r="P677" s="15" t="str">
        <f t="shared" si="3"/>
        <v>PENDING</v>
      </c>
    </row>
    <row r="678" ht="15.75" customHeight="1">
      <c r="A678" s="24" t="s">
        <v>1745</v>
      </c>
      <c r="B678" s="115" t="s">
        <v>1746</v>
      </c>
      <c r="C678" s="26">
        <v>45950.0</v>
      </c>
      <c r="D678" s="26">
        <v>45950.0</v>
      </c>
      <c r="E678" s="24" t="s">
        <v>177</v>
      </c>
      <c r="F678" s="28" t="s">
        <v>23</v>
      </c>
      <c r="G678" s="28" t="s">
        <v>172</v>
      </c>
      <c r="H678" s="28" t="s">
        <v>482</v>
      </c>
      <c r="J678" s="29"/>
      <c r="K678" s="25"/>
      <c r="L678" s="28" t="s">
        <v>27</v>
      </c>
      <c r="M678" s="24" t="s">
        <v>177</v>
      </c>
      <c r="N678" s="14" t="b">
        <f t="shared" si="52"/>
        <v>0</v>
      </c>
      <c r="O678" s="15" t="b">
        <f t="shared" si="2"/>
        <v>0</v>
      </c>
      <c r="P678" s="15" t="str">
        <f t="shared" si="3"/>
        <v>PENDING</v>
      </c>
    </row>
    <row r="679" ht="15.75" customHeight="1">
      <c r="A679" s="24" t="s">
        <v>1747</v>
      </c>
      <c r="B679" s="128" t="s">
        <v>1748</v>
      </c>
      <c r="C679" s="26">
        <v>45951.0</v>
      </c>
      <c r="D679" s="26">
        <v>45951.0</v>
      </c>
      <c r="E679" s="24" t="s">
        <v>1376</v>
      </c>
      <c r="F679" s="28" t="s">
        <v>23</v>
      </c>
      <c r="G679" s="28" t="s">
        <v>172</v>
      </c>
      <c r="H679" s="28" t="s">
        <v>482</v>
      </c>
      <c r="J679" s="29"/>
      <c r="K679" s="25"/>
      <c r="L679" s="28" t="s">
        <v>27</v>
      </c>
      <c r="M679" s="24" t="s">
        <v>1376</v>
      </c>
      <c r="N679" s="14" t="b">
        <f t="shared" si="52"/>
        <v>0</v>
      </c>
      <c r="O679" s="15" t="b">
        <f t="shared" si="2"/>
        <v>0</v>
      </c>
      <c r="P679" s="15" t="str">
        <f t="shared" si="3"/>
        <v>PENDING</v>
      </c>
    </row>
    <row r="680" ht="15.75" customHeight="1">
      <c r="A680" s="24" t="s">
        <v>1749</v>
      </c>
      <c r="B680" s="115" t="s">
        <v>1750</v>
      </c>
      <c r="C680" s="26">
        <v>45951.0</v>
      </c>
      <c r="D680" s="26">
        <v>45951.0</v>
      </c>
      <c r="E680" s="24" t="s">
        <v>177</v>
      </c>
      <c r="F680" s="28" t="s">
        <v>23</v>
      </c>
      <c r="G680" s="28" t="s">
        <v>172</v>
      </c>
      <c r="H680" s="28" t="s">
        <v>84</v>
      </c>
      <c r="J680" s="29" t="s">
        <v>1751</v>
      </c>
      <c r="K680" s="25"/>
      <c r="L680" s="28" t="s">
        <v>27</v>
      </c>
      <c r="M680" s="24" t="s">
        <v>177</v>
      </c>
      <c r="N680" s="14" t="b">
        <f t="shared" si="52"/>
        <v>0</v>
      </c>
      <c r="O680" s="15" t="b">
        <f t="shared" si="2"/>
        <v>0</v>
      </c>
      <c r="P680" s="15" t="str">
        <f t="shared" si="3"/>
        <v>PENDING</v>
      </c>
    </row>
    <row r="681" ht="15.75" customHeight="1">
      <c r="A681" s="24" t="s">
        <v>1752</v>
      </c>
      <c r="B681" s="115" t="s">
        <v>1753</v>
      </c>
      <c r="C681" s="26">
        <v>45952.0</v>
      </c>
      <c r="D681" s="26">
        <v>45952.0</v>
      </c>
      <c r="E681" s="24" t="s">
        <v>177</v>
      </c>
      <c r="F681" s="28" t="s">
        <v>23</v>
      </c>
      <c r="G681" s="28" t="s">
        <v>172</v>
      </c>
      <c r="H681" s="28" t="s">
        <v>482</v>
      </c>
      <c r="J681" s="29"/>
      <c r="K681" s="25"/>
      <c r="L681" s="28" t="s">
        <v>27</v>
      </c>
      <c r="M681" s="24" t="s">
        <v>177</v>
      </c>
      <c r="N681" s="14" t="b">
        <f t="shared" si="52"/>
        <v>0</v>
      </c>
      <c r="O681" s="15" t="b">
        <f t="shared" si="2"/>
        <v>0</v>
      </c>
      <c r="P681" s="15" t="str">
        <f t="shared" si="3"/>
        <v>PENDING</v>
      </c>
    </row>
    <row r="682" ht="15.75" customHeight="1">
      <c r="A682" s="24" t="s">
        <v>1754</v>
      </c>
      <c r="B682" s="25" t="s">
        <v>803</v>
      </c>
      <c r="C682" s="26">
        <v>45952.0</v>
      </c>
      <c r="D682" s="26">
        <v>45952.0</v>
      </c>
      <c r="E682" s="24" t="s">
        <v>177</v>
      </c>
      <c r="F682" s="28" t="s">
        <v>23</v>
      </c>
      <c r="G682" s="28" t="s">
        <v>172</v>
      </c>
      <c r="H682" s="28" t="s">
        <v>482</v>
      </c>
      <c r="J682" s="29"/>
      <c r="K682" s="25"/>
      <c r="L682" s="28" t="s">
        <v>27</v>
      </c>
      <c r="M682" s="24" t="s">
        <v>177</v>
      </c>
      <c r="N682" s="14" t="b">
        <f t="shared" si="52"/>
        <v>0</v>
      </c>
      <c r="O682" s="15" t="b">
        <f t="shared" si="2"/>
        <v>0</v>
      </c>
      <c r="P682" s="15" t="str">
        <f t="shared" si="3"/>
        <v>PENDING</v>
      </c>
    </row>
    <row r="683" ht="15.75" customHeight="1">
      <c r="A683" s="24" t="s">
        <v>1755</v>
      </c>
      <c r="B683" s="115" t="s">
        <v>1756</v>
      </c>
      <c r="C683" s="26">
        <v>45952.0</v>
      </c>
      <c r="D683" s="26">
        <v>45952.0</v>
      </c>
      <c r="E683" s="24" t="s">
        <v>177</v>
      </c>
      <c r="F683" s="28" t="s">
        <v>23</v>
      </c>
      <c r="G683" s="28" t="s">
        <v>172</v>
      </c>
      <c r="H683" s="28" t="s">
        <v>482</v>
      </c>
      <c r="J683" s="29"/>
      <c r="K683" s="25"/>
      <c r="L683" s="28" t="s">
        <v>27</v>
      </c>
      <c r="M683" s="24" t="s">
        <v>177</v>
      </c>
      <c r="N683" s="14" t="b">
        <f t="shared" si="52"/>
        <v>0</v>
      </c>
      <c r="O683" s="15" t="b">
        <f t="shared" si="2"/>
        <v>0</v>
      </c>
      <c r="P683" s="15" t="str">
        <f t="shared" si="3"/>
        <v>PENDING</v>
      </c>
    </row>
    <row r="684" ht="15.75" customHeight="1">
      <c r="A684" s="24" t="s">
        <v>1757</v>
      </c>
      <c r="B684" s="115" t="s">
        <v>79</v>
      </c>
      <c r="C684" s="26">
        <v>45952.0</v>
      </c>
      <c r="D684" s="26">
        <v>45952.0</v>
      </c>
      <c r="E684" s="24" t="s">
        <v>177</v>
      </c>
      <c r="F684" s="28" t="s">
        <v>23</v>
      </c>
      <c r="G684" s="28" t="s">
        <v>172</v>
      </c>
      <c r="H684" s="28" t="s">
        <v>84</v>
      </c>
      <c r="J684" s="29" t="s">
        <v>1758</v>
      </c>
      <c r="K684" s="25"/>
      <c r="L684" s="28" t="s">
        <v>27</v>
      </c>
      <c r="M684" s="24" t="s">
        <v>177</v>
      </c>
      <c r="N684" s="14" t="b">
        <f t="shared" si="52"/>
        <v>0</v>
      </c>
      <c r="O684" s="15" t="b">
        <f t="shared" si="2"/>
        <v>0</v>
      </c>
      <c r="P684" s="15" t="str">
        <f t="shared" si="3"/>
        <v>PENDING</v>
      </c>
    </row>
    <row r="685" ht="15.75" customHeight="1">
      <c r="A685" s="7" t="s">
        <v>1759</v>
      </c>
      <c r="B685" s="13" t="s">
        <v>222</v>
      </c>
      <c r="C685" s="9">
        <v>45952.0</v>
      </c>
      <c r="D685" s="9">
        <v>45952.0</v>
      </c>
      <c r="E685" s="7" t="s">
        <v>177</v>
      </c>
      <c r="F685" s="11" t="s">
        <v>716</v>
      </c>
      <c r="G685" s="11" t="s">
        <v>30</v>
      </c>
      <c r="H685" s="11" t="s">
        <v>31</v>
      </c>
      <c r="I685" s="16"/>
      <c r="J685" s="49"/>
      <c r="K685" s="13"/>
      <c r="L685" s="11" t="s">
        <v>27</v>
      </c>
      <c r="M685" s="24" t="s">
        <v>177</v>
      </c>
      <c r="N685" s="175" t="b">
        <v>1</v>
      </c>
      <c r="O685" s="15" t="b">
        <f t="shared" si="2"/>
        <v>0</v>
      </c>
      <c r="P685" s="15" t="str">
        <f t="shared" si="3"/>
        <v>PENDING</v>
      </c>
    </row>
    <row r="686" ht="15.75" customHeight="1">
      <c r="A686" s="24" t="s">
        <v>1760</v>
      </c>
      <c r="B686" s="115" t="s">
        <v>1761</v>
      </c>
      <c r="C686" s="26">
        <v>45953.0</v>
      </c>
      <c r="D686" s="26">
        <v>45953.0</v>
      </c>
      <c r="E686" s="24" t="s">
        <v>1387</v>
      </c>
      <c r="F686" s="28" t="s">
        <v>23</v>
      </c>
      <c r="G686" s="28" t="s">
        <v>172</v>
      </c>
      <c r="H686" s="28" t="s">
        <v>482</v>
      </c>
      <c r="J686" s="29"/>
      <c r="K686" s="25"/>
      <c r="L686" s="28" t="s">
        <v>27</v>
      </c>
      <c r="M686" s="24" t="s">
        <v>1387</v>
      </c>
      <c r="N686" s="14" t="b">
        <f>if(H686=$H$2,TRUE,O686)</f>
        <v>0</v>
      </c>
      <c r="O686" s="15" t="b">
        <f t="shared" si="2"/>
        <v>0</v>
      </c>
      <c r="P686" s="15" t="str">
        <f t="shared" si="3"/>
        <v>PENDING</v>
      </c>
    </row>
    <row r="687" ht="15.75" customHeight="1">
      <c r="A687" s="7" t="s">
        <v>1762</v>
      </c>
      <c r="B687" s="13" t="s">
        <v>222</v>
      </c>
      <c r="C687" s="9">
        <v>45953.0</v>
      </c>
      <c r="D687" s="9">
        <v>45953.0</v>
      </c>
      <c r="E687" s="7" t="s">
        <v>177</v>
      </c>
      <c r="F687" s="11" t="s">
        <v>716</v>
      </c>
      <c r="G687" s="11" t="s">
        <v>30</v>
      </c>
      <c r="H687" s="11" t="s">
        <v>31</v>
      </c>
      <c r="I687" s="16"/>
      <c r="J687" s="49"/>
      <c r="K687" s="13"/>
      <c r="L687" s="11" t="s">
        <v>27</v>
      </c>
      <c r="M687" s="24" t="s">
        <v>177</v>
      </c>
      <c r="N687" s="175" t="b">
        <v>1</v>
      </c>
      <c r="O687" s="15" t="b">
        <f t="shared" si="2"/>
        <v>0</v>
      </c>
      <c r="P687" s="15" t="str">
        <f t="shared" si="3"/>
        <v>PENDING</v>
      </c>
    </row>
    <row r="688" ht="15.75" customHeight="1">
      <c r="A688" s="7" t="s">
        <v>1763</v>
      </c>
      <c r="B688" s="8" t="s">
        <v>1764</v>
      </c>
      <c r="C688" s="9">
        <v>45947.0</v>
      </c>
      <c r="D688" s="9">
        <v>45947.0</v>
      </c>
      <c r="E688" s="7" t="s">
        <v>1724</v>
      </c>
      <c r="F688" s="11" t="s">
        <v>23</v>
      </c>
      <c r="G688" s="11" t="s">
        <v>30</v>
      </c>
      <c r="H688" s="11" t="s">
        <v>25</v>
      </c>
      <c r="I688" s="16"/>
      <c r="J688" s="12"/>
      <c r="K688" s="13"/>
      <c r="L688" s="11" t="s">
        <v>27</v>
      </c>
      <c r="M688" s="7" t="s">
        <v>1724</v>
      </c>
      <c r="N688" s="14" t="b">
        <f t="shared" ref="N688:N703" si="53">if(H688=$H$2,TRUE,O688)</f>
        <v>1</v>
      </c>
      <c r="O688" s="15" t="b">
        <f t="shared" si="2"/>
        <v>0</v>
      </c>
      <c r="P688" s="15" t="str">
        <f t="shared" si="3"/>
        <v>APPROVED</v>
      </c>
    </row>
    <row r="689" ht="15.75" customHeight="1">
      <c r="A689" s="7" t="s">
        <v>1765</v>
      </c>
      <c r="B689" s="13" t="s">
        <v>1766</v>
      </c>
      <c r="C689" s="9">
        <v>45938.0</v>
      </c>
      <c r="D689" s="9">
        <v>45938.0</v>
      </c>
      <c r="E689" s="7" t="s">
        <v>715</v>
      </c>
      <c r="F689" s="11" t="s">
        <v>23</v>
      </c>
      <c r="G689" s="11" t="s">
        <v>30</v>
      </c>
      <c r="H689" s="11" t="s">
        <v>25</v>
      </c>
      <c r="I689" s="16"/>
      <c r="J689" s="12" t="s">
        <v>1767</v>
      </c>
      <c r="K689" s="13"/>
      <c r="L689" s="11" t="s">
        <v>27</v>
      </c>
      <c r="M689" s="7" t="s">
        <v>715</v>
      </c>
      <c r="N689" s="14" t="b">
        <f t="shared" si="53"/>
        <v>1</v>
      </c>
      <c r="O689" s="15" t="b">
        <f t="shared" si="2"/>
        <v>0</v>
      </c>
      <c r="P689" s="15" t="str">
        <f t="shared" si="3"/>
        <v>APPROVED</v>
      </c>
    </row>
    <row r="690" ht="15.75" customHeight="1">
      <c r="A690" s="7" t="s">
        <v>1768</v>
      </c>
      <c r="B690" s="13" t="s">
        <v>1769</v>
      </c>
      <c r="C690" s="9">
        <v>45938.0</v>
      </c>
      <c r="D690" s="9">
        <v>45938.0</v>
      </c>
      <c r="E690" s="7" t="s">
        <v>715</v>
      </c>
      <c r="F690" s="11" t="s">
        <v>23</v>
      </c>
      <c r="G690" s="11" t="s">
        <v>30</v>
      </c>
      <c r="H690" s="11" t="s">
        <v>25</v>
      </c>
      <c r="I690" s="16"/>
      <c r="J690" s="12" t="s">
        <v>1767</v>
      </c>
      <c r="K690" s="13"/>
      <c r="L690" s="11" t="s">
        <v>27</v>
      </c>
      <c r="M690" s="7" t="s">
        <v>715</v>
      </c>
      <c r="N690" s="14" t="b">
        <f t="shared" si="53"/>
        <v>1</v>
      </c>
      <c r="O690" s="15" t="b">
        <f t="shared" si="2"/>
        <v>0</v>
      </c>
      <c r="P690" s="15" t="str">
        <f t="shared" si="3"/>
        <v>APPROVED</v>
      </c>
    </row>
    <row r="691" ht="15.75" customHeight="1">
      <c r="A691" s="7" t="s">
        <v>1770</v>
      </c>
      <c r="B691" s="13" t="s">
        <v>268</v>
      </c>
      <c r="C691" s="9">
        <v>45944.0</v>
      </c>
      <c r="D691" s="9">
        <v>45944.0</v>
      </c>
      <c r="E691" s="7" t="s">
        <v>715</v>
      </c>
      <c r="F691" s="11" t="s">
        <v>23</v>
      </c>
      <c r="G691" s="11" t="s">
        <v>30</v>
      </c>
      <c r="H691" s="11" t="s">
        <v>25</v>
      </c>
      <c r="I691" s="16"/>
      <c r="J691" s="12" t="s">
        <v>1767</v>
      </c>
      <c r="K691" s="13"/>
      <c r="L691" s="11" t="s">
        <v>27</v>
      </c>
      <c r="M691" s="7" t="s">
        <v>715</v>
      </c>
      <c r="N691" s="14" t="b">
        <f t="shared" si="53"/>
        <v>1</v>
      </c>
      <c r="O691" s="15" t="b">
        <f t="shared" si="2"/>
        <v>0</v>
      </c>
      <c r="P691" s="15" t="str">
        <f t="shared" si="3"/>
        <v>APPROVED</v>
      </c>
    </row>
    <row r="692" ht="15.75" customHeight="1">
      <c r="A692" s="7" t="s">
        <v>1771</v>
      </c>
      <c r="B692" s="8" t="s">
        <v>999</v>
      </c>
      <c r="C692" s="9">
        <v>45940.0</v>
      </c>
      <c r="D692" s="9">
        <v>45940.0</v>
      </c>
      <c r="E692" s="7" t="s">
        <v>715</v>
      </c>
      <c r="F692" s="11" t="s">
        <v>23</v>
      </c>
      <c r="G692" s="11" t="s">
        <v>30</v>
      </c>
      <c r="H692" s="11" t="s">
        <v>25</v>
      </c>
      <c r="I692" s="16"/>
      <c r="J692" s="12" t="s">
        <v>1767</v>
      </c>
      <c r="K692" s="13"/>
      <c r="L692" s="11" t="s">
        <v>27</v>
      </c>
      <c r="M692" s="7" t="s">
        <v>715</v>
      </c>
      <c r="N692" s="14" t="b">
        <f t="shared" si="53"/>
        <v>1</v>
      </c>
      <c r="O692" s="15" t="b">
        <f t="shared" si="2"/>
        <v>0</v>
      </c>
      <c r="P692" s="15" t="str">
        <f t="shared" si="3"/>
        <v>APPROVED</v>
      </c>
    </row>
    <row r="693" ht="15.75" customHeight="1">
      <c r="A693" s="24" t="s">
        <v>1772</v>
      </c>
      <c r="B693" s="25" t="s">
        <v>473</v>
      </c>
      <c r="C693" s="26">
        <v>45944.0</v>
      </c>
      <c r="D693" s="26">
        <v>45944.0</v>
      </c>
      <c r="E693" s="24" t="s">
        <v>177</v>
      </c>
      <c r="F693" s="28" t="s">
        <v>23</v>
      </c>
      <c r="G693" s="28" t="s">
        <v>172</v>
      </c>
      <c r="H693" s="28" t="s">
        <v>84</v>
      </c>
      <c r="J693" s="29" t="s">
        <v>1773</v>
      </c>
      <c r="K693" s="29" t="s">
        <v>1526</v>
      </c>
      <c r="L693" s="28" t="s">
        <v>27</v>
      </c>
      <c r="M693" s="24" t="s">
        <v>177</v>
      </c>
      <c r="N693" s="14" t="b">
        <f t="shared" si="53"/>
        <v>0</v>
      </c>
      <c r="O693" s="15" t="b">
        <f t="shared" si="2"/>
        <v>0</v>
      </c>
      <c r="P693" s="15" t="str">
        <f t="shared" si="3"/>
        <v>PENDING</v>
      </c>
    </row>
    <row r="694" ht="15.75" customHeight="1">
      <c r="A694" s="24" t="s">
        <v>1774</v>
      </c>
      <c r="B694" s="25" t="s">
        <v>1775</v>
      </c>
      <c r="C694" s="26">
        <v>45943.0</v>
      </c>
      <c r="D694" s="26">
        <v>45943.0</v>
      </c>
      <c r="E694" s="24" t="s">
        <v>715</v>
      </c>
      <c r="F694" s="28" t="s">
        <v>23</v>
      </c>
      <c r="G694" s="28" t="s">
        <v>172</v>
      </c>
      <c r="H694" s="28" t="s">
        <v>49</v>
      </c>
      <c r="J694" s="29"/>
      <c r="K694" s="25"/>
      <c r="L694" s="28" t="s">
        <v>27</v>
      </c>
      <c r="M694" s="24" t="s">
        <v>715</v>
      </c>
      <c r="N694" s="14" t="b">
        <f t="shared" si="53"/>
        <v>0</v>
      </c>
      <c r="O694" s="15" t="b">
        <f t="shared" si="2"/>
        <v>0</v>
      </c>
      <c r="P694" s="15" t="str">
        <f t="shared" si="3"/>
        <v>PENDING</v>
      </c>
    </row>
    <row r="695" ht="15.75" customHeight="1">
      <c r="A695" s="24" t="s">
        <v>1776</v>
      </c>
      <c r="B695" s="115" t="s">
        <v>422</v>
      </c>
      <c r="C695" s="26">
        <v>45939.0</v>
      </c>
      <c r="D695" s="26">
        <v>45939.0</v>
      </c>
      <c r="E695" s="24" t="s">
        <v>715</v>
      </c>
      <c r="F695" s="28" t="s">
        <v>23</v>
      </c>
      <c r="G695" s="28" t="s">
        <v>172</v>
      </c>
      <c r="H695" s="28" t="s">
        <v>49</v>
      </c>
      <c r="J695" s="29"/>
      <c r="K695" s="25"/>
      <c r="L695" s="28" t="s">
        <v>27</v>
      </c>
      <c r="M695" s="24" t="s">
        <v>715</v>
      </c>
      <c r="N695" s="14" t="b">
        <f t="shared" si="53"/>
        <v>0</v>
      </c>
      <c r="O695" s="15" t="b">
        <f t="shared" si="2"/>
        <v>0</v>
      </c>
      <c r="P695" s="15" t="str">
        <f t="shared" si="3"/>
        <v>PENDING</v>
      </c>
    </row>
    <row r="696" ht="15.75" customHeight="1">
      <c r="A696" s="24" t="s">
        <v>1777</v>
      </c>
      <c r="B696" s="25" t="s">
        <v>1778</v>
      </c>
      <c r="C696" s="26">
        <v>45938.0</v>
      </c>
      <c r="D696" s="26">
        <v>45938.0</v>
      </c>
      <c r="E696" s="24" t="s">
        <v>715</v>
      </c>
      <c r="F696" s="28" t="s">
        <v>23</v>
      </c>
      <c r="G696" s="28" t="s">
        <v>172</v>
      </c>
      <c r="H696" s="28" t="s">
        <v>49</v>
      </c>
      <c r="J696" s="29"/>
      <c r="K696" s="25"/>
      <c r="L696" s="28" t="s">
        <v>27</v>
      </c>
      <c r="M696" s="24" t="s">
        <v>715</v>
      </c>
      <c r="N696" s="14" t="b">
        <f t="shared" si="53"/>
        <v>0</v>
      </c>
      <c r="O696" s="15" t="b">
        <f t="shared" si="2"/>
        <v>0</v>
      </c>
      <c r="P696" s="15" t="str">
        <f t="shared" si="3"/>
        <v>PENDING</v>
      </c>
    </row>
    <row r="697" ht="15.75" customHeight="1">
      <c r="A697" s="24" t="s">
        <v>1779</v>
      </c>
      <c r="B697" s="25" t="s">
        <v>1780</v>
      </c>
      <c r="C697" s="26">
        <v>45940.0</v>
      </c>
      <c r="D697" s="26">
        <v>45940.0</v>
      </c>
      <c r="E697" s="24" t="s">
        <v>715</v>
      </c>
      <c r="F697" s="28" t="s">
        <v>23</v>
      </c>
      <c r="G697" s="28" t="s">
        <v>172</v>
      </c>
      <c r="H697" s="28" t="s">
        <v>482</v>
      </c>
      <c r="J697" s="29"/>
      <c r="K697" s="25"/>
      <c r="L697" s="28" t="s">
        <v>27</v>
      </c>
      <c r="M697" s="24" t="s">
        <v>715</v>
      </c>
      <c r="N697" s="14" t="b">
        <f t="shared" si="53"/>
        <v>0</v>
      </c>
      <c r="O697" s="15" t="b">
        <f t="shared" si="2"/>
        <v>0</v>
      </c>
      <c r="P697" s="15" t="str">
        <f t="shared" si="3"/>
        <v>PENDING</v>
      </c>
    </row>
    <row r="698" ht="15.75" customHeight="1">
      <c r="A698" s="24" t="s">
        <v>1781</v>
      </c>
      <c r="B698" s="115" t="s">
        <v>1509</v>
      </c>
      <c r="C698" s="26">
        <v>45944.0</v>
      </c>
      <c r="D698" s="26">
        <v>45944.0</v>
      </c>
      <c r="E698" s="24" t="s">
        <v>715</v>
      </c>
      <c r="F698" s="28" t="s">
        <v>23</v>
      </c>
      <c r="G698" s="28" t="s">
        <v>172</v>
      </c>
      <c r="H698" s="28" t="s">
        <v>49</v>
      </c>
      <c r="J698" s="29"/>
      <c r="K698" s="25"/>
      <c r="L698" s="28" t="s">
        <v>27</v>
      </c>
      <c r="M698" s="24" t="s">
        <v>715</v>
      </c>
      <c r="N698" s="14" t="b">
        <f t="shared" si="53"/>
        <v>0</v>
      </c>
      <c r="O698" s="15" t="b">
        <f t="shared" si="2"/>
        <v>0</v>
      </c>
      <c r="P698" s="15" t="str">
        <f t="shared" si="3"/>
        <v>PENDING</v>
      </c>
    </row>
    <row r="699" ht="15.75" customHeight="1">
      <c r="A699" s="24" t="s">
        <v>1782</v>
      </c>
      <c r="B699" s="25" t="s">
        <v>1783</v>
      </c>
      <c r="C699" s="26">
        <v>45944.0</v>
      </c>
      <c r="D699" s="26">
        <v>45944.0</v>
      </c>
      <c r="E699" s="24" t="s">
        <v>715</v>
      </c>
      <c r="F699" s="28" t="s">
        <v>23</v>
      </c>
      <c r="G699" s="28" t="s">
        <v>172</v>
      </c>
      <c r="H699" s="28" t="s">
        <v>49</v>
      </c>
      <c r="J699" s="29"/>
      <c r="K699" s="25"/>
      <c r="L699" s="28" t="s">
        <v>27</v>
      </c>
      <c r="M699" s="24" t="s">
        <v>715</v>
      </c>
      <c r="N699" s="14" t="b">
        <f t="shared" si="53"/>
        <v>0</v>
      </c>
      <c r="O699" s="15" t="b">
        <f t="shared" si="2"/>
        <v>0</v>
      </c>
      <c r="P699" s="15" t="str">
        <f t="shared" si="3"/>
        <v>PENDING</v>
      </c>
    </row>
    <row r="700" ht="15.75" customHeight="1">
      <c r="A700" s="24" t="s">
        <v>1784</v>
      </c>
      <c r="B700" s="25" t="s">
        <v>1785</v>
      </c>
      <c r="C700" s="26">
        <v>45943.0</v>
      </c>
      <c r="D700" s="26">
        <v>45943.0</v>
      </c>
      <c r="E700" s="24" t="s">
        <v>1376</v>
      </c>
      <c r="F700" s="28" t="s">
        <v>23</v>
      </c>
      <c r="G700" s="28" t="s">
        <v>172</v>
      </c>
      <c r="H700" s="28" t="s">
        <v>84</v>
      </c>
      <c r="J700" s="29" t="s">
        <v>1786</v>
      </c>
      <c r="K700" s="25"/>
      <c r="L700" s="28" t="s">
        <v>27</v>
      </c>
      <c r="M700" s="24" t="s">
        <v>1376</v>
      </c>
      <c r="N700" s="14" t="b">
        <f t="shared" si="53"/>
        <v>0</v>
      </c>
      <c r="O700" s="15" t="b">
        <f t="shared" si="2"/>
        <v>0</v>
      </c>
      <c r="P700" s="15" t="str">
        <f t="shared" si="3"/>
        <v>PENDING</v>
      </c>
    </row>
    <row r="701" ht="15.75" customHeight="1">
      <c r="A701" s="24" t="s">
        <v>1787</v>
      </c>
      <c r="B701" s="115" t="s">
        <v>1788</v>
      </c>
      <c r="C701" s="26">
        <v>45943.0</v>
      </c>
      <c r="D701" s="26">
        <v>45943.0</v>
      </c>
      <c r="E701" s="24" t="s">
        <v>1376</v>
      </c>
      <c r="F701" s="28" t="s">
        <v>23</v>
      </c>
      <c r="G701" s="28" t="s">
        <v>172</v>
      </c>
      <c r="H701" s="28" t="s">
        <v>482</v>
      </c>
      <c r="J701" s="29"/>
      <c r="K701" s="25"/>
      <c r="L701" s="28" t="s">
        <v>27</v>
      </c>
      <c r="M701" s="24" t="s">
        <v>1376</v>
      </c>
      <c r="N701" s="14" t="b">
        <f t="shared" si="53"/>
        <v>0</v>
      </c>
      <c r="O701" s="15" t="b">
        <f t="shared" si="2"/>
        <v>0</v>
      </c>
      <c r="P701" s="15" t="str">
        <f t="shared" si="3"/>
        <v>PENDING</v>
      </c>
    </row>
    <row r="702" ht="15.75" customHeight="1">
      <c r="A702" s="24" t="s">
        <v>1789</v>
      </c>
      <c r="B702" s="25" t="s">
        <v>1790</v>
      </c>
      <c r="C702" s="26">
        <v>45943.0</v>
      </c>
      <c r="D702" s="26">
        <v>45943.0</v>
      </c>
      <c r="E702" s="24" t="s">
        <v>1376</v>
      </c>
      <c r="F702" s="28" t="s">
        <v>23</v>
      </c>
      <c r="G702" s="28" t="s">
        <v>172</v>
      </c>
      <c r="H702" s="28" t="s">
        <v>84</v>
      </c>
      <c r="J702" s="29" t="s">
        <v>1791</v>
      </c>
      <c r="K702" s="25"/>
      <c r="L702" s="28" t="s">
        <v>27</v>
      </c>
      <c r="M702" s="24" t="s">
        <v>1376</v>
      </c>
      <c r="N702" s="14" t="b">
        <f t="shared" si="53"/>
        <v>0</v>
      </c>
      <c r="O702" s="15" t="b">
        <f t="shared" si="2"/>
        <v>0</v>
      </c>
      <c r="P702" s="15" t="str">
        <f t="shared" si="3"/>
        <v>PENDING</v>
      </c>
    </row>
    <row r="703" ht="15.75" customHeight="1">
      <c r="A703" s="24" t="s">
        <v>1792</v>
      </c>
      <c r="B703" s="115" t="s">
        <v>1793</v>
      </c>
      <c r="C703" s="26">
        <v>45943.0</v>
      </c>
      <c r="D703" s="26">
        <v>45943.0</v>
      </c>
      <c r="E703" s="24" t="s">
        <v>1376</v>
      </c>
      <c r="F703" s="28" t="s">
        <v>23</v>
      </c>
      <c r="G703" s="28" t="s">
        <v>172</v>
      </c>
      <c r="H703" s="28" t="s">
        <v>482</v>
      </c>
      <c r="J703" s="29"/>
      <c r="K703" s="25"/>
      <c r="L703" s="28" t="s">
        <v>27</v>
      </c>
      <c r="M703" s="24" t="s">
        <v>1376</v>
      </c>
      <c r="N703" s="14" t="b">
        <f t="shared" si="53"/>
        <v>0</v>
      </c>
      <c r="O703" s="15" t="b">
        <f t="shared" si="2"/>
        <v>0</v>
      </c>
      <c r="P703" s="15" t="str">
        <f t="shared" si="3"/>
        <v>PENDING</v>
      </c>
    </row>
    <row r="704" ht="15.75" customHeight="1">
      <c r="A704" s="24" t="s">
        <v>1794</v>
      </c>
      <c r="B704" s="25" t="s">
        <v>1795</v>
      </c>
      <c r="C704" s="26">
        <v>45944.0</v>
      </c>
      <c r="D704" s="26">
        <v>45944.0</v>
      </c>
      <c r="E704" s="24" t="s">
        <v>1376</v>
      </c>
      <c r="F704" s="28" t="s">
        <v>23</v>
      </c>
      <c r="G704" s="28" t="s">
        <v>172</v>
      </c>
      <c r="H704" s="28" t="s">
        <v>25</v>
      </c>
      <c r="J704" s="29" t="s">
        <v>923</v>
      </c>
      <c r="K704" s="25" t="s">
        <v>1796</v>
      </c>
      <c r="L704" s="28" t="s">
        <v>27</v>
      </c>
      <c r="M704" s="24" t="s">
        <v>1376</v>
      </c>
      <c r="N704" s="175" t="b">
        <v>0</v>
      </c>
      <c r="O704" s="15" t="b">
        <f t="shared" si="2"/>
        <v>0</v>
      </c>
      <c r="P704" s="15" t="str">
        <f t="shared" si="3"/>
        <v>APPROVED</v>
      </c>
    </row>
    <row r="705" ht="15.75" customHeight="1">
      <c r="A705" s="24" t="s">
        <v>1797</v>
      </c>
      <c r="B705" s="25" t="s">
        <v>1647</v>
      </c>
      <c r="C705" s="26">
        <v>45944.0</v>
      </c>
      <c r="D705" s="26">
        <v>45944.0</v>
      </c>
      <c r="E705" s="24" t="s">
        <v>1387</v>
      </c>
      <c r="F705" s="28" t="s">
        <v>23</v>
      </c>
      <c r="G705" s="28" t="s">
        <v>172</v>
      </c>
      <c r="H705" s="28" t="s">
        <v>482</v>
      </c>
      <c r="J705" s="29"/>
      <c r="K705" s="25"/>
      <c r="L705" s="28" t="s">
        <v>27</v>
      </c>
      <c r="M705" s="24" t="s">
        <v>1387</v>
      </c>
      <c r="N705" s="14" t="b">
        <f t="shared" ref="N705:N720" si="54">if(H705=$H$2,TRUE,O705)</f>
        <v>0</v>
      </c>
      <c r="O705" s="15" t="b">
        <f t="shared" si="2"/>
        <v>0</v>
      </c>
      <c r="P705" s="15" t="str">
        <f t="shared" si="3"/>
        <v>PENDING</v>
      </c>
    </row>
    <row r="706" ht="15.75" customHeight="1">
      <c r="A706" s="24" t="s">
        <v>1798</v>
      </c>
      <c r="B706" s="25" t="s">
        <v>1799</v>
      </c>
      <c r="C706" s="26">
        <v>45943.0</v>
      </c>
      <c r="D706" s="26">
        <v>45943.0</v>
      </c>
      <c r="E706" s="24" t="s">
        <v>1376</v>
      </c>
      <c r="F706" s="28" t="s">
        <v>23</v>
      </c>
      <c r="G706" s="28" t="s">
        <v>172</v>
      </c>
      <c r="H706" s="28" t="s">
        <v>482</v>
      </c>
      <c r="J706" s="29"/>
      <c r="K706" s="25"/>
      <c r="L706" s="28" t="s">
        <v>27</v>
      </c>
      <c r="M706" s="24" t="s">
        <v>1376</v>
      </c>
      <c r="N706" s="14" t="b">
        <f t="shared" si="54"/>
        <v>0</v>
      </c>
      <c r="O706" s="15" t="b">
        <f t="shared" si="2"/>
        <v>0</v>
      </c>
      <c r="P706" s="15" t="str">
        <f t="shared" si="3"/>
        <v>PENDING</v>
      </c>
    </row>
    <row r="707" ht="15.75" customHeight="1">
      <c r="A707" s="24" t="s">
        <v>1800</v>
      </c>
      <c r="B707" s="25" t="s">
        <v>1801</v>
      </c>
      <c r="C707" s="26">
        <v>45953.0</v>
      </c>
      <c r="D707" s="26">
        <v>45953.0</v>
      </c>
      <c r="E707" s="24" t="s">
        <v>1376</v>
      </c>
      <c r="F707" s="28" t="s">
        <v>23</v>
      </c>
      <c r="G707" s="28" t="s">
        <v>172</v>
      </c>
      <c r="H707" s="28" t="s">
        <v>84</v>
      </c>
      <c r="J707" s="29" t="s">
        <v>1684</v>
      </c>
      <c r="K707" s="25"/>
      <c r="L707" s="28" t="s">
        <v>27</v>
      </c>
      <c r="M707" s="24" t="s">
        <v>1376</v>
      </c>
      <c r="N707" s="14" t="b">
        <f t="shared" si="54"/>
        <v>0</v>
      </c>
      <c r="O707" s="15" t="b">
        <f t="shared" si="2"/>
        <v>0</v>
      </c>
      <c r="P707" s="15" t="str">
        <f t="shared" si="3"/>
        <v>PENDING</v>
      </c>
    </row>
    <row r="708" ht="15.75" customHeight="1">
      <c r="A708" s="24" t="s">
        <v>1802</v>
      </c>
      <c r="B708" s="25" t="s">
        <v>1803</v>
      </c>
      <c r="C708" s="26">
        <v>45953.0</v>
      </c>
      <c r="D708" s="26">
        <v>45953.0</v>
      </c>
      <c r="E708" s="24" t="s">
        <v>1376</v>
      </c>
      <c r="F708" s="28" t="s">
        <v>23</v>
      </c>
      <c r="G708" s="28" t="s">
        <v>172</v>
      </c>
      <c r="H708" s="28" t="s">
        <v>482</v>
      </c>
      <c r="J708" s="29"/>
      <c r="K708" s="29"/>
      <c r="L708" s="28" t="s">
        <v>27</v>
      </c>
      <c r="M708" s="24" t="s">
        <v>1376</v>
      </c>
      <c r="N708" s="14" t="b">
        <f t="shared" si="54"/>
        <v>0</v>
      </c>
      <c r="O708" s="15" t="b">
        <f t="shared" si="2"/>
        <v>0</v>
      </c>
      <c r="P708" s="15" t="str">
        <f t="shared" si="3"/>
        <v>PENDING</v>
      </c>
    </row>
    <row r="709" ht="15.75" customHeight="1">
      <c r="A709" s="24" t="s">
        <v>1804</v>
      </c>
      <c r="B709" s="115" t="s">
        <v>495</v>
      </c>
      <c r="C709" s="26">
        <v>45953.0</v>
      </c>
      <c r="D709" s="26">
        <v>45953.0</v>
      </c>
      <c r="E709" s="24" t="s">
        <v>177</v>
      </c>
      <c r="F709" s="28" t="s">
        <v>23</v>
      </c>
      <c r="G709" s="28" t="s">
        <v>172</v>
      </c>
      <c r="H709" s="28" t="s">
        <v>84</v>
      </c>
      <c r="J709" s="29" t="s">
        <v>1805</v>
      </c>
      <c r="K709" s="29" t="s">
        <v>1806</v>
      </c>
      <c r="L709" s="28" t="s">
        <v>27</v>
      </c>
      <c r="M709" s="24" t="s">
        <v>177</v>
      </c>
      <c r="N709" s="14" t="b">
        <f t="shared" si="54"/>
        <v>0</v>
      </c>
      <c r="O709" s="15" t="b">
        <f t="shared" si="2"/>
        <v>0</v>
      </c>
      <c r="P709" s="15" t="str">
        <f t="shared" si="3"/>
        <v>PENDING</v>
      </c>
    </row>
    <row r="710" ht="15.75" customHeight="1">
      <c r="A710" s="24" t="s">
        <v>1807</v>
      </c>
      <c r="B710" s="25" t="s">
        <v>1808</v>
      </c>
      <c r="C710" s="26">
        <v>45954.0</v>
      </c>
      <c r="D710" s="26">
        <v>45954.0</v>
      </c>
      <c r="E710" s="24" t="s">
        <v>177</v>
      </c>
      <c r="F710" s="28" t="s">
        <v>23</v>
      </c>
      <c r="G710" s="28" t="s">
        <v>172</v>
      </c>
      <c r="H710" s="28" t="s">
        <v>482</v>
      </c>
      <c r="J710" s="29"/>
      <c r="K710" s="25"/>
      <c r="L710" s="28" t="s">
        <v>27</v>
      </c>
      <c r="M710" s="24" t="s">
        <v>177</v>
      </c>
      <c r="N710" s="14" t="b">
        <f t="shared" si="54"/>
        <v>0</v>
      </c>
      <c r="O710" s="15" t="b">
        <f t="shared" si="2"/>
        <v>0</v>
      </c>
      <c r="P710" s="15" t="str">
        <f t="shared" si="3"/>
        <v>PENDING</v>
      </c>
    </row>
    <row r="711" ht="15.75" customHeight="1">
      <c r="A711" s="24" t="s">
        <v>1809</v>
      </c>
      <c r="B711" s="115" t="s">
        <v>461</v>
      </c>
      <c r="C711" s="26">
        <v>45954.0</v>
      </c>
      <c r="D711" s="26">
        <v>45954.0</v>
      </c>
      <c r="E711" s="24" t="s">
        <v>177</v>
      </c>
      <c r="F711" s="28" t="s">
        <v>23</v>
      </c>
      <c r="G711" s="28" t="s">
        <v>172</v>
      </c>
      <c r="H711" s="28" t="s">
        <v>482</v>
      </c>
      <c r="J711" s="29"/>
      <c r="K711" s="25"/>
      <c r="L711" s="28" t="s">
        <v>27</v>
      </c>
      <c r="M711" s="24" t="s">
        <v>177</v>
      </c>
      <c r="N711" s="14" t="b">
        <f t="shared" si="54"/>
        <v>0</v>
      </c>
      <c r="O711" s="15" t="b">
        <f t="shared" si="2"/>
        <v>0</v>
      </c>
      <c r="P711" s="15" t="str">
        <f t="shared" si="3"/>
        <v>PENDING</v>
      </c>
    </row>
    <row r="712" ht="15.75" customHeight="1">
      <c r="A712" s="24" t="s">
        <v>1810</v>
      </c>
      <c r="B712" s="25" t="s">
        <v>1373</v>
      </c>
      <c r="C712" s="26">
        <v>45960.0</v>
      </c>
      <c r="D712" s="26">
        <v>45960.0</v>
      </c>
      <c r="E712" s="24" t="s">
        <v>1387</v>
      </c>
      <c r="F712" s="28" t="s">
        <v>23</v>
      </c>
      <c r="G712" s="28" t="s">
        <v>172</v>
      </c>
      <c r="H712" s="28" t="s">
        <v>482</v>
      </c>
      <c r="J712" s="29"/>
      <c r="K712" s="25"/>
      <c r="L712" s="28" t="s">
        <v>27</v>
      </c>
      <c r="M712" s="24" t="s">
        <v>1387</v>
      </c>
      <c r="N712" s="14" t="b">
        <f t="shared" si="54"/>
        <v>0</v>
      </c>
      <c r="O712" s="15" t="b">
        <f t="shared" si="2"/>
        <v>0</v>
      </c>
      <c r="P712" s="15" t="str">
        <f t="shared" si="3"/>
        <v>PENDING</v>
      </c>
    </row>
    <row r="713" ht="15.75" customHeight="1">
      <c r="A713" s="24" t="s">
        <v>1811</v>
      </c>
      <c r="B713" s="115" t="s">
        <v>1812</v>
      </c>
      <c r="C713" s="26">
        <v>45961.0</v>
      </c>
      <c r="D713" s="26">
        <v>45961.0</v>
      </c>
      <c r="E713" s="24" t="s">
        <v>1387</v>
      </c>
      <c r="F713" s="28" t="s">
        <v>23</v>
      </c>
      <c r="G713" s="28" t="s">
        <v>172</v>
      </c>
      <c r="H713" s="28" t="s">
        <v>482</v>
      </c>
      <c r="J713" s="29" t="s">
        <v>1813</v>
      </c>
      <c r="K713" s="25"/>
      <c r="L713" s="28" t="s">
        <v>27</v>
      </c>
      <c r="M713" s="24" t="s">
        <v>1387</v>
      </c>
      <c r="N713" s="14" t="b">
        <f t="shared" si="54"/>
        <v>0</v>
      </c>
      <c r="O713" s="15" t="b">
        <f t="shared" si="2"/>
        <v>0</v>
      </c>
      <c r="P713" s="15" t="str">
        <f t="shared" si="3"/>
        <v>PENDING</v>
      </c>
    </row>
    <row r="714" ht="15.75" customHeight="1">
      <c r="A714" s="30" t="s">
        <v>1816</v>
      </c>
      <c r="B714" s="58" t="s">
        <v>1801</v>
      </c>
      <c r="C714" s="32">
        <v>45952.0</v>
      </c>
      <c r="D714" s="32"/>
      <c r="E714" s="30" t="s">
        <v>1376</v>
      </c>
      <c r="F714" s="34" t="s">
        <v>23</v>
      </c>
      <c r="G714" s="34" t="s">
        <v>48</v>
      </c>
      <c r="H714" s="34" t="s">
        <v>49</v>
      </c>
      <c r="I714" s="66"/>
      <c r="J714" s="35"/>
      <c r="K714" s="31"/>
      <c r="L714" s="30" t="s">
        <v>98</v>
      </c>
      <c r="M714" s="30" t="s">
        <v>1376</v>
      </c>
      <c r="N714" s="14" t="b">
        <f t="shared" si="54"/>
        <v>1</v>
      </c>
      <c r="O714" s="15" t="b">
        <f t="shared" si="2"/>
        <v>1</v>
      </c>
      <c r="P714" s="15" t="str">
        <f t="shared" si="3"/>
        <v>PENDING</v>
      </c>
    </row>
    <row r="715" ht="15.75" customHeight="1">
      <c r="A715" s="30" t="s">
        <v>1817</v>
      </c>
      <c r="B715" s="58" t="s">
        <v>1181</v>
      </c>
      <c r="C715" s="32">
        <v>45953.0</v>
      </c>
      <c r="D715" s="32"/>
      <c r="E715" s="30" t="s">
        <v>1182</v>
      </c>
      <c r="F715" s="34" t="s">
        <v>23</v>
      </c>
      <c r="G715" s="34" t="s">
        <v>30</v>
      </c>
      <c r="H715" s="30" t="s">
        <v>31</v>
      </c>
      <c r="I715" s="66"/>
      <c r="J715" s="35"/>
      <c r="K715" s="58" t="s">
        <v>1818</v>
      </c>
      <c r="L715" s="30" t="s">
        <v>98</v>
      </c>
      <c r="M715" s="30" t="s">
        <v>1182</v>
      </c>
      <c r="N715" s="14" t="b">
        <f t="shared" si="54"/>
        <v>1</v>
      </c>
      <c r="O715" s="15" t="b">
        <f t="shared" si="2"/>
        <v>1</v>
      </c>
      <c r="P715" s="15" t="str">
        <f t="shared" si="3"/>
        <v>PENDING</v>
      </c>
    </row>
    <row r="716" ht="15.75" customHeight="1">
      <c r="A716" s="7" t="s">
        <v>1819</v>
      </c>
      <c r="B716" s="13" t="s">
        <v>1820</v>
      </c>
      <c r="C716" s="9">
        <v>45950.0</v>
      </c>
      <c r="D716" s="9">
        <v>45950.0</v>
      </c>
      <c r="E716" s="7" t="s">
        <v>715</v>
      </c>
      <c r="F716" s="11" t="s">
        <v>23</v>
      </c>
      <c r="G716" s="11" t="s">
        <v>30</v>
      </c>
      <c r="H716" s="11" t="s">
        <v>25</v>
      </c>
      <c r="I716" s="16"/>
      <c r="J716" s="12"/>
      <c r="K716" s="13"/>
      <c r="L716" s="11" t="s">
        <v>27</v>
      </c>
      <c r="M716" s="7" t="s">
        <v>715</v>
      </c>
      <c r="N716" s="14" t="b">
        <f t="shared" si="54"/>
        <v>1</v>
      </c>
      <c r="O716" s="15" t="b">
        <f t="shared" si="2"/>
        <v>0</v>
      </c>
      <c r="P716" s="15" t="str">
        <f t="shared" si="3"/>
        <v>APPROVED</v>
      </c>
    </row>
    <row r="717" ht="15.75" customHeight="1">
      <c r="A717" s="24" t="s">
        <v>1821</v>
      </c>
      <c r="B717" s="115" t="s">
        <v>1195</v>
      </c>
      <c r="C717" s="26">
        <v>45946.0</v>
      </c>
      <c r="D717" s="26">
        <v>45946.0</v>
      </c>
      <c r="E717" s="24" t="s">
        <v>715</v>
      </c>
      <c r="F717" s="28" t="s">
        <v>23</v>
      </c>
      <c r="G717" s="28" t="s">
        <v>172</v>
      </c>
      <c r="H717" s="28" t="s">
        <v>84</v>
      </c>
      <c r="J717" s="29" t="s">
        <v>1822</v>
      </c>
      <c r="K717" s="25"/>
      <c r="L717" s="28" t="s">
        <v>27</v>
      </c>
      <c r="M717" s="24" t="s">
        <v>715</v>
      </c>
      <c r="N717" s="14" t="b">
        <f t="shared" si="54"/>
        <v>0</v>
      </c>
      <c r="O717" s="15" t="b">
        <f t="shared" si="2"/>
        <v>0</v>
      </c>
      <c r="P717" s="15" t="str">
        <f t="shared" si="3"/>
        <v>PENDING</v>
      </c>
    </row>
    <row r="718" ht="15.75" customHeight="1">
      <c r="A718" s="24" t="s">
        <v>1823</v>
      </c>
      <c r="B718" s="25" t="s">
        <v>1824</v>
      </c>
      <c r="C718" s="26">
        <v>45950.0</v>
      </c>
      <c r="D718" s="26">
        <v>45950.0</v>
      </c>
      <c r="E718" s="24" t="s">
        <v>715</v>
      </c>
      <c r="F718" s="28" t="s">
        <v>23</v>
      </c>
      <c r="G718" s="28" t="s">
        <v>172</v>
      </c>
      <c r="H718" s="28" t="s">
        <v>49</v>
      </c>
      <c r="J718" s="29"/>
      <c r="K718" s="25"/>
      <c r="L718" s="28" t="s">
        <v>27</v>
      </c>
      <c r="M718" s="24" t="s">
        <v>715</v>
      </c>
      <c r="N718" s="14" t="b">
        <f t="shared" si="54"/>
        <v>0</v>
      </c>
      <c r="O718" s="15" t="b">
        <f t="shared" si="2"/>
        <v>0</v>
      </c>
      <c r="P718" s="15" t="str">
        <f t="shared" si="3"/>
        <v>PENDING</v>
      </c>
    </row>
    <row r="719" ht="15.75" customHeight="1">
      <c r="A719" s="7" t="s">
        <v>1825</v>
      </c>
      <c r="B719" s="13" t="s">
        <v>1826</v>
      </c>
      <c r="C719" s="9">
        <v>45950.0</v>
      </c>
      <c r="D719" s="9">
        <v>45950.0</v>
      </c>
      <c r="E719" s="7" t="s">
        <v>715</v>
      </c>
      <c r="F719" s="11" t="s">
        <v>23</v>
      </c>
      <c r="G719" s="11" t="s">
        <v>30</v>
      </c>
      <c r="H719" s="11" t="s">
        <v>25</v>
      </c>
      <c r="I719" s="16"/>
      <c r="J719" s="12"/>
      <c r="K719" s="13"/>
      <c r="L719" s="11" t="s">
        <v>27</v>
      </c>
      <c r="M719" s="7" t="s">
        <v>715</v>
      </c>
      <c r="N719" s="14" t="b">
        <f t="shared" si="54"/>
        <v>1</v>
      </c>
      <c r="O719" s="15" t="b">
        <f t="shared" si="2"/>
        <v>0</v>
      </c>
      <c r="P719" s="15" t="str">
        <f t="shared" si="3"/>
        <v>APPROVED</v>
      </c>
    </row>
    <row r="720" ht="15.75" customHeight="1">
      <c r="A720" s="7" t="s">
        <v>1827</v>
      </c>
      <c r="B720" s="13" t="s">
        <v>1828</v>
      </c>
      <c r="C720" s="9">
        <v>45952.0</v>
      </c>
      <c r="D720" s="9">
        <v>45952.0</v>
      </c>
      <c r="E720" s="7" t="s">
        <v>715</v>
      </c>
      <c r="F720" s="11" t="s">
        <v>23</v>
      </c>
      <c r="G720" s="11" t="s">
        <v>30</v>
      </c>
      <c r="H720" s="11" t="s">
        <v>25</v>
      </c>
      <c r="I720" s="16"/>
      <c r="J720" s="12"/>
      <c r="K720" s="12" t="s">
        <v>1806</v>
      </c>
      <c r="L720" s="11" t="s">
        <v>27</v>
      </c>
      <c r="M720" s="7" t="s">
        <v>715</v>
      </c>
      <c r="N720" s="14" t="b">
        <f t="shared" si="54"/>
        <v>1</v>
      </c>
      <c r="O720" s="15" t="b">
        <f t="shared" si="2"/>
        <v>0</v>
      </c>
      <c r="P720" s="15" t="str">
        <f t="shared" si="3"/>
        <v>APPROVED</v>
      </c>
    </row>
    <row r="721" ht="15.75" customHeight="1">
      <c r="A721" s="155" t="s">
        <v>1829</v>
      </c>
      <c r="B721" s="156" t="s">
        <v>1830</v>
      </c>
      <c r="C721" s="157">
        <v>45957.0</v>
      </c>
      <c r="D721" s="157">
        <v>45957.0</v>
      </c>
      <c r="E721" s="155" t="s">
        <v>715</v>
      </c>
      <c r="F721" s="159" t="s">
        <v>23</v>
      </c>
      <c r="G721" s="159" t="s">
        <v>30</v>
      </c>
      <c r="H721" s="155" t="s">
        <v>31</v>
      </c>
      <c r="I721" s="160"/>
      <c r="J721" s="161"/>
      <c r="K721" s="162"/>
      <c r="L721" s="159" t="s">
        <v>27</v>
      </c>
      <c r="M721" s="155" t="s">
        <v>715</v>
      </c>
      <c r="N721" s="175" t="b">
        <v>1</v>
      </c>
      <c r="O721" s="15" t="b">
        <f t="shared" si="2"/>
        <v>0</v>
      </c>
      <c r="P721" s="15" t="str">
        <f t="shared" si="3"/>
        <v>PENDING</v>
      </c>
    </row>
    <row r="722" ht="15.75" customHeight="1">
      <c r="A722" s="24" t="s">
        <v>1831</v>
      </c>
      <c r="B722" s="115" t="s">
        <v>906</v>
      </c>
      <c r="C722" s="26">
        <v>45964.0</v>
      </c>
      <c r="D722" s="26">
        <v>45964.0</v>
      </c>
      <c r="E722" s="24" t="s">
        <v>715</v>
      </c>
      <c r="F722" s="28" t="s">
        <v>23</v>
      </c>
      <c r="G722" s="28" t="s">
        <v>172</v>
      </c>
      <c r="H722" s="28" t="s">
        <v>482</v>
      </c>
      <c r="J722" s="29"/>
      <c r="K722" s="25"/>
      <c r="L722" s="28" t="s">
        <v>27</v>
      </c>
      <c r="M722" s="24" t="s">
        <v>715</v>
      </c>
      <c r="N722" s="14" t="b">
        <f t="shared" ref="N722:N731" si="55">if(H722=$H$2,TRUE,O722)</f>
        <v>0</v>
      </c>
      <c r="O722" s="15" t="b">
        <f t="shared" si="2"/>
        <v>0</v>
      </c>
      <c r="P722" s="15" t="str">
        <f t="shared" si="3"/>
        <v>PENDING</v>
      </c>
    </row>
    <row r="723" ht="15.75" customHeight="1">
      <c r="A723" s="7" t="s">
        <v>1832</v>
      </c>
      <c r="B723" s="13" t="s">
        <v>1581</v>
      </c>
      <c r="C723" s="9">
        <v>45964.0</v>
      </c>
      <c r="D723" s="9">
        <v>45964.0</v>
      </c>
      <c r="E723" s="7" t="s">
        <v>715</v>
      </c>
      <c r="F723" s="11" t="s">
        <v>23</v>
      </c>
      <c r="G723" s="11" t="s">
        <v>30</v>
      </c>
      <c r="H723" s="11" t="s">
        <v>25</v>
      </c>
      <c r="I723" s="16"/>
      <c r="J723" s="12" t="s">
        <v>1833</v>
      </c>
      <c r="K723" s="13"/>
      <c r="L723" s="11" t="s">
        <v>27</v>
      </c>
      <c r="M723" s="7" t="s">
        <v>715</v>
      </c>
      <c r="N723" s="14" t="b">
        <f t="shared" si="55"/>
        <v>1</v>
      </c>
      <c r="O723" s="15" t="b">
        <f t="shared" si="2"/>
        <v>0</v>
      </c>
      <c r="P723" s="15" t="str">
        <f t="shared" si="3"/>
        <v>APPROVED</v>
      </c>
    </row>
    <row r="724" ht="15.75" customHeight="1">
      <c r="A724" s="24" t="s">
        <v>1834</v>
      </c>
      <c r="B724" s="1" t="s">
        <v>1835</v>
      </c>
      <c r="C724" s="26">
        <v>45957.0</v>
      </c>
      <c r="D724" s="26">
        <v>45957.0</v>
      </c>
      <c r="E724" s="24" t="s">
        <v>715</v>
      </c>
      <c r="F724" s="28" t="s">
        <v>23</v>
      </c>
      <c r="G724" s="28" t="s">
        <v>30</v>
      </c>
      <c r="H724" s="24" t="s">
        <v>31</v>
      </c>
      <c r="J724" s="29"/>
      <c r="K724" s="115" t="s">
        <v>914</v>
      </c>
      <c r="L724" s="28" t="s">
        <v>27</v>
      </c>
      <c r="M724" s="24" t="s">
        <v>715</v>
      </c>
      <c r="N724" s="14" t="b">
        <f t="shared" si="55"/>
        <v>0</v>
      </c>
      <c r="O724" s="15" t="b">
        <f t="shared" si="2"/>
        <v>0</v>
      </c>
      <c r="P724" s="15" t="str">
        <f t="shared" si="3"/>
        <v>PENDING</v>
      </c>
    </row>
    <row r="725" ht="15.0" customHeight="1">
      <c r="A725" s="24" t="s">
        <v>1836</v>
      </c>
      <c r="B725" s="115" t="s">
        <v>1837</v>
      </c>
      <c r="C725" s="26">
        <v>45957.0</v>
      </c>
      <c r="D725" s="26">
        <v>45957.0</v>
      </c>
      <c r="E725" s="24" t="s">
        <v>715</v>
      </c>
      <c r="F725" s="28" t="s">
        <v>23</v>
      </c>
      <c r="G725" s="28" t="s">
        <v>30</v>
      </c>
      <c r="H725" s="24" t="s">
        <v>31</v>
      </c>
      <c r="J725" s="29"/>
      <c r="K725" s="115" t="s">
        <v>914</v>
      </c>
      <c r="L725" s="28" t="s">
        <v>27</v>
      </c>
      <c r="M725" s="24" t="s">
        <v>715</v>
      </c>
      <c r="N725" s="14" t="b">
        <f t="shared" si="55"/>
        <v>0</v>
      </c>
      <c r="O725" s="15" t="b">
        <f t="shared" si="2"/>
        <v>0</v>
      </c>
      <c r="P725" s="15" t="str">
        <f t="shared" si="3"/>
        <v>PENDING</v>
      </c>
    </row>
    <row r="726" ht="15.75" customHeight="1">
      <c r="A726" s="24" t="s">
        <v>1838</v>
      </c>
      <c r="B726" s="25" t="s">
        <v>1839</v>
      </c>
      <c r="C726" s="26">
        <v>45958.0</v>
      </c>
      <c r="D726" s="26">
        <v>45958.0</v>
      </c>
      <c r="E726" s="24" t="s">
        <v>715</v>
      </c>
      <c r="F726" s="28" t="s">
        <v>23</v>
      </c>
      <c r="G726" s="28" t="s">
        <v>30</v>
      </c>
      <c r="H726" s="24" t="s">
        <v>31</v>
      </c>
      <c r="J726" s="29"/>
      <c r="K726" s="25"/>
      <c r="L726" s="28" t="s">
        <v>27</v>
      </c>
      <c r="M726" s="24" t="s">
        <v>715</v>
      </c>
      <c r="N726" s="14" t="b">
        <f t="shared" si="55"/>
        <v>0</v>
      </c>
      <c r="O726" s="15" t="b">
        <f t="shared" si="2"/>
        <v>0</v>
      </c>
      <c r="P726" s="15" t="str">
        <f t="shared" si="3"/>
        <v>PENDING</v>
      </c>
    </row>
    <row r="727" ht="15.75" customHeight="1">
      <c r="A727" s="24" t="s">
        <v>1840</v>
      </c>
      <c r="B727" s="25" t="s">
        <v>1841</v>
      </c>
      <c r="C727" s="26">
        <v>45958.0</v>
      </c>
      <c r="D727" s="26">
        <v>45958.0</v>
      </c>
      <c r="E727" s="24" t="s">
        <v>715</v>
      </c>
      <c r="F727" s="28" t="s">
        <v>23</v>
      </c>
      <c r="G727" s="28" t="s">
        <v>30</v>
      </c>
      <c r="H727" s="24" t="s">
        <v>31</v>
      </c>
      <c r="J727" s="29"/>
      <c r="K727" s="25"/>
      <c r="L727" s="28" t="s">
        <v>27</v>
      </c>
      <c r="M727" s="24" t="s">
        <v>715</v>
      </c>
      <c r="N727" s="14" t="b">
        <f t="shared" si="55"/>
        <v>0</v>
      </c>
      <c r="O727" s="15" t="b">
        <f t="shared" si="2"/>
        <v>0</v>
      </c>
      <c r="P727" s="15" t="str">
        <f t="shared" si="3"/>
        <v>PENDING</v>
      </c>
    </row>
    <row r="728" ht="15.75" customHeight="1">
      <c r="A728" s="7" t="s">
        <v>1842</v>
      </c>
      <c r="B728" s="8" t="s">
        <v>999</v>
      </c>
      <c r="C728" s="9">
        <v>45965.0</v>
      </c>
      <c r="D728" s="9">
        <v>45965.0</v>
      </c>
      <c r="E728" s="7" t="s">
        <v>715</v>
      </c>
      <c r="F728" s="11" t="s">
        <v>23</v>
      </c>
      <c r="G728" s="11" t="s">
        <v>30</v>
      </c>
      <c r="H728" s="11" t="s">
        <v>25</v>
      </c>
      <c r="I728" s="16"/>
      <c r="J728" s="12" t="s">
        <v>976</v>
      </c>
      <c r="K728" s="13"/>
      <c r="L728" s="11" t="s">
        <v>27</v>
      </c>
      <c r="M728" s="7" t="s">
        <v>715</v>
      </c>
      <c r="N728" s="14" t="b">
        <f t="shared" si="55"/>
        <v>1</v>
      </c>
      <c r="O728" s="15" t="b">
        <f t="shared" si="2"/>
        <v>0</v>
      </c>
      <c r="P728" s="15" t="str">
        <f t="shared" si="3"/>
        <v>APPROVED</v>
      </c>
    </row>
    <row r="729" ht="15.75" customHeight="1">
      <c r="A729" s="24" t="s">
        <v>1843</v>
      </c>
      <c r="B729" s="25" t="s">
        <v>1844</v>
      </c>
      <c r="C729" s="26">
        <v>45965.0</v>
      </c>
      <c r="D729" s="26">
        <v>45965.0</v>
      </c>
      <c r="E729" s="24" t="s">
        <v>715</v>
      </c>
      <c r="F729" s="28" t="s">
        <v>23</v>
      </c>
      <c r="G729" s="28" t="s">
        <v>172</v>
      </c>
      <c r="H729" s="28" t="s">
        <v>49</v>
      </c>
      <c r="J729" s="29"/>
      <c r="K729" s="25"/>
      <c r="L729" s="28" t="s">
        <v>27</v>
      </c>
      <c r="M729" s="24" t="s">
        <v>715</v>
      </c>
      <c r="N729" s="14" t="b">
        <f t="shared" si="55"/>
        <v>0</v>
      </c>
      <c r="O729" s="15" t="b">
        <f t="shared" si="2"/>
        <v>0</v>
      </c>
      <c r="P729" s="15" t="str">
        <f t="shared" si="3"/>
        <v>PENDING</v>
      </c>
    </row>
    <row r="730" ht="15.75" customHeight="1">
      <c r="A730" s="24" t="s">
        <v>1845</v>
      </c>
      <c r="B730" s="115" t="s">
        <v>1846</v>
      </c>
      <c r="C730" s="26">
        <v>45967.0</v>
      </c>
      <c r="D730" s="26">
        <v>45967.0</v>
      </c>
      <c r="E730" s="24" t="s">
        <v>1847</v>
      </c>
      <c r="F730" s="28" t="s">
        <v>23</v>
      </c>
      <c r="G730" s="28" t="s">
        <v>48</v>
      </c>
      <c r="H730" s="28" t="s">
        <v>84</v>
      </c>
      <c r="J730" s="29" t="s">
        <v>1848</v>
      </c>
      <c r="K730" s="25"/>
      <c r="L730" s="28" t="s">
        <v>27</v>
      </c>
      <c r="M730" s="24" t="s">
        <v>1847</v>
      </c>
      <c r="N730" s="14" t="b">
        <f t="shared" si="55"/>
        <v>0</v>
      </c>
      <c r="O730" s="15" t="b">
        <f t="shared" si="2"/>
        <v>0</v>
      </c>
      <c r="P730" s="15" t="str">
        <f t="shared" si="3"/>
        <v>PENDING</v>
      </c>
    </row>
    <row r="731" ht="15.75" customHeight="1">
      <c r="A731" s="24" t="s">
        <v>1849</v>
      </c>
      <c r="B731" s="115" t="s">
        <v>1850</v>
      </c>
      <c r="C731" s="26">
        <v>45968.0</v>
      </c>
      <c r="D731" s="26">
        <v>45968.0</v>
      </c>
      <c r="E731" s="24" t="s">
        <v>1847</v>
      </c>
      <c r="F731" s="28" t="s">
        <v>23</v>
      </c>
      <c r="G731" s="28" t="s">
        <v>35</v>
      </c>
      <c r="H731" s="28" t="s">
        <v>49</v>
      </c>
      <c r="J731" s="29"/>
      <c r="K731" s="25"/>
      <c r="L731" s="28" t="s">
        <v>27</v>
      </c>
      <c r="M731" s="24" t="s">
        <v>1847</v>
      </c>
      <c r="N731" s="14" t="b">
        <f t="shared" si="55"/>
        <v>0</v>
      </c>
      <c r="O731" s="15" t="b">
        <f t="shared" si="2"/>
        <v>0</v>
      </c>
      <c r="P731" s="15" t="str">
        <f t="shared" si="3"/>
        <v>PENDING</v>
      </c>
    </row>
    <row r="732" ht="15.75" customHeight="1">
      <c r="A732" s="24" t="s">
        <v>1851</v>
      </c>
      <c r="B732" s="25" t="s">
        <v>1852</v>
      </c>
      <c r="C732" s="26">
        <v>45967.0</v>
      </c>
      <c r="D732" s="26">
        <v>45967.0</v>
      </c>
      <c r="E732" s="24" t="s">
        <v>1847</v>
      </c>
      <c r="F732" s="28" t="s">
        <v>23</v>
      </c>
      <c r="G732" s="28" t="s">
        <v>48</v>
      </c>
      <c r="H732" s="28" t="s">
        <v>25</v>
      </c>
      <c r="J732" s="29"/>
      <c r="K732" s="25"/>
      <c r="L732" s="28" t="s">
        <v>27</v>
      </c>
      <c r="M732" s="24" t="s">
        <v>1847</v>
      </c>
      <c r="N732" s="175" t="b">
        <v>0</v>
      </c>
      <c r="O732" s="15" t="b">
        <f t="shared" si="2"/>
        <v>0</v>
      </c>
      <c r="P732" s="15" t="str">
        <f t="shared" si="3"/>
        <v>APPROVED</v>
      </c>
    </row>
    <row r="733" ht="15.75" customHeight="1">
      <c r="A733" s="24" t="s">
        <v>1853</v>
      </c>
      <c r="B733" s="25" t="s">
        <v>1854</v>
      </c>
      <c r="C733" s="26">
        <v>45968.0</v>
      </c>
      <c r="D733" s="26">
        <v>45968.0</v>
      </c>
      <c r="E733" s="24" t="s">
        <v>715</v>
      </c>
      <c r="F733" s="28" t="s">
        <v>23</v>
      </c>
      <c r="G733" s="28" t="s">
        <v>172</v>
      </c>
      <c r="H733" s="28" t="s">
        <v>49</v>
      </c>
      <c r="J733" s="29"/>
      <c r="K733" s="25"/>
      <c r="L733" s="28" t="s">
        <v>27</v>
      </c>
      <c r="M733" s="24" t="s">
        <v>715</v>
      </c>
      <c r="N733" s="14" t="b">
        <f>if(H733=$H$2,TRUE,O733)</f>
        <v>0</v>
      </c>
      <c r="O733" s="15" t="b">
        <f t="shared" si="2"/>
        <v>0</v>
      </c>
      <c r="P733" s="15" t="str">
        <f t="shared" si="3"/>
        <v>PENDING</v>
      </c>
    </row>
    <row r="734" ht="15.75" customHeight="1">
      <c r="A734" s="24" t="s">
        <v>1860</v>
      </c>
      <c r="B734" s="169" t="s">
        <v>1828</v>
      </c>
      <c r="C734" s="164">
        <v>45975.0</v>
      </c>
      <c r="D734" s="164">
        <v>45975.0</v>
      </c>
      <c r="E734" s="165" t="s">
        <v>715</v>
      </c>
      <c r="F734" s="68" t="s">
        <v>23</v>
      </c>
      <c r="G734" s="68" t="s">
        <v>30</v>
      </c>
      <c r="H734" s="68" t="s">
        <v>25</v>
      </c>
      <c r="I734" s="167"/>
      <c r="J734" s="168"/>
      <c r="K734" s="163" t="s">
        <v>1856</v>
      </c>
      <c r="L734" s="68" t="s">
        <v>27</v>
      </c>
      <c r="M734" s="165" t="s">
        <v>715</v>
      </c>
      <c r="N734" s="175" t="b">
        <v>0</v>
      </c>
      <c r="O734" s="15" t="b">
        <f t="shared" si="2"/>
        <v>0</v>
      </c>
      <c r="P734" s="15" t="str">
        <f t="shared" si="3"/>
        <v>APPROVED</v>
      </c>
    </row>
    <row r="735" ht="15.75" customHeight="1">
      <c r="A735" s="24" t="s">
        <v>1861</v>
      </c>
      <c r="B735" s="115" t="s">
        <v>345</v>
      </c>
      <c r="C735" s="26">
        <v>45972.0</v>
      </c>
      <c r="D735" s="26">
        <v>45972.0</v>
      </c>
      <c r="E735" s="24" t="s">
        <v>715</v>
      </c>
      <c r="F735" s="28" t="s">
        <v>23</v>
      </c>
      <c r="G735" s="28" t="s">
        <v>172</v>
      </c>
      <c r="H735" s="28" t="s">
        <v>49</v>
      </c>
      <c r="J735" s="29"/>
      <c r="K735" s="25"/>
      <c r="L735" s="28" t="s">
        <v>27</v>
      </c>
      <c r="M735" s="24" t="s">
        <v>715</v>
      </c>
      <c r="N735" s="14" t="b">
        <f t="shared" ref="N735:N754" si="56">if(H735=$H$2,TRUE,O735)</f>
        <v>0</v>
      </c>
      <c r="O735" s="15" t="b">
        <f t="shared" si="2"/>
        <v>0</v>
      </c>
      <c r="P735" s="15" t="str">
        <f t="shared" si="3"/>
        <v>PENDING</v>
      </c>
    </row>
    <row r="736" ht="15.75" customHeight="1">
      <c r="A736" s="24" t="s">
        <v>1862</v>
      </c>
      <c r="B736" s="25" t="s">
        <v>1863</v>
      </c>
      <c r="C736" s="26">
        <v>45957.0</v>
      </c>
      <c r="D736" s="26">
        <v>45957.0</v>
      </c>
      <c r="E736" s="24" t="s">
        <v>1376</v>
      </c>
      <c r="F736" s="28" t="s">
        <v>23</v>
      </c>
      <c r="G736" s="28" t="s">
        <v>172</v>
      </c>
      <c r="H736" s="28" t="s">
        <v>482</v>
      </c>
      <c r="J736" s="29"/>
      <c r="K736" s="25"/>
      <c r="L736" s="28" t="s">
        <v>27</v>
      </c>
      <c r="M736" s="24" t="s">
        <v>1376</v>
      </c>
      <c r="N736" s="14" t="b">
        <f t="shared" si="56"/>
        <v>0</v>
      </c>
      <c r="O736" s="15" t="b">
        <f t="shared" si="2"/>
        <v>0</v>
      </c>
      <c r="P736" s="15" t="str">
        <f t="shared" si="3"/>
        <v>PENDING</v>
      </c>
    </row>
    <row r="737" ht="15.75" customHeight="1">
      <c r="A737" s="24" t="s">
        <v>1864</v>
      </c>
      <c r="B737" s="25" t="s">
        <v>1865</v>
      </c>
      <c r="C737" s="26">
        <v>45957.0</v>
      </c>
      <c r="D737" s="26">
        <v>45957.0</v>
      </c>
      <c r="E737" s="24" t="s">
        <v>1376</v>
      </c>
      <c r="F737" s="28" t="s">
        <v>23</v>
      </c>
      <c r="G737" s="28" t="s">
        <v>172</v>
      </c>
      <c r="H737" s="28" t="s">
        <v>482</v>
      </c>
      <c r="J737" s="29"/>
      <c r="K737" s="25"/>
      <c r="L737" s="28" t="s">
        <v>27</v>
      </c>
      <c r="M737" s="24" t="s">
        <v>1376</v>
      </c>
      <c r="N737" s="14" t="b">
        <f t="shared" si="56"/>
        <v>0</v>
      </c>
      <c r="O737" s="15" t="b">
        <f t="shared" si="2"/>
        <v>0</v>
      </c>
      <c r="P737" s="15" t="str">
        <f t="shared" si="3"/>
        <v>PENDING</v>
      </c>
    </row>
    <row r="738" ht="15.75" customHeight="1">
      <c r="A738" s="24" t="s">
        <v>1866</v>
      </c>
      <c r="B738" s="115" t="s">
        <v>531</v>
      </c>
      <c r="C738" s="26">
        <v>45955.0</v>
      </c>
      <c r="D738" s="26">
        <v>45955.0</v>
      </c>
      <c r="E738" s="24" t="s">
        <v>177</v>
      </c>
      <c r="F738" s="28" t="s">
        <v>23</v>
      </c>
      <c r="G738" s="28" t="s">
        <v>172</v>
      </c>
      <c r="H738" s="28" t="s">
        <v>482</v>
      </c>
      <c r="J738" s="29"/>
      <c r="K738" s="25"/>
      <c r="L738" s="28" t="s">
        <v>27</v>
      </c>
      <c r="M738" s="24" t="s">
        <v>177</v>
      </c>
      <c r="N738" s="14" t="b">
        <f t="shared" si="56"/>
        <v>0</v>
      </c>
      <c r="O738" s="15" t="b">
        <f t="shared" si="2"/>
        <v>0</v>
      </c>
      <c r="P738" s="15" t="str">
        <f t="shared" si="3"/>
        <v>PENDING</v>
      </c>
    </row>
    <row r="739" ht="15.75" customHeight="1">
      <c r="A739" s="24" t="s">
        <v>1867</v>
      </c>
      <c r="B739" s="115" t="s">
        <v>1541</v>
      </c>
      <c r="C739" s="26">
        <v>45957.0</v>
      </c>
      <c r="D739" s="26">
        <v>45957.0</v>
      </c>
      <c r="E739" s="24" t="s">
        <v>1376</v>
      </c>
      <c r="F739" s="28" t="s">
        <v>23</v>
      </c>
      <c r="G739" s="28" t="s">
        <v>172</v>
      </c>
      <c r="H739" s="28" t="s">
        <v>482</v>
      </c>
      <c r="J739" s="29"/>
      <c r="K739" s="25"/>
      <c r="L739" s="28" t="s">
        <v>27</v>
      </c>
      <c r="M739" s="24" t="s">
        <v>1376</v>
      </c>
      <c r="N739" s="14" t="b">
        <f t="shared" si="56"/>
        <v>0</v>
      </c>
      <c r="O739" s="15" t="b">
        <f t="shared" si="2"/>
        <v>0</v>
      </c>
      <c r="P739" s="15" t="str">
        <f t="shared" si="3"/>
        <v>PENDING</v>
      </c>
    </row>
    <row r="740" ht="15.75" customHeight="1">
      <c r="A740" s="24" t="s">
        <v>1868</v>
      </c>
      <c r="B740" s="25" t="s">
        <v>1670</v>
      </c>
      <c r="C740" s="26">
        <v>45958.0</v>
      </c>
      <c r="D740" s="26">
        <v>45958.0</v>
      </c>
      <c r="E740" s="24" t="s">
        <v>177</v>
      </c>
      <c r="F740" s="28" t="s">
        <v>23</v>
      </c>
      <c r="G740" s="28" t="s">
        <v>172</v>
      </c>
      <c r="H740" s="28" t="s">
        <v>482</v>
      </c>
      <c r="J740" s="29"/>
      <c r="K740" s="25"/>
      <c r="L740" s="28" t="s">
        <v>27</v>
      </c>
      <c r="M740" s="24" t="s">
        <v>177</v>
      </c>
      <c r="N740" s="14" t="b">
        <f t="shared" si="56"/>
        <v>0</v>
      </c>
      <c r="O740" s="15" t="b">
        <f t="shared" si="2"/>
        <v>0</v>
      </c>
      <c r="P740" s="15" t="str">
        <f t="shared" si="3"/>
        <v>PENDING</v>
      </c>
    </row>
    <row r="741" ht="15.75" customHeight="1">
      <c r="A741" s="24" t="s">
        <v>1869</v>
      </c>
      <c r="B741" s="25" t="s">
        <v>1870</v>
      </c>
      <c r="C741" s="26">
        <v>45959.0</v>
      </c>
      <c r="D741" s="26"/>
      <c r="E741" s="24" t="s">
        <v>177</v>
      </c>
      <c r="F741" s="28" t="s">
        <v>23</v>
      </c>
      <c r="G741" s="28" t="s">
        <v>172</v>
      </c>
      <c r="H741" s="28" t="s">
        <v>482</v>
      </c>
      <c r="J741" s="29"/>
      <c r="K741" s="25"/>
      <c r="L741" s="28" t="s">
        <v>27</v>
      </c>
      <c r="M741" s="24" t="s">
        <v>177</v>
      </c>
      <c r="N741" s="14" t="b">
        <f t="shared" si="56"/>
        <v>0</v>
      </c>
      <c r="O741" s="15" t="b">
        <f t="shared" si="2"/>
        <v>0</v>
      </c>
      <c r="P741" s="15" t="str">
        <f t="shared" si="3"/>
        <v>PENDING</v>
      </c>
    </row>
    <row r="742" ht="15.75" customHeight="1">
      <c r="A742" s="24" t="s">
        <v>1871</v>
      </c>
      <c r="B742" s="115" t="s">
        <v>280</v>
      </c>
      <c r="C742" s="26">
        <v>45958.0</v>
      </c>
      <c r="D742" s="26">
        <v>45958.0</v>
      </c>
      <c r="E742" s="24" t="s">
        <v>177</v>
      </c>
      <c r="F742" s="28" t="s">
        <v>23</v>
      </c>
      <c r="G742" s="28" t="s">
        <v>172</v>
      </c>
      <c r="H742" s="28" t="s">
        <v>482</v>
      </c>
      <c r="J742" s="29"/>
      <c r="K742" s="25"/>
      <c r="L742" s="28" t="s">
        <v>27</v>
      </c>
      <c r="M742" s="24" t="s">
        <v>177</v>
      </c>
      <c r="N742" s="14" t="b">
        <f t="shared" si="56"/>
        <v>0</v>
      </c>
      <c r="O742" s="15" t="b">
        <f t="shared" si="2"/>
        <v>0</v>
      </c>
      <c r="P742" s="15" t="str">
        <f t="shared" si="3"/>
        <v>PENDING</v>
      </c>
    </row>
    <row r="743" ht="15.75" customHeight="1">
      <c r="A743" s="24" t="s">
        <v>1872</v>
      </c>
      <c r="B743" s="115" t="s">
        <v>387</v>
      </c>
      <c r="C743" s="26">
        <v>45958.0</v>
      </c>
      <c r="D743" s="26">
        <v>45958.0</v>
      </c>
      <c r="E743" s="24" t="s">
        <v>177</v>
      </c>
      <c r="F743" s="28" t="s">
        <v>23</v>
      </c>
      <c r="G743" s="28" t="s">
        <v>172</v>
      </c>
      <c r="H743" s="28" t="s">
        <v>482</v>
      </c>
      <c r="J743" s="29"/>
      <c r="K743" s="25"/>
      <c r="L743" s="28" t="s">
        <v>27</v>
      </c>
      <c r="M743" s="24" t="s">
        <v>177</v>
      </c>
      <c r="N743" s="14" t="b">
        <f t="shared" si="56"/>
        <v>0</v>
      </c>
      <c r="O743" s="15" t="b">
        <f t="shared" si="2"/>
        <v>0</v>
      </c>
      <c r="P743" s="15" t="str">
        <f t="shared" si="3"/>
        <v>PENDING</v>
      </c>
    </row>
    <row r="744" ht="15.75" customHeight="1">
      <c r="A744" s="24" t="s">
        <v>1873</v>
      </c>
      <c r="B744" s="115" t="s">
        <v>640</v>
      </c>
      <c r="C744" s="26">
        <v>45958.0</v>
      </c>
      <c r="D744" s="26">
        <v>45958.0</v>
      </c>
      <c r="E744" s="24" t="s">
        <v>177</v>
      </c>
      <c r="F744" s="28" t="s">
        <v>23</v>
      </c>
      <c r="G744" s="28" t="s">
        <v>172</v>
      </c>
      <c r="H744" s="28" t="s">
        <v>482</v>
      </c>
      <c r="J744" s="29"/>
      <c r="K744" s="25"/>
      <c r="L744" s="28" t="s">
        <v>27</v>
      </c>
      <c r="M744" s="24" t="s">
        <v>177</v>
      </c>
      <c r="N744" s="14" t="b">
        <f t="shared" si="56"/>
        <v>0</v>
      </c>
      <c r="O744" s="15" t="b">
        <f t="shared" si="2"/>
        <v>0</v>
      </c>
      <c r="P744" s="15" t="str">
        <f t="shared" si="3"/>
        <v>PENDING</v>
      </c>
    </row>
    <row r="745" ht="15.75" customHeight="1">
      <c r="A745" s="24" t="s">
        <v>1874</v>
      </c>
      <c r="B745" s="115" t="s">
        <v>1875</v>
      </c>
      <c r="C745" s="26">
        <v>45960.0</v>
      </c>
      <c r="D745" s="26">
        <v>45960.0</v>
      </c>
      <c r="E745" s="24" t="s">
        <v>1376</v>
      </c>
      <c r="F745" s="28" t="s">
        <v>23</v>
      </c>
      <c r="G745" s="28" t="s">
        <v>172</v>
      </c>
      <c r="H745" s="28" t="s">
        <v>482</v>
      </c>
      <c r="J745" s="29"/>
      <c r="K745" s="25"/>
      <c r="L745" s="28" t="s">
        <v>27</v>
      </c>
      <c r="M745" s="24" t="s">
        <v>1376</v>
      </c>
      <c r="N745" s="14" t="b">
        <f t="shared" si="56"/>
        <v>0</v>
      </c>
      <c r="O745" s="15" t="b">
        <f t="shared" si="2"/>
        <v>0</v>
      </c>
      <c r="P745" s="15" t="str">
        <f t="shared" si="3"/>
        <v>PENDING</v>
      </c>
    </row>
    <row r="746" ht="15.75" customHeight="1">
      <c r="A746" s="24" t="s">
        <v>1876</v>
      </c>
      <c r="B746" s="25" t="s">
        <v>1379</v>
      </c>
      <c r="C746" s="26">
        <v>45958.0</v>
      </c>
      <c r="D746" s="26">
        <v>45959.0</v>
      </c>
      <c r="E746" s="24" t="s">
        <v>1376</v>
      </c>
      <c r="F746" s="28" t="s">
        <v>23</v>
      </c>
      <c r="G746" s="28" t="s">
        <v>172</v>
      </c>
      <c r="H746" s="28" t="s">
        <v>482</v>
      </c>
      <c r="J746" s="29"/>
      <c r="K746" s="25"/>
      <c r="L746" s="28" t="s">
        <v>27</v>
      </c>
      <c r="M746" s="24" t="s">
        <v>1376</v>
      </c>
      <c r="N746" s="14" t="b">
        <f t="shared" si="56"/>
        <v>0</v>
      </c>
      <c r="O746" s="15" t="b">
        <f t="shared" si="2"/>
        <v>0</v>
      </c>
      <c r="P746" s="15" t="str">
        <f t="shared" si="3"/>
        <v>PENDING</v>
      </c>
    </row>
    <row r="747" ht="15.75" customHeight="1">
      <c r="A747" s="7" t="s">
        <v>1877</v>
      </c>
      <c r="B747" s="13" t="s">
        <v>1878</v>
      </c>
      <c r="C747" s="9">
        <v>45958.0</v>
      </c>
      <c r="D747" s="9"/>
      <c r="E747" s="7" t="s">
        <v>177</v>
      </c>
      <c r="F747" s="11" t="s">
        <v>23</v>
      </c>
      <c r="G747" s="11" t="s">
        <v>30</v>
      </c>
      <c r="H747" s="11" t="s">
        <v>25</v>
      </c>
      <c r="I747" s="16"/>
      <c r="J747" s="12" t="s">
        <v>1879</v>
      </c>
      <c r="K747" s="13"/>
      <c r="L747" s="11" t="s">
        <v>27</v>
      </c>
      <c r="M747" s="7" t="s">
        <v>177</v>
      </c>
      <c r="N747" s="14" t="b">
        <f t="shared" si="56"/>
        <v>1</v>
      </c>
      <c r="O747" s="15" t="b">
        <f t="shared" si="2"/>
        <v>0</v>
      </c>
      <c r="P747" s="15" t="str">
        <f t="shared" si="3"/>
        <v>APPROVED</v>
      </c>
    </row>
    <row r="748" ht="15.75" customHeight="1">
      <c r="A748" s="24" t="s">
        <v>1880</v>
      </c>
      <c r="B748" s="115" t="s">
        <v>1079</v>
      </c>
      <c r="C748" s="26">
        <v>45958.0</v>
      </c>
      <c r="D748" s="26">
        <v>45959.0</v>
      </c>
      <c r="E748" s="24" t="s">
        <v>715</v>
      </c>
      <c r="F748" s="28" t="s">
        <v>23</v>
      </c>
      <c r="G748" s="28" t="s">
        <v>35</v>
      </c>
      <c r="H748" s="28" t="s">
        <v>482</v>
      </c>
      <c r="J748" s="29"/>
      <c r="K748" s="25"/>
      <c r="L748" s="28" t="s">
        <v>27</v>
      </c>
      <c r="M748" s="24" t="s">
        <v>715</v>
      </c>
      <c r="N748" s="14" t="b">
        <f t="shared" si="56"/>
        <v>0</v>
      </c>
      <c r="O748" s="15" t="b">
        <f t="shared" si="2"/>
        <v>0</v>
      </c>
      <c r="P748" s="15" t="str">
        <f t="shared" si="3"/>
        <v>PENDING</v>
      </c>
    </row>
    <row r="749" ht="15.75" customHeight="1">
      <c r="A749" s="24" t="s">
        <v>1881</v>
      </c>
      <c r="B749" s="25" t="s">
        <v>1882</v>
      </c>
      <c r="C749" s="26">
        <v>45958.0</v>
      </c>
      <c r="D749" s="26">
        <v>45959.0</v>
      </c>
      <c r="E749" s="24" t="s">
        <v>1376</v>
      </c>
      <c r="F749" s="28" t="s">
        <v>23</v>
      </c>
      <c r="G749" s="28" t="s">
        <v>172</v>
      </c>
      <c r="H749" s="28" t="s">
        <v>84</v>
      </c>
      <c r="J749" s="29" t="s">
        <v>1883</v>
      </c>
      <c r="K749" s="25"/>
      <c r="L749" s="28" t="s">
        <v>27</v>
      </c>
      <c r="M749" s="24" t="s">
        <v>1376</v>
      </c>
      <c r="N749" s="14" t="b">
        <f t="shared" si="56"/>
        <v>0</v>
      </c>
      <c r="O749" s="15" t="b">
        <f t="shared" si="2"/>
        <v>0</v>
      </c>
      <c r="P749" s="15" t="str">
        <f t="shared" si="3"/>
        <v>PENDING</v>
      </c>
    </row>
    <row r="750" ht="15.75" customHeight="1">
      <c r="A750" s="30" t="s">
        <v>1884</v>
      </c>
      <c r="B750" s="58" t="s">
        <v>1079</v>
      </c>
      <c r="C750" s="32">
        <v>45959.0</v>
      </c>
      <c r="D750" s="32">
        <v>45959.0</v>
      </c>
      <c r="E750" s="30" t="s">
        <v>715</v>
      </c>
      <c r="F750" s="34" t="s">
        <v>23</v>
      </c>
      <c r="G750" s="34" t="s">
        <v>172</v>
      </c>
      <c r="H750" s="34" t="s">
        <v>49</v>
      </c>
      <c r="I750" s="66"/>
      <c r="J750" s="35"/>
      <c r="K750" s="31"/>
      <c r="L750" s="30" t="s">
        <v>98</v>
      </c>
      <c r="M750" s="30" t="s">
        <v>715</v>
      </c>
      <c r="N750" s="14" t="b">
        <f t="shared" si="56"/>
        <v>1</v>
      </c>
      <c r="O750" s="15" t="b">
        <f t="shared" si="2"/>
        <v>1</v>
      </c>
      <c r="P750" s="15" t="str">
        <f t="shared" si="3"/>
        <v>PENDING</v>
      </c>
    </row>
    <row r="751" ht="15.75" customHeight="1">
      <c r="A751" s="24" t="s">
        <v>1885</v>
      </c>
      <c r="B751" s="115" t="s">
        <v>876</v>
      </c>
      <c r="C751" s="26">
        <v>45964.0</v>
      </c>
      <c r="D751" s="26">
        <v>45964.0</v>
      </c>
      <c r="E751" s="24" t="s">
        <v>177</v>
      </c>
      <c r="F751" s="28" t="s">
        <v>23</v>
      </c>
      <c r="G751" s="28" t="s">
        <v>172</v>
      </c>
      <c r="H751" s="28" t="s">
        <v>84</v>
      </c>
      <c r="J751" s="29" t="s">
        <v>1886</v>
      </c>
      <c r="K751" s="29" t="s">
        <v>1887</v>
      </c>
      <c r="L751" s="28" t="s">
        <v>27</v>
      </c>
      <c r="M751" s="24" t="s">
        <v>177</v>
      </c>
      <c r="N751" s="14" t="b">
        <f t="shared" si="56"/>
        <v>0</v>
      </c>
      <c r="O751" s="15" t="b">
        <f t="shared" si="2"/>
        <v>0</v>
      </c>
      <c r="P751" s="15" t="str">
        <f t="shared" si="3"/>
        <v>PENDING</v>
      </c>
    </row>
    <row r="752" ht="15.75" customHeight="1">
      <c r="A752" s="24" t="s">
        <v>1888</v>
      </c>
      <c r="B752" s="25" t="s">
        <v>1889</v>
      </c>
      <c r="C752" s="26">
        <v>45964.0</v>
      </c>
      <c r="D752" s="26">
        <v>45964.0</v>
      </c>
      <c r="E752" s="24" t="s">
        <v>177</v>
      </c>
      <c r="F752" s="28" t="s">
        <v>23</v>
      </c>
      <c r="G752" s="28" t="s">
        <v>172</v>
      </c>
      <c r="H752" s="28" t="s">
        <v>482</v>
      </c>
      <c r="J752" s="29"/>
      <c r="K752" s="25"/>
      <c r="L752" s="28" t="s">
        <v>27</v>
      </c>
      <c r="M752" s="24" t="s">
        <v>177</v>
      </c>
      <c r="N752" s="14" t="b">
        <f t="shared" si="56"/>
        <v>0</v>
      </c>
      <c r="O752" s="15" t="b">
        <f t="shared" si="2"/>
        <v>0</v>
      </c>
      <c r="P752" s="15" t="str">
        <f t="shared" si="3"/>
        <v>PENDING</v>
      </c>
    </row>
    <row r="753" ht="15.75" customHeight="1">
      <c r="A753" s="24" t="s">
        <v>1890</v>
      </c>
      <c r="B753" s="115" t="s">
        <v>554</v>
      </c>
      <c r="C753" s="26">
        <v>45964.0</v>
      </c>
      <c r="D753" s="26">
        <v>45964.0</v>
      </c>
      <c r="E753" s="24" t="s">
        <v>177</v>
      </c>
      <c r="F753" s="28" t="s">
        <v>23</v>
      </c>
      <c r="G753" s="28" t="s">
        <v>172</v>
      </c>
      <c r="H753" s="28" t="s">
        <v>482</v>
      </c>
      <c r="J753" s="29"/>
      <c r="K753" s="25"/>
      <c r="L753" s="28" t="s">
        <v>27</v>
      </c>
      <c r="M753" s="24" t="s">
        <v>177</v>
      </c>
      <c r="N753" s="14" t="b">
        <f t="shared" si="56"/>
        <v>0</v>
      </c>
      <c r="O753" s="15" t="b">
        <f t="shared" si="2"/>
        <v>0</v>
      </c>
      <c r="P753" s="15" t="str">
        <f t="shared" si="3"/>
        <v>PENDING</v>
      </c>
    </row>
    <row r="754" ht="15.75" customHeight="1">
      <c r="A754" s="24" t="s">
        <v>1891</v>
      </c>
      <c r="B754" s="115" t="s">
        <v>554</v>
      </c>
      <c r="C754" s="26">
        <v>45965.0</v>
      </c>
      <c r="D754" s="26">
        <v>45965.0</v>
      </c>
      <c r="E754" s="24" t="s">
        <v>177</v>
      </c>
      <c r="F754" s="28" t="s">
        <v>23</v>
      </c>
      <c r="G754" s="28" t="s">
        <v>172</v>
      </c>
      <c r="H754" s="28" t="s">
        <v>482</v>
      </c>
      <c r="J754" s="29"/>
      <c r="K754" s="25" t="s">
        <v>1892</v>
      </c>
      <c r="L754" s="28" t="s">
        <v>27</v>
      </c>
      <c r="M754" s="24" t="s">
        <v>177</v>
      </c>
      <c r="N754" s="14" t="b">
        <f t="shared" si="56"/>
        <v>0</v>
      </c>
      <c r="O754" s="15" t="b">
        <f t="shared" si="2"/>
        <v>0</v>
      </c>
      <c r="P754" s="15" t="str">
        <f t="shared" si="3"/>
        <v>PENDING</v>
      </c>
    </row>
    <row r="755" ht="15.75" customHeight="1">
      <c r="A755" s="155" t="s">
        <v>1893</v>
      </c>
      <c r="B755" s="156" t="s">
        <v>1830</v>
      </c>
      <c r="C755" s="157">
        <v>45964.0</v>
      </c>
      <c r="D755" s="157"/>
      <c r="E755" s="155" t="s">
        <v>715</v>
      </c>
      <c r="F755" s="159" t="s">
        <v>23</v>
      </c>
      <c r="G755" s="159" t="s">
        <v>30</v>
      </c>
      <c r="H755" s="155" t="s">
        <v>31</v>
      </c>
      <c r="I755" s="160"/>
      <c r="J755" s="161"/>
      <c r="K755" s="162"/>
      <c r="L755" s="159" t="s">
        <v>27</v>
      </c>
      <c r="M755" s="155" t="s">
        <v>715</v>
      </c>
      <c r="N755" s="175" t="b">
        <v>1</v>
      </c>
      <c r="O755" s="15" t="b">
        <f t="shared" si="2"/>
        <v>0</v>
      </c>
      <c r="P755" s="15" t="str">
        <f t="shared" si="3"/>
        <v>PENDING</v>
      </c>
    </row>
    <row r="756" ht="15.75" customHeight="1">
      <c r="A756" s="24" t="s">
        <v>1894</v>
      </c>
      <c r="B756" s="115" t="s">
        <v>1895</v>
      </c>
      <c r="C756" s="26">
        <v>45959.0</v>
      </c>
      <c r="D756" s="26">
        <v>45959.0</v>
      </c>
      <c r="E756" s="24" t="s">
        <v>1376</v>
      </c>
      <c r="F756" s="28" t="s">
        <v>23</v>
      </c>
      <c r="G756" s="28" t="s">
        <v>172</v>
      </c>
      <c r="H756" s="28" t="s">
        <v>482</v>
      </c>
      <c r="J756" s="29"/>
      <c r="K756" s="25"/>
      <c r="L756" s="28" t="s">
        <v>27</v>
      </c>
      <c r="M756" s="24" t="s">
        <v>1376</v>
      </c>
      <c r="N756" s="14" t="b">
        <f t="shared" ref="N756:N773" si="57">if(H756=$H$2,TRUE,O756)</f>
        <v>0</v>
      </c>
      <c r="O756" s="15" t="b">
        <f t="shared" si="2"/>
        <v>0</v>
      </c>
      <c r="P756" s="15" t="str">
        <f t="shared" si="3"/>
        <v>PENDING</v>
      </c>
    </row>
    <row r="757" ht="15.75" customHeight="1">
      <c r="A757" s="24" t="s">
        <v>1896</v>
      </c>
      <c r="B757" s="25" t="s">
        <v>1389</v>
      </c>
      <c r="C757" s="26">
        <v>45966.0</v>
      </c>
      <c r="D757" s="26"/>
      <c r="E757" s="24" t="s">
        <v>1376</v>
      </c>
      <c r="F757" s="28" t="s">
        <v>23</v>
      </c>
      <c r="G757" s="28" t="s">
        <v>172</v>
      </c>
      <c r="H757" s="28" t="s">
        <v>482</v>
      </c>
      <c r="J757" s="29"/>
      <c r="K757" s="25"/>
      <c r="L757" s="28" t="s">
        <v>27</v>
      </c>
      <c r="M757" s="24" t="s">
        <v>1376</v>
      </c>
      <c r="N757" s="14" t="b">
        <f t="shared" si="57"/>
        <v>0</v>
      </c>
      <c r="O757" s="15" t="b">
        <f t="shared" si="2"/>
        <v>0</v>
      </c>
      <c r="P757" s="15" t="str">
        <f t="shared" si="3"/>
        <v>PENDING</v>
      </c>
    </row>
    <row r="758" ht="15.75" customHeight="1">
      <c r="A758" s="24" t="s">
        <v>1897</v>
      </c>
      <c r="B758" s="25" t="s">
        <v>1898</v>
      </c>
      <c r="C758" s="26">
        <v>45966.0</v>
      </c>
      <c r="D758" s="26"/>
      <c r="E758" s="24" t="s">
        <v>1376</v>
      </c>
      <c r="F758" s="28" t="s">
        <v>23</v>
      </c>
      <c r="G758" s="28" t="s">
        <v>172</v>
      </c>
      <c r="H758" s="28" t="s">
        <v>482</v>
      </c>
      <c r="J758" s="29"/>
      <c r="K758" s="25"/>
      <c r="L758" s="28" t="s">
        <v>27</v>
      </c>
      <c r="M758" s="24" t="s">
        <v>1376</v>
      </c>
      <c r="N758" s="14" t="b">
        <f t="shared" si="57"/>
        <v>0</v>
      </c>
      <c r="O758" s="15" t="b">
        <f t="shared" si="2"/>
        <v>0</v>
      </c>
      <c r="P758" s="15" t="str">
        <f t="shared" si="3"/>
        <v>PENDING</v>
      </c>
    </row>
    <row r="759" ht="15.75" customHeight="1">
      <c r="A759" s="24" t="s">
        <v>1899</v>
      </c>
      <c r="B759" s="115" t="s">
        <v>1454</v>
      </c>
      <c r="C759" s="26">
        <v>45966.0</v>
      </c>
      <c r="D759" s="26"/>
      <c r="E759" s="24" t="s">
        <v>1387</v>
      </c>
      <c r="F759" s="28" t="s">
        <v>23</v>
      </c>
      <c r="G759" s="28" t="s">
        <v>172</v>
      </c>
      <c r="H759" s="28" t="s">
        <v>84</v>
      </c>
      <c r="J759" s="29" t="s">
        <v>1455</v>
      </c>
      <c r="K759" s="25" t="s">
        <v>1892</v>
      </c>
      <c r="L759" s="28" t="s">
        <v>27</v>
      </c>
      <c r="M759" s="24" t="s">
        <v>1387</v>
      </c>
      <c r="N759" s="14" t="b">
        <f t="shared" si="57"/>
        <v>0</v>
      </c>
      <c r="O759" s="15" t="b">
        <f t="shared" si="2"/>
        <v>0</v>
      </c>
      <c r="P759" s="15" t="str">
        <f t="shared" si="3"/>
        <v>PENDING</v>
      </c>
    </row>
    <row r="760" ht="15.75" customHeight="1">
      <c r="A760" s="24" t="s">
        <v>1900</v>
      </c>
      <c r="B760" s="115" t="s">
        <v>1901</v>
      </c>
      <c r="C760" s="26">
        <v>45966.0</v>
      </c>
      <c r="D760" s="26">
        <v>45966.0</v>
      </c>
      <c r="E760" s="24" t="s">
        <v>1387</v>
      </c>
      <c r="F760" s="28" t="s">
        <v>23</v>
      </c>
      <c r="G760" s="28" t="s">
        <v>172</v>
      </c>
      <c r="H760" s="28" t="s">
        <v>482</v>
      </c>
      <c r="J760" s="29"/>
      <c r="K760" s="25"/>
      <c r="L760" s="28" t="s">
        <v>27</v>
      </c>
      <c r="M760" s="24" t="s">
        <v>1387</v>
      </c>
      <c r="N760" s="14" t="b">
        <f t="shared" si="57"/>
        <v>0</v>
      </c>
      <c r="O760" s="15" t="b">
        <f t="shared" si="2"/>
        <v>0</v>
      </c>
      <c r="P760" s="15" t="str">
        <f t="shared" si="3"/>
        <v>PENDING</v>
      </c>
    </row>
    <row r="761" ht="15.75" customHeight="1">
      <c r="A761" s="24" t="s">
        <v>1902</v>
      </c>
      <c r="B761" s="25" t="s">
        <v>1007</v>
      </c>
      <c r="C761" s="26">
        <v>45966.0</v>
      </c>
      <c r="D761" s="26">
        <v>45966.0</v>
      </c>
      <c r="E761" s="24" t="s">
        <v>177</v>
      </c>
      <c r="F761" s="28" t="s">
        <v>23</v>
      </c>
      <c r="G761" s="28" t="s">
        <v>30</v>
      </c>
      <c r="H761" s="28" t="s">
        <v>84</v>
      </c>
      <c r="J761" s="97" t="s">
        <v>1903</v>
      </c>
      <c r="K761" s="25"/>
      <c r="L761" s="28" t="s">
        <v>27</v>
      </c>
      <c r="M761" s="24" t="s">
        <v>177</v>
      </c>
      <c r="N761" s="14" t="b">
        <f t="shared" si="57"/>
        <v>0</v>
      </c>
      <c r="O761" s="15" t="b">
        <f t="shared" si="2"/>
        <v>0</v>
      </c>
      <c r="P761" s="15" t="str">
        <f t="shared" si="3"/>
        <v>PENDING</v>
      </c>
    </row>
    <row r="762" ht="15.75" customHeight="1">
      <c r="A762" s="24" t="s">
        <v>1904</v>
      </c>
      <c r="B762" s="25" t="s">
        <v>1905</v>
      </c>
      <c r="C762" s="26">
        <v>45972.0</v>
      </c>
      <c r="D762" s="26">
        <v>45972.0</v>
      </c>
      <c r="E762" s="24" t="s">
        <v>1847</v>
      </c>
      <c r="F762" s="28" t="s">
        <v>23</v>
      </c>
      <c r="G762" s="28" t="s">
        <v>35</v>
      </c>
      <c r="H762" s="28" t="s">
        <v>482</v>
      </c>
      <c r="J762" s="29"/>
      <c r="K762" s="29" t="s">
        <v>1906</v>
      </c>
      <c r="L762" s="28" t="s">
        <v>27</v>
      </c>
      <c r="M762" s="24" t="s">
        <v>1847</v>
      </c>
      <c r="N762" s="14" t="b">
        <f t="shared" si="57"/>
        <v>0</v>
      </c>
      <c r="O762" s="15" t="b">
        <f t="shared" si="2"/>
        <v>0</v>
      </c>
      <c r="P762" s="15" t="str">
        <f t="shared" si="3"/>
        <v>PENDING</v>
      </c>
    </row>
    <row r="763" ht="15.75" customHeight="1">
      <c r="A763" s="24" t="s">
        <v>1907</v>
      </c>
      <c r="B763" s="115" t="s">
        <v>1908</v>
      </c>
      <c r="C763" s="26">
        <v>45972.0</v>
      </c>
      <c r="D763" s="26">
        <v>45972.0</v>
      </c>
      <c r="E763" s="24" t="s">
        <v>1847</v>
      </c>
      <c r="F763" s="28" t="s">
        <v>23</v>
      </c>
      <c r="G763" s="28" t="s">
        <v>35</v>
      </c>
      <c r="H763" s="28" t="s">
        <v>482</v>
      </c>
      <c r="J763" s="29"/>
      <c r="K763" s="25"/>
      <c r="L763" s="28" t="s">
        <v>27</v>
      </c>
      <c r="M763" s="24" t="s">
        <v>1847</v>
      </c>
      <c r="N763" s="14" t="b">
        <f t="shared" si="57"/>
        <v>0</v>
      </c>
      <c r="O763" s="15" t="b">
        <f t="shared" si="2"/>
        <v>0</v>
      </c>
      <c r="P763" s="15" t="str">
        <f t="shared" si="3"/>
        <v>PENDING</v>
      </c>
    </row>
    <row r="764" ht="15.75" customHeight="1">
      <c r="A764" s="24" t="s">
        <v>1909</v>
      </c>
      <c r="B764" s="25" t="s">
        <v>1910</v>
      </c>
      <c r="C764" s="26">
        <v>45973.0</v>
      </c>
      <c r="D764" s="26">
        <v>45973.0</v>
      </c>
      <c r="E764" s="24" t="s">
        <v>1847</v>
      </c>
      <c r="F764" s="28" t="s">
        <v>23</v>
      </c>
      <c r="G764" s="28" t="s">
        <v>35</v>
      </c>
      <c r="H764" s="28" t="s">
        <v>482</v>
      </c>
      <c r="J764" s="29"/>
      <c r="K764" s="25"/>
      <c r="L764" s="28" t="s">
        <v>27</v>
      </c>
      <c r="M764" s="24" t="s">
        <v>1847</v>
      </c>
      <c r="N764" s="14" t="b">
        <f t="shared" si="57"/>
        <v>0</v>
      </c>
      <c r="O764" s="15" t="b">
        <f t="shared" si="2"/>
        <v>0</v>
      </c>
      <c r="P764" s="15" t="str">
        <f t="shared" si="3"/>
        <v>PENDING</v>
      </c>
    </row>
    <row r="765" ht="15.75" customHeight="1">
      <c r="A765" s="24" t="s">
        <v>1911</v>
      </c>
      <c r="B765" s="25" t="s">
        <v>1912</v>
      </c>
      <c r="C765" s="26">
        <v>45974.0</v>
      </c>
      <c r="D765" s="26">
        <v>45974.0</v>
      </c>
      <c r="E765" s="24" t="s">
        <v>1724</v>
      </c>
      <c r="F765" s="28" t="s">
        <v>23</v>
      </c>
      <c r="G765" s="28" t="s">
        <v>35</v>
      </c>
      <c r="H765" s="28" t="s">
        <v>482</v>
      </c>
      <c r="J765" s="29"/>
      <c r="K765" s="25"/>
      <c r="L765" s="28" t="s">
        <v>27</v>
      </c>
      <c r="M765" s="24" t="s">
        <v>1724</v>
      </c>
      <c r="N765" s="14" t="b">
        <f t="shared" si="57"/>
        <v>0</v>
      </c>
      <c r="O765" s="15" t="b">
        <f t="shared" si="2"/>
        <v>0</v>
      </c>
      <c r="P765" s="15" t="str">
        <f t="shared" si="3"/>
        <v>PENDING</v>
      </c>
    </row>
    <row r="766" ht="15.75" customHeight="1">
      <c r="A766" s="24" t="s">
        <v>1913</v>
      </c>
      <c r="B766" s="25" t="s">
        <v>1914</v>
      </c>
      <c r="C766" s="26">
        <v>45975.0</v>
      </c>
      <c r="D766" s="26">
        <v>45975.0</v>
      </c>
      <c r="E766" s="24" t="s">
        <v>1847</v>
      </c>
      <c r="F766" s="28" t="s">
        <v>23</v>
      </c>
      <c r="G766" s="28" t="s">
        <v>35</v>
      </c>
      <c r="H766" s="28" t="s">
        <v>84</v>
      </c>
      <c r="J766" s="29" t="s">
        <v>1915</v>
      </c>
      <c r="K766" s="25"/>
      <c r="L766" s="28" t="s">
        <v>27</v>
      </c>
      <c r="M766" s="24" t="s">
        <v>1847</v>
      </c>
      <c r="N766" s="14" t="b">
        <f t="shared" si="57"/>
        <v>0</v>
      </c>
      <c r="O766" s="15" t="b">
        <f t="shared" si="2"/>
        <v>0</v>
      </c>
      <c r="P766" s="15" t="str">
        <f t="shared" si="3"/>
        <v>PENDING</v>
      </c>
    </row>
    <row r="767" ht="15.75" customHeight="1">
      <c r="A767" s="24" t="s">
        <v>1916</v>
      </c>
      <c r="B767" s="25" t="s">
        <v>1917</v>
      </c>
      <c r="C767" s="26">
        <v>45978.0</v>
      </c>
      <c r="D767" s="26">
        <v>45978.0</v>
      </c>
      <c r="E767" s="24" t="s">
        <v>1847</v>
      </c>
      <c r="F767" s="28" t="s">
        <v>23</v>
      </c>
      <c r="G767" s="28" t="s">
        <v>172</v>
      </c>
      <c r="H767" s="28" t="s">
        <v>49</v>
      </c>
      <c r="J767" s="29"/>
      <c r="K767" s="25"/>
      <c r="L767" s="28" t="s">
        <v>27</v>
      </c>
      <c r="M767" s="24" t="s">
        <v>1847</v>
      </c>
      <c r="N767" s="14" t="b">
        <f t="shared" si="57"/>
        <v>0</v>
      </c>
      <c r="O767" s="15" t="b">
        <f t="shared" si="2"/>
        <v>0</v>
      </c>
      <c r="P767" s="15" t="str">
        <f t="shared" si="3"/>
        <v>PENDING</v>
      </c>
    </row>
    <row r="768" ht="15.75" customHeight="1">
      <c r="A768" s="24" t="s">
        <v>1918</v>
      </c>
      <c r="B768" s="25" t="s">
        <v>294</v>
      </c>
      <c r="C768" s="26">
        <v>45966.0</v>
      </c>
      <c r="D768" s="26">
        <v>45966.0</v>
      </c>
      <c r="E768" s="24" t="s">
        <v>177</v>
      </c>
      <c r="F768" s="28" t="s">
        <v>23</v>
      </c>
      <c r="G768" s="28" t="s">
        <v>172</v>
      </c>
      <c r="H768" s="28" t="s">
        <v>482</v>
      </c>
      <c r="J768" s="29"/>
      <c r="K768" s="25"/>
      <c r="L768" s="28" t="s">
        <v>27</v>
      </c>
      <c r="M768" s="24" t="s">
        <v>177</v>
      </c>
      <c r="N768" s="14" t="b">
        <f t="shared" si="57"/>
        <v>0</v>
      </c>
      <c r="O768" s="15" t="b">
        <f t="shared" si="2"/>
        <v>0</v>
      </c>
      <c r="P768" s="15" t="str">
        <f t="shared" si="3"/>
        <v>PENDING</v>
      </c>
    </row>
    <row r="769" ht="15.75" customHeight="1">
      <c r="A769" s="24" t="s">
        <v>1919</v>
      </c>
      <c r="B769" s="115" t="s">
        <v>811</v>
      </c>
      <c r="C769" s="26">
        <v>45964.0</v>
      </c>
      <c r="D769" s="26"/>
      <c r="E769" s="24" t="s">
        <v>1376</v>
      </c>
      <c r="F769" s="28" t="s">
        <v>23</v>
      </c>
      <c r="G769" s="28" t="s">
        <v>172</v>
      </c>
      <c r="H769" s="28" t="s">
        <v>482</v>
      </c>
      <c r="J769" s="29"/>
      <c r="K769" s="25"/>
      <c r="L769" s="28" t="s">
        <v>27</v>
      </c>
      <c r="M769" s="24" t="s">
        <v>1376</v>
      </c>
      <c r="N769" s="14" t="b">
        <f t="shared" si="57"/>
        <v>0</v>
      </c>
      <c r="O769" s="15" t="b">
        <f t="shared" si="2"/>
        <v>0</v>
      </c>
      <c r="P769" s="15" t="str">
        <f t="shared" si="3"/>
        <v>PENDING</v>
      </c>
    </row>
    <row r="770" ht="15.75" customHeight="1">
      <c r="A770" s="24" t="s">
        <v>1920</v>
      </c>
      <c r="B770" s="25" t="s">
        <v>1921</v>
      </c>
      <c r="C770" s="26">
        <v>45978.0</v>
      </c>
      <c r="D770" s="26">
        <v>45978.0</v>
      </c>
      <c r="E770" s="24" t="s">
        <v>1847</v>
      </c>
      <c r="F770" s="28" t="s">
        <v>23</v>
      </c>
      <c r="G770" s="28" t="s">
        <v>35</v>
      </c>
      <c r="H770" s="28" t="s">
        <v>49</v>
      </c>
      <c r="J770" s="29"/>
      <c r="K770" s="25"/>
      <c r="L770" s="28" t="s">
        <v>27</v>
      </c>
      <c r="M770" s="24" t="s">
        <v>1847</v>
      </c>
      <c r="N770" s="14" t="b">
        <f t="shared" si="57"/>
        <v>0</v>
      </c>
      <c r="O770" s="15" t="b">
        <f t="shared" si="2"/>
        <v>0</v>
      </c>
      <c r="P770" s="15" t="str">
        <f t="shared" si="3"/>
        <v>PENDING</v>
      </c>
    </row>
    <row r="771" ht="15.75" customHeight="1">
      <c r="A771" s="24" t="s">
        <v>1922</v>
      </c>
      <c r="B771" s="25" t="s">
        <v>1923</v>
      </c>
      <c r="C771" s="26">
        <v>45979.0</v>
      </c>
      <c r="D771" s="26">
        <v>45979.0</v>
      </c>
      <c r="E771" s="24" t="s">
        <v>1847</v>
      </c>
      <c r="F771" s="28" t="s">
        <v>23</v>
      </c>
      <c r="G771" s="28" t="s">
        <v>24</v>
      </c>
      <c r="H771" s="28" t="s">
        <v>49</v>
      </c>
      <c r="J771" s="29"/>
      <c r="K771" s="25"/>
      <c r="L771" s="28" t="s">
        <v>27</v>
      </c>
      <c r="M771" s="24" t="s">
        <v>1847</v>
      </c>
      <c r="N771" s="14" t="b">
        <f t="shared" si="57"/>
        <v>0</v>
      </c>
      <c r="O771" s="15" t="b">
        <f t="shared" si="2"/>
        <v>0</v>
      </c>
      <c r="P771" s="15" t="str">
        <f t="shared" si="3"/>
        <v>PENDING</v>
      </c>
    </row>
    <row r="772" ht="15.75" customHeight="1">
      <c r="A772" s="24" t="s">
        <v>1924</v>
      </c>
      <c r="B772" s="115" t="s">
        <v>1925</v>
      </c>
      <c r="C772" s="26">
        <v>45986.0</v>
      </c>
      <c r="D772" s="26">
        <v>45986.0</v>
      </c>
      <c r="E772" s="24" t="s">
        <v>1847</v>
      </c>
      <c r="F772" s="28" t="s">
        <v>23</v>
      </c>
      <c r="G772" s="28" t="s">
        <v>172</v>
      </c>
      <c r="H772" s="28" t="s">
        <v>49</v>
      </c>
      <c r="J772" s="29"/>
      <c r="K772" s="25"/>
      <c r="L772" s="28" t="s">
        <v>27</v>
      </c>
      <c r="M772" s="24" t="s">
        <v>1847</v>
      </c>
      <c r="N772" s="14" t="b">
        <f t="shared" si="57"/>
        <v>0</v>
      </c>
      <c r="O772" s="15" t="b">
        <f t="shared" si="2"/>
        <v>0</v>
      </c>
      <c r="P772" s="15" t="str">
        <f t="shared" si="3"/>
        <v>PENDING</v>
      </c>
    </row>
    <row r="773" ht="15.75" customHeight="1">
      <c r="A773" s="24" t="s">
        <v>1926</v>
      </c>
      <c r="B773" s="25" t="s">
        <v>1927</v>
      </c>
      <c r="C773" s="26">
        <v>45986.0</v>
      </c>
      <c r="D773" s="26">
        <v>45986.0</v>
      </c>
      <c r="E773" s="24" t="s">
        <v>1847</v>
      </c>
      <c r="F773" s="28" t="s">
        <v>23</v>
      </c>
      <c r="G773" s="28" t="s">
        <v>172</v>
      </c>
      <c r="H773" s="28" t="s">
        <v>49</v>
      </c>
      <c r="J773" s="29"/>
      <c r="K773" s="25"/>
      <c r="L773" s="28" t="s">
        <v>27</v>
      </c>
      <c r="M773" s="24" t="s">
        <v>1847</v>
      </c>
      <c r="N773" s="14" t="b">
        <f t="shared" si="57"/>
        <v>0</v>
      </c>
      <c r="O773" s="15" t="b">
        <f t="shared" si="2"/>
        <v>0</v>
      </c>
      <c r="P773" s="15" t="str">
        <f t="shared" si="3"/>
        <v>PENDING</v>
      </c>
    </row>
    <row r="774" ht="15.75" customHeight="1">
      <c r="A774" s="24" t="s">
        <v>1928</v>
      </c>
      <c r="B774" s="25" t="s">
        <v>1929</v>
      </c>
      <c r="C774" s="26">
        <v>45969.0</v>
      </c>
      <c r="D774" s="26">
        <v>45969.0</v>
      </c>
      <c r="E774" s="24" t="s">
        <v>1847</v>
      </c>
      <c r="F774" s="28" t="s">
        <v>23</v>
      </c>
      <c r="G774" s="28" t="s">
        <v>30</v>
      </c>
      <c r="H774" s="28" t="s">
        <v>25</v>
      </c>
      <c r="J774" s="29"/>
      <c r="K774" s="25"/>
      <c r="L774" s="28" t="s">
        <v>27</v>
      </c>
      <c r="M774" s="24" t="s">
        <v>1847</v>
      </c>
      <c r="N774" s="175" t="b">
        <v>0</v>
      </c>
      <c r="O774" s="15" t="b">
        <f t="shared" si="2"/>
        <v>0</v>
      </c>
      <c r="P774" s="15" t="str">
        <f t="shared" si="3"/>
        <v>APPROVED</v>
      </c>
    </row>
    <row r="775" ht="15.75" customHeight="1">
      <c r="A775" s="24" t="s">
        <v>1930</v>
      </c>
      <c r="B775" s="25" t="s">
        <v>1931</v>
      </c>
      <c r="C775" s="26">
        <v>45981.0</v>
      </c>
      <c r="D775" s="26">
        <v>45981.0</v>
      </c>
      <c r="E775" s="24" t="s">
        <v>1847</v>
      </c>
      <c r="F775" s="28" t="s">
        <v>23</v>
      </c>
      <c r="G775" s="28" t="s">
        <v>172</v>
      </c>
      <c r="H775" s="28" t="s">
        <v>49</v>
      </c>
      <c r="J775" s="29"/>
      <c r="K775" s="25"/>
      <c r="L775" s="28" t="s">
        <v>27</v>
      </c>
      <c r="M775" s="24" t="s">
        <v>1847</v>
      </c>
      <c r="N775" s="14" t="b">
        <f t="shared" ref="N775:N778" si="58">if(H775=$H$2,TRUE,O775)</f>
        <v>0</v>
      </c>
      <c r="O775" s="15" t="b">
        <f t="shared" si="2"/>
        <v>0</v>
      </c>
      <c r="P775" s="15" t="str">
        <f t="shared" si="3"/>
        <v>PENDING</v>
      </c>
    </row>
    <row r="776" ht="15.75" customHeight="1">
      <c r="A776" s="7" t="s">
        <v>1932</v>
      </c>
      <c r="B776" s="13" t="s">
        <v>1933</v>
      </c>
      <c r="C776" s="9">
        <v>45967.0</v>
      </c>
      <c r="D776" s="9">
        <v>45967.0</v>
      </c>
      <c r="E776" s="7" t="s">
        <v>1724</v>
      </c>
      <c r="F776" s="11" t="s">
        <v>23</v>
      </c>
      <c r="G776" s="11" t="s">
        <v>30</v>
      </c>
      <c r="H776" s="11" t="s">
        <v>25</v>
      </c>
      <c r="I776" s="16"/>
      <c r="J776" s="12" t="s">
        <v>1934</v>
      </c>
      <c r="K776" s="13"/>
      <c r="L776" s="11" t="s">
        <v>27</v>
      </c>
      <c r="M776" s="7" t="s">
        <v>1724</v>
      </c>
      <c r="N776" s="14" t="b">
        <f t="shared" si="58"/>
        <v>1</v>
      </c>
      <c r="O776" s="15" t="b">
        <f t="shared" si="2"/>
        <v>0</v>
      </c>
      <c r="P776" s="15" t="str">
        <f t="shared" si="3"/>
        <v>APPROVED</v>
      </c>
    </row>
    <row r="777" ht="15.75" customHeight="1">
      <c r="A777" s="24" t="s">
        <v>1935</v>
      </c>
      <c r="B777" s="25" t="s">
        <v>1936</v>
      </c>
      <c r="C777" s="26">
        <v>45968.0</v>
      </c>
      <c r="D777" s="26">
        <v>45968.0</v>
      </c>
      <c r="E777" s="24" t="s">
        <v>1724</v>
      </c>
      <c r="F777" s="28" t="s">
        <v>23</v>
      </c>
      <c r="G777" s="28" t="s">
        <v>35</v>
      </c>
      <c r="H777" s="28" t="s">
        <v>49</v>
      </c>
      <c r="J777" s="29"/>
      <c r="K777" s="25"/>
      <c r="L777" s="28" t="s">
        <v>27</v>
      </c>
      <c r="M777" s="24" t="s">
        <v>1724</v>
      </c>
      <c r="N777" s="14" t="b">
        <f t="shared" si="58"/>
        <v>0</v>
      </c>
      <c r="O777" s="15" t="b">
        <f t="shared" si="2"/>
        <v>0</v>
      </c>
      <c r="P777" s="15" t="str">
        <f t="shared" si="3"/>
        <v>PENDING</v>
      </c>
    </row>
    <row r="778" ht="15.75" customHeight="1">
      <c r="A778" s="24" t="s">
        <v>1937</v>
      </c>
      <c r="B778" s="115" t="s">
        <v>547</v>
      </c>
      <c r="C778" s="26">
        <v>45960.0</v>
      </c>
      <c r="D778" s="26">
        <v>45960.0</v>
      </c>
      <c r="E778" s="24" t="s">
        <v>177</v>
      </c>
      <c r="F778" s="28" t="s">
        <v>23</v>
      </c>
      <c r="G778" s="28" t="s">
        <v>172</v>
      </c>
      <c r="H778" s="28" t="s">
        <v>482</v>
      </c>
      <c r="J778" s="29"/>
      <c r="K778" s="25"/>
      <c r="L778" s="28" t="s">
        <v>27</v>
      </c>
      <c r="M778" s="24" t="s">
        <v>177</v>
      </c>
      <c r="N778" s="14" t="b">
        <f t="shared" si="58"/>
        <v>0</v>
      </c>
      <c r="O778" s="15" t="b">
        <f t="shared" si="2"/>
        <v>0</v>
      </c>
      <c r="P778" s="15" t="str">
        <f t="shared" si="3"/>
        <v>PENDING</v>
      </c>
    </row>
    <row r="779" ht="15.75" customHeight="1">
      <c r="A779" s="7" t="s">
        <v>1938</v>
      </c>
      <c r="B779" s="13" t="s">
        <v>1830</v>
      </c>
      <c r="C779" s="9">
        <v>45960.0</v>
      </c>
      <c r="D779" s="9">
        <v>45960.0</v>
      </c>
      <c r="E779" s="7" t="s">
        <v>1724</v>
      </c>
      <c r="F779" s="11" t="s">
        <v>23</v>
      </c>
      <c r="G779" s="11" t="s">
        <v>30</v>
      </c>
      <c r="H779" s="11" t="s">
        <v>31</v>
      </c>
      <c r="I779" s="16"/>
      <c r="J779" s="49"/>
      <c r="K779" s="13"/>
      <c r="L779" s="11" t="s">
        <v>27</v>
      </c>
      <c r="M779" s="24" t="s">
        <v>1724</v>
      </c>
      <c r="N779" s="175" t="b">
        <v>1</v>
      </c>
      <c r="O779" s="15" t="b">
        <f t="shared" si="2"/>
        <v>0</v>
      </c>
      <c r="P779" s="15" t="str">
        <f t="shared" si="3"/>
        <v>PENDING</v>
      </c>
    </row>
    <row r="780" ht="15.75" customHeight="1">
      <c r="A780" s="24" t="s">
        <v>1939</v>
      </c>
      <c r="B780" s="25" t="s">
        <v>369</v>
      </c>
      <c r="C780" s="26">
        <v>45965.0</v>
      </c>
      <c r="D780" s="26"/>
      <c r="E780" s="24" t="s">
        <v>177</v>
      </c>
      <c r="F780" s="28" t="s">
        <v>23</v>
      </c>
      <c r="G780" s="28" t="s">
        <v>172</v>
      </c>
      <c r="H780" s="28" t="s">
        <v>482</v>
      </c>
      <c r="J780" s="29"/>
      <c r="K780" s="25"/>
      <c r="L780" s="28" t="s">
        <v>27</v>
      </c>
      <c r="M780" s="24" t="s">
        <v>177</v>
      </c>
      <c r="N780" s="14" t="b">
        <f t="shared" ref="N780:N783" si="59">if(H780=$H$2,TRUE,O780)</f>
        <v>0</v>
      </c>
      <c r="O780" s="15" t="b">
        <f t="shared" si="2"/>
        <v>0</v>
      </c>
      <c r="P780" s="15" t="str">
        <f t="shared" si="3"/>
        <v>PENDING</v>
      </c>
    </row>
    <row r="781" ht="15.75" customHeight="1">
      <c r="A781" s="24" t="s">
        <v>1940</v>
      </c>
      <c r="B781" s="25" t="s">
        <v>1941</v>
      </c>
      <c r="C781" s="26">
        <v>45968.0</v>
      </c>
      <c r="D781" s="26">
        <v>45968.0</v>
      </c>
      <c r="E781" s="24" t="s">
        <v>1724</v>
      </c>
      <c r="F781" s="28" t="s">
        <v>23</v>
      </c>
      <c r="G781" s="28" t="s">
        <v>35</v>
      </c>
      <c r="H781" s="28" t="s">
        <v>49</v>
      </c>
      <c r="J781" s="29"/>
      <c r="K781" s="25"/>
      <c r="L781" s="28" t="s">
        <v>27</v>
      </c>
      <c r="M781" s="24" t="s">
        <v>1724</v>
      </c>
      <c r="N781" s="14" t="b">
        <f t="shared" si="59"/>
        <v>0</v>
      </c>
      <c r="O781" s="15" t="b">
        <f t="shared" si="2"/>
        <v>0</v>
      </c>
      <c r="P781" s="15" t="str">
        <f t="shared" si="3"/>
        <v>PENDING</v>
      </c>
    </row>
    <row r="782" ht="15.75" customHeight="1">
      <c r="A782" s="24" t="s">
        <v>1942</v>
      </c>
      <c r="B782" s="25" t="s">
        <v>1943</v>
      </c>
      <c r="C782" s="26">
        <v>45967.0</v>
      </c>
      <c r="D782" s="26">
        <v>45967.0</v>
      </c>
      <c r="E782" s="24" t="s">
        <v>1847</v>
      </c>
      <c r="F782" s="28" t="s">
        <v>23</v>
      </c>
      <c r="G782" s="28" t="s">
        <v>35</v>
      </c>
      <c r="H782" s="28" t="s">
        <v>49</v>
      </c>
      <c r="J782" s="29"/>
      <c r="K782" s="25"/>
      <c r="L782" s="28" t="s">
        <v>27</v>
      </c>
      <c r="M782" s="24" t="s">
        <v>1847</v>
      </c>
      <c r="N782" s="14" t="b">
        <f t="shared" si="59"/>
        <v>0</v>
      </c>
      <c r="O782" s="15" t="b">
        <f t="shared" si="2"/>
        <v>0</v>
      </c>
      <c r="P782" s="15" t="str">
        <f t="shared" si="3"/>
        <v>PENDING</v>
      </c>
    </row>
    <row r="783" ht="15.75" customHeight="1">
      <c r="A783" s="24" t="s">
        <v>1944</v>
      </c>
      <c r="B783" s="115" t="s">
        <v>1945</v>
      </c>
      <c r="C783" s="26">
        <v>45967.0</v>
      </c>
      <c r="D783" s="26">
        <v>45967.0</v>
      </c>
      <c r="E783" s="24" t="s">
        <v>1724</v>
      </c>
      <c r="F783" s="28" t="s">
        <v>23</v>
      </c>
      <c r="G783" s="28" t="s">
        <v>35</v>
      </c>
      <c r="H783" s="28" t="s">
        <v>84</v>
      </c>
      <c r="J783" s="29" t="s">
        <v>1946</v>
      </c>
      <c r="K783" s="25"/>
      <c r="L783" s="28" t="s">
        <v>27</v>
      </c>
      <c r="M783" s="24" t="s">
        <v>1724</v>
      </c>
      <c r="N783" s="14" t="b">
        <f t="shared" si="59"/>
        <v>0</v>
      </c>
      <c r="O783" s="15" t="b">
        <f t="shared" si="2"/>
        <v>0</v>
      </c>
      <c r="P783" s="15" t="str">
        <f t="shared" si="3"/>
        <v>PENDING</v>
      </c>
    </row>
    <row r="784" ht="15.75" customHeight="1">
      <c r="A784" s="155" t="s">
        <v>1947</v>
      </c>
      <c r="B784" s="156" t="s">
        <v>1830</v>
      </c>
      <c r="C784" s="157">
        <v>45966.0</v>
      </c>
      <c r="D784" s="157">
        <v>45966.0</v>
      </c>
      <c r="E784" s="155" t="s">
        <v>1724</v>
      </c>
      <c r="F784" s="159" t="s">
        <v>23</v>
      </c>
      <c r="G784" s="159" t="s">
        <v>30</v>
      </c>
      <c r="H784" s="155" t="s">
        <v>31</v>
      </c>
      <c r="I784" s="160"/>
      <c r="J784" s="161"/>
      <c r="K784" s="162" t="s">
        <v>1948</v>
      </c>
      <c r="L784" s="159" t="s">
        <v>27</v>
      </c>
      <c r="M784" s="155" t="s">
        <v>1724</v>
      </c>
      <c r="N784" s="175" t="b">
        <v>1</v>
      </c>
      <c r="O784" s="15" t="b">
        <f t="shared" si="2"/>
        <v>0</v>
      </c>
      <c r="P784" s="15" t="str">
        <f t="shared" si="3"/>
        <v>PENDING</v>
      </c>
    </row>
    <row r="785" ht="15.75" customHeight="1">
      <c r="A785" s="24" t="s">
        <v>1950</v>
      </c>
      <c r="B785" s="25" t="s">
        <v>1951</v>
      </c>
      <c r="C785" s="26">
        <v>45968.0</v>
      </c>
      <c r="D785" s="26">
        <v>45968.0</v>
      </c>
      <c r="E785" s="24" t="s">
        <v>715</v>
      </c>
      <c r="F785" s="28" t="s">
        <v>23</v>
      </c>
      <c r="G785" s="28" t="s">
        <v>172</v>
      </c>
      <c r="H785" s="28" t="s">
        <v>482</v>
      </c>
      <c r="J785" s="29"/>
      <c r="K785" s="25"/>
      <c r="L785" s="28" t="s">
        <v>27</v>
      </c>
      <c r="M785" s="24" t="s">
        <v>715</v>
      </c>
      <c r="N785" s="14" t="b">
        <f t="shared" ref="N785:N862" si="60">if(H785=$H$2,TRUE,O785)</f>
        <v>0</v>
      </c>
      <c r="O785" s="15" t="b">
        <f t="shared" si="2"/>
        <v>0</v>
      </c>
      <c r="P785" s="15" t="str">
        <f t="shared" si="3"/>
        <v>PENDING</v>
      </c>
    </row>
    <row r="786" ht="15.75" customHeight="1">
      <c r="A786" s="24" t="s">
        <v>1952</v>
      </c>
      <c r="B786" s="115" t="s">
        <v>669</v>
      </c>
      <c r="C786" s="26">
        <v>45967.0</v>
      </c>
      <c r="D786" s="26">
        <v>45967.0</v>
      </c>
      <c r="E786" s="24" t="s">
        <v>177</v>
      </c>
      <c r="F786" s="28" t="s">
        <v>23</v>
      </c>
      <c r="G786" s="28" t="s">
        <v>172</v>
      </c>
      <c r="H786" s="28" t="s">
        <v>482</v>
      </c>
      <c r="J786" s="29"/>
      <c r="K786" s="25"/>
      <c r="L786" s="28" t="s">
        <v>27</v>
      </c>
      <c r="M786" s="24" t="s">
        <v>177</v>
      </c>
      <c r="N786" s="14" t="b">
        <f t="shared" si="60"/>
        <v>0</v>
      </c>
      <c r="O786" s="15" t="b">
        <f t="shared" si="2"/>
        <v>0</v>
      </c>
      <c r="P786" s="15" t="str">
        <f t="shared" si="3"/>
        <v>PENDING</v>
      </c>
    </row>
    <row r="787" ht="15.75" customHeight="1">
      <c r="A787" s="24" t="s">
        <v>1953</v>
      </c>
      <c r="B787" s="115" t="s">
        <v>647</v>
      </c>
      <c r="C787" s="26">
        <v>45968.0</v>
      </c>
      <c r="D787" s="26"/>
      <c r="E787" s="24" t="s">
        <v>177</v>
      </c>
      <c r="F787" s="28" t="s">
        <v>23</v>
      </c>
      <c r="G787" s="28" t="s">
        <v>172</v>
      </c>
      <c r="H787" s="28" t="s">
        <v>482</v>
      </c>
      <c r="J787" s="29"/>
      <c r="K787" s="25"/>
      <c r="L787" s="28" t="s">
        <v>27</v>
      </c>
      <c r="M787" s="24" t="s">
        <v>177</v>
      </c>
      <c r="N787" s="14" t="b">
        <f t="shared" si="60"/>
        <v>0</v>
      </c>
      <c r="O787" s="15" t="b">
        <f t="shared" si="2"/>
        <v>0</v>
      </c>
      <c r="P787" s="15" t="str">
        <f t="shared" si="3"/>
        <v>PENDING</v>
      </c>
    </row>
    <row r="788" ht="15.75" customHeight="1">
      <c r="A788" s="24" t="s">
        <v>1954</v>
      </c>
      <c r="B788" s="115" t="s">
        <v>1955</v>
      </c>
      <c r="C788" s="26">
        <v>45968.0</v>
      </c>
      <c r="D788" s="26">
        <v>45968.0</v>
      </c>
      <c r="E788" s="24" t="s">
        <v>1376</v>
      </c>
      <c r="F788" s="28" t="s">
        <v>23</v>
      </c>
      <c r="G788" s="28" t="s">
        <v>172</v>
      </c>
      <c r="H788" s="28" t="s">
        <v>482</v>
      </c>
      <c r="J788" s="29"/>
      <c r="K788" s="25"/>
      <c r="L788" s="28" t="s">
        <v>27</v>
      </c>
      <c r="M788" s="24" t="s">
        <v>1376</v>
      </c>
      <c r="N788" s="14" t="b">
        <f t="shared" si="60"/>
        <v>0</v>
      </c>
      <c r="O788" s="15" t="b">
        <f t="shared" si="2"/>
        <v>0</v>
      </c>
      <c r="P788" s="15" t="str">
        <f t="shared" si="3"/>
        <v>PENDING</v>
      </c>
    </row>
    <row r="789" ht="15.75" customHeight="1">
      <c r="A789" s="24" t="s">
        <v>1967</v>
      </c>
      <c r="B789" s="25" t="s">
        <v>1968</v>
      </c>
      <c r="C789" s="26">
        <v>45965.0</v>
      </c>
      <c r="D789" s="26">
        <v>45965.0</v>
      </c>
      <c r="E789" s="24" t="s">
        <v>1724</v>
      </c>
      <c r="F789" s="28" t="s">
        <v>23</v>
      </c>
      <c r="G789" s="28" t="s">
        <v>35</v>
      </c>
      <c r="H789" s="28" t="s">
        <v>49</v>
      </c>
      <c r="J789" s="29"/>
      <c r="K789" s="25"/>
      <c r="L789" s="28" t="s">
        <v>27</v>
      </c>
      <c r="M789" s="24" t="s">
        <v>1724</v>
      </c>
      <c r="N789" s="14" t="b">
        <f t="shared" si="60"/>
        <v>0</v>
      </c>
      <c r="O789" s="15" t="b">
        <f t="shared" si="2"/>
        <v>0</v>
      </c>
      <c r="P789" s="15" t="str">
        <f t="shared" si="3"/>
        <v>PENDING</v>
      </c>
    </row>
    <row r="790" ht="15.75" customHeight="1">
      <c r="A790" s="24" t="s">
        <v>1969</v>
      </c>
      <c r="B790" s="25" t="s">
        <v>1970</v>
      </c>
      <c r="C790" s="26">
        <v>45965.0</v>
      </c>
      <c r="D790" s="26">
        <v>45965.0</v>
      </c>
      <c r="E790" s="24" t="s">
        <v>1724</v>
      </c>
      <c r="F790" s="28" t="s">
        <v>23</v>
      </c>
      <c r="G790" s="28" t="s">
        <v>35</v>
      </c>
      <c r="H790" s="28" t="s">
        <v>482</v>
      </c>
      <c r="J790" s="29"/>
      <c r="K790" s="25"/>
      <c r="L790" s="28" t="s">
        <v>27</v>
      </c>
      <c r="M790" s="24" t="s">
        <v>1724</v>
      </c>
      <c r="N790" s="14" t="b">
        <f t="shared" si="60"/>
        <v>0</v>
      </c>
      <c r="O790" s="15" t="b">
        <f t="shared" si="2"/>
        <v>0</v>
      </c>
      <c r="P790" s="15" t="str">
        <f t="shared" si="3"/>
        <v>PENDING</v>
      </c>
    </row>
    <row r="791" ht="15.75" customHeight="1">
      <c r="A791" s="24" t="s">
        <v>1971</v>
      </c>
      <c r="B791" s="25" t="s">
        <v>1972</v>
      </c>
      <c r="C791" s="26">
        <v>45965.0</v>
      </c>
      <c r="D791" s="26">
        <v>45965.0</v>
      </c>
      <c r="E791" s="24" t="s">
        <v>1724</v>
      </c>
      <c r="F791" s="28" t="s">
        <v>23</v>
      </c>
      <c r="G791" s="28" t="s">
        <v>35</v>
      </c>
      <c r="H791" s="28" t="s">
        <v>84</v>
      </c>
      <c r="J791" s="29" t="s">
        <v>1973</v>
      </c>
      <c r="K791" s="25"/>
      <c r="L791" s="28" t="s">
        <v>27</v>
      </c>
      <c r="M791" s="24" t="s">
        <v>1724</v>
      </c>
      <c r="N791" s="14" t="b">
        <f t="shared" si="60"/>
        <v>0</v>
      </c>
      <c r="O791" s="15" t="b">
        <f t="shared" si="2"/>
        <v>0</v>
      </c>
      <c r="P791" s="15" t="str">
        <f t="shared" si="3"/>
        <v>PENDING</v>
      </c>
    </row>
    <row r="792" ht="15.75" customHeight="1">
      <c r="A792" s="7" t="s">
        <v>1975</v>
      </c>
      <c r="B792" s="8" t="s">
        <v>1976</v>
      </c>
      <c r="C792" s="9">
        <v>45965.0</v>
      </c>
      <c r="D792" s="9">
        <v>45965.0</v>
      </c>
      <c r="E792" s="7" t="s">
        <v>1847</v>
      </c>
      <c r="F792" s="11" t="s">
        <v>23</v>
      </c>
      <c r="G792" s="11" t="s">
        <v>30</v>
      </c>
      <c r="H792" s="11" t="s">
        <v>25</v>
      </c>
      <c r="I792" s="16"/>
      <c r="J792" s="12" t="s">
        <v>1977</v>
      </c>
      <c r="K792" s="13"/>
      <c r="L792" s="11" t="s">
        <v>27</v>
      </c>
      <c r="M792" s="7" t="s">
        <v>1847</v>
      </c>
      <c r="N792" s="14" t="b">
        <f t="shared" si="60"/>
        <v>1</v>
      </c>
      <c r="O792" s="15" t="b">
        <f t="shared" si="2"/>
        <v>0</v>
      </c>
      <c r="P792" s="15" t="str">
        <f t="shared" si="3"/>
        <v>APPROVED</v>
      </c>
    </row>
    <row r="793" ht="15.75" customHeight="1">
      <c r="A793" s="24" t="s">
        <v>1978</v>
      </c>
      <c r="B793" s="25" t="s">
        <v>1979</v>
      </c>
      <c r="C793" s="26">
        <v>45966.0</v>
      </c>
      <c r="D793" s="26">
        <v>45966.0</v>
      </c>
      <c r="E793" s="24" t="s">
        <v>1724</v>
      </c>
      <c r="F793" s="28" t="s">
        <v>23</v>
      </c>
      <c r="G793" s="28" t="s">
        <v>35</v>
      </c>
      <c r="H793" s="28" t="s">
        <v>84</v>
      </c>
      <c r="J793" s="29" t="s">
        <v>1980</v>
      </c>
      <c r="K793" s="25"/>
      <c r="L793" s="28" t="s">
        <v>27</v>
      </c>
      <c r="M793" s="24" t="s">
        <v>1724</v>
      </c>
      <c r="N793" s="14" t="b">
        <f t="shared" si="60"/>
        <v>0</v>
      </c>
      <c r="O793" s="15" t="b">
        <f t="shared" si="2"/>
        <v>0</v>
      </c>
      <c r="P793" s="15" t="str">
        <f t="shared" si="3"/>
        <v>PENDING</v>
      </c>
    </row>
    <row r="794" ht="15.75" customHeight="1">
      <c r="A794" s="24" t="s">
        <v>1981</v>
      </c>
      <c r="B794" s="115" t="s">
        <v>1982</v>
      </c>
      <c r="C794" s="26">
        <v>45966.0</v>
      </c>
      <c r="D794" s="26">
        <v>45966.0</v>
      </c>
      <c r="E794" s="24" t="s">
        <v>715</v>
      </c>
      <c r="F794" s="28" t="s">
        <v>23</v>
      </c>
      <c r="G794" s="28" t="s">
        <v>172</v>
      </c>
      <c r="H794" s="28" t="s">
        <v>49</v>
      </c>
      <c r="J794" s="29"/>
      <c r="K794" s="25"/>
      <c r="L794" s="28" t="s">
        <v>27</v>
      </c>
      <c r="M794" s="24" t="s">
        <v>715</v>
      </c>
      <c r="N794" s="14" t="b">
        <f t="shared" si="60"/>
        <v>0</v>
      </c>
      <c r="O794" s="15" t="b">
        <f t="shared" si="2"/>
        <v>0</v>
      </c>
      <c r="P794" s="15" t="str">
        <f t="shared" si="3"/>
        <v>PENDING</v>
      </c>
    </row>
    <row r="795" ht="15.75" customHeight="1">
      <c r="A795" s="24" t="s">
        <v>1983</v>
      </c>
      <c r="B795" s="115" t="s">
        <v>1984</v>
      </c>
      <c r="C795" s="26">
        <v>45967.0</v>
      </c>
      <c r="D795" s="26">
        <v>45967.0</v>
      </c>
      <c r="E795" s="24" t="s">
        <v>1724</v>
      </c>
      <c r="F795" s="28" t="s">
        <v>23</v>
      </c>
      <c r="G795" s="28" t="s">
        <v>35</v>
      </c>
      <c r="H795" s="28" t="s">
        <v>482</v>
      </c>
      <c r="J795" s="29"/>
      <c r="K795" s="25"/>
      <c r="L795" s="28" t="s">
        <v>27</v>
      </c>
      <c r="M795" s="24" t="s">
        <v>1724</v>
      </c>
      <c r="N795" s="14" t="b">
        <f t="shared" si="60"/>
        <v>0</v>
      </c>
      <c r="O795" s="15" t="b">
        <f t="shared" si="2"/>
        <v>0</v>
      </c>
      <c r="P795" s="15" t="str">
        <f t="shared" si="3"/>
        <v>PENDING</v>
      </c>
    </row>
    <row r="796" ht="15.75" customHeight="1">
      <c r="A796" s="24" t="s">
        <v>1985</v>
      </c>
      <c r="B796" s="25" t="s">
        <v>1986</v>
      </c>
      <c r="C796" s="26">
        <v>45969.0</v>
      </c>
      <c r="D796" s="26">
        <v>45969.0</v>
      </c>
      <c r="E796" s="24" t="s">
        <v>177</v>
      </c>
      <c r="F796" s="28" t="s">
        <v>23</v>
      </c>
      <c r="G796" s="28" t="s">
        <v>172</v>
      </c>
      <c r="H796" s="28" t="s">
        <v>482</v>
      </c>
      <c r="J796" s="29"/>
      <c r="K796" s="25"/>
      <c r="L796" s="28" t="s">
        <v>27</v>
      </c>
      <c r="M796" s="24" t="s">
        <v>177</v>
      </c>
      <c r="N796" s="14" t="b">
        <f t="shared" si="60"/>
        <v>0</v>
      </c>
      <c r="O796" s="15" t="b">
        <f t="shared" si="2"/>
        <v>0</v>
      </c>
      <c r="P796" s="15" t="str">
        <f t="shared" si="3"/>
        <v>PENDING</v>
      </c>
    </row>
    <row r="797" ht="15.75" customHeight="1">
      <c r="A797" s="24" t="s">
        <v>1987</v>
      </c>
      <c r="B797" s="25" t="s">
        <v>288</v>
      </c>
      <c r="C797" s="26">
        <v>45972.0</v>
      </c>
      <c r="D797" s="26">
        <v>45972.0</v>
      </c>
      <c r="E797" s="24" t="s">
        <v>177</v>
      </c>
      <c r="F797" s="28" t="s">
        <v>23</v>
      </c>
      <c r="G797" s="28" t="s">
        <v>172</v>
      </c>
      <c r="H797" s="28" t="s">
        <v>482</v>
      </c>
      <c r="J797" s="29"/>
      <c r="K797" s="25"/>
      <c r="L797" s="28" t="s">
        <v>27</v>
      </c>
      <c r="M797" s="24" t="s">
        <v>177</v>
      </c>
      <c r="N797" s="14" t="b">
        <f t="shared" si="60"/>
        <v>0</v>
      </c>
      <c r="O797" s="15" t="b">
        <f t="shared" si="2"/>
        <v>0</v>
      </c>
      <c r="P797" s="15" t="str">
        <f t="shared" si="3"/>
        <v>PENDING</v>
      </c>
    </row>
    <row r="798" ht="15.75" customHeight="1">
      <c r="A798" s="24" t="s">
        <v>1988</v>
      </c>
      <c r="B798" s="115" t="s">
        <v>151</v>
      </c>
      <c r="C798" s="26">
        <v>45972.0</v>
      </c>
      <c r="D798" s="26">
        <v>45972.0</v>
      </c>
      <c r="E798" s="24" t="s">
        <v>177</v>
      </c>
      <c r="F798" s="28" t="s">
        <v>23</v>
      </c>
      <c r="G798" s="28" t="s">
        <v>172</v>
      </c>
      <c r="H798" s="28" t="s">
        <v>482</v>
      </c>
      <c r="J798" s="29"/>
      <c r="K798" s="29" t="s">
        <v>1989</v>
      </c>
      <c r="L798" s="28" t="s">
        <v>27</v>
      </c>
      <c r="M798" s="24" t="s">
        <v>177</v>
      </c>
      <c r="N798" s="14" t="b">
        <f t="shared" si="60"/>
        <v>0</v>
      </c>
      <c r="O798" s="15" t="b">
        <f t="shared" si="2"/>
        <v>0</v>
      </c>
      <c r="P798" s="15" t="str">
        <f t="shared" si="3"/>
        <v>PENDING</v>
      </c>
    </row>
    <row r="799" ht="15.75" customHeight="1">
      <c r="A799" s="24" t="s">
        <v>1990</v>
      </c>
      <c r="B799" s="115" t="s">
        <v>306</v>
      </c>
      <c r="C799" s="26">
        <v>45972.0</v>
      </c>
      <c r="D799" s="26">
        <v>45972.0</v>
      </c>
      <c r="E799" s="24" t="s">
        <v>177</v>
      </c>
      <c r="F799" s="28" t="s">
        <v>23</v>
      </c>
      <c r="G799" s="28" t="s">
        <v>172</v>
      </c>
      <c r="H799" s="28" t="s">
        <v>482</v>
      </c>
      <c r="J799" s="29"/>
      <c r="K799" s="25"/>
      <c r="L799" s="28" t="s">
        <v>27</v>
      </c>
      <c r="M799" s="24" t="s">
        <v>177</v>
      </c>
      <c r="N799" s="14" t="b">
        <f t="shared" si="60"/>
        <v>0</v>
      </c>
      <c r="O799" s="15" t="b">
        <f t="shared" si="2"/>
        <v>0</v>
      </c>
      <c r="P799" s="15" t="str">
        <f t="shared" si="3"/>
        <v>PENDING</v>
      </c>
    </row>
    <row r="800" ht="15.75" customHeight="1">
      <c r="A800" s="7" t="s">
        <v>1991</v>
      </c>
      <c r="B800" s="8" t="s">
        <v>622</v>
      </c>
      <c r="C800" s="9">
        <v>45973.0</v>
      </c>
      <c r="D800" s="9">
        <v>45973.0</v>
      </c>
      <c r="E800" s="7" t="s">
        <v>177</v>
      </c>
      <c r="F800" s="11" t="s">
        <v>23</v>
      </c>
      <c r="G800" s="11" t="s">
        <v>30</v>
      </c>
      <c r="H800" s="11" t="s">
        <v>25</v>
      </c>
      <c r="I800" s="16"/>
      <c r="J800" s="12" t="s">
        <v>976</v>
      </c>
      <c r="K800" s="13"/>
      <c r="L800" s="11" t="s">
        <v>27</v>
      </c>
      <c r="M800" s="7" t="s">
        <v>177</v>
      </c>
      <c r="N800" s="14" t="b">
        <f t="shared" si="60"/>
        <v>1</v>
      </c>
      <c r="O800" s="15" t="b">
        <f t="shared" si="2"/>
        <v>0</v>
      </c>
      <c r="P800" s="15" t="str">
        <f t="shared" si="3"/>
        <v>APPROVED</v>
      </c>
    </row>
    <row r="801" ht="15.75" customHeight="1">
      <c r="A801" s="24" t="s">
        <v>1992</v>
      </c>
      <c r="B801" s="25" t="s">
        <v>1993</v>
      </c>
      <c r="C801" s="26">
        <v>45973.0</v>
      </c>
      <c r="D801" s="26">
        <v>45973.0</v>
      </c>
      <c r="E801" s="24" t="s">
        <v>177</v>
      </c>
      <c r="F801" s="28" t="s">
        <v>23</v>
      </c>
      <c r="G801" s="28" t="s">
        <v>172</v>
      </c>
      <c r="H801" s="28" t="s">
        <v>482</v>
      </c>
      <c r="J801" s="29"/>
      <c r="K801" s="25"/>
      <c r="L801" s="28" t="s">
        <v>27</v>
      </c>
      <c r="M801" s="24" t="s">
        <v>177</v>
      </c>
      <c r="N801" s="14" t="b">
        <f t="shared" si="60"/>
        <v>0</v>
      </c>
      <c r="O801" s="15" t="b">
        <f t="shared" si="2"/>
        <v>0</v>
      </c>
      <c r="P801" s="15" t="str">
        <f t="shared" si="3"/>
        <v>PENDING</v>
      </c>
    </row>
    <row r="802" ht="15.75" customHeight="1">
      <c r="A802" s="24" t="s">
        <v>1994</v>
      </c>
      <c r="B802" s="115" t="s">
        <v>858</v>
      </c>
      <c r="C802" s="26">
        <v>45973.0</v>
      </c>
      <c r="D802" s="26">
        <v>45973.0</v>
      </c>
      <c r="E802" s="24" t="s">
        <v>177</v>
      </c>
      <c r="F802" s="28" t="s">
        <v>23</v>
      </c>
      <c r="G802" s="28" t="s">
        <v>172</v>
      </c>
      <c r="H802" s="28" t="s">
        <v>84</v>
      </c>
      <c r="J802" s="29" t="s">
        <v>1995</v>
      </c>
      <c r="K802" s="25"/>
      <c r="L802" s="28" t="s">
        <v>27</v>
      </c>
      <c r="M802" s="24" t="s">
        <v>177</v>
      </c>
      <c r="N802" s="14" t="b">
        <f t="shared" si="60"/>
        <v>0</v>
      </c>
      <c r="O802" s="15" t="b">
        <f t="shared" si="2"/>
        <v>0</v>
      </c>
      <c r="P802" s="15" t="str">
        <f t="shared" si="3"/>
        <v>PENDING</v>
      </c>
    </row>
    <row r="803" ht="15.75" customHeight="1">
      <c r="A803" s="24" t="s">
        <v>1996</v>
      </c>
      <c r="B803" s="25" t="s">
        <v>1997</v>
      </c>
      <c r="C803" s="26">
        <v>45973.0</v>
      </c>
      <c r="D803" s="26">
        <v>45973.0</v>
      </c>
      <c r="E803" s="24" t="s">
        <v>177</v>
      </c>
      <c r="F803" s="28" t="s">
        <v>23</v>
      </c>
      <c r="G803" s="28" t="s">
        <v>172</v>
      </c>
      <c r="H803" s="28" t="s">
        <v>482</v>
      </c>
      <c r="J803" s="29"/>
      <c r="K803" s="25"/>
      <c r="L803" s="28" t="s">
        <v>27</v>
      </c>
      <c r="M803" s="24" t="s">
        <v>177</v>
      </c>
      <c r="N803" s="14" t="b">
        <f t="shared" si="60"/>
        <v>0</v>
      </c>
      <c r="O803" s="15" t="b">
        <f t="shared" si="2"/>
        <v>0</v>
      </c>
      <c r="P803" s="15" t="str">
        <f t="shared" si="3"/>
        <v>PENDING</v>
      </c>
    </row>
    <row r="804" ht="15.75" customHeight="1">
      <c r="A804" s="24" t="s">
        <v>1998</v>
      </c>
      <c r="B804" s="25" t="s">
        <v>1951</v>
      </c>
      <c r="C804" s="26">
        <v>45974.0</v>
      </c>
      <c r="D804" s="26">
        <v>45974.0</v>
      </c>
      <c r="E804" s="24" t="s">
        <v>715</v>
      </c>
      <c r="F804" s="28" t="s">
        <v>23</v>
      </c>
      <c r="G804" s="28" t="s">
        <v>172</v>
      </c>
      <c r="H804" s="28" t="s">
        <v>482</v>
      </c>
      <c r="J804" s="29"/>
      <c r="K804" s="25"/>
      <c r="L804" s="28" t="s">
        <v>27</v>
      </c>
      <c r="M804" s="24" t="s">
        <v>715</v>
      </c>
      <c r="N804" s="14" t="b">
        <f t="shared" si="60"/>
        <v>0</v>
      </c>
      <c r="O804" s="15" t="b">
        <f t="shared" si="2"/>
        <v>0</v>
      </c>
      <c r="P804" s="15" t="str">
        <f t="shared" si="3"/>
        <v>PENDING</v>
      </c>
    </row>
    <row r="805" ht="15.75" customHeight="1">
      <c r="A805" s="24" t="s">
        <v>1999</v>
      </c>
      <c r="B805" s="25" t="s">
        <v>2000</v>
      </c>
      <c r="C805" s="26">
        <v>45974.0</v>
      </c>
      <c r="D805" s="26"/>
      <c r="E805" s="24" t="s">
        <v>1182</v>
      </c>
      <c r="F805" s="28" t="s">
        <v>23</v>
      </c>
      <c r="G805" s="24"/>
      <c r="H805" s="28" t="s">
        <v>49</v>
      </c>
      <c r="J805" s="29"/>
      <c r="K805" s="25"/>
      <c r="L805" s="28" t="s">
        <v>1271</v>
      </c>
      <c r="M805" s="24" t="s">
        <v>1182</v>
      </c>
      <c r="N805" s="14" t="b">
        <f t="shared" si="60"/>
        <v>0</v>
      </c>
      <c r="O805" s="15" t="b">
        <f t="shared" si="2"/>
        <v>0</v>
      </c>
      <c r="P805" s="15" t="str">
        <f t="shared" si="3"/>
        <v>PENDING</v>
      </c>
    </row>
    <row r="806" ht="15.75" customHeight="1">
      <c r="A806" s="24" t="s">
        <v>2001</v>
      </c>
      <c r="B806" s="115" t="s">
        <v>1476</v>
      </c>
      <c r="C806" s="26">
        <v>45974.0</v>
      </c>
      <c r="D806" s="26"/>
      <c r="E806" s="24" t="s">
        <v>1376</v>
      </c>
      <c r="F806" s="28" t="s">
        <v>23</v>
      </c>
      <c r="G806" s="28" t="s">
        <v>172</v>
      </c>
      <c r="H806" s="28" t="s">
        <v>482</v>
      </c>
      <c r="J806" s="29"/>
      <c r="K806" s="25"/>
      <c r="L806" s="28" t="s">
        <v>27</v>
      </c>
      <c r="M806" s="24" t="s">
        <v>1376</v>
      </c>
      <c r="N806" s="14" t="b">
        <f t="shared" si="60"/>
        <v>0</v>
      </c>
      <c r="O806" s="15" t="b">
        <f t="shared" si="2"/>
        <v>0</v>
      </c>
      <c r="P806" s="15" t="str">
        <f t="shared" si="3"/>
        <v>PENDING</v>
      </c>
    </row>
    <row r="807" ht="15.75" customHeight="1">
      <c r="A807" s="24" t="s">
        <v>2002</v>
      </c>
      <c r="B807" s="115" t="s">
        <v>1383</v>
      </c>
      <c r="C807" s="26">
        <v>45974.0</v>
      </c>
      <c r="D807" s="26"/>
      <c r="E807" s="24" t="s">
        <v>1376</v>
      </c>
      <c r="F807" s="28" t="s">
        <v>23</v>
      </c>
      <c r="G807" s="28" t="s">
        <v>172</v>
      </c>
      <c r="H807" s="28" t="s">
        <v>49</v>
      </c>
      <c r="J807" s="29"/>
      <c r="K807" s="29" t="s">
        <v>2003</v>
      </c>
      <c r="L807" s="28" t="s">
        <v>27</v>
      </c>
      <c r="M807" s="24" t="s">
        <v>1376</v>
      </c>
      <c r="N807" s="14" t="b">
        <f t="shared" si="60"/>
        <v>0</v>
      </c>
      <c r="O807" s="15" t="b">
        <f t="shared" si="2"/>
        <v>0</v>
      </c>
      <c r="P807" s="15" t="str">
        <f t="shared" si="3"/>
        <v>PENDING</v>
      </c>
    </row>
    <row r="808" ht="15.75" customHeight="1">
      <c r="A808" s="24" t="s">
        <v>2004</v>
      </c>
      <c r="B808" s="25" t="s">
        <v>189</v>
      </c>
      <c r="C808" s="26">
        <v>45974.0</v>
      </c>
      <c r="D808" s="26"/>
      <c r="E808" s="24" t="s">
        <v>177</v>
      </c>
      <c r="F808" s="28" t="s">
        <v>23</v>
      </c>
      <c r="G808" s="28" t="s">
        <v>172</v>
      </c>
      <c r="H808" s="28" t="s">
        <v>49</v>
      </c>
      <c r="J808" s="29" t="s">
        <v>2005</v>
      </c>
      <c r="K808" s="25"/>
      <c r="L808" s="28" t="s">
        <v>1271</v>
      </c>
      <c r="M808" s="24" t="s">
        <v>177</v>
      </c>
      <c r="N808" s="14" t="b">
        <f t="shared" si="60"/>
        <v>0</v>
      </c>
      <c r="O808" s="15" t="b">
        <f t="shared" si="2"/>
        <v>0</v>
      </c>
      <c r="P808" s="15" t="str">
        <f t="shared" si="3"/>
        <v>PENDING</v>
      </c>
    </row>
    <row r="809" ht="15.75" customHeight="1">
      <c r="A809" s="24" t="s">
        <v>2006</v>
      </c>
      <c r="B809" s="25" t="s">
        <v>1379</v>
      </c>
      <c r="C809" s="26">
        <v>45974.0</v>
      </c>
      <c r="D809" s="26"/>
      <c r="E809" s="24" t="s">
        <v>1376</v>
      </c>
      <c r="F809" s="28" t="s">
        <v>23</v>
      </c>
      <c r="G809" s="28" t="s">
        <v>172</v>
      </c>
      <c r="H809" s="28" t="s">
        <v>482</v>
      </c>
      <c r="J809" s="29"/>
      <c r="K809" s="25"/>
      <c r="L809" s="28" t="s">
        <v>27</v>
      </c>
      <c r="M809" s="24" t="s">
        <v>1376</v>
      </c>
      <c r="N809" s="14" t="b">
        <f t="shared" si="60"/>
        <v>0</v>
      </c>
      <c r="O809" s="15" t="b">
        <f t="shared" si="2"/>
        <v>0</v>
      </c>
      <c r="P809" s="15" t="str">
        <f t="shared" si="3"/>
        <v>PENDING</v>
      </c>
    </row>
    <row r="810" ht="15.75" customHeight="1">
      <c r="A810" s="24" t="s">
        <v>2007</v>
      </c>
      <c r="B810" s="115" t="s">
        <v>1482</v>
      </c>
      <c r="C810" s="26">
        <v>45974.0</v>
      </c>
      <c r="D810" s="26"/>
      <c r="E810" s="24" t="s">
        <v>1376</v>
      </c>
      <c r="F810" s="28" t="s">
        <v>23</v>
      </c>
      <c r="G810" s="28" t="s">
        <v>172</v>
      </c>
      <c r="H810" s="28" t="s">
        <v>482</v>
      </c>
      <c r="J810" s="29"/>
      <c r="K810" s="25"/>
      <c r="L810" s="28" t="s">
        <v>27</v>
      </c>
      <c r="M810" s="24" t="s">
        <v>1376</v>
      </c>
      <c r="N810" s="14" t="b">
        <f t="shared" si="60"/>
        <v>0</v>
      </c>
      <c r="O810" s="15" t="b">
        <f t="shared" si="2"/>
        <v>0</v>
      </c>
      <c r="P810" s="15" t="str">
        <f t="shared" si="3"/>
        <v>PENDING</v>
      </c>
    </row>
    <row r="811" ht="15.75" customHeight="1">
      <c r="A811" s="24" t="s">
        <v>2008</v>
      </c>
      <c r="B811" s="25" t="s">
        <v>2009</v>
      </c>
      <c r="C811" s="26">
        <v>45974.0</v>
      </c>
      <c r="D811" s="26">
        <v>45974.0</v>
      </c>
      <c r="E811" s="24" t="s">
        <v>177</v>
      </c>
      <c r="F811" s="28" t="s">
        <v>23</v>
      </c>
      <c r="G811" s="28" t="s">
        <v>172</v>
      </c>
      <c r="H811" s="28" t="s">
        <v>482</v>
      </c>
      <c r="J811" s="29"/>
      <c r="K811" s="25"/>
      <c r="L811" s="28" t="s">
        <v>27</v>
      </c>
      <c r="M811" s="24" t="s">
        <v>177</v>
      </c>
      <c r="N811" s="14" t="b">
        <f t="shared" si="60"/>
        <v>0</v>
      </c>
      <c r="O811" s="15" t="b">
        <f t="shared" si="2"/>
        <v>0</v>
      </c>
      <c r="P811" s="15" t="str">
        <f t="shared" si="3"/>
        <v>PENDING</v>
      </c>
    </row>
    <row r="812" ht="15.75" customHeight="1">
      <c r="A812" s="24" t="s">
        <v>2010</v>
      </c>
      <c r="B812" s="25" t="s">
        <v>2011</v>
      </c>
      <c r="C812" s="26">
        <v>45974.0</v>
      </c>
      <c r="D812" s="26">
        <v>45974.0</v>
      </c>
      <c r="E812" s="24" t="s">
        <v>177</v>
      </c>
      <c r="F812" s="28" t="s">
        <v>23</v>
      </c>
      <c r="G812" s="28" t="s">
        <v>172</v>
      </c>
      <c r="H812" s="28" t="s">
        <v>482</v>
      </c>
      <c r="J812" s="29"/>
      <c r="K812" s="25"/>
      <c r="L812" s="28" t="s">
        <v>27</v>
      </c>
      <c r="M812" s="24" t="s">
        <v>177</v>
      </c>
      <c r="N812" s="14" t="b">
        <f t="shared" si="60"/>
        <v>0</v>
      </c>
      <c r="O812" s="15" t="b">
        <f t="shared" si="2"/>
        <v>0</v>
      </c>
      <c r="P812" s="15" t="str">
        <f t="shared" si="3"/>
        <v>PENDING</v>
      </c>
    </row>
    <row r="813" ht="15.75" customHeight="1">
      <c r="A813" s="24" t="s">
        <v>2012</v>
      </c>
      <c r="B813" s="25" t="s">
        <v>1087</v>
      </c>
      <c r="C813" s="26">
        <v>45975.0</v>
      </c>
      <c r="D813" s="26">
        <v>45975.0</v>
      </c>
      <c r="E813" s="24" t="s">
        <v>1376</v>
      </c>
      <c r="F813" s="28" t="s">
        <v>23</v>
      </c>
      <c r="G813" s="28" t="s">
        <v>172</v>
      </c>
      <c r="H813" s="28" t="s">
        <v>482</v>
      </c>
      <c r="J813" s="29"/>
      <c r="K813" s="25"/>
      <c r="L813" s="28" t="s">
        <v>27</v>
      </c>
      <c r="M813" s="24" t="s">
        <v>1376</v>
      </c>
      <c r="N813" s="14" t="b">
        <f t="shared" si="60"/>
        <v>0</v>
      </c>
      <c r="O813" s="15" t="b">
        <f t="shared" si="2"/>
        <v>0</v>
      </c>
      <c r="P813" s="15" t="str">
        <f t="shared" si="3"/>
        <v>PENDING</v>
      </c>
    </row>
    <row r="814" ht="15.75" customHeight="1">
      <c r="A814" s="24" t="s">
        <v>2013</v>
      </c>
      <c r="B814" s="25" t="s">
        <v>2014</v>
      </c>
      <c r="C814" s="26">
        <v>45978.0</v>
      </c>
      <c r="D814" s="26">
        <v>45978.0</v>
      </c>
      <c r="E814" s="24" t="s">
        <v>22</v>
      </c>
      <c r="F814" s="28" t="s">
        <v>23</v>
      </c>
      <c r="G814" s="28" t="s">
        <v>30</v>
      </c>
      <c r="H814" s="28" t="s">
        <v>25</v>
      </c>
      <c r="J814" s="29"/>
      <c r="K814" s="25"/>
      <c r="L814" s="28" t="s">
        <v>27</v>
      </c>
      <c r="M814" s="24" t="s">
        <v>22</v>
      </c>
      <c r="N814" s="14" t="b">
        <f t="shared" si="60"/>
        <v>1</v>
      </c>
      <c r="O814" s="15" t="b">
        <f t="shared" si="2"/>
        <v>0</v>
      </c>
      <c r="P814" s="15" t="str">
        <f t="shared" si="3"/>
        <v>APPROVED</v>
      </c>
    </row>
    <row r="815" ht="15.75" customHeight="1">
      <c r="A815" s="24" t="s">
        <v>2015</v>
      </c>
      <c r="B815" s="115" t="s">
        <v>1589</v>
      </c>
      <c r="C815" s="26">
        <v>45979.0</v>
      </c>
      <c r="D815" s="26">
        <v>45979.0</v>
      </c>
      <c r="E815" s="24" t="s">
        <v>1376</v>
      </c>
      <c r="F815" s="28" t="s">
        <v>23</v>
      </c>
      <c r="G815" s="28" t="s">
        <v>172</v>
      </c>
      <c r="H815" s="28" t="s">
        <v>49</v>
      </c>
      <c r="J815" s="29"/>
      <c r="K815" s="25"/>
      <c r="L815" s="28" t="s">
        <v>27</v>
      </c>
      <c r="M815" s="24" t="s">
        <v>1376</v>
      </c>
      <c r="N815" s="14" t="b">
        <f t="shared" si="60"/>
        <v>0</v>
      </c>
      <c r="O815" s="15" t="b">
        <f t="shared" si="2"/>
        <v>0</v>
      </c>
      <c r="P815" s="15" t="str">
        <f t="shared" si="3"/>
        <v>PENDING</v>
      </c>
    </row>
    <row r="816" ht="15.75" customHeight="1">
      <c r="A816" s="24" t="s">
        <v>2016</v>
      </c>
      <c r="B816" s="115" t="s">
        <v>1454</v>
      </c>
      <c r="C816" s="26">
        <v>45979.0</v>
      </c>
      <c r="D816" s="26"/>
      <c r="E816" s="24" t="s">
        <v>1376</v>
      </c>
      <c r="F816" s="28" t="s">
        <v>23</v>
      </c>
      <c r="G816" s="28" t="s">
        <v>172</v>
      </c>
      <c r="H816" s="28" t="s">
        <v>84</v>
      </c>
      <c r="J816" s="29" t="s">
        <v>1455</v>
      </c>
      <c r="K816" s="25"/>
      <c r="L816" s="28" t="s">
        <v>27</v>
      </c>
      <c r="M816" s="24" t="s">
        <v>1376</v>
      </c>
      <c r="N816" s="14" t="b">
        <f t="shared" si="60"/>
        <v>0</v>
      </c>
      <c r="O816" s="15" t="b">
        <f t="shared" si="2"/>
        <v>0</v>
      </c>
      <c r="P816" s="15" t="str">
        <f t="shared" si="3"/>
        <v>PENDING</v>
      </c>
    </row>
    <row r="817" ht="15.75" customHeight="1">
      <c r="A817" s="155" t="s">
        <v>2017</v>
      </c>
      <c r="B817" s="156" t="s">
        <v>1830</v>
      </c>
      <c r="C817" s="157">
        <v>45976.0</v>
      </c>
      <c r="D817" s="157">
        <v>45976.0</v>
      </c>
      <c r="E817" s="159" t="s">
        <v>1724</v>
      </c>
      <c r="F817" s="159" t="s">
        <v>23</v>
      </c>
      <c r="G817" s="159" t="s">
        <v>30</v>
      </c>
      <c r="H817" s="155" t="s">
        <v>31</v>
      </c>
      <c r="I817" s="160"/>
      <c r="J817" s="161"/>
      <c r="K817" s="162"/>
      <c r="L817" s="159" t="s">
        <v>27</v>
      </c>
      <c r="M817" s="159" t="s">
        <v>1724</v>
      </c>
      <c r="N817" s="14" t="b">
        <f t="shared" si="60"/>
        <v>0</v>
      </c>
      <c r="O817" s="15" t="b">
        <f t="shared" si="2"/>
        <v>0</v>
      </c>
      <c r="P817" s="15" t="str">
        <f t="shared" si="3"/>
        <v>PENDING</v>
      </c>
    </row>
    <row r="818" ht="15.75" customHeight="1">
      <c r="A818" s="24" t="s">
        <v>2018</v>
      </c>
      <c r="B818" s="25" t="s">
        <v>1670</v>
      </c>
      <c r="C818" s="26">
        <v>45979.0</v>
      </c>
      <c r="D818" s="26"/>
      <c r="E818" s="24" t="s">
        <v>177</v>
      </c>
      <c r="F818" s="28" t="s">
        <v>23</v>
      </c>
      <c r="G818" s="28" t="s">
        <v>172</v>
      </c>
      <c r="H818" s="28" t="s">
        <v>49</v>
      </c>
      <c r="J818" s="29"/>
      <c r="K818" s="29" t="s">
        <v>2019</v>
      </c>
      <c r="L818" s="28" t="s">
        <v>27</v>
      </c>
      <c r="M818" s="24" t="s">
        <v>177</v>
      </c>
      <c r="N818" s="14" t="b">
        <f t="shared" si="60"/>
        <v>0</v>
      </c>
      <c r="O818" s="15" t="b">
        <f t="shared" si="2"/>
        <v>0</v>
      </c>
      <c r="P818" s="15" t="str">
        <f t="shared" si="3"/>
        <v>PENDING</v>
      </c>
    </row>
    <row r="819" ht="15.75" customHeight="1">
      <c r="A819" s="24" t="s">
        <v>2020</v>
      </c>
      <c r="B819" s="115" t="s">
        <v>276</v>
      </c>
      <c r="C819" s="26">
        <v>45979.0</v>
      </c>
      <c r="D819" s="26"/>
      <c r="E819" s="24" t="s">
        <v>177</v>
      </c>
      <c r="F819" s="28" t="s">
        <v>23</v>
      </c>
      <c r="G819" s="28" t="s">
        <v>172</v>
      </c>
      <c r="H819" s="28" t="s">
        <v>49</v>
      </c>
      <c r="J819" s="29"/>
      <c r="K819" s="25"/>
      <c r="L819" s="28" t="s">
        <v>1271</v>
      </c>
      <c r="M819" s="24" t="s">
        <v>177</v>
      </c>
      <c r="N819" s="14" t="b">
        <f t="shared" si="60"/>
        <v>0</v>
      </c>
      <c r="O819" s="15" t="b">
        <f t="shared" si="2"/>
        <v>0</v>
      </c>
      <c r="P819" s="15" t="str">
        <f t="shared" si="3"/>
        <v>PENDING</v>
      </c>
    </row>
    <row r="820" ht="15.75" customHeight="1">
      <c r="A820" s="24" t="s">
        <v>2021</v>
      </c>
      <c r="B820" s="25" t="s">
        <v>119</v>
      </c>
      <c r="C820" s="26">
        <v>45979.0</v>
      </c>
      <c r="D820" s="26"/>
      <c r="E820" s="24" t="s">
        <v>177</v>
      </c>
      <c r="F820" s="28" t="s">
        <v>23</v>
      </c>
      <c r="G820" s="28" t="s">
        <v>172</v>
      </c>
      <c r="H820" s="28" t="s">
        <v>49</v>
      </c>
      <c r="J820" s="29"/>
      <c r="K820" s="25"/>
      <c r="L820" s="28" t="s">
        <v>1271</v>
      </c>
      <c r="M820" s="24" t="s">
        <v>177</v>
      </c>
      <c r="N820" s="14" t="b">
        <f t="shared" si="60"/>
        <v>0</v>
      </c>
      <c r="O820" s="15" t="b">
        <f t="shared" si="2"/>
        <v>0</v>
      </c>
      <c r="P820" s="15" t="str">
        <f t="shared" si="3"/>
        <v>PENDING</v>
      </c>
    </row>
    <row r="821" ht="15.75" customHeight="1">
      <c r="A821" s="24" t="s">
        <v>2022</v>
      </c>
      <c r="B821" s="25" t="s">
        <v>1651</v>
      </c>
      <c r="C821" s="26">
        <v>45980.0</v>
      </c>
      <c r="D821" s="26"/>
      <c r="E821" s="24" t="s">
        <v>1376</v>
      </c>
      <c r="F821" s="28" t="s">
        <v>23</v>
      </c>
      <c r="G821" s="28" t="s">
        <v>172</v>
      </c>
      <c r="H821" s="28" t="s">
        <v>49</v>
      </c>
      <c r="J821" s="29"/>
      <c r="K821" s="29" t="s">
        <v>2023</v>
      </c>
      <c r="L821" s="28" t="s">
        <v>1271</v>
      </c>
      <c r="M821" s="24" t="s">
        <v>1376</v>
      </c>
      <c r="N821" s="14" t="b">
        <f t="shared" si="60"/>
        <v>0</v>
      </c>
      <c r="O821" s="15" t="b">
        <f t="shared" si="2"/>
        <v>0</v>
      </c>
      <c r="P821" s="15" t="str">
        <f t="shared" si="3"/>
        <v>PENDING</v>
      </c>
    </row>
    <row r="822" ht="15.75" customHeight="1">
      <c r="A822" s="24" t="s">
        <v>2024</v>
      </c>
      <c r="B822" s="25" t="s">
        <v>2025</v>
      </c>
      <c r="C822" s="26">
        <v>45980.0</v>
      </c>
      <c r="D822" s="26"/>
      <c r="E822" s="24" t="s">
        <v>1376</v>
      </c>
      <c r="F822" s="28" t="s">
        <v>23</v>
      </c>
      <c r="G822" s="28" t="s">
        <v>172</v>
      </c>
      <c r="H822" s="28" t="s">
        <v>49</v>
      </c>
      <c r="J822" s="29"/>
      <c r="K822" s="25"/>
      <c r="L822" s="28" t="s">
        <v>1271</v>
      </c>
      <c r="M822" s="24" t="s">
        <v>1376</v>
      </c>
      <c r="N822" s="14" t="b">
        <f t="shared" si="60"/>
        <v>0</v>
      </c>
      <c r="O822" s="15" t="b">
        <f t="shared" si="2"/>
        <v>0</v>
      </c>
      <c r="P822" s="15" t="str">
        <f t="shared" si="3"/>
        <v>PENDING</v>
      </c>
    </row>
    <row r="823" ht="15.75" customHeight="1">
      <c r="A823" s="24" t="s">
        <v>2026</v>
      </c>
      <c r="B823" s="25" t="s">
        <v>1375</v>
      </c>
      <c r="C823" s="26">
        <v>45983.0</v>
      </c>
      <c r="D823" s="26">
        <v>45983.0</v>
      </c>
      <c r="E823" s="24" t="s">
        <v>1376</v>
      </c>
      <c r="F823" s="28" t="s">
        <v>23</v>
      </c>
      <c r="G823" s="28" t="s">
        <v>172</v>
      </c>
      <c r="H823" s="28" t="s">
        <v>84</v>
      </c>
      <c r="J823" s="29" t="s">
        <v>2027</v>
      </c>
      <c r="K823" s="29" t="s">
        <v>1731</v>
      </c>
      <c r="L823" s="28" t="s">
        <v>27</v>
      </c>
      <c r="M823" s="24" t="s">
        <v>1376</v>
      </c>
      <c r="N823" s="14" t="b">
        <f t="shared" si="60"/>
        <v>0</v>
      </c>
      <c r="O823" s="15" t="b">
        <f t="shared" si="2"/>
        <v>0</v>
      </c>
      <c r="P823" s="15" t="str">
        <f t="shared" si="3"/>
        <v>PENDING</v>
      </c>
    </row>
    <row r="824" ht="15.75" customHeight="1">
      <c r="A824" s="24" t="s">
        <v>2028</v>
      </c>
      <c r="B824" s="25" t="s">
        <v>2029</v>
      </c>
      <c r="C824" s="26">
        <v>45980.0</v>
      </c>
      <c r="D824" s="26">
        <v>45980.0</v>
      </c>
      <c r="E824" s="24" t="s">
        <v>1847</v>
      </c>
      <c r="F824" s="28" t="s">
        <v>23</v>
      </c>
      <c r="G824" s="28" t="s">
        <v>35</v>
      </c>
      <c r="H824" s="28" t="s">
        <v>49</v>
      </c>
      <c r="J824" s="29"/>
      <c r="K824" s="25"/>
      <c r="L824" s="28" t="s">
        <v>27</v>
      </c>
      <c r="M824" s="24" t="s">
        <v>1847</v>
      </c>
      <c r="N824" s="14" t="b">
        <f t="shared" si="60"/>
        <v>0</v>
      </c>
      <c r="O824" s="15" t="b">
        <f t="shared" si="2"/>
        <v>0</v>
      </c>
      <c r="P824" s="15" t="str">
        <f t="shared" si="3"/>
        <v>PENDING</v>
      </c>
    </row>
    <row r="825" ht="15.75" customHeight="1">
      <c r="A825" s="24" t="s">
        <v>2030</v>
      </c>
      <c r="B825" s="25" t="s">
        <v>2031</v>
      </c>
      <c r="C825" s="26">
        <v>45990.0</v>
      </c>
      <c r="D825" s="26"/>
      <c r="E825" s="24" t="s">
        <v>177</v>
      </c>
      <c r="F825" s="28" t="s">
        <v>23</v>
      </c>
      <c r="G825" s="28" t="s">
        <v>172</v>
      </c>
      <c r="H825" s="28" t="s">
        <v>49</v>
      </c>
      <c r="J825" s="29"/>
      <c r="K825" s="25"/>
      <c r="L825" s="28" t="s">
        <v>1271</v>
      </c>
      <c r="M825" s="24" t="s">
        <v>177</v>
      </c>
      <c r="N825" s="14" t="b">
        <f t="shared" si="60"/>
        <v>0</v>
      </c>
      <c r="O825" s="15" t="b">
        <f t="shared" si="2"/>
        <v>0</v>
      </c>
      <c r="P825" s="15" t="str">
        <f t="shared" si="3"/>
        <v>PENDING</v>
      </c>
    </row>
    <row r="826" ht="15.75" customHeight="1">
      <c r="A826" s="24" t="s">
        <v>2032</v>
      </c>
      <c r="B826" s="115" t="s">
        <v>791</v>
      </c>
      <c r="C826" s="26">
        <v>45990.0</v>
      </c>
      <c r="D826" s="26"/>
      <c r="E826" s="24" t="s">
        <v>177</v>
      </c>
      <c r="F826" s="28" t="s">
        <v>23</v>
      </c>
      <c r="G826" s="28" t="s">
        <v>172</v>
      </c>
      <c r="H826" s="28" t="s">
        <v>49</v>
      </c>
      <c r="J826" s="29"/>
      <c r="K826" s="25"/>
      <c r="L826" s="28" t="s">
        <v>1271</v>
      </c>
      <c r="M826" s="24" t="s">
        <v>177</v>
      </c>
      <c r="N826" s="14" t="b">
        <f t="shared" si="60"/>
        <v>0</v>
      </c>
      <c r="O826" s="15" t="b">
        <f t="shared" si="2"/>
        <v>0</v>
      </c>
      <c r="P826" s="15" t="str">
        <f t="shared" si="3"/>
        <v>PENDING</v>
      </c>
    </row>
    <row r="827" ht="15.75" customHeight="1">
      <c r="A827" s="24" t="s">
        <v>2033</v>
      </c>
      <c r="B827" s="115" t="s">
        <v>194</v>
      </c>
      <c r="C827" s="26">
        <v>45990.0</v>
      </c>
      <c r="D827" s="26"/>
      <c r="E827" s="24" t="s">
        <v>177</v>
      </c>
      <c r="F827" s="28" t="s">
        <v>23</v>
      </c>
      <c r="G827" s="28" t="s">
        <v>172</v>
      </c>
      <c r="H827" s="28" t="s">
        <v>49</v>
      </c>
      <c r="J827" s="29"/>
      <c r="K827" s="25"/>
      <c r="L827" s="28" t="s">
        <v>1271</v>
      </c>
      <c r="M827" s="24" t="s">
        <v>177</v>
      </c>
      <c r="N827" s="14" t="b">
        <f t="shared" si="60"/>
        <v>0</v>
      </c>
      <c r="O827" s="15" t="b">
        <f t="shared" si="2"/>
        <v>0</v>
      </c>
      <c r="P827" s="15" t="str">
        <f t="shared" si="3"/>
        <v>PENDING</v>
      </c>
    </row>
    <row r="828" ht="15.75" customHeight="1">
      <c r="A828" s="24" t="s">
        <v>2034</v>
      </c>
      <c r="B828" s="115" t="s">
        <v>1255</v>
      </c>
      <c r="C828" s="26">
        <v>45990.0</v>
      </c>
      <c r="D828" s="26"/>
      <c r="E828" s="24" t="s">
        <v>177</v>
      </c>
      <c r="F828" s="28" t="s">
        <v>23</v>
      </c>
      <c r="G828" s="28" t="s">
        <v>172</v>
      </c>
      <c r="H828" s="28" t="s">
        <v>49</v>
      </c>
      <c r="J828" s="29"/>
      <c r="K828" s="25"/>
      <c r="L828" s="28" t="s">
        <v>1271</v>
      </c>
      <c r="M828" s="24" t="s">
        <v>177</v>
      </c>
      <c r="N828" s="14" t="b">
        <f t="shared" si="60"/>
        <v>0</v>
      </c>
      <c r="O828" s="15" t="b">
        <f t="shared" si="2"/>
        <v>0</v>
      </c>
      <c r="P828" s="15" t="str">
        <f t="shared" si="3"/>
        <v>PENDING</v>
      </c>
    </row>
    <row r="829" ht="16.5" customHeight="1">
      <c r="A829" s="24" t="s">
        <v>2035</v>
      </c>
      <c r="B829" s="25" t="s">
        <v>2036</v>
      </c>
      <c r="C829" s="26">
        <v>45990.0</v>
      </c>
      <c r="D829" s="26"/>
      <c r="E829" s="24" t="s">
        <v>177</v>
      </c>
      <c r="F829" s="28" t="s">
        <v>23</v>
      </c>
      <c r="G829" s="28" t="s">
        <v>172</v>
      </c>
      <c r="H829" s="28" t="s">
        <v>49</v>
      </c>
      <c r="J829" s="29"/>
      <c r="K829" s="25"/>
      <c r="L829" s="28" t="s">
        <v>1271</v>
      </c>
      <c r="M829" s="24" t="s">
        <v>177</v>
      </c>
      <c r="N829" s="14" t="b">
        <f t="shared" si="60"/>
        <v>0</v>
      </c>
      <c r="O829" s="15" t="b">
        <f t="shared" si="2"/>
        <v>0</v>
      </c>
      <c r="P829" s="15" t="str">
        <f t="shared" si="3"/>
        <v>PENDING</v>
      </c>
    </row>
    <row r="830" ht="15.0" customHeight="1">
      <c r="A830" s="24" t="s">
        <v>2037</v>
      </c>
      <c r="B830" s="25" t="s">
        <v>799</v>
      </c>
      <c r="C830" s="26">
        <v>45990.0</v>
      </c>
      <c r="D830" s="26"/>
      <c r="E830" s="24" t="s">
        <v>177</v>
      </c>
      <c r="F830" s="28" t="s">
        <v>23</v>
      </c>
      <c r="G830" s="28" t="s">
        <v>172</v>
      </c>
      <c r="H830" s="28" t="s">
        <v>49</v>
      </c>
      <c r="J830" s="29"/>
      <c r="K830" s="25"/>
      <c r="L830" s="28" t="s">
        <v>1271</v>
      </c>
      <c r="M830" s="24" t="s">
        <v>177</v>
      </c>
      <c r="N830" s="14" t="b">
        <f t="shared" si="60"/>
        <v>0</v>
      </c>
      <c r="O830" s="15" t="b">
        <f t="shared" si="2"/>
        <v>0</v>
      </c>
      <c r="P830" s="15" t="str">
        <f t="shared" si="3"/>
        <v>PENDING</v>
      </c>
    </row>
    <row r="831" ht="15.75" customHeight="1">
      <c r="A831" s="24" t="s">
        <v>2038</v>
      </c>
      <c r="B831" s="25" t="s">
        <v>394</v>
      </c>
      <c r="C831" s="26">
        <v>45990.0</v>
      </c>
      <c r="D831" s="26"/>
      <c r="E831" s="24" t="s">
        <v>177</v>
      </c>
      <c r="F831" s="28" t="s">
        <v>23</v>
      </c>
      <c r="G831" s="28" t="s">
        <v>172</v>
      </c>
      <c r="H831" s="28" t="s">
        <v>49</v>
      </c>
      <c r="J831" s="29"/>
      <c r="K831" s="25"/>
      <c r="L831" s="28" t="s">
        <v>1271</v>
      </c>
      <c r="M831" s="24" t="s">
        <v>177</v>
      </c>
      <c r="N831" s="14" t="b">
        <f t="shared" si="60"/>
        <v>0</v>
      </c>
      <c r="O831" s="15" t="b">
        <f t="shared" si="2"/>
        <v>0</v>
      </c>
      <c r="P831" s="15" t="str">
        <f t="shared" si="3"/>
        <v>PENDING</v>
      </c>
    </row>
    <row r="832" ht="15.75" customHeight="1">
      <c r="A832" s="24" t="s">
        <v>2039</v>
      </c>
      <c r="B832" s="115" t="s">
        <v>491</v>
      </c>
      <c r="C832" s="26">
        <v>45990.0</v>
      </c>
      <c r="D832" s="26"/>
      <c r="E832" s="24" t="s">
        <v>177</v>
      </c>
      <c r="F832" s="28" t="s">
        <v>23</v>
      </c>
      <c r="G832" s="28" t="s">
        <v>172</v>
      </c>
      <c r="H832" s="28" t="s">
        <v>49</v>
      </c>
      <c r="J832" s="29"/>
      <c r="K832" s="25"/>
      <c r="L832" s="28" t="s">
        <v>1271</v>
      </c>
      <c r="M832" s="24" t="s">
        <v>177</v>
      </c>
      <c r="N832" s="14" t="b">
        <f t="shared" si="60"/>
        <v>0</v>
      </c>
      <c r="O832" s="15" t="b">
        <f t="shared" si="2"/>
        <v>0</v>
      </c>
      <c r="P832" s="15" t="str">
        <f t="shared" si="3"/>
        <v>PENDING</v>
      </c>
    </row>
    <row r="833" ht="15.75" customHeight="1">
      <c r="A833" s="24" t="s">
        <v>2040</v>
      </c>
      <c r="B833" s="115" t="s">
        <v>132</v>
      </c>
      <c r="C833" s="26">
        <v>45990.0</v>
      </c>
      <c r="D833" s="26"/>
      <c r="E833" s="24" t="s">
        <v>177</v>
      </c>
      <c r="F833" s="28" t="s">
        <v>23</v>
      </c>
      <c r="G833" s="28" t="s">
        <v>172</v>
      </c>
      <c r="H833" s="28" t="s">
        <v>49</v>
      </c>
      <c r="J833" s="29"/>
      <c r="K833" s="29" t="s">
        <v>2041</v>
      </c>
      <c r="L833" s="28" t="s">
        <v>1271</v>
      </c>
      <c r="M833" s="24" t="s">
        <v>177</v>
      </c>
      <c r="N833" s="14" t="b">
        <f t="shared" si="60"/>
        <v>0</v>
      </c>
      <c r="O833" s="15" t="b">
        <f t="shared" si="2"/>
        <v>0</v>
      </c>
      <c r="P833" s="15" t="str">
        <f t="shared" si="3"/>
        <v>PENDING</v>
      </c>
    </row>
    <row r="834" ht="15.75" customHeight="1">
      <c r="A834" s="24" t="s">
        <v>2042</v>
      </c>
      <c r="B834" s="170" t="s">
        <v>2043</v>
      </c>
      <c r="C834" s="171">
        <v>45989.0</v>
      </c>
      <c r="D834" s="26"/>
      <c r="E834" s="170" t="s">
        <v>1847</v>
      </c>
      <c r="F834" s="174" t="s">
        <v>23</v>
      </c>
      <c r="G834" s="28" t="s">
        <v>24</v>
      </c>
      <c r="H834" s="28" t="s">
        <v>49</v>
      </c>
      <c r="J834" s="29"/>
      <c r="K834" s="29" t="s">
        <v>2041</v>
      </c>
      <c r="L834" s="28" t="s">
        <v>1271</v>
      </c>
      <c r="M834" s="170" t="s">
        <v>1847</v>
      </c>
      <c r="N834" s="14" t="b">
        <f t="shared" si="60"/>
        <v>0</v>
      </c>
      <c r="O834" s="15" t="b">
        <f t="shared" si="2"/>
        <v>0</v>
      </c>
      <c r="P834" s="15" t="str">
        <f t="shared" si="3"/>
        <v>PENDING</v>
      </c>
    </row>
    <row r="835" ht="15.75" customHeight="1">
      <c r="A835" s="24" t="s">
        <v>2044</v>
      </c>
      <c r="B835" s="170" t="s">
        <v>2045</v>
      </c>
      <c r="C835" s="171">
        <v>45989.0</v>
      </c>
      <c r="D835" s="26"/>
      <c r="E835" s="170" t="s">
        <v>1847</v>
      </c>
      <c r="F835" s="174" t="s">
        <v>23</v>
      </c>
      <c r="G835" s="28" t="s">
        <v>24</v>
      </c>
      <c r="H835" s="28" t="s">
        <v>49</v>
      </c>
      <c r="J835" s="29"/>
      <c r="K835" s="29" t="s">
        <v>2041</v>
      </c>
      <c r="L835" s="28" t="s">
        <v>1271</v>
      </c>
      <c r="M835" s="170" t="s">
        <v>1847</v>
      </c>
      <c r="N835" s="14" t="b">
        <f t="shared" si="60"/>
        <v>0</v>
      </c>
      <c r="O835" s="15" t="b">
        <f t="shared" si="2"/>
        <v>0</v>
      </c>
      <c r="P835" s="15" t="str">
        <f t="shared" si="3"/>
        <v>PENDING</v>
      </c>
    </row>
    <row r="836" ht="15.75" customHeight="1">
      <c r="A836" s="24" t="s">
        <v>2046</v>
      </c>
      <c r="B836" s="170" t="s">
        <v>2047</v>
      </c>
      <c r="C836" s="171">
        <v>45989.0</v>
      </c>
      <c r="D836" s="26"/>
      <c r="E836" s="170" t="s">
        <v>1847</v>
      </c>
      <c r="F836" s="174" t="s">
        <v>23</v>
      </c>
      <c r="G836" s="28" t="s">
        <v>24</v>
      </c>
      <c r="H836" s="28" t="s">
        <v>49</v>
      </c>
      <c r="J836" s="29"/>
      <c r="K836" s="29" t="s">
        <v>2041</v>
      </c>
      <c r="L836" s="28" t="s">
        <v>1271</v>
      </c>
      <c r="M836" s="170" t="s">
        <v>1847</v>
      </c>
      <c r="N836" s="14" t="b">
        <f t="shared" si="60"/>
        <v>0</v>
      </c>
      <c r="O836" s="15" t="b">
        <f t="shared" si="2"/>
        <v>0</v>
      </c>
      <c r="P836" s="15" t="str">
        <f t="shared" si="3"/>
        <v>PENDING</v>
      </c>
    </row>
    <row r="837" ht="15.75" customHeight="1">
      <c r="A837" s="24" t="s">
        <v>2048</v>
      </c>
      <c r="B837" s="170" t="s">
        <v>2049</v>
      </c>
      <c r="C837" s="171">
        <v>45989.0</v>
      </c>
      <c r="D837" s="26"/>
      <c r="E837" s="170" t="s">
        <v>1724</v>
      </c>
      <c r="F837" s="174" t="s">
        <v>23</v>
      </c>
      <c r="G837" s="28" t="s">
        <v>172</v>
      </c>
      <c r="H837" s="28" t="s">
        <v>49</v>
      </c>
      <c r="J837" s="29"/>
      <c r="K837" s="25"/>
      <c r="L837" s="28" t="s">
        <v>1271</v>
      </c>
      <c r="M837" s="170" t="s">
        <v>1724</v>
      </c>
      <c r="N837" s="14" t="b">
        <f t="shared" si="60"/>
        <v>0</v>
      </c>
      <c r="O837" s="15" t="b">
        <f t="shared" si="2"/>
        <v>0</v>
      </c>
      <c r="P837" s="15" t="str">
        <f t="shared" si="3"/>
        <v>PENDING</v>
      </c>
    </row>
    <row r="838" ht="15.75" customHeight="1">
      <c r="A838" s="24" t="s">
        <v>2050</v>
      </c>
      <c r="B838" s="174" t="s">
        <v>1101</v>
      </c>
      <c r="C838" s="171">
        <v>45989.0</v>
      </c>
      <c r="D838" s="26"/>
      <c r="E838" s="170" t="s">
        <v>715</v>
      </c>
      <c r="F838" s="174" t="s">
        <v>23</v>
      </c>
      <c r="G838" s="28" t="s">
        <v>48</v>
      </c>
      <c r="H838" s="28" t="s">
        <v>49</v>
      </c>
      <c r="J838" s="29"/>
      <c r="K838" s="25"/>
      <c r="L838" s="28" t="s">
        <v>1271</v>
      </c>
      <c r="M838" s="170" t="s">
        <v>715</v>
      </c>
      <c r="N838" s="14" t="b">
        <f t="shared" si="60"/>
        <v>0</v>
      </c>
      <c r="O838" s="15" t="b">
        <f t="shared" si="2"/>
        <v>0</v>
      </c>
      <c r="P838" s="15" t="str">
        <f t="shared" si="3"/>
        <v>PENDING</v>
      </c>
    </row>
    <row r="839" ht="15.75" customHeight="1">
      <c r="A839" s="24" t="s">
        <v>2051</v>
      </c>
      <c r="B839" s="174" t="s">
        <v>999</v>
      </c>
      <c r="C839" s="171">
        <v>45989.0</v>
      </c>
      <c r="D839" s="26"/>
      <c r="E839" s="170" t="s">
        <v>715</v>
      </c>
      <c r="F839" s="174" t="s">
        <v>23</v>
      </c>
      <c r="G839" s="28" t="s">
        <v>172</v>
      </c>
      <c r="H839" s="28" t="s">
        <v>49</v>
      </c>
      <c r="J839" s="29"/>
      <c r="K839" s="25"/>
      <c r="L839" s="28" t="s">
        <v>1271</v>
      </c>
      <c r="M839" s="170" t="s">
        <v>715</v>
      </c>
      <c r="N839" s="14" t="b">
        <f t="shared" si="60"/>
        <v>0</v>
      </c>
      <c r="O839" s="15" t="b">
        <f t="shared" si="2"/>
        <v>0</v>
      </c>
      <c r="P839" s="15" t="str">
        <f t="shared" si="3"/>
        <v>PENDING</v>
      </c>
    </row>
    <row r="840" ht="15.75" customHeight="1">
      <c r="A840" s="24" t="s">
        <v>2052</v>
      </c>
      <c r="B840" s="174" t="s">
        <v>837</v>
      </c>
      <c r="C840" s="171">
        <v>45989.0</v>
      </c>
      <c r="D840" s="26"/>
      <c r="E840" s="170" t="s">
        <v>715</v>
      </c>
      <c r="F840" s="174" t="s">
        <v>23</v>
      </c>
      <c r="G840" s="28" t="s">
        <v>172</v>
      </c>
      <c r="H840" s="28" t="s">
        <v>49</v>
      </c>
      <c r="J840" s="29"/>
      <c r="K840" s="25"/>
      <c r="L840" s="28" t="s">
        <v>1271</v>
      </c>
      <c r="M840" s="170" t="s">
        <v>715</v>
      </c>
      <c r="N840" s="14" t="b">
        <f t="shared" si="60"/>
        <v>0</v>
      </c>
      <c r="O840" s="15" t="b">
        <f t="shared" si="2"/>
        <v>0</v>
      </c>
      <c r="P840" s="15" t="str">
        <f t="shared" si="3"/>
        <v>PENDING</v>
      </c>
    </row>
    <row r="841" ht="15.75" customHeight="1">
      <c r="A841" s="24" t="s">
        <v>2053</v>
      </c>
      <c r="B841" s="170" t="s">
        <v>2054</v>
      </c>
      <c r="C841" s="171">
        <v>45989.0</v>
      </c>
      <c r="D841" s="26"/>
      <c r="E841" s="170" t="s">
        <v>715</v>
      </c>
      <c r="F841" s="174" t="s">
        <v>23</v>
      </c>
      <c r="G841" s="28" t="s">
        <v>35</v>
      </c>
      <c r="H841" s="28" t="s">
        <v>49</v>
      </c>
      <c r="J841" s="29"/>
      <c r="K841" s="25"/>
      <c r="L841" s="28" t="s">
        <v>1271</v>
      </c>
      <c r="M841" s="170" t="s">
        <v>715</v>
      </c>
      <c r="N841" s="14" t="b">
        <f t="shared" si="60"/>
        <v>0</v>
      </c>
      <c r="O841" s="15" t="b">
        <f t="shared" si="2"/>
        <v>0</v>
      </c>
      <c r="P841" s="15" t="str">
        <f t="shared" si="3"/>
        <v>PENDING</v>
      </c>
    </row>
    <row r="842" ht="15.75" customHeight="1">
      <c r="A842" s="24" t="s">
        <v>2055</v>
      </c>
      <c r="B842" s="174" t="s">
        <v>1161</v>
      </c>
      <c r="C842" s="171">
        <v>45989.0</v>
      </c>
      <c r="D842" s="26"/>
      <c r="E842" s="170" t="s">
        <v>715</v>
      </c>
      <c r="F842" s="174" t="s">
        <v>23</v>
      </c>
      <c r="G842" s="28" t="s">
        <v>172</v>
      </c>
      <c r="H842" s="28" t="s">
        <v>49</v>
      </c>
      <c r="J842" s="29"/>
      <c r="K842" s="25"/>
      <c r="L842" s="28" t="s">
        <v>1271</v>
      </c>
      <c r="M842" s="170" t="s">
        <v>715</v>
      </c>
      <c r="N842" s="14" t="b">
        <f t="shared" si="60"/>
        <v>0</v>
      </c>
      <c r="O842" s="15" t="b">
        <f t="shared" si="2"/>
        <v>0</v>
      </c>
      <c r="P842" s="15" t="str">
        <f t="shared" si="3"/>
        <v>PENDING</v>
      </c>
    </row>
    <row r="843" ht="15.75" customHeight="1">
      <c r="A843" s="24" t="s">
        <v>2056</v>
      </c>
      <c r="B843" s="170" t="s">
        <v>1826</v>
      </c>
      <c r="C843" s="171">
        <v>45989.0</v>
      </c>
      <c r="D843" s="26"/>
      <c r="E843" s="170" t="s">
        <v>715</v>
      </c>
      <c r="F843" s="174" t="s">
        <v>23</v>
      </c>
      <c r="G843" s="28" t="s">
        <v>30</v>
      </c>
      <c r="H843" s="28" t="s">
        <v>49</v>
      </c>
      <c r="J843" s="29"/>
      <c r="K843" s="25"/>
      <c r="L843" s="28" t="s">
        <v>1271</v>
      </c>
      <c r="M843" s="170" t="s">
        <v>715</v>
      </c>
      <c r="N843" s="14" t="b">
        <f t="shared" si="60"/>
        <v>0</v>
      </c>
      <c r="O843" s="15" t="b">
        <f t="shared" si="2"/>
        <v>0</v>
      </c>
      <c r="P843" s="15" t="str">
        <f t="shared" si="3"/>
        <v>PENDING</v>
      </c>
    </row>
    <row r="844" ht="15.75" customHeight="1">
      <c r="A844" s="24" t="s">
        <v>2057</v>
      </c>
      <c r="B844" s="170" t="s">
        <v>2058</v>
      </c>
      <c r="C844" s="171">
        <v>45989.0</v>
      </c>
      <c r="D844" s="26"/>
      <c r="E844" s="170" t="s">
        <v>715</v>
      </c>
      <c r="F844" s="174" t="s">
        <v>23</v>
      </c>
      <c r="G844" s="28" t="s">
        <v>48</v>
      </c>
      <c r="H844" s="28" t="s">
        <v>49</v>
      </c>
      <c r="J844" s="29"/>
      <c r="K844" s="25"/>
      <c r="L844" s="28" t="s">
        <v>1271</v>
      </c>
      <c r="M844" s="170" t="s">
        <v>715</v>
      </c>
      <c r="N844" s="14" t="b">
        <f t="shared" si="60"/>
        <v>0</v>
      </c>
      <c r="O844" s="15" t="b">
        <f t="shared" si="2"/>
        <v>0</v>
      </c>
      <c r="P844" s="15" t="str">
        <f t="shared" si="3"/>
        <v>PENDING</v>
      </c>
    </row>
    <row r="845" ht="15.75" customHeight="1">
      <c r="A845" s="24" t="s">
        <v>2059</v>
      </c>
      <c r="B845" s="170" t="s">
        <v>2060</v>
      </c>
      <c r="C845" s="171">
        <v>45990.0</v>
      </c>
      <c r="D845" s="26"/>
      <c r="E845" s="170" t="s">
        <v>1724</v>
      </c>
      <c r="F845" s="174" t="s">
        <v>23</v>
      </c>
      <c r="G845" s="28" t="s">
        <v>30</v>
      </c>
      <c r="H845" s="28" t="s">
        <v>49</v>
      </c>
      <c r="J845" s="29"/>
      <c r="K845" s="25"/>
      <c r="L845" s="28" t="s">
        <v>1271</v>
      </c>
      <c r="M845" s="170" t="s">
        <v>1724</v>
      </c>
      <c r="N845" s="14" t="b">
        <f t="shared" si="60"/>
        <v>0</v>
      </c>
      <c r="O845" s="15" t="b">
        <f t="shared" si="2"/>
        <v>0</v>
      </c>
      <c r="P845" s="15" t="str">
        <f t="shared" si="3"/>
        <v>PENDING</v>
      </c>
    </row>
    <row r="846" ht="15.75" customHeight="1">
      <c r="A846" s="24" t="s">
        <v>2061</v>
      </c>
      <c r="B846" s="170" t="s">
        <v>2062</v>
      </c>
      <c r="C846" s="171">
        <v>45990.0</v>
      </c>
      <c r="D846" s="26"/>
      <c r="E846" s="170" t="s">
        <v>1724</v>
      </c>
      <c r="F846" s="174" t="s">
        <v>23</v>
      </c>
      <c r="G846" s="28" t="s">
        <v>24</v>
      </c>
      <c r="H846" s="28" t="s">
        <v>49</v>
      </c>
      <c r="J846" s="29"/>
      <c r="K846" s="25"/>
      <c r="L846" s="28" t="s">
        <v>1271</v>
      </c>
      <c r="M846" s="170" t="s">
        <v>1724</v>
      </c>
      <c r="N846" s="14" t="b">
        <f t="shared" si="60"/>
        <v>0</v>
      </c>
      <c r="O846" s="15" t="b">
        <f t="shared" si="2"/>
        <v>0</v>
      </c>
      <c r="P846" s="15" t="str">
        <f t="shared" si="3"/>
        <v>PENDING</v>
      </c>
    </row>
    <row r="847" ht="15.75" customHeight="1">
      <c r="A847" s="24" t="s">
        <v>2063</v>
      </c>
      <c r="B847" s="170" t="s">
        <v>2064</v>
      </c>
      <c r="C847" s="171">
        <v>45990.0</v>
      </c>
      <c r="D847" s="26"/>
      <c r="E847" s="170" t="s">
        <v>1724</v>
      </c>
      <c r="F847" s="174" t="s">
        <v>23</v>
      </c>
      <c r="G847" s="28" t="s">
        <v>24</v>
      </c>
      <c r="H847" s="28" t="s">
        <v>49</v>
      </c>
      <c r="J847" s="29"/>
      <c r="K847" s="25"/>
      <c r="L847" s="28" t="s">
        <v>1271</v>
      </c>
      <c r="M847" s="170" t="s">
        <v>1724</v>
      </c>
      <c r="N847" s="14" t="b">
        <f t="shared" si="60"/>
        <v>0</v>
      </c>
      <c r="O847" s="15" t="b">
        <f t="shared" si="2"/>
        <v>0</v>
      </c>
      <c r="P847" s="15" t="str">
        <f t="shared" si="3"/>
        <v>PENDING</v>
      </c>
    </row>
    <row r="848" ht="15.75" customHeight="1">
      <c r="A848" s="24" t="s">
        <v>2065</v>
      </c>
      <c r="B848" s="170" t="s">
        <v>2066</v>
      </c>
      <c r="C848" s="171">
        <v>45990.0</v>
      </c>
      <c r="D848" s="26"/>
      <c r="E848" s="170" t="s">
        <v>1724</v>
      </c>
      <c r="F848" s="174" t="s">
        <v>23</v>
      </c>
      <c r="G848" s="28" t="s">
        <v>24</v>
      </c>
      <c r="H848" s="28" t="s">
        <v>49</v>
      </c>
      <c r="J848" s="29"/>
      <c r="K848" s="25"/>
      <c r="L848" s="28" t="s">
        <v>1271</v>
      </c>
      <c r="M848" s="170" t="s">
        <v>1724</v>
      </c>
      <c r="N848" s="14" t="b">
        <f t="shared" si="60"/>
        <v>0</v>
      </c>
      <c r="O848" s="15" t="b">
        <f t="shared" si="2"/>
        <v>0</v>
      </c>
      <c r="P848" s="15" t="str">
        <f t="shared" si="3"/>
        <v>PENDING</v>
      </c>
    </row>
    <row r="849" ht="15.75" customHeight="1">
      <c r="A849" s="24" t="s">
        <v>2067</v>
      </c>
      <c r="B849" s="170" t="s">
        <v>2068</v>
      </c>
      <c r="C849" s="171">
        <v>45990.0</v>
      </c>
      <c r="D849" s="26"/>
      <c r="E849" s="170" t="s">
        <v>1724</v>
      </c>
      <c r="F849" s="174" t="s">
        <v>23</v>
      </c>
      <c r="G849" s="28" t="s">
        <v>35</v>
      </c>
      <c r="H849" s="28" t="s">
        <v>49</v>
      </c>
      <c r="J849" s="29"/>
      <c r="K849" s="25"/>
      <c r="L849" s="28" t="s">
        <v>1271</v>
      </c>
      <c r="M849" s="170" t="s">
        <v>1724</v>
      </c>
      <c r="N849" s="14" t="b">
        <f t="shared" si="60"/>
        <v>0</v>
      </c>
      <c r="O849" s="15" t="b">
        <f t="shared" si="2"/>
        <v>0</v>
      </c>
      <c r="P849" s="15" t="str">
        <f t="shared" si="3"/>
        <v>PENDING</v>
      </c>
    </row>
    <row r="850" ht="15.75" customHeight="1">
      <c r="A850" s="24" t="s">
        <v>2069</v>
      </c>
      <c r="B850" s="170" t="s">
        <v>2070</v>
      </c>
      <c r="C850" s="171">
        <v>45990.0</v>
      </c>
      <c r="D850" s="26"/>
      <c r="E850" s="170" t="s">
        <v>1724</v>
      </c>
      <c r="F850" s="174" t="s">
        <v>23</v>
      </c>
      <c r="G850" s="28" t="s">
        <v>35</v>
      </c>
      <c r="H850" s="28" t="s">
        <v>49</v>
      </c>
      <c r="J850" s="29"/>
      <c r="K850" s="25"/>
      <c r="L850" s="28" t="s">
        <v>1271</v>
      </c>
      <c r="M850" s="170" t="s">
        <v>1724</v>
      </c>
      <c r="N850" s="14" t="b">
        <f t="shared" si="60"/>
        <v>0</v>
      </c>
      <c r="O850" s="15" t="b">
        <f t="shared" si="2"/>
        <v>0</v>
      </c>
      <c r="P850" s="15" t="str">
        <f t="shared" si="3"/>
        <v>PENDING</v>
      </c>
    </row>
    <row r="851" ht="15.75" customHeight="1">
      <c r="A851" s="24" t="s">
        <v>2071</v>
      </c>
      <c r="B851" s="170" t="s">
        <v>2072</v>
      </c>
      <c r="C851" s="171">
        <v>45990.0</v>
      </c>
      <c r="D851" s="26"/>
      <c r="E851" s="170" t="s">
        <v>1376</v>
      </c>
      <c r="F851" s="174" t="s">
        <v>23</v>
      </c>
      <c r="G851" s="24"/>
      <c r="H851" s="28" t="s">
        <v>49</v>
      </c>
      <c r="J851" s="29"/>
      <c r="K851" s="25"/>
      <c r="L851" s="28" t="s">
        <v>1271</v>
      </c>
      <c r="M851" s="170" t="s">
        <v>1376</v>
      </c>
      <c r="N851" s="14" t="b">
        <f t="shared" si="60"/>
        <v>0</v>
      </c>
      <c r="O851" s="15" t="b">
        <f t="shared" si="2"/>
        <v>0</v>
      </c>
      <c r="P851" s="15" t="str">
        <f t="shared" si="3"/>
        <v>PENDING</v>
      </c>
    </row>
    <row r="852" ht="15.75" customHeight="1">
      <c r="A852" s="24" t="s">
        <v>2073</v>
      </c>
      <c r="B852" s="174" t="s">
        <v>1228</v>
      </c>
      <c r="C852" s="171">
        <v>45990.0</v>
      </c>
      <c r="D852" s="26"/>
      <c r="E852" s="170" t="s">
        <v>1376</v>
      </c>
      <c r="F852" s="174" t="s">
        <v>23</v>
      </c>
      <c r="G852" s="28" t="s">
        <v>172</v>
      </c>
      <c r="H852" s="28" t="s">
        <v>49</v>
      </c>
      <c r="J852" s="29"/>
      <c r="K852" s="25"/>
      <c r="L852" s="28" t="s">
        <v>1271</v>
      </c>
      <c r="M852" s="170" t="s">
        <v>1376</v>
      </c>
      <c r="N852" s="14" t="b">
        <f t="shared" si="60"/>
        <v>0</v>
      </c>
      <c r="O852" s="15" t="b">
        <f t="shared" si="2"/>
        <v>0</v>
      </c>
      <c r="P852" s="15" t="str">
        <f t="shared" si="3"/>
        <v>PENDING</v>
      </c>
    </row>
    <row r="853" ht="15.75" customHeight="1">
      <c r="A853" s="24" t="s">
        <v>2074</v>
      </c>
      <c r="B853" s="174" t="s">
        <v>29</v>
      </c>
      <c r="C853" s="171">
        <v>45992.0</v>
      </c>
      <c r="D853" s="26"/>
      <c r="E853" s="170" t="s">
        <v>22</v>
      </c>
      <c r="F853" s="174" t="s">
        <v>23</v>
      </c>
      <c r="G853" s="28" t="s">
        <v>70</v>
      </c>
      <c r="H853" s="28" t="s">
        <v>49</v>
      </c>
      <c r="J853" s="29"/>
      <c r="K853" s="29" t="s">
        <v>2075</v>
      </c>
      <c r="L853" s="28" t="s">
        <v>27</v>
      </c>
      <c r="M853" s="170" t="s">
        <v>22</v>
      </c>
      <c r="N853" s="14" t="b">
        <f t="shared" si="60"/>
        <v>0</v>
      </c>
      <c r="O853" s="15" t="b">
        <f t="shared" si="2"/>
        <v>0</v>
      </c>
      <c r="P853" s="15" t="str">
        <f t="shared" si="3"/>
        <v>PENDING</v>
      </c>
    </row>
    <row r="854" ht="15.75" customHeight="1">
      <c r="A854" s="24" t="s">
        <v>2076</v>
      </c>
      <c r="B854" s="174" t="s">
        <v>29</v>
      </c>
      <c r="C854" s="171">
        <v>45992.0</v>
      </c>
      <c r="D854" s="26"/>
      <c r="E854" s="170" t="s">
        <v>22</v>
      </c>
      <c r="F854" s="174" t="s">
        <v>23</v>
      </c>
      <c r="G854" s="28" t="s">
        <v>70</v>
      </c>
      <c r="H854" s="28" t="s">
        <v>49</v>
      </c>
      <c r="J854" s="29"/>
      <c r="K854" s="29" t="s">
        <v>2075</v>
      </c>
      <c r="L854" s="28" t="s">
        <v>1271</v>
      </c>
      <c r="M854" s="170" t="s">
        <v>22</v>
      </c>
      <c r="N854" s="14" t="b">
        <f t="shared" si="60"/>
        <v>0</v>
      </c>
      <c r="O854" s="15" t="b">
        <f t="shared" si="2"/>
        <v>0</v>
      </c>
      <c r="P854" s="15" t="str">
        <f t="shared" si="3"/>
        <v>PENDING</v>
      </c>
    </row>
    <row r="855" ht="15.75" customHeight="1">
      <c r="A855" s="24" t="s">
        <v>2078</v>
      </c>
      <c r="B855" s="115" t="s">
        <v>1788</v>
      </c>
      <c r="C855" s="26">
        <v>45995.0</v>
      </c>
      <c r="D855" s="26"/>
      <c r="E855" s="24" t="s">
        <v>1376</v>
      </c>
      <c r="F855" s="28" t="s">
        <v>23</v>
      </c>
      <c r="G855" s="28" t="s">
        <v>172</v>
      </c>
      <c r="H855" s="28" t="s">
        <v>49</v>
      </c>
      <c r="J855" s="29"/>
      <c r="K855" s="25"/>
      <c r="L855" s="28" t="s">
        <v>1271</v>
      </c>
      <c r="M855" s="24" t="s">
        <v>1376</v>
      </c>
      <c r="N855" s="14" t="b">
        <f t="shared" si="60"/>
        <v>0</v>
      </c>
      <c r="O855" s="15" t="b">
        <f t="shared" si="2"/>
        <v>0</v>
      </c>
      <c r="P855" s="15" t="str">
        <f t="shared" si="3"/>
        <v>PENDING</v>
      </c>
    </row>
    <row r="856" ht="15.75" customHeight="1">
      <c r="A856" s="24" t="s">
        <v>2079</v>
      </c>
      <c r="B856" s="115" t="s">
        <v>1875</v>
      </c>
      <c r="C856" s="26">
        <v>45995.0</v>
      </c>
      <c r="D856" s="26"/>
      <c r="E856" s="24" t="s">
        <v>1376</v>
      </c>
      <c r="F856" s="28" t="s">
        <v>23</v>
      </c>
      <c r="G856" s="28" t="s">
        <v>24</v>
      </c>
      <c r="H856" s="28" t="s">
        <v>49</v>
      </c>
      <c r="J856" s="29"/>
      <c r="K856" s="29" t="s">
        <v>2080</v>
      </c>
      <c r="L856" s="28" t="s">
        <v>1271</v>
      </c>
      <c r="M856" s="24" t="s">
        <v>1376</v>
      </c>
      <c r="N856" s="14" t="b">
        <f t="shared" si="60"/>
        <v>0</v>
      </c>
      <c r="O856" s="15" t="b">
        <f t="shared" si="2"/>
        <v>0</v>
      </c>
      <c r="P856" s="15" t="str">
        <f t="shared" si="3"/>
        <v>PENDING</v>
      </c>
    </row>
    <row r="857" ht="15.75" customHeight="1">
      <c r="A857" s="24" t="s">
        <v>2081</v>
      </c>
      <c r="B857" s="115" t="s">
        <v>829</v>
      </c>
      <c r="C857" s="26">
        <v>45995.0</v>
      </c>
      <c r="D857" s="26"/>
      <c r="E857" s="24" t="s">
        <v>22</v>
      </c>
      <c r="F857" s="28" t="s">
        <v>23</v>
      </c>
      <c r="G857" s="28" t="s">
        <v>172</v>
      </c>
      <c r="H857" s="28" t="s">
        <v>49</v>
      </c>
      <c r="J857" s="29"/>
      <c r="K857" s="25"/>
      <c r="L857" s="28" t="s">
        <v>1271</v>
      </c>
      <c r="M857" s="24" t="s">
        <v>22</v>
      </c>
      <c r="N857" s="14" t="b">
        <f t="shared" si="60"/>
        <v>0</v>
      </c>
      <c r="O857" s="15" t="b">
        <f t="shared" si="2"/>
        <v>0</v>
      </c>
      <c r="P857" s="15" t="str">
        <f t="shared" si="3"/>
        <v>PENDING</v>
      </c>
    </row>
    <row r="858" ht="15.75" customHeight="1">
      <c r="A858" s="24" t="s">
        <v>2082</v>
      </c>
      <c r="B858" s="25" t="s">
        <v>1812</v>
      </c>
      <c r="C858" s="26">
        <v>45995.0</v>
      </c>
      <c r="D858" s="26"/>
      <c r="E858" s="24" t="s">
        <v>1387</v>
      </c>
      <c r="F858" s="28" t="s">
        <v>23</v>
      </c>
      <c r="G858" s="28" t="s">
        <v>172</v>
      </c>
      <c r="H858" s="28" t="s">
        <v>49</v>
      </c>
      <c r="J858" s="29"/>
      <c r="K858" s="25"/>
      <c r="L858" s="28" t="s">
        <v>1271</v>
      </c>
      <c r="M858" s="24" t="s">
        <v>1387</v>
      </c>
      <c r="N858" s="14" t="b">
        <f t="shared" si="60"/>
        <v>0</v>
      </c>
      <c r="O858" s="15" t="b">
        <f t="shared" si="2"/>
        <v>0</v>
      </c>
      <c r="P858" s="15" t="str">
        <f t="shared" si="3"/>
        <v>PENDING</v>
      </c>
    </row>
    <row r="859" ht="15.75" customHeight="1">
      <c r="A859" s="24" t="s">
        <v>2083</v>
      </c>
      <c r="B859" s="115" t="s">
        <v>1923</v>
      </c>
      <c r="C859" s="26">
        <v>45992.0</v>
      </c>
      <c r="D859" s="26"/>
      <c r="E859" s="24" t="s">
        <v>1847</v>
      </c>
      <c r="F859" s="28" t="s">
        <v>23</v>
      </c>
      <c r="G859" s="28" t="s">
        <v>24</v>
      </c>
      <c r="H859" s="28" t="s">
        <v>49</v>
      </c>
      <c r="J859" s="29"/>
      <c r="K859" s="29" t="s">
        <v>2084</v>
      </c>
      <c r="L859" s="28" t="s">
        <v>1271</v>
      </c>
      <c r="M859" s="24" t="s">
        <v>1847</v>
      </c>
      <c r="N859" s="14" t="b">
        <f t="shared" si="60"/>
        <v>0</v>
      </c>
      <c r="O859" s="15" t="b">
        <f t="shared" si="2"/>
        <v>0</v>
      </c>
      <c r="P859" s="15" t="str">
        <f t="shared" si="3"/>
        <v>PENDING</v>
      </c>
    </row>
    <row r="860" ht="15.75" customHeight="1">
      <c r="A860" s="24" t="s">
        <v>2085</v>
      </c>
      <c r="B860" s="115" t="s">
        <v>1624</v>
      </c>
      <c r="C860" s="26">
        <v>46001.0</v>
      </c>
      <c r="D860" s="26">
        <v>46001.0</v>
      </c>
      <c r="E860" s="24" t="s">
        <v>1376</v>
      </c>
      <c r="F860" s="28" t="s">
        <v>23</v>
      </c>
      <c r="G860" s="28" t="s">
        <v>172</v>
      </c>
      <c r="H860" s="28" t="s">
        <v>49</v>
      </c>
      <c r="J860" s="29"/>
      <c r="K860" s="25"/>
      <c r="L860" s="28" t="s">
        <v>27</v>
      </c>
      <c r="M860" s="24" t="s">
        <v>1376</v>
      </c>
      <c r="N860" s="14" t="b">
        <f t="shared" si="60"/>
        <v>0</v>
      </c>
      <c r="O860" s="15" t="b">
        <f t="shared" si="2"/>
        <v>0</v>
      </c>
      <c r="P860" s="15" t="str">
        <f t="shared" si="3"/>
        <v>PENDING</v>
      </c>
    </row>
    <row r="861" ht="15.75" customHeight="1">
      <c r="A861" s="24" t="s">
        <v>2086</v>
      </c>
      <c r="B861" s="25" t="s">
        <v>1574</v>
      </c>
      <c r="C861" s="26">
        <v>46010.0</v>
      </c>
      <c r="D861" s="26">
        <v>46010.0</v>
      </c>
      <c r="E861" s="24" t="s">
        <v>1376</v>
      </c>
      <c r="F861" s="28" t="s">
        <v>23</v>
      </c>
      <c r="G861" s="28" t="s">
        <v>172</v>
      </c>
      <c r="H861" s="28" t="s">
        <v>49</v>
      </c>
      <c r="J861" s="29"/>
      <c r="K861" s="25"/>
      <c r="L861" s="28" t="s">
        <v>27</v>
      </c>
      <c r="M861" s="24" t="s">
        <v>1376</v>
      </c>
      <c r="N861" s="14" t="b">
        <f t="shared" si="60"/>
        <v>0</v>
      </c>
      <c r="O861" s="15" t="b">
        <f t="shared" si="2"/>
        <v>0</v>
      </c>
      <c r="P861" s="15" t="str">
        <f t="shared" si="3"/>
        <v>PENDING</v>
      </c>
    </row>
    <row r="862" ht="15.75" customHeight="1">
      <c r="A862" s="24" t="s">
        <v>2087</v>
      </c>
      <c r="B862" s="25" t="s">
        <v>2014</v>
      </c>
      <c r="C862" s="26">
        <v>46010.0</v>
      </c>
      <c r="D862" s="26">
        <v>46010.0</v>
      </c>
      <c r="E862" s="24" t="s">
        <v>22</v>
      </c>
      <c r="F862" s="28" t="s">
        <v>23</v>
      </c>
      <c r="G862" s="28" t="s">
        <v>30</v>
      </c>
      <c r="H862" s="28" t="s">
        <v>49</v>
      </c>
      <c r="J862" s="29"/>
      <c r="K862" s="25"/>
      <c r="L862" s="28" t="s">
        <v>27</v>
      </c>
      <c r="M862" s="24" t="s">
        <v>22</v>
      </c>
      <c r="N862" s="14" t="b">
        <f t="shared" si="60"/>
        <v>0</v>
      </c>
      <c r="O862" s="15" t="b">
        <f t="shared" si="2"/>
        <v>0</v>
      </c>
      <c r="P862" s="15" t="str">
        <f t="shared" si="3"/>
        <v>PENDING</v>
      </c>
    </row>
    <row r="863" ht="15.75" customHeight="1"/>
    <row r="864" ht="15.75" customHeight="1"/>
    <row r="865" ht="18.75" customHeight="1"/>
    <row r="866" ht="15.75" customHeight="1"/>
    <row r="867" ht="15.75" customHeight="1"/>
    <row r="868" ht="18.0"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0"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6.5" customHeight="1"/>
    <row r="1016" ht="15.75" customHeight="1">
      <c r="A1016" s="24"/>
      <c r="B1016" s="25"/>
      <c r="C1016" s="26"/>
      <c r="D1016" s="26"/>
      <c r="E1016" s="24"/>
      <c r="F1016" s="24"/>
      <c r="G1016" s="24"/>
      <c r="H1016" s="24"/>
      <c r="J1016" s="29"/>
      <c r="K1016" s="25"/>
      <c r="L1016" s="24"/>
      <c r="M1016" s="24"/>
      <c r="N1016" s="14"/>
    </row>
    <row r="1017" ht="15.75" customHeight="1">
      <c r="A1017" s="24"/>
      <c r="B1017" s="25"/>
      <c r="C1017" s="26"/>
      <c r="D1017" s="26"/>
      <c r="E1017" s="24"/>
      <c r="F1017" s="24"/>
      <c r="G1017" s="24"/>
      <c r="H1017" s="24"/>
      <c r="J1017" s="29"/>
      <c r="K1017" s="25"/>
      <c r="L1017" s="24"/>
      <c r="M1017" s="24"/>
      <c r="N1017" s="14"/>
    </row>
    <row r="1018" ht="15.75" customHeight="1">
      <c r="A1018" s="24"/>
      <c r="B1018" s="25"/>
      <c r="C1018" s="26"/>
      <c r="D1018" s="26"/>
      <c r="E1018" s="24"/>
      <c r="F1018" s="24"/>
      <c r="G1018" s="24"/>
      <c r="H1018" s="24"/>
      <c r="J1018" s="29"/>
      <c r="K1018" s="25"/>
      <c r="L1018" s="24"/>
      <c r="M1018" s="24"/>
      <c r="N1018" s="14"/>
    </row>
    <row r="1019" ht="15.75" customHeight="1">
      <c r="A1019" s="24"/>
      <c r="B1019" s="25"/>
      <c r="C1019" s="26"/>
      <c r="D1019" s="26"/>
      <c r="E1019" s="24"/>
      <c r="F1019" s="24"/>
      <c r="G1019" s="24"/>
      <c r="H1019" s="24"/>
      <c r="J1019" s="29"/>
      <c r="K1019" s="25"/>
      <c r="L1019" s="24"/>
      <c r="M1019" s="24"/>
      <c r="N1019" s="14"/>
    </row>
    <row r="1020" ht="15.75" customHeight="1">
      <c r="A1020" s="24"/>
      <c r="B1020" s="25"/>
      <c r="C1020" s="26"/>
      <c r="D1020" s="26"/>
      <c r="E1020" s="24"/>
      <c r="F1020" s="24"/>
      <c r="G1020" s="24"/>
      <c r="H1020" s="24"/>
      <c r="J1020" s="29"/>
      <c r="K1020" s="25"/>
      <c r="L1020" s="24"/>
      <c r="M1020" s="24"/>
    </row>
    <row r="1021" ht="15.75" customHeight="1">
      <c r="A1021" s="24"/>
      <c r="B1021" s="25"/>
      <c r="C1021" s="26"/>
      <c r="D1021" s="26"/>
      <c r="E1021" s="24"/>
      <c r="F1021" s="24"/>
      <c r="G1021" s="24"/>
      <c r="H1021" s="24"/>
      <c r="J1021" s="29"/>
      <c r="K1021" s="25"/>
      <c r="L1021" s="24"/>
      <c r="M1021" s="24"/>
    </row>
    <row r="1022" ht="15.75" customHeight="1">
      <c r="A1022" s="24"/>
      <c r="B1022" s="25"/>
      <c r="C1022" s="26"/>
      <c r="D1022" s="26"/>
      <c r="E1022" s="24"/>
      <c r="F1022" s="24"/>
      <c r="G1022" s="24"/>
      <c r="H1022" s="24"/>
      <c r="J1022" s="29"/>
      <c r="K1022" s="25"/>
      <c r="L1022" s="24"/>
      <c r="M1022" s="24"/>
    </row>
    <row r="1023" ht="15.75" customHeight="1">
      <c r="A1023" s="24"/>
      <c r="B1023" s="25"/>
      <c r="C1023" s="26"/>
      <c r="D1023" s="26"/>
      <c r="E1023" s="24"/>
      <c r="F1023" s="24"/>
      <c r="G1023" s="24"/>
      <c r="H1023" s="24"/>
      <c r="J1023" s="29"/>
      <c r="K1023" s="25"/>
      <c r="L1023" s="24"/>
      <c r="M1023" s="24"/>
    </row>
    <row r="1024" ht="15.75" customHeight="1">
      <c r="A1024" s="24"/>
      <c r="B1024" s="25"/>
      <c r="C1024" s="26"/>
      <c r="D1024" s="26"/>
      <c r="E1024" s="24"/>
      <c r="F1024" s="24"/>
      <c r="G1024" s="24"/>
      <c r="H1024" s="24"/>
      <c r="J1024" s="29"/>
      <c r="K1024" s="25"/>
      <c r="L1024" s="24"/>
      <c r="M1024" s="24"/>
    </row>
    <row r="1025" ht="15.75" customHeight="1">
      <c r="A1025" s="24"/>
      <c r="B1025" s="25"/>
      <c r="C1025" s="26"/>
      <c r="D1025" s="26"/>
      <c r="E1025" s="24"/>
      <c r="F1025" s="24"/>
      <c r="G1025" s="24"/>
      <c r="H1025" s="24"/>
      <c r="J1025" s="29"/>
      <c r="K1025" s="25"/>
      <c r="L1025" s="24"/>
      <c r="M1025" s="24"/>
    </row>
    <row r="1026" ht="15.75" customHeight="1">
      <c r="A1026" s="24"/>
      <c r="B1026" s="25"/>
      <c r="C1026" s="26"/>
      <c r="D1026" s="26"/>
      <c r="E1026" s="24"/>
      <c r="F1026" s="24"/>
      <c r="G1026" s="24"/>
      <c r="H1026" s="24"/>
      <c r="J1026" s="29"/>
      <c r="K1026" s="25"/>
      <c r="L1026" s="24"/>
      <c r="M1026" s="24"/>
    </row>
    <row r="1027" ht="15.75" customHeight="1">
      <c r="A1027" s="24"/>
      <c r="B1027" s="25"/>
      <c r="C1027" s="26"/>
      <c r="D1027" s="26"/>
      <c r="E1027" s="24"/>
      <c r="F1027" s="24"/>
      <c r="G1027" s="24"/>
      <c r="H1027" s="24"/>
      <c r="J1027" s="29"/>
      <c r="K1027" s="25"/>
      <c r="L1027" s="24"/>
      <c r="M1027" s="24"/>
    </row>
    <row r="1028" ht="15.75" customHeight="1">
      <c r="A1028" s="24"/>
      <c r="B1028" s="25"/>
      <c r="C1028" s="26"/>
      <c r="D1028" s="26"/>
      <c r="E1028" s="24"/>
      <c r="F1028" s="24"/>
      <c r="G1028" s="24"/>
      <c r="H1028" s="24"/>
      <c r="J1028" s="29"/>
      <c r="K1028" s="25"/>
      <c r="L1028" s="24"/>
      <c r="M1028" s="24"/>
    </row>
    <row r="1029" ht="15.75" customHeight="1">
      <c r="A1029" s="24"/>
      <c r="B1029" s="25"/>
      <c r="C1029" s="26"/>
      <c r="D1029" s="26"/>
      <c r="E1029" s="24"/>
      <c r="F1029" s="24"/>
      <c r="G1029" s="24"/>
      <c r="H1029" s="24"/>
      <c r="J1029" s="29"/>
      <c r="K1029" s="25"/>
      <c r="L1029" s="24"/>
      <c r="M1029" s="24"/>
    </row>
    <row r="1030" ht="15.75" customHeight="1">
      <c r="A1030" s="24"/>
      <c r="B1030" s="25"/>
      <c r="C1030" s="26"/>
      <c r="D1030" s="26"/>
      <c r="E1030" s="24"/>
      <c r="F1030" s="24"/>
      <c r="G1030" s="24"/>
      <c r="H1030" s="24"/>
      <c r="J1030" s="29"/>
      <c r="K1030" s="25"/>
      <c r="L1030" s="24"/>
      <c r="M1030" s="24"/>
    </row>
    <row r="1031" ht="15.75" customHeight="1">
      <c r="A1031" s="24"/>
      <c r="B1031" s="25"/>
      <c r="C1031" s="26"/>
      <c r="D1031" s="26"/>
      <c r="E1031" s="24"/>
      <c r="F1031" s="24"/>
      <c r="G1031" s="24"/>
      <c r="H1031" s="24"/>
      <c r="J1031" s="29"/>
      <c r="K1031" s="25"/>
      <c r="L1031" s="24"/>
      <c r="M1031" s="24"/>
    </row>
    <row r="1032" ht="15.75" customHeight="1">
      <c r="A1032" s="24"/>
      <c r="B1032" s="25"/>
      <c r="C1032" s="26"/>
      <c r="D1032" s="26"/>
      <c r="E1032" s="24"/>
      <c r="F1032" s="24"/>
      <c r="G1032" s="24"/>
      <c r="H1032" s="24"/>
      <c r="J1032" s="29"/>
      <c r="K1032" s="25"/>
      <c r="L1032" s="24"/>
      <c r="M1032" s="24"/>
    </row>
    <row r="1033" ht="15.75" customHeight="1">
      <c r="A1033" s="24"/>
      <c r="B1033" s="25"/>
      <c r="C1033" s="26"/>
      <c r="D1033" s="26"/>
      <c r="E1033" s="24"/>
      <c r="F1033" s="24"/>
      <c r="G1033" s="24"/>
      <c r="H1033" s="24"/>
      <c r="J1033" s="29"/>
      <c r="K1033" s="25"/>
      <c r="L1033" s="24"/>
      <c r="M1033" s="24"/>
    </row>
    <row r="1034" ht="15.75" customHeight="1">
      <c r="A1034" s="24"/>
      <c r="B1034" s="25"/>
      <c r="C1034" s="26"/>
      <c r="D1034" s="26"/>
      <c r="E1034" s="24"/>
      <c r="F1034" s="24"/>
      <c r="G1034" s="24"/>
      <c r="H1034" s="24"/>
      <c r="J1034" s="29"/>
      <c r="K1034" s="25"/>
      <c r="L1034" s="24"/>
      <c r="M1034" s="24"/>
    </row>
    <row r="1035" ht="15.75" customHeight="1">
      <c r="A1035" s="24"/>
      <c r="B1035" s="25"/>
      <c r="C1035" s="26"/>
      <c r="D1035" s="26"/>
      <c r="E1035" s="24"/>
      <c r="F1035" s="24"/>
      <c r="G1035" s="24"/>
      <c r="H1035" s="24"/>
      <c r="J1035" s="29"/>
      <c r="K1035" s="25"/>
      <c r="L1035" s="24"/>
      <c r="M1035" s="24"/>
    </row>
    <row r="1036" ht="15.75" customHeight="1">
      <c r="A1036" s="24"/>
      <c r="B1036" s="25"/>
      <c r="C1036" s="26"/>
      <c r="D1036" s="26"/>
      <c r="E1036" s="24"/>
      <c r="F1036" s="24"/>
      <c r="G1036" s="24"/>
      <c r="H1036" s="24"/>
      <c r="J1036" s="29"/>
      <c r="K1036" s="25"/>
      <c r="L1036" s="24"/>
      <c r="M1036" s="24"/>
    </row>
    <row r="1037" ht="15.75" customHeight="1">
      <c r="A1037" s="24"/>
      <c r="B1037" s="25"/>
      <c r="C1037" s="26"/>
      <c r="D1037" s="26"/>
      <c r="E1037" s="24"/>
      <c r="F1037" s="24"/>
      <c r="G1037" s="24"/>
      <c r="H1037" s="24"/>
      <c r="J1037" s="29"/>
      <c r="K1037" s="25"/>
      <c r="L1037" s="24"/>
      <c r="M1037" s="24"/>
    </row>
    <row r="1038" ht="15.75" customHeight="1">
      <c r="A1038" s="24"/>
      <c r="B1038" s="25"/>
      <c r="C1038" s="26"/>
      <c r="D1038" s="26"/>
      <c r="E1038" s="24"/>
      <c r="F1038" s="24"/>
      <c r="G1038" s="24"/>
      <c r="H1038" s="24"/>
      <c r="J1038" s="29"/>
      <c r="K1038" s="25"/>
      <c r="L1038" s="24"/>
      <c r="M1038" s="24"/>
    </row>
    <row r="1039" ht="15.75" customHeight="1">
      <c r="A1039" s="24"/>
      <c r="B1039" s="25"/>
      <c r="C1039" s="26"/>
      <c r="D1039" s="26"/>
      <c r="E1039" s="24"/>
      <c r="F1039" s="24"/>
      <c r="G1039" s="24"/>
      <c r="H1039" s="24"/>
      <c r="J1039" s="29"/>
      <c r="K1039" s="25"/>
      <c r="L1039" s="24"/>
      <c r="M1039" s="24"/>
    </row>
    <row r="1040" ht="15.75" customHeight="1">
      <c r="A1040" s="24"/>
      <c r="B1040" s="25"/>
      <c r="C1040" s="26"/>
      <c r="D1040" s="26"/>
      <c r="E1040" s="24"/>
      <c r="F1040" s="24"/>
      <c r="G1040" s="24"/>
      <c r="H1040" s="24"/>
      <c r="J1040" s="29"/>
      <c r="K1040" s="25"/>
      <c r="L1040" s="24"/>
      <c r="M1040" s="24"/>
    </row>
    <row r="1041" ht="15.75" customHeight="1">
      <c r="A1041" s="24"/>
      <c r="B1041" s="25"/>
      <c r="C1041" s="26"/>
      <c r="D1041" s="26"/>
      <c r="E1041" s="24"/>
      <c r="F1041" s="24"/>
      <c r="G1041" s="24"/>
      <c r="H1041" s="24"/>
      <c r="J1041" s="29"/>
      <c r="K1041" s="25"/>
      <c r="L1041" s="24"/>
      <c r="M1041" s="24"/>
    </row>
    <row r="1042" ht="15.75" customHeight="1">
      <c r="A1042" s="24"/>
      <c r="B1042" s="25"/>
      <c r="C1042" s="26"/>
      <c r="D1042" s="26"/>
      <c r="E1042" s="24"/>
      <c r="F1042" s="24"/>
      <c r="G1042" s="24"/>
      <c r="H1042" s="24"/>
      <c r="J1042" s="29"/>
      <c r="K1042" s="25"/>
      <c r="L1042" s="24"/>
      <c r="M1042" s="24"/>
    </row>
    <row r="1043" ht="15.75" customHeight="1">
      <c r="A1043" s="24"/>
      <c r="B1043" s="25"/>
      <c r="C1043" s="26"/>
      <c r="D1043" s="26"/>
      <c r="E1043" s="24"/>
      <c r="F1043" s="24"/>
      <c r="G1043" s="24"/>
      <c r="H1043" s="24"/>
      <c r="J1043" s="29"/>
      <c r="K1043" s="25"/>
      <c r="L1043" s="24"/>
      <c r="M1043" s="24"/>
    </row>
    <row r="1044" ht="15.75" customHeight="1">
      <c r="A1044" s="24"/>
      <c r="B1044" s="25"/>
      <c r="C1044" s="26"/>
      <c r="D1044" s="26"/>
      <c r="E1044" s="24"/>
      <c r="F1044" s="24"/>
      <c r="G1044" s="24"/>
      <c r="H1044" s="24"/>
      <c r="J1044" s="29"/>
      <c r="K1044" s="25"/>
      <c r="L1044" s="24"/>
      <c r="M1044" s="24"/>
    </row>
    <row r="1045" ht="15.75" customHeight="1">
      <c r="A1045" s="24"/>
      <c r="B1045" s="25"/>
      <c r="C1045" s="26"/>
      <c r="D1045" s="26"/>
      <c r="E1045" s="24"/>
      <c r="F1045" s="24"/>
      <c r="G1045" s="24"/>
      <c r="H1045" s="24"/>
      <c r="J1045" s="29"/>
      <c r="K1045" s="25"/>
      <c r="L1045" s="24"/>
      <c r="M1045" s="24"/>
    </row>
    <row r="1046" ht="15.75" customHeight="1">
      <c r="A1046" s="24"/>
      <c r="B1046" s="25"/>
      <c r="C1046" s="26"/>
      <c r="D1046" s="26"/>
      <c r="E1046" s="24"/>
      <c r="F1046" s="24"/>
      <c r="G1046" s="24"/>
      <c r="H1046" s="24"/>
      <c r="J1046" s="29"/>
      <c r="K1046" s="25"/>
      <c r="L1046" s="24"/>
      <c r="M1046" s="24"/>
    </row>
    <row r="1047" ht="15.75" customHeight="1">
      <c r="A1047" s="24"/>
      <c r="B1047" s="25"/>
      <c r="C1047" s="26"/>
      <c r="D1047" s="26"/>
      <c r="E1047" s="24"/>
      <c r="F1047" s="24"/>
      <c r="G1047" s="24"/>
      <c r="H1047" s="24"/>
      <c r="J1047" s="29"/>
      <c r="K1047" s="25"/>
      <c r="L1047" s="24"/>
      <c r="M1047" s="24"/>
    </row>
    <row r="1048" ht="15.75" customHeight="1">
      <c r="A1048" s="24"/>
      <c r="B1048" s="25"/>
      <c r="C1048" s="26"/>
      <c r="D1048" s="26"/>
      <c r="E1048" s="24"/>
      <c r="F1048" s="24"/>
      <c r="G1048" s="24"/>
      <c r="H1048" s="24"/>
      <c r="J1048" s="29"/>
      <c r="K1048" s="25"/>
      <c r="L1048" s="24"/>
      <c r="M1048" s="24"/>
    </row>
    <row r="1049" ht="15.75" customHeight="1">
      <c r="A1049" s="24"/>
      <c r="B1049" s="25"/>
      <c r="C1049" s="26"/>
      <c r="D1049" s="26"/>
      <c r="E1049" s="24"/>
      <c r="F1049" s="24"/>
      <c r="G1049" s="24"/>
      <c r="H1049" s="24"/>
      <c r="J1049" s="29"/>
      <c r="K1049" s="25"/>
      <c r="L1049" s="24"/>
      <c r="M1049" s="24"/>
    </row>
    <row r="1050" ht="15.75" customHeight="1">
      <c r="A1050" s="24"/>
      <c r="B1050" s="25"/>
      <c r="C1050" s="26"/>
      <c r="D1050" s="26"/>
      <c r="E1050" s="24"/>
      <c r="F1050" s="24"/>
      <c r="G1050" s="24"/>
      <c r="H1050" s="24"/>
      <c r="J1050" s="29"/>
      <c r="K1050" s="25"/>
      <c r="L1050" s="24"/>
      <c r="M1050" s="24"/>
    </row>
    <row r="1051" ht="15.75" customHeight="1">
      <c r="A1051" s="24"/>
      <c r="B1051" s="25"/>
      <c r="C1051" s="26"/>
      <c r="D1051" s="26"/>
      <c r="E1051" s="24"/>
      <c r="F1051" s="24"/>
      <c r="G1051" s="24"/>
      <c r="H1051" s="24"/>
      <c r="J1051" s="29"/>
      <c r="K1051" s="25"/>
      <c r="L1051" s="24"/>
      <c r="M1051" s="24"/>
    </row>
    <row r="1052" ht="15.75" customHeight="1">
      <c r="A1052" s="24"/>
      <c r="B1052" s="25"/>
      <c r="C1052" s="26"/>
      <c r="D1052" s="26"/>
      <c r="E1052" s="24"/>
      <c r="F1052" s="24"/>
      <c r="G1052" s="24"/>
      <c r="H1052" s="24"/>
      <c r="J1052" s="29"/>
      <c r="K1052" s="25"/>
      <c r="L1052" s="24"/>
      <c r="M1052" s="24"/>
    </row>
    <row r="1053" ht="15.75" customHeight="1">
      <c r="A1053" s="24"/>
      <c r="B1053" s="25"/>
      <c r="C1053" s="26"/>
      <c r="D1053" s="26"/>
      <c r="E1053" s="24"/>
      <c r="F1053" s="24"/>
      <c r="G1053" s="24"/>
      <c r="H1053" s="24"/>
      <c r="J1053" s="29"/>
      <c r="K1053" s="25"/>
      <c r="L1053" s="24"/>
      <c r="M1053" s="24"/>
    </row>
    <row r="1054" ht="15.75" customHeight="1">
      <c r="A1054" s="24"/>
      <c r="B1054" s="25"/>
      <c r="C1054" s="26"/>
      <c r="D1054" s="26"/>
      <c r="E1054" s="24"/>
      <c r="F1054" s="24"/>
      <c r="G1054" s="24"/>
      <c r="H1054" s="24"/>
      <c r="J1054" s="29"/>
      <c r="K1054" s="25"/>
      <c r="L1054" s="24"/>
      <c r="M1054" s="24"/>
    </row>
    <row r="1055" ht="15.75" customHeight="1">
      <c r="A1055" s="24"/>
      <c r="B1055" s="25"/>
      <c r="C1055" s="26"/>
      <c r="D1055" s="26"/>
      <c r="E1055" s="24"/>
      <c r="F1055" s="24"/>
      <c r="G1055" s="24"/>
      <c r="H1055" s="24"/>
      <c r="J1055" s="29"/>
      <c r="K1055" s="25"/>
      <c r="L1055" s="24"/>
      <c r="M1055" s="24"/>
    </row>
    <row r="1056" ht="15.75" customHeight="1">
      <c r="A1056" s="24"/>
      <c r="B1056" s="25"/>
      <c r="C1056" s="26"/>
      <c r="D1056" s="26"/>
      <c r="E1056" s="24"/>
      <c r="F1056" s="24"/>
      <c r="G1056" s="24"/>
      <c r="H1056" s="24"/>
      <c r="J1056" s="29"/>
      <c r="K1056" s="25"/>
      <c r="L1056" s="24"/>
      <c r="M1056" s="24"/>
    </row>
    <row r="1057" ht="15.75" customHeight="1">
      <c r="A1057" s="24"/>
      <c r="B1057" s="25"/>
      <c r="C1057" s="26"/>
      <c r="D1057" s="26"/>
      <c r="E1057" s="24"/>
      <c r="F1057" s="24"/>
      <c r="G1057" s="24"/>
      <c r="H1057" s="24"/>
      <c r="J1057" s="29"/>
      <c r="K1057" s="25"/>
      <c r="L1057" s="24"/>
      <c r="M1057" s="24"/>
    </row>
    <row r="1058" ht="15.75" customHeight="1">
      <c r="A1058" s="24"/>
      <c r="B1058" s="25"/>
      <c r="C1058" s="26"/>
      <c r="D1058" s="26"/>
      <c r="E1058" s="24"/>
      <c r="F1058" s="24"/>
      <c r="G1058" s="24"/>
      <c r="H1058" s="24"/>
      <c r="J1058" s="29"/>
      <c r="K1058" s="25"/>
      <c r="L1058" s="24"/>
      <c r="M1058" s="24"/>
    </row>
    <row r="1059" ht="15.75" customHeight="1">
      <c r="A1059" s="24"/>
      <c r="B1059" s="25"/>
      <c r="C1059" s="26"/>
      <c r="D1059" s="26"/>
      <c r="E1059" s="24"/>
      <c r="F1059" s="24"/>
      <c r="G1059" s="24"/>
      <c r="H1059" s="24"/>
      <c r="J1059" s="29"/>
      <c r="K1059" s="25"/>
      <c r="L1059" s="24"/>
      <c r="M1059" s="24"/>
    </row>
    <row r="1060" ht="15.75" customHeight="1">
      <c r="A1060" s="24"/>
      <c r="B1060" s="25"/>
      <c r="C1060" s="26"/>
      <c r="D1060" s="26"/>
      <c r="E1060" s="24"/>
      <c r="F1060" s="24"/>
      <c r="G1060" s="24"/>
      <c r="H1060" s="24"/>
      <c r="J1060" s="29"/>
      <c r="K1060" s="25"/>
      <c r="L1060" s="24"/>
      <c r="M1060" s="24"/>
    </row>
    <row r="1061" ht="15.75" customHeight="1">
      <c r="A1061" s="24"/>
      <c r="B1061" s="25"/>
      <c r="C1061" s="26"/>
      <c r="D1061" s="26"/>
      <c r="E1061" s="24"/>
      <c r="F1061" s="24"/>
      <c r="G1061" s="24"/>
      <c r="H1061" s="24"/>
      <c r="J1061" s="29"/>
      <c r="K1061" s="25"/>
      <c r="L1061" s="24"/>
      <c r="M1061" s="24"/>
    </row>
    <row r="1062" ht="15.75" customHeight="1">
      <c r="A1062" s="24"/>
      <c r="B1062" s="25"/>
      <c r="C1062" s="26"/>
      <c r="D1062" s="26"/>
      <c r="E1062" s="24"/>
      <c r="F1062" s="24"/>
      <c r="G1062" s="24"/>
      <c r="H1062" s="24"/>
      <c r="J1062" s="29"/>
      <c r="K1062" s="25"/>
      <c r="L1062" s="24"/>
      <c r="M1062" s="24"/>
    </row>
    <row r="1063" ht="15.75" customHeight="1">
      <c r="A1063" s="24"/>
      <c r="B1063" s="25"/>
      <c r="C1063" s="26"/>
      <c r="D1063" s="26"/>
      <c r="E1063" s="24"/>
      <c r="F1063" s="24"/>
      <c r="G1063" s="24"/>
      <c r="H1063" s="24"/>
      <c r="J1063" s="29"/>
      <c r="K1063" s="25"/>
      <c r="L1063" s="24"/>
      <c r="M1063" s="24"/>
    </row>
    <row r="1064" ht="15.75" customHeight="1">
      <c r="A1064" s="24"/>
      <c r="B1064" s="25"/>
      <c r="C1064" s="26"/>
      <c r="D1064" s="26"/>
      <c r="E1064" s="24"/>
      <c r="F1064" s="24"/>
      <c r="G1064" s="24"/>
      <c r="H1064" s="24"/>
      <c r="J1064" s="29"/>
      <c r="K1064" s="25"/>
      <c r="L1064" s="24"/>
      <c r="M1064" s="24"/>
    </row>
    <row r="1065" ht="15.75" customHeight="1">
      <c r="A1065" s="24"/>
      <c r="B1065" s="25"/>
      <c r="C1065" s="26"/>
      <c r="D1065" s="26"/>
      <c r="E1065" s="24"/>
      <c r="F1065" s="24"/>
      <c r="G1065" s="24"/>
      <c r="H1065" s="24"/>
      <c r="J1065" s="29"/>
      <c r="K1065" s="25"/>
      <c r="L1065" s="24"/>
      <c r="M1065" s="24"/>
    </row>
    <row r="1066" ht="15.75" customHeight="1">
      <c r="A1066" s="24"/>
      <c r="B1066" s="25"/>
      <c r="C1066" s="26"/>
      <c r="D1066" s="26"/>
      <c r="E1066" s="24"/>
      <c r="F1066" s="24"/>
      <c r="G1066" s="24"/>
      <c r="H1066" s="24"/>
      <c r="J1066" s="29"/>
      <c r="K1066" s="25"/>
      <c r="L1066" s="24"/>
      <c r="M1066" s="24"/>
    </row>
    <row r="1067" ht="15.75" customHeight="1">
      <c r="A1067" s="24"/>
      <c r="B1067" s="25"/>
      <c r="C1067" s="26"/>
      <c r="D1067" s="26"/>
      <c r="E1067" s="24"/>
      <c r="F1067" s="24"/>
      <c r="G1067" s="24"/>
      <c r="H1067" s="24"/>
      <c r="J1067" s="29"/>
      <c r="K1067" s="25"/>
      <c r="L1067" s="24"/>
      <c r="M1067" s="24"/>
    </row>
    <row r="1068" ht="15.75" customHeight="1">
      <c r="A1068" s="24"/>
      <c r="B1068" s="25"/>
      <c r="C1068" s="26"/>
      <c r="D1068" s="26"/>
      <c r="E1068" s="24"/>
      <c r="F1068" s="24"/>
      <c r="G1068" s="24"/>
      <c r="H1068" s="24"/>
      <c r="J1068" s="29"/>
      <c r="K1068" s="25"/>
      <c r="L1068" s="24"/>
      <c r="M1068" s="24"/>
    </row>
    <row r="1069" ht="15.75" customHeight="1">
      <c r="A1069" s="24"/>
      <c r="B1069" s="25"/>
      <c r="C1069" s="26"/>
      <c r="D1069" s="26"/>
      <c r="E1069" s="24"/>
      <c r="F1069" s="24"/>
      <c r="G1069" s="24"/>
      <c r="H1069" s="24"/>
      <c r="J1069" s="29"/>
      <c r="K1069" s="25"/>
      <c r="L1069" s="24"/>
      <c r="M1069" s="24"/>
    </row>
    <row r="1070" ht="15.75" customHeight="1">
      <c r="A1070" s="24"/>
      <c r="B1070" s="25"/>
      <c r="C1070" s="26"/>
      <c r="D1070" s="26"/>
      <c r="E1070" s="24"/>
      <c r="F1070" s="24"/>
      <c r="G1070" s="24"/>
      <c r="H1070" s="24"/>
      <c r="J1070" s="29"/>
      <c r="K1070" s="25"/>
      <c r="L1070" s="24"/>
      <c r="M1070" s="24"/>
    </row>
    <row r="1071" ht="15.75" customHeight="1">
      <c r="A1071" s="24"/>
      <c r="B1071" s="25"/>
      <c r="C1071" s="26"/>
      <c r="D1071" s="26"/>
      <c r="E1071" s="24"/>
      <c r="F1071" s="24"/>
      <c r="G1071" s="24"/>
      <c r="H1071" s="24"/>
      <c r="J1071" s="29"/>
      <c r="K1071" s="25"/>
      <c r="L1071" s="24"/>
      <c r="M1071" s="24"/>
    </row>
    <row r="1072" ht="15.75" customHeight="1">
      <c r="A1072" s="24"/>
      <c r="B1072" s="25"/>
      <c r="C1072" s="26"/>
      <c r="D1072" s="26"/>
      <c r="E1072" s="24"/>
      <c r="F1072" s="24"/>
      <c r="G1072" s="24"/>
      <c r="H1072" s="24"/>
      <c r="J1072" s="29"/>
      <c r="K1072" s="25"/>
      <c r="L1072" s="24"/>
      <c r="M1072" s="24"/>
    </row>
    <row r="1073" ht="15.75" customHeight="1">
      <c r="A1073" s="24"/>
      <c r="B1073" s="25"/>
      <c r="C1073" s="26"/>
      <c r="D1073" s="26"/>
      <c r="E1073" s="24"/>
      <c r="F1073" s="24"/>
      <c r="G1073" s="24"/>
      <c r="H1073" s="24"/>
      <c r="J1073" s="29"/>
      <c r="K1073" s="25"/>
      <c r="L1073" s="24"/>
      <c r="M1073" s="24"/>
    </row>
    <row r="1074" ht="15.75" customHeight="1">
      <c r="A1074" s="24"/>
      <c r="B1074" s="25"/>
      <c r="C1074" s="26"/>
      <c r="D1074" s="26"/>
      <c r="E1074" s="24"/>
      <c r="F1074" s="24"/>
      <c r="G1074" s="24"/>
      <c r="H1074" s="24"/>
      <c r="J1074" s="29"/>
      <c r="K1074" s="25"/>
      <c r="L1074" s="24"/>
      <c r="M1074" s="24"/>
    </row>
    <row r="1075" ht="15.75" customHeight="1">
      <c r="A1075" s="24"/>
      <c r="B1075" s="25"/>
      <c r="C1075" s="26"/>
      <c r="D1075" s="26"/>
      <c r="E1075" s="24"/>
      <c r="F1075" s="24"/>
      <c r="G1075" s="24"/>
      <c r="H1075" s="24"/>
      <c r="J1075" s="29"/>
      <c r="K1075" s="25"/>
      <c r="L1075" s="24"/>
      <c r="M1075" s="24"/>
    </row>
    <row r="1076" ht="15.75" customHeight="1">
      <c r="A1076" s="24"/>
      <c r="B1076" s="25"/>
      <c r="C1076" s="26"/>
      <c r="D1076" s="26"/>
      <c r="E1076" s="24"/>
      <c r="F1076" s="24"/>
      <c r="G1076" s="24"/>
      <c r="H1076" s="24"/>
      <c r="J1076" s="29"/>
      <c r="K1076" s="25"/>
      <c r="L1076" s="24"/>
      <c r="M1076" s="24"/>
    </row>
    <row r="1077" ht="15.75" customHeight="1">
      <c r="A1077" s="24"/>
      <c r="B1077" s="25"/>
      <c r="C1077" s="26"/>
      <c r="D1077" s="26"/>
      <c r="E1077" s="24"/>
      <c r="F1077" s="24"/>
      <c r="G1077" s="24"/>
      <c r="H1077" s="24"/>
      <c r="J1077" s="29"/>
      <c r="K1077" s="25"/>
      <c r="L1077" s="24"/>
      <c r="M1077" s="24"/>
    </row>
    <row r="1078" ht="15.75" customHeight="1">
      <c r="A1078" s="24"/>
      <c r="B1078" s="25"/>
      <c r="C1078" s="26"/>
      <c r="D1078" s="26"/>
      <c r="E1078" s="24"/>
      <c r="F1078" s="24"/>
      <c r="G1078" s="24"/>
      <c r="H1078" s="24"/>
      <c r="J1078" s="29"/>
      <c r="K1078" s="25"/>
      <c r="L1078" s="24"/>
      <c r="M1078" s="24"/>
    </row>
    <row r="1079" ht="15.75" customHeight="1">
      <c r="A1079" s="24"/>
      <c r="B1079" s="25"/>
      <c r="C1079" s="26"/>
      <c r="D1079" s="26"/>
      <c r="E1079" s="24"/>
      <c r="F1079" s="24"/>
      <c r="G1079" s="24"/>
      <c r="H1079" s="24"/>
      <c r="J1079" s="29"/>
      <c r="K1079" s="25"/>
      <c r="L1079" s="24"/>
      <c r="M1079" s="24"/>
    </row>
    <row r="1080" ht="15.75" customHeight="1">
      <c r="A1080" s="24"/>
      <c r="B1080" s="25"/>
      <c r="C1080" s="26"/>
      <c r="D1080" s="26"/>
      <c r="E1080" s="24"/>
      <c r="F1080" s="24"/>
      <c r="G1080" s="24"/>
      <c r="H1080" s="24"/>
      <c r="J1080" s="29"/>
      <c r="K1080" s="25"/>
      <c r="L1080" s="24"/>
      <c r="M1080" s="24"/>
    </row>
    <row r="1081" ht="15.75" customHeight="1">
      <c r="A1081" s="24"/>
      <c r="B1081" s="25"/>
      <c r="C1081" s="26"/>
      <c r="D1081" s="26"/>
      <c r="E1081" s="24"/>
      <c r="F1081" s="24"/>
      <c r="G1081" s="24"/>
      <c r="H1081" s="24"/>
      <c r="J1081" s="29"/>
      <c r="K1081" s="25"/>
      <c r="L1081" s="24"/>
      <c r="M1081" s="24"/>
    </row>
    <row r="1082" ht="15.75" customHeight="1">
      <c r="A1082" s="24"/>
      <c r="B1082" s="25"/>
      <c r="C1082" s="26"/>
      <c r="D1082" s="26"/>
      <c r="E1082" s="24"/>
      <c r="F1082" s="24"/>
      <c r="G1082" s="24"/>
      <c r="H1082" s="24"/>
      <c r="J1082" s="29"/>
      <c r="K1082" s="25"/>
      <c r="L1082" s="24"/>
      <c r="M1082" s="24"/>
    </row>
    <row r="1083" ht="15.75" customHeight="1">
      <c r="A1083" s="24"/>
      <c r="B1083" s="25"/>
      <c r="C1083" s="26"/>
      <c r="D1083" s="26"/>
      <c r="E1083" s="24"/>
      <c r="F1083" s="24"/>
      <c r="G1083" s="24"/>
      <c r="H1083" s="24"/>
      <c r="J1083" s="29"/>
      <c r="K1083" s="25"/>
      <c r="L1083" s="24"/>
      <c r="M1083" s="24"/>
    </row>
    <row r="1084" ht="15.75" customHeight="1">
      <c r="A1084" s="24"/>
      <c r="B1084" s="25"/>
      <c r="C1084" s="26"/>
      <c r="D1084" s="26"/>
      <c r="E1084" s="24"/>
      <c r="F1084" s="24"/>
      <c r="G1084" s="24"/>
      <c r="H1084" s="24"/>
      <c r="J1084" s="29"/>
      <c r="K1084" s="25"/>
      <c r="L1084" s="24"/>
      <c r="M1084" s="24"/>
    </row>
    <row r="1085" ht="15.75" customHeight="1">
      <c r="A1085" s="24"/>
      <c r="B1085" s="25"/>
      <c r="C1085" s="26"/>
      <c r="D1085" s="26"/>
      <c r="E1085" s="24"/>
      <c r="F1085" s="24"/>
      <c r="G1085" s="24"/>
      <c r="H1085" s="24"/>
      <c r="J1085" s="29"/>
      <c r="K1085" s="25"/>
      <c r="L1085" s="24"/>
      <c r="M1085" s="24"/>
    </row>
    <row r="1086" ht="15.75" customHeight="1">
      <c r="A1086" s="24"/>
      <c r="B1086" s="25"/>
      <c r="C1086" s="26"/>
      <c r="D1086" s="26"/>
      <c r="E1086" s="24"/>
      <c r="F1086" s="24"/>
      <c r="G1086" s="24"/>
      <c r="H1086" s="24"/>
      <c r="J1086" s="29"/>
      <c r="K1086" s="25"/>
      <c r="L1086" s="24"/>
      <c r="M1086" s="24"/>
    </row>
    <row r="1087" ht="15.75" customHeight="1">
      <c r="A1087" s="24"/>
      <c r="B1087" s="25"/>
      <c r="C1087" s="26"/>
      <c r="D1087" s="26"/>
      <c r="E1087" s="24"/>
      <c r="F1087" s="24"/>
      <c r="G1087" s="24"/>
      <c r="H1087" s="24"/>
      <c r="J1087" s="29"/>
      <c r="K1087" s="25"/>
      <c r="L1087" s="24"/>
      <c r="M1087" s="24"/>
    </row>
    <row r="1088" ht="15.75" customHeight="1">
      <c r="A1088" s="24"/>
      <c r="B1088" s="25"/>
      <c r="C1088" s="26"/>
      <c r="D1088" s="26"/>
      <c r="E1088" s="24"/>
      <c r="F1088" s="24"/>
      <c r="G1088" s="24"/>
      <c r="H1088" s="24"/>
      <c r="J1088" s="29"/>
      <c r="K1088" s="25"/>
      <c r="L1088" s="24"/>
      <c r="M1088" s="24"/>
    </row>
    <row r="1089" ht="15.75" customHeight="1">
      <c r="A1089" s="24"/>
      <c r="B1089" s="25"/>
      <c r="C1089" s="26"/>
      <c r="D1089" s="26"/>
      <c r="E1089" s="24"/>
      <c r="F1089" s="24"/>
      <c r="G1089" s="24"/>
      <c r="H1089" s="24"/>
      <c r="J1089" s="29"/>
      <c r="K1089" s="25"/>
      <c r="L1089" s="24"/>
      <c r="M1089" s="24"/>
    </row>
    <row r="1090" ht="15.75" customHeight="1">
      <c r="A1090" s="24"/>
      <c r="B1090" s="25"/>
      <c r="C1090" s="26"/>
      <c r="D1090" s="26"/>
      <c r="E1090" s="24"/>
      <c r="F1090" s="24"/>
      <c r="G1090" s="24"/>
      <c r="H1090" s="24"/>
      <c r="J1090" s="29"/>
      <c r="K1090" s="25"/>
      <c r="L1090" s="24"/>
      <c r="M1090" s="24"/>
    </row>
    <row r="1091" ht="15.75" customHeight="1">
      <c r="A1091" s="24"/>
      <c r="B1091" s="25"/>
      <c r="C1091" s="26"/>
      <c r="D1091" s="26"/>
      <c r="E1091" s="24"/>
      <c r="F1091" s="24"/>
      <c r="G1091" s="24"/>
      <c r="H1091" s="24"/>
      <c r="J1091" s="29"/>
      <c r="K1091" s="25"/>
      <c r="L1091" s="24"/>
      <c r="M1091" s="24"/>
    </row>
    <row r="1092" ht="15.75" customHeight="1">
      <c r="A1092" s="24"/>
      <c r="B1092" s="25"/>
      <c r="C1092" s="26"/>
      <c r="D1092" s="26"/>
      <c r="E1092" s="24"/>
      <c r="F1092" s="24"/>
      <c r="G1092" s="24"/>
      <c r="H1092" s="24"/>
      <c r="J1092" s="29"/>
      <c r="K1092" s="25"/>
      <c r="L1092" s="24"/>
      <c r="M1092" s="24"/>
    </row>
    <row r="1093" ht="15.75" customHeight="1">
      <c r="A1093" s="24"/>
      <c r="B1093" s="25"/>
      <c r="C1093" s="26"/>
      <c r="D1093" s="26"/>
      <c r="E1093" s="24"/>
      <c r="F1093" s="24"/>
      <c r="G1093" s="24"/>
      <c r="H1093" s="24"/>
      <c r="J1093" s="29"/>
      <c r="K1093" s="25"/>
      <c r="L1093" s="24"/>
      <c r="M1093" s="24"/>
    </row>
    <row r="1094" ht="15.75" customHeight="1">
      <c r="A1094" s="24"/>
      <c r="B1094" s="25"/>
      <c r="C1094" s="26"/>
      <c r="D1094" s="26"/>
      <c r="E1094" s="24"/>
      <c r="F1094" s="24"/>
      <c r="G1094" s="24"/>
      <c r="H1094" s="24"/>
      <c r="J1094" s="29"/>
      <c r="K1094" s="25"/>
      <c r="L1094" s="24"/>
      <c r="M1094" s="24"/>
    </row>
    <row r="1095" ht="15.75" customHeight="1">
      <c r="A1095" s="24"/>
      <c r="B1095" s="25"/>
      <c r="C1095" s="26"/>
      <c r="D1095" s="26"/>
      <c r="E1095" s="24"/>
      <c r="F1095" s="24"/>
      <c r="G1095" s="24"/>
      <c r="H1095" s="24"/>
      <c r="J1095" s="29"/>
      <c r="K1095" s="25"/>
      <c r="L1095" s="24"/>
      <c r="M1095" s="24"/>
    </row>
    <row r="1096" ht="15.75" customHeight="1">
      <c r="A1096" s="24"/>
      <c r="B1096" s="25"/>
      <c r="C1096" s="26"/>
      <c r="D1096" s="26"/>
      <c r="E1096" s="24"/>
      <c r="F1096" s="24"/>
      <c r="G1096" s="24"/>
      <c r="H1096" s="24"/>
      <c r="J1096" s="29"/>
      <c r="K1096" s="25"/>
      <c r="L1096" s="24"/>
      <c r="M1096" s="24"/>
    </row>
    <row r="1097" ht="15.75" customHeight="1">
      <c r="A1097" s="24"/>
      <c r="B1097" s="25"/>
      <c r="C1097" s="26"/>
      <c r="D1097" s="26"/>
      <c r="E1097" s="24"/>
      <c r="F1097" s="24"/>
      <c r="G1097" s="24"/>
      <c r="H1097" s="24"/>
      <c r="J1097" s="29"/>
      <c r="K1097" s="25"/>
      <c r="L1097" s="24"/>
      <c r="M1097" s="24"/>
    </row>
    <row r="1098" ht="15.75" customHeight="1">
      <c r="A1098" s="24"/>
      <c r="B1098" s="25"/>
      <c r="C1098" s="26"/>
      <c r="D1098" s="26"/>
      <c r="E1098" s="24"/>
      <c r="F1098" s="24"/>
      <c r="G1098" s="24"/>
      <c r="H1098" s="24"/>
      <c r="J1098" s="29"/>
      <c r="K1098" s="25"/>
      <c r="L1098" s="24"/>
      <c r="M1098" s="24"/>
    </row>
    <row r="1099" ht="15.75" customHeight="1">
      <c r="A1099" s="24"/>
      <c r="B1099" s="25"/>
      <c r="C1099" s="26"/>
      <c r="D1099" s="26"/>
      <c r="E1099" s="24"/>
      <c r="F1099" s="24"/>
      <c r="G1099" s="24"/>
      <c r="H1099" s="24"/>
      <c r="J1099" s="29"/>
      <c r="K1099" s="25"/>
      <c r="L1099" s="24"/>
      <c r="M1099" s="24"/>
    </row>
    <row r="1100" ht="15.75" customHeight="1">
      <c r="A1100" s="24"/>
      <c r="B1100" s="25"/>
      <c r="C1100" s="26"/>
      <c r="D1100" s="26"/>
      <c r="E1100" s="24"/>
      <c r="F1100" s="24"/>
      <c r="G1100" s="24"/>
      <c r="H1100" s="24"/>
      <c r="J1100" s="29"/>
      <c r="K1100" s="25"/>
      <c r="L1100" s="24"/>
      <c r="M1100" s="24"/>
    </row>
    <row r="1101" ht="15.75" customHeight="1">
      <c r="A1101" s="24"/>
      <c r="B1101" s="25"/>
      <c r="C1101" s="26"/>
      <c r="D1101" s="26"/>
      <c r="E1101" s="24"/>
      <c r="F1101" s="24"/>
      <c r="G1101" s="24"/>
      <c r="H1101" s="24"/>
      <c r="J1101" s="29"/>
      <c r="K1101" s="25"/>
      <c r="L1101" s="24"/>
      <c r="M1101" s="24"/>
    </row>
    <row r="1102" ht="15.75" customHeight="1">
      <c r="A1102" s="24"/>
      <c r="B1102" s="25"/>
      <c r="C1102" s="26"/>
      <c r="D1102" s="26"/>
      <c r="E1102" s="24"/>
      <c r="F1102" s="24"/>
      <c r="G1102" s="24"/>
      <c r="H1102" s="24"/>
      <c r="J1102" s="29"/>
      <c r="K1102" s="25"/>
      <c r="L1102" s="24"/>
      <c r="M1102" s="24"/>
    </row>
    <row r="1103" ht="15.75" customHeight="1">
      <c r="A1103" s="24"/>
      <c r="B1103" s="25"/>
      <c r="C1103" s="26"/>
      <c r="D1103" s="26"/>
      <c r="E1103" s="24"/>
      <c r="F1103" s="24"/>
      <c r="G1103" s="24"/>
      <c r="H1103" s="24"/>
      <c r="J1103" s="29"/>
      <c r="K1103" s="25"/>
      <c r="L1103" s="24"/>
      <c r="M1103" s="24"/>
    </row>
    <row r="1104" ht="15.75" customHeight="1">
      <c r="A1104" s="24"/>
      <c r="B1104" s="25"/>
      <c r="C1104" s="26"/>
      <c r="D1104" s="26"/>
      <c r="E1104" s="24"/>
      <c r="F1104" s="24"/>
      <c r="G1104" s="24"/>
      <c r="H1104" s="24"/>
      <c r="J1104" s="29"/>
      <c r="K1104" s="25"/>
      <c r="L1104" s="24"/>
      <c r="M1104" s="24"/>
    </row>
    <row r="1105" ht="15.75" customHeight="1">
      <c r="A1105" s="24"/>
      <c r="B1105" s="25"/>
      <c r="C1105" s="26"/>
      <c r="D1105" s="26"/>
      <c r="E1105" s="24"/>
      <c r="F1105" s="24"/>
      <c r="G1105" s="24"/>
      <c r="H1105" s="24"/>
      <c r="J1105" s="29"/>
      <c r="K1105" s="25"/>
      <c r="L1105" s="24"/>
      <c r="M1105" s="24"/>
    </row>
    <row r="1106" ht="15.75" customHeight="1">
      <c r="A1106" s="24"/>
      <c r="B1106" s="25"/>
      <c r="C1106" s="26"/>
      <c r="D1106" s="26"/>
      <c r="E1106" s="24"/>
      <c r="F1106" s="24"/>
      <c r="G1106" s="24"/>
      <c r="H1106" s="24"/>
      <c r="J1106" s="29"/>
      <c r="K1106" s="25"/>
      <c r="L1106" s="24"/>
      <c r="M1106" s="24"/>
    </row>
    <row r="1107" ht="15.75" customHeight="1">
      <c r="A1107" s="24"/>
      <c r="B1107" s="25"/>
      <c r="C1107" s="26"/>
      <c r="D1107" s="26"/>
      <c r="E1107" s="24"/>
      <c r="F1107" s="24"/>
      <c r="G1107" s="24"/>
      <c r="H1107" s="24"/>
      <c r="J1107" s="29"/>
      <c r="K1107" s="25"/>
      <c r="L1107" s="24"/>
      <c r="M1107" s="24"/>
    </row>
    <row r="1108" ht="15.75" customHeight="1">
      <c r="A1108" s="24"/>
      <c r="B1108" s="25"/>
      <c r="C1108" s="26"/>
      <c r="D1108" s="26"/>
      <c r="E1108" s="24"/>
      <c r="F1108" s="24"/>
      <c r="G1108" s="24"/>
      <c r="H1108" s="24"/>
      <c r="J1108" s="29"/>
      <c r="K1108" s="25"/>
      <c r="L1108" s="24"/>
      <c r="M1108" s="24"/>
    </row>
    <row r="1109" ht="15.75" customHeight="1">
      <c r="A1109" s="24"/>
      <c r="B1109" s="25"/>
      <c r="C1109" s="26"/>
      <c r="D1109" s="26"/>
      <c r="E1109" s="24"/>
      <c r="F1109" s="24"/>
      <c r="G1109" s="24"/>
      <c r="H1109" s="24"/>
      <c r="J1109" s="29"/>
      <c r="K1109" s="25"/>
      <c r="L1109" s="24"/>
      <c r="M1109" s="24"/>
    </row>
    <row r="1110" ht="15.75" customHeight="1">
      <c r="A1110" s="24"/>
      <c r="B1110" s="25"/>
      <c r="C1110" s="26"/>
      <c r="D1110" s="26"/>
      <c r="E1110" s="24"/>
      <c r="F1110" s="24"/>
      <c r="G1110" s="24"/>
      <c r="H1110" s="24"/>
      <c r="J1110" s="29"/>
      <c r="K1110" s="25"/>
      <c r="L1110" s="24"/>
      <c r="M1110" s="24"/>
    </row>
    <row r="1111" ht="15.75" customHeight="1">
      <c r="A1111" s="24"/>
      <c r="B1111" s="25"/>
      <c r="C1111" s="26"/>
      <c r="D1111" s="26"/>
      <c r="E1111" s="24"/>
      <c r="F1111" s="24"/>
      <c r="G1111" s="24"/>
      <c r="H1111" s="24"/>
      <c r="J1111" s="29"/>
      <c r="K1111" s="25"/>
      <c r="L1111" s="24"/>
      <c r="M1111" s="24"/>
    </row>
    <row r="1112" ht="15.75" customHeight="1">
      <c r="A1112" s="24"/>
      <c r="B1112" s="25"/>
      <c r="C1112" s="26"/>
      <c r="D1112" s="26"/>
      <c r="E1112" s="24"/>
      <c r="F1112" s="24"/>
      <c r="G1112" s="24"/>
      <c r="H1112" s="24"/>
      <c r="J1112" s="29"/>
      <c r="K1112" s="25"/>
      <c r="L1112" s="24"/>
      <c r="M1112" s="24"/>
    </row>
    <row r="1113" ht="15.75" customHeight="1">
      <c r="A1113" s="24"/>
      <c r="B1113" s="25"/>
      <c r="C1113" s="26"/>
      <c r="D1113" s="26"/>
      <c r="E1113" s="24"/>
      <c r="F1113" s="24"/>
      <c r="G1113" s="24"/>
      <c r="H1113" s="24"/>
      <c r="J1113" s="29"/>
      <c r="K1113" s="25"/>
      <c r="L1113" s="24"/>
      <c r="M1113" s="24"/>
    </row>
    <row r="1114" ht="15.75" customHeight="1">
      <c r="A1114" s="24"/>
      <c r="B1114" s="25"/>
      <c r="C1114" s="26"/>
      <c r="D1114" s="26"/>
      <c r="E1114" s="24"/>
      <c r="F1114" s="24"/>
      <c r="G1114" s="24"/>
      <c r="H1114" s="24"/>
      <c r="J1114" s="29"/>
      <c r="K1114" s="25"/>
      <c r="L1114" s="24"/>
      <c r="M1114" s="24"/>
    </row>
    <row r="1115" ht="15.75" customHeight="1">
      <c r="A1115" s="24"/>
      <c r="B1115" s="25"/>
      <c r="C1115" s="26"/>
      <c r="D1115" s="26"/>
      <c r="E1115" s="24"/>
      <c r="F1115" s="24"/>
      <c r="G1115" s="24"/>
      <c r="H1115" s="24"/>
      <c r="J1115" s="29"/>
      <c r="K1115" s="25"/>
      <c r="L1115" s="24"/>
      <c r="M1115" s="24"/>
    </row>
    <row r="1116" ht="15.75" customHeight="1">
      <c r="A1116" s="24"/>
      <c r="B1116" s="25"/>
      <c r="C1116" s="26"/>
      <c r="D1116" s="26"/>
      <c r="E1116" s="24"/>
      <c r="F1116" s="24"/>
      <c r="G1116" s="24"/>
      <c r="H1116" s="24"/>
      <c r="J1116" s="29"/>
      <c r="K1116" s="25"/>
      <c r="L1116" s="24"/>
      <c r="M1116" s="24"/>
    </row>
    <row r="1117" ht="15.75" customHeight="1">
      <c r="A1117" s="24"/>
      <c r="B1117" s="25"/>
      <c r="C1117" s="26"/>
      <c r="D1117" s="26"/>
      <c r="E1117" s="24"/>
      <c r="F1117" s="24"/>
      <c r="G1117" s="24"/>
      <c r="H1117" s="24"/>
      <c r="J1117" s="29"/>
      <c r="K1117" s="25"/>
      <c r="L1117" s="24"/>
      <c r="M1117" s="24"/>
    </row>
    <row r="1118" ht="15.75" customHeight="1">
      <c r="A1118" s="24"/>
      <c r="B1118" s="25"/>
      <c r="C1118" s="26"/>
      <c r="D1118" s="26"/>
      <c r="E1118" s="24"/>
      <c r="F1118" s="24"/>
      <c r="G1118" s="24"/>
      <c r="H1118" s="24"/>
      <c r="J1118" s="29"/>
      <c r="K1118" s="25"/>
      <c r="L1118" s="24"/>
      <c r="M1118" s="24"/>
    </row>
    <row r="1119" ht="15.75" customHeight="1">
      <c r="A1119" s="24"/>
      <c r="B1119" s="25"/>
      <c r="C1119" s="26"/>
      <c r="D1119" s="26"/>
      <c r="E1119" s="24"/>
      <c r="F1119" s="24"/>
      <c r="G1119" s="24"/>
      <c r="H1119" s="24"/>
      <c r="J1119" s="29"/>
      <c r="K1119" s="25"/>
      <c r="L1119" s="24"/>
      <c r="M1119" s="24"/>
    </row>
    <row r="1120" ht="15.75" customHeight="1">
      <c r="A1120" s="24"/>
      <c r="B1120" s="25"/>
      <c r="C1120" s="26"/>
      <c r="D1120" s="26"/>
      <c r="E1120" s="24"/>
      <c r="F1120" s="24"/>
      <c r="G1120" s="24"/>
      <c r="H1120" s="24"/>
      <c r="J1120" s="29"/>
      <c r="K1120" s="25"/>
      <c r="L1120" s="24"/>
      <c r="M1120" s="24"/>
    </row>
    <row r="1121" ht="15.75" customHeight="1">
      <c r="A1121" s="24"/>
      <c r="B1121" s="25"/>
      <c r="C1121" s="26"/>
      <c r="D1121" s="26"/>
      <c r="E1121" s="24"/>
      <c r="F1121" s="24"/>
      <c r="G1121" s="24"/>
      <c r="H1121" s="24"/>
      <c r="J1121" s="29"/>
      <c r="K1121" s="25"/>
      <c r="L1121" s="24"/>
      <c r="M1121" s="24"/>
    </row>
    <row r="1122" ht="15.75" customHeight="1">
      <c r="A1122" s="24"/>
      <c r="B1122" s="25"/>
      <c r="C1122" s="26"/>
      <c r="D1122" s="26"/>
      <c r="E1122" s="24"/>
      <c r="F1122" s="24"/>
      <c r="G1122" s="24"/>
      <c r="H1122" s="24"/>
      <c r="J1122" s="29"/>
      <c r="K1122" s="25"/>
      <c r="L1122" s="24"/>
      <c r="M1122" s="24"/>
    </row>
    <row r="1123" ht="15.75" customHeight="1">
      <c r="A1123" s="24"/>
      <c r="B1123" s="25"/>
      <c r="C1123" s="26"/>
      <c r="D1123" s="26"/>
      <c r="E1123" s="24"/>
      <c r="F1123" s="24"/>
      <c r="G1123" s="24"/>
      <c r="H1123" s="24"/>
      <c r="J1123" s="29"/>
      <c r="K1123" s="25"/>
      <c r="L1123" s="24"/>
      <c r="M1123" s="24"/>
    </row>
    <row r="1124" ht="15.75" customHeight="1">
      <c r="A1124" s="24"/>
      <c r="B1124" s="25"/>
      <c r="C1124" s="26"/>
      <c r="D1124" s="26"/>
      <c r="E1124" s="24"/>
      <c r="F1124" s="24"/>
      <c r="G1124" s="24"/>
      <c r="H1124" s="24"/>
      <c r="J1124" s="29"/>
      <c r="K1124" s="25"/>
      <c r="L1124" s="24"/>
      <c r="M1124" s="24"/>
    </row>
    <row r="1125" ht="15.75" customHeight="1">
      <c r="A1125" s="24"/>
      <c r="B1125" s="25"/>
      <c r="C1125" s="26"/>
      <c r="D1125" s="26"/>
      <c r="E1125" s="24"/>
      <c r="F1125" s="24"/>
      <c r="G1125" s="24"/>
      <c r="H1125" s="24"/>
      <c r="J1125" s="29"/>
      <c r="K1125" s="25"/>
      <c r="L1125" s="24"/>
      <c r="M1125" s="24"/>
    </row>
    <row r="1126" ht="15.75" customHeight="1">
      <c r="A1126" s="24"/>
      <c r="B1126" s="25"/>
      <c r="C1126" s="26"/>
      <c r="D1126" s="26"/>
      <c r="E1126" s="24"/>
      <c r="F1126" s="24"/>
      <c r="G1126" s="24"/>
      <c r="H1126" s="24"/>
      <c r="J1126" s="29"/>
      <c r="K1126" s="25"/>
      <c r="L1126" s="24"/>
      <c r="M1126" s="24"/>
    </row>
    <row r="1127" ht="15.75" customHeight="1">
      <c r="A1127" s="24"/>
      <c r="B1127" s="25"/>
      <c r="C1127" s="26"/>
      <c r="D1127" s="26"/>
      <c r="E1127" s="24"/>
      <c r="F1127" s="24"/>
      <c r="G1127" s="24"/>
      <c r="H1127" s="24"/>
      <c r="J1127" s="29"/>
      <c r="K1127" s="25"/>
      <c r="L1127" s="24"/>
      <c r="M1127" s="24"/>
    </row>
    <row r="1128" ht="15.75" customHeight="1">
      <c r="A1128" s="24"/>
      <c r="B1128" s="25"/>
      <c r="C1128" s="26"/>
      <c r="D1128" s="26"/>
      <c r="E1128" s="24"/>
      <c r="F1128" s="24"/>
      <c r="G1128" s="24"/>
      <c r="H1128" s="24"/>
      <c r="J1128" s="29"/>
      <c r="K1128" s="25"/>
      <c r="L1128" s="24"/>
      <c r="M1128" s="24"/>
    </row>
    <row r="1129" ht="15.75" customHeight="1">
      <c r="A1129" s="24"/>
      <c r="B1129" s="25"/>
      <c r="C1129" s="26"/>
      <c r="D1129" s="26"/>
      <c r="E1129" s="24"/>
      <c r="F1129" s="24"/>
      <c r="G1129" s="24"/>
      <c r="H1129" s="24"/>
      <c r="J1129" s="29"/>
      <c r="K1129" s="25"/>
      <c r="L1129" s="24"/>
      <c r="M1129" s="24"/>
    </row>
    <row r="1130" ht="15.75" customHeight="1">
      <c r="A1130" s="24"/>
      <c r="B1130" s="25"/>
      <c r="C1130" s="26"/>
      <c r="D1130" s="26"/>
      <c r="E1130" s="24"/>
      <c r="F1130" s="24"/>
      <c r="G1130" s="24"/>
      <c r="H1130" s="24"/>
      <c r="J1130" s="29"/>
      <c r="K1130" s="25"/>
      <c r="L1130" s="24"/>
      <c r="M1130" s="24"/>
    </row>
    <row r="1131" ht="15.75" customHeight="1">
      <c r="A1131" s="24"/>
      <c r="B1131" s="25"/>
      <c r="C1131" s="26"/>
      <c r="D1131" s="26"/>
      <c r="E1131" s="24"/>
      <c r="F1131" s="24"/>
      <c r="G1131" s="24"/>
      <c r="H1131" s="24"/>
      <c r="J1131" s="29"/>
      <c r="K1131" s="25"/>
      <c r="L1131" s="24"/>
      <c r="M1131" s="24"/>
    </row>
    <row r="1132" ht="15.75" customHeight="1">
      <c r="A1132" s="24"/>
      <c r="B1132" s="25"/>
      <c r="C1132" s="26"/>
      <c r="D1132" s="26"/>
      <c r="E1132" s="24"/>
      <c r="F1132" s="24"/>
      <c r="G1132" s="24"/>
      <c r="H1132" s="24"/>
      <c r="J1132" s="29"/>
      <c r="K1132" s="25"/>
      <c r="L1132" s="24"/>
      <c r="M1132" s="24"/>
    </row>
    <row r="1133" ht="15.75" customHeight="1">
      <c r="A1133" s="24"/>
      <c r="B1133" s="25"/>
      <c r="C1133" s="26"/>
      <c r="D1133" s="26"/>
      <c r="E1133" s="24"/>
      <c r="F1133" s="24"/>
      <c r="G1133" s="24"/>
      <c r="H1133" s="24"/>
      <c r="J1133" s="29"/>
      <c r="K1133" s="25"/>
      <c r="L1133" s="24"/>
      <c r="M1133" s="24"/>
    </row>
    <row r="1134" ht="15.75" customHeight="1">
      <c r="A1134" s="24"/>
      <c r="B1134" s="25"/>
      <c r="C1134" s="26"/>
      <c r="D1134" s="26"/>
      <c r="E1134" s="24"/>
      <c r="F1134" s="24"/>
      <c r="G1134" s="24"/>
      <c r="H1134" s="24"/>
      <c r="J1134" s="29"/>
      <c r="K1134" s="25"/>
      <c r="L1134" s="24"/>
      <c r="M1134" s="24"/>
    </row>
    <row r="1135" ht="15.75" customHeight="1">
      <c r="A1135" s="24"/>
      <c r="B1135" s="25"/>
      <c r="C1135" s="26"/>
      <c r="D1135" s="26"/>
      <c r="E1135" s="24"/>
      <c r="F1135" s="24"/>
      <c r="G1135" s="24"/>
      <c r="H1135" s="24"/>
      <c r="J1135" s="29"/>
      <c r="K1135" s="25"/>
      <c r="L1135" s="24"/>
      <c r="M1135" s="24"/>
    </row>
    <row r="1136" ht="15.75" customHeight="1">
      <c r="A1136" s="24"/>
      <c r="B1136" s="25"/>
      <c r="C1136" s="26"/>
      <c r="D1136" s="26"/>
      <c r="E1136" s="24"/>
      <c r="F1136" s="24"/>
      <c r="G1136" s="24"/>
      <c r="H1136" s="24"/>
      <c r="J1136" s="29"/>
      <c r="K1136" s="25"/>
      <c r="L1136" s="24"/>
      <c r="M1136" s="24"/>
    </row>
    <row r="1137" ht="15.75" customHeight="1">
      <c r="A1137" s="24"/>
      <c r="B1137" s="25"/>
      <c r="C1137" s="26"/>
      <c r="D1137" s="26"/>
      <c r="E1137" s="24"/>
      <c r="F1137" s="24"/>
      <c r="G1137" s="24"/>
      <c r="H1137" s="24"/>
      <c r="J1137" s="29"/>
      <c r="K1137" s="25"/>
      <c r="L1137" s="24"/>
      <c r="M1137" s="24"/>
    </row>
    <row r="1138" ht="15.75" customHeight="1">
      <c r="A1138" s="24"/>
      <c r="B1138" s="25"/>
      <c r="C1138" s="26"/>
      <c r="D1138" s="26"/>
      <c r="E1138" s="24"/>
      <c r="F1138" s="24"/>
      <c r="G1138" s="24"/>
      <c r="H1138" s="24"/>
      <c r="J1138" s="29"/>
      <c r="K1138" s="25"/>
      <c r="L1138" s="24"/>
      <c r="M1138" s="24"/>
    </row>
    <row r="1139" ht="15.75" customHeight="1">
      <c r="A1139" s="24"/>
      <c r="B1139" s="25"/>
      <c r="C1139" s="26"/>
      <c r="D1139" s="26"/>
      <c r="E1139" s="24"/>
      <c r="F1139" s="24"/>
      <c r="G1139" s="24"/>
      <c r="H1139" s="24"/>
      <c r="J1139" s="29"/>
      <c r="K1139" s="25"/>
      <c r="L1139" s="24"/>
      <c r="M1139" s="24"/>
    </row>
    <row r="1140" ht="15.75" customHeight="1">
      <c r="A1140" s="24"/>
      <c r="B1140" s="25"/>
      <c r="C1140" s="26"/>
      <c r="D1140" s="26"/>
      <c r="E1140" s="24"/>
      <c r="F1140" s="24"/>
      <c r="G1140" s="24"/>
      <c r="H1140" s="24"/>
      <c r="J1140" s="29"/>
      <c r="K1140" s="25"/>
      <c r="L1140" s="24"/>
      <c r="M1140" s="24"/>
    </row>
    <row r="1141" ht="15.75" customHeight="1">
      <c r="A1141" s="24"/>
      <c r="B1141" s="25"/>
      <c r="C1141" s="26"/>
      <c r="D1141" s="26"/>
      <c r="E1141" s="24"/>
      <c r="F1141" s="24"/>
      <c r="G1141" s="24"/>
      <c r="H1141" s="24"/>
      <c r="J1141" s="29"/>
      <c r="K1141" s="25"/>
      <c r="L1141" s="24"/>
      <c r="M1141" s="24"/>
    </row>
    <row r="1142" ht="15.75" customHeight="1">
      <c r="A1142" s="24"/>
      <c r="B1142" s="25"/>
      <c r="C1142" s="26"/>
      <c r="D1142" s="26"/>
      <c r="E1142" s="24"/>
      <c r="F1142" s="24"/>
      <c r="G1142" s="24"/>
      <c r="H1142" s="24"/>
      <c r="J1142" s="29"/>
      <c r="K1142" s="25"/>
      <c r="L1142" s="24"/>
      <c r="M1142" s="24"/>
    </row>
    <row r="1143" ht="15.75" customHeight="1">
      <c r="A1143" s="24"/>
      <c r="B1143" s="25"/>
      <c r="C1143" s="26"/>
      <c r="D1143" s="26"/>
      <c r="E1143" s="24"/>
      <c r="F1143" s="24"/>
      <c r="G1143" s="24"/>
      <c r="H1143" s="24"/>
      <c r="J1143" s="29"/>
      <c r="K1143" s="25"/>
      <c r="L1143" s="24"/>
      <c r="M1143" s="24"/>
    </row>
    <row r="1144" ht="15.75" customHeight="1">
      <c r="A1144" s="24"/>
      <c r="B1144" s="25"/>
      <c r="C1144" s="26"/>
      <c r="D1144" s="26"/>
      <c r="E1144" s="24"/>
      <c r="F1144" s="24"/>
      <c r="G1144" s="24"/>
      <c r="H1144" s="24"/>
      <c r="J1144" s="29"/>
      <c r="K1144" s="25"/>
      <c r="L1144" s="24"/>
      <c r="M1144" s="24"/>
    </row>
    <row r="1145" ht="15.75" customHeight="1">
      <c r="A1145" s="24"/>
      <c r="B1145" s="25"/>
      <c r="C1145" s="26"/>
      <c r="D1145" s="26"/>
      <c r="E1145" s="24"/>
      <c r="F1145" s="24"/>
      <c r="G1145" s="24"/>
      <c r="H1145" s="24"/>
      <c r="J1145" s="29"/>
      <c r="K1145" s="25"/>
      <c r="L1145" s="24"/>
      <c r="M1145" s="24"/>
    </row>
    <row r="1146" ht="15.75" customHeight="1">
      <c r="A1146" s="24"/>
      <c r="B1146" s="25"/>
      <c r="C1146" s="26"/>
      <c r="D1146" s="26"/>
      <c r="E1146" s="24"/>
      <c r="F1146" s="24"/>
      <c r="G1146" s="24"/>
      <c r="H1146" s="24"/>
      <c r="J1146" s="29"/>
      <c r="K1146" s="25"/>
      <c r="L1146" s="24"/>
      <c r="M1146" s="24"/>
    </row>
    <row r="1147" ht="15.75" customHeight="1">
      <c r="A1147" s="24"/>
      <c r="B1147" s="25"/>
      <c r="C1147" s="26"/>
      <c r="D1147" s="26"/>
      <c r="E1147" s="24"/>
      <c r="F1147" s="24"/>
      <c r="G1147" s="24"/>
      <c r="H1147" s="24"/>
      <c r="J1147" s="29"/>
      <c r="K1147" s="25"/>
      <c r="L1147" s="24"/>
      <c r="M1147" s="24"/>
    </row>
    <row r="1148" ht="15.75" customHeight="1">
      <c r="A1148" s="24"/>
      <c r="B1148" s="25"/>
      <c r="C1148" s="26"/>
      <c r="D1148" s="26"/>
      <c r="E1148" s="24"/>
      <c r="F1148" s="24"/>
      <c r="G1148" s="24"/>
      <c r="H1148" s="24"/>
      <c r="J1148" s="29"/>
      <c r="K1148" s="25"/>
      <c r="L1148" s="24"/>
      <c r="M1148" s="24"/>
    </row>
    <row r="1149" ht="15.75" customHeight="1">
      <c r="A1149" s="24"/>
      <c r="B1149" s="25"/>
      <c r="C1149" s="26"/>
      <c r="D1149" s="26"/>
      <c r="E1149" s="24"/>
      <c r="F1149" s="24"/>
      <c r="G1149" s="24"/>
      <c r="H1149" s="24"/>
      <c r="J1149" s="29"/>
      <c r="K1149" s="25"/>
      <c r="L1149" s="24"/>
      <c r="M1149" s="24"/>
    </row>
    <row r="1150" ht="15.75" customHeight="1">
      <c r="A1150" s="24"/>
      <c r="B1150" s="25"/>
      <c r="C1150" s="26"/>
      <c r="D1150" s="26"/>
      <c r="E1150" s="24"/>
      <c r="F1150" s="24"/>
      <c r="G1150" s="24"/>
      <c r="H1150" s="24"/>
      <c r="J1150" s="29"/>
      <c r="K1150" s="25"/>
      <c r="L1150" s="24"/>
      <c r="M1150" s="24"/>
    </row>
    <row r="1151" ht="15.75" customHeight="1">
      <c r="A1151" s="24"/>
      <c r="B1151" s="25"/>
      <c r="C1151" s="26"/>
      <c r="D1151" s="26"/>
      <c r="E1151" s="24"/>
      <c r="F1151" s="24"/>
      <c r="G1151" s="24"/>
      <c r="H1151" s="24"/>
      <c r="J1151" s="29"/>
      <c r="K1151" s="25"/>
      <c r="L1151" s="24"/>
      <c r="M1151" s="24"/>
    </row>
    <row r="1152" ht="15.75" customHeight="1">
      <c r="A1152" s="24"/>
      <c r="B1152" s="25"/>
      <c r="C1152" s="26"/>
      <c r="D1152" s="26"/>
      <c r="E1152" s="24"/>
      <c r="F1152" s="24"/>
      <c r="G1152" s="24"/>
      <c r="H1152" s="24"/>
      <c r="J1152" s="29"/>
      <c r="K1152" s="25"/>
      <c r="L1152" s="24"/>
      <c r="M1152" s="24"/>
    </row>
    <row r="1153" ht="15.75" customHeight="1">
      <c r="A1153" s="24"/>
      <c r="B1153" s="25"/>
      <c r="C1153" s="26"/>
      <c r="D1153" s="26"/>
      <c r="E1153" s="24"/>
      <c r="F1153" s="24"/>
      <c r="G1153" s="24"/>
      <c r="H1153" s="24"/>
      <c r="J1153" s="29"/>
      <c r="K1153" s="25"/>
      <c r="L1153" s="24"/>
      <c r="M1153" s="24"/>
    </row>
    <row r="1154" ht="15.75" customHeight="1">
      <c r="A1154" s="24"/>
      <c r="B1154" s="25"/>
      <c r="C1154" s="26"/>
      <c r="D1154" s="26"/>
      <c r="E1154" s="24"/>
      <c r="F1154" s="24"/>
      <c r="G1154" s="24"/>
      <c r="H1154" s="24"/>
      <c r="J1154" s="29"/>
      <c r="K1154" s="25"/>
      <c r="L1154" s="24"/>
      <c r="M1154" s="24"/>
    </row>
    <row r="1155" ht="15.75" customHeight="1">
      <c r="A1155" s="24"/>
      <c r="B1155" s="25"/>
      <c r="C1155" s="26"/>
      <c r="D1155" s="26"/>
      <c r="E1155" s="24"/>
      <c r="F1155" s="24"/>
      <c r="G1155" s="24"/>
      <c r="H1155" s="24"/>
      <c r="J1155" s="29"/>
      <c r="K1155" s="25"/>
      <c r="L1155" s="24"/>
      <c r="M1155" s="24"/>
    </row>
    <row r="1156" ht="15.75" customHeight="1">
      <c r="A1156" s="24"/>
      <c r="B1156" s="25"/>
      <c r="C1156" s="26"/>
      <c r="D1156" s="26"/>
      <c r="E1156" s="24"/>
      <c r="F1156" s="24"/>
      <c r="G1156" s="24"/>
      <c r="H1156" s="24"/>
      <c r="J1156" s="29"/>
      <c r="K1156" s="25"/>
      <c r="L1156" s="24"/>
      <c r="M1156" s="24"/>
    </row>
    <row r="1157" ht="15.75" customHeight="1">
      <c r="A1157" s="24"/>
      <c r="B1157" s="25"/>
      <c r="C1157" s="26"/>
      <c r="D1157" s="26"/>
      <c r="E1157" s="24"/>
      <c r="F1157" s="24"/>
      <c r="G1157" s="24"/>
      <c r="H1157" s="24"/>
      <c r="J1157" s="29"/>
      <c r="K1157" s="25"/>
      <c r="L1157" s="24"/>
      <c r="M1157" s="24"/>
    </row>
    <row r="1158" ht="15.75" customHeight="1">
      <c r="A1158" s="24"/>
      <c r="B1158" s="25"/>
      <c r="C1158" s="26"/>
      <c r="D1158" s="26"/>
      <c r="E1158" s="24"/>
      <c r="F1158" s="24"/>
      <c r="G1158" s="24"/>
      <c r="H1158" s="24"/>
      <c r="J1158" s="29"/>
      <c r="K1158" s="25"/>
      <c r="L1158" s="24"/>
      <c r="M1158" s="24"/>
    </row>
    <row r="1159" ht="15.75" customHeight="1">
      <c r="A1159" s="24"/>
      <c r="B1159" s="25"/>
      <c r="C1159" s="26"/>
      <c r="D1159" s="26"/>
      <c r="E1159" s="24"/>
      <c r="F1159" s="24"/>
      <c r="G1159" s="24"/>
      <c r="H1159" s="24"/>
      <c r="J1159" s="29"/>
      <c r="K1159" s="25"/>
      <c r="L1159" s="24"/>
      <c r="M1159" s="24"/>
    </row>
    <row r="1160" ht="15.75" customHeight="1">
      <c r="A1160" s="24"/>
      <c r="B1160" s="25"/>
      <c r="C1160" s="26"/>
      <c r="D1160" s="26"/>
      <c r="E1160" s="24"/>
      <c r="F1160" s="24"/>
      <c r="G1160" s="24"/>
      <c r="H1160" s="24"/>
      <c r="J1160" s="29"/>
      <c r="K1160" s="25"/>
      <c r="L1160" s="24"/>
      <c r="M1160" s="24"/>
    </row>
    <row r="1161" ht="15.75" customHeight="1">
      <c r="A1161" s="24"/>
      <c r="B1161" s="25"/>
      <c r="C1161" s="26"/>
      <c r="D1161" s="26"/>
      <c r="E1161" s="24"/>
      <c r="F1161" s="24"/>
      <c r="G1161" s="24"/>
      <c r="H1161" s="24"/>
      <c r="J1161" s="29"/>
      <c r="K1161" s="25"/>
      <c r="L1161" s="24"/>
      <c r="M1161" s="24"/>
    </row>
    <row r="1162" ht="15.75" customHeight="1">
      <c r="A1162" s="24"/>
      <c r="B1162" s="25"/>
      <c r="C1162" s="26"/>
      <c r="D1162" s="26"/>
      <c r="E1162" s="24"/>
      <c r="F1162" s="24"/>
      <c r="G1162" s="24"/>
      <c r="H1162" s="24"/>
      <c r="J1162" s="29"/>
      <c r="K1162" s="25"/>
      <c r="L1162" s="24"/>
      <c r="M1162" s="24"/>
    </row>
    <row r="1163" ht="15.75" customHeight="1">
      <c r="A1163" s="24"/>
      <c r="B1163" s="25"/>
      <c r="C1163" s="26"/>
      <c r="D1163" s="26"/>
      <c r="E1163" s="24"/>
      <c r="F1163" s="24"/>
      <c r="G1163" s="24"/>
      <c r="H1163" s="24"/>
      <c r="J1163" s="29"/>
      <c r="K1163" s="25"/>
      <c r="L1163" s="24"/>
      <c r="M1163" s="24"/>
    </row>
    <row r="1164" ht="15.75" customHeight="1">
      <c r="A1164" s="24"/>
      <c r="B1164" s="25"/>
      <c r="C1164" s="26"/>
      <c r="D1164" s="26"/>
      <c r="E1164" s="24"/>
      <c r="F1164" s="24"/>
      <c r="G1164" s="24"/>
      <c r="H1164" s="24"/>
      <c r="J1164" s="29"/>
      <c r="K1164" s="25"/>
      <c r="L1164" s="24"/>
      <c r="M1164" s="24"/>
    </row>
    <row r="1165" ht="15.75" customHeight="1">
      <c r="A1165" s="24"/>
      <c r="B1165" s="25"/>
      <c r="C1165" s="26"/>
      <c r="D1165" s="26"/>
      <c r="E1165" s="24"/>
      <c r="F1165" s="24"/>
      <c r="G1165" s="24"/>
      <c r="H1165" s="24"/>
      <c r="J1165" s="29"/>
      <c r="K1165" s="25"/>
      <c r="L1165" s="24"/>
      <c r="M1165" s="24"/>
    </row>
    <row r="1166" ht="15.75" customHeight="1">
      <c r="A1166" s="24"/>
      <c r="B1166" s="25"/>
      <c r="C1166" s="26"/>
      <c r="D1166" s="26"/>
      <c r="E1166" s="24"/>
      <c r="F1166" s="24"/>
      <c r="G1166" s="24"/>
      <c r="H1166" s="24"/>
      <c r="J1166" s="29"/>
      <c r="K1166" s="25"/>
      <c r="L1166" s="24"/>
      <c r="M1166" s="24"/>
    </row>
    <row r="1167" ht="15.75" customHeight="1">
      <c r="A1167" s="24"/>
      <c r="B1167" s="25"/>
      <c r="C1167" s="26"/>
      <c r="D1167" s="26"/>
      <c r="E1167" s="24"/>
      <c r="F1167" s="24"/>
      <c r="G1167" s="24"/>
      <c r="H1167" s="24"/>
      <c r="J1167" s="29"/>
      <c r="K1167" s="25"/>
      <c r="L1167" s="24"/>
      <c r="M1167" s="24"/>
    </row>
    <row r="1168" ht="15.75" customHeight="1">
      <c r="A1168" s="24"/>
      <c r="B1168" s="25"/>
      <c r="C1168" s="26"/>
      <c r="D1168" s="26"/>
      <c r="E1168" s="24"/>
      <c r="F1168" s="24"/>
      <c r="G1168" s="24"/>
      <c r="H1168" s="24"/>
      <c r="J1168" s="29"/>
      <c r="K1168" s="25"/>
      <c r="L1168" s="24"/>
      <c r="M1168" s="24"/>
    </row>
    <row r="1169" ht="15.75" customHeight="1">
      <c r="A1169" s="24"/>
      <c r="B1169" s="25"/>
      <c r="C1169" s="26"/>
      <c r="D1169" s="26"/>
      <c r="E1169" s="24"/>
      <c r="F1169" s="24"/>
      <c r="G1169" s="24"/>
      <c r="H1169" s="24"/>
      <c r="J1169" s="29"/>
      <c r="K1169" s="25"/>
      <c r="L1169" s="24"/>
      <c r="M1169" s="24"/>
    </row>
    <row r="1170" ht="15.75" customHeight="1">
      <c r="A1170" s="24"/>
      <c r="B1170" s="25"/>
      <c r="C1170" s="26"/>
      <c r="D1170" s="26"/>
      <c r="E1170" s="24"/>
      <c r="F1170" s="24"/>
      <c r="G1170" s="24"/>
      <c r="H1170" s="24"/>
      <c r="J1170" s="29"/>
      <c r="K1170" s="25"/>
      <c r="L1170" s="24"/>
      <c r="M1170" s="24"/>
    </row>
    <row r="1171" ht="15.75" customHeight="1">
      <c r="A1171" s="24"/>
      <c r="B1171" s="25"/>
      <c r="C1171" s="26"/>
      <c r="D1171" s="26"/>
      <c r="E1171" s="24"/>
      <c r="F1171" s="24"/>
      <c r="G1171" s="24"/>
      <c r="H1171" s="24"/>
      <c r="J1171" s="29"/>
      <c r="K1171" s="25"/>
      <c r="L1171" s="24"/>
      <c r="M1171" s="24"/>
    </row>
    <row r="1172" ht="15.75" customHeight="1">
      <c r="A1172" s="24"/>
      <c r="B1172" s="25"/>
      <c r="C1172" s="26"/>
      <c r="D1172" s="26"/>
      <c r="E1172" s="24"/>
      <c r="F1172" s="24"/>
      <c r="G1172" s="24"/>
      <c r="H1172" s="24"/>
      <c r="J1172" s="29"/>
      <c r="K1172" s="25"/>
      <c r="L1172" s="24"/>
      <c r="M1172" s="24"/>
    </row>
    <row r="1173" ht="15.75" customHeight="1">
      <c r="A1173" s="24"/>
      <c r="B1173" s="25"/>
      <c r="C1173" s="26"/>
      <c r="D1173" s="26"/>
      <c r="E1173" s="24"/>
      <c r="F1173" s="24"/>
      <c r="G1173" s="24"/>
      <c r="H1173" s="24"/>
      <c r="J1173" s="29"/>
      <c r="K1173" s="25"/>
      <c r="L1173" s="24"/>
      <c r="M1173" s="24"/>
    </row>
    <row r="1174" ht="15.75" customHeight="1">
      <c r="A1174" s="24"/>
      <c r="B1174" s="25"/>
      <c r="C1174" s="26"/>
      <c r="D1174" s="26"/>
      <c r="E1174" s="24"/>
      <c r="F1174" s="24"/>
      <c r="G1174" s="24"/>
      <c r="H1174" s="24"/>
      <c r="J1174" s="29"/>
      <c r="K1174" s="25"/>
      <c r="L1174" s="24"/>
      <c r="M1174" s="24"/>
    </row>
    <row r="1175" ht="15.75" customHeight="1">
      <c r="A1175" s="24"/>
      <c r="B1175" s="25"/>
      <c r="C1175" s="26"/>
      <c r="D1175" s="26"/>
      <c r="E1175" s="24"/>
      <c r="F1175" s="24"/>
      <c r="G1175" s="24"/>
      <c r="H1175" s="24"/>
      <c r="J1175" s="29"/>
      <c r="K1175" s="25"/>
      <c r="L1175" s="24"/>
      <c r="M1175" s="24"/>
    </row>
    <row r="1176" ht="15.75" customHeight="1">
      <c r="A1176" s="24"/>
      <c r="B1176" s="25"/>
      <c r="C1176" s="26"/>
      <c r="D1176" s="26"/>
      <c r="E1176" s="24"/>
      <c r="F1176" s="24"/>
      <c r="G1176" s="24"/>
      <c r="H1176" s="24"/>
      <c r="J1176" s="29"/>
      <c r="K1176" s="25"/>
      <c r="L1176" s="24"/>
      <c r="M1176" s="24"/>
    </row>
    <row r="1177" ht="15.75" customHeight="1">
      <c r="A1177" s="24"/>
      <c r="B1177" s="25"/>
      <c r="C1177" s="26"/>
      <c r="D1177" s="26"/>
      <c r="E1177" s="24"/>
      <c r="F1177" s="24"/>
      <c r="G1177" s="24"/>
      <c r="H1177" s="24"/>
      <c r="J1177" s="29"/>
      <c r="K1177" s="25"/>
      <c r="L1177" s="24"/>
      <c r="M1177" s="24"/>
    </row>
    <row r="1178" ht="15.75" customHeight="1">
      <c r="A1178" s="24"/>
      <c r="B1178" s="25"/>
      <c r="C1178" s="26"/>
      <c r="D1178" s="26"/>
      <c r="E1178" s="24"/>
      <c r="F1178" s="24"/>
      <c r="G1178" s="24"/>
      <c r="H1178" s="24"/>
      <c r="J1178" s="29"/>
      <c r="K1178" s="25"/>
      <c r="L1178" s="24"/>
      <c r="M1178" s="24"/>
    </row>
    <row r="1179" ht="15.75" customHeight="1">
      <c r="A1179" s="24"/>
      <c r="B1179" s="25"/>
      <c r="C1179" s="26"/>
      <c r="D1179" s="26"/>
      <c r="E1179" s="24"/>
      <c r="F1179" s="24"/>
      <c r="G1179" s="24"/>
      <c r="H1179" s="24"/>
      <c r="J1179" s="29"/>
      <c r="K1179" s="25"/>
      <c r="L1179" s="24"/>
      <c r="M1179" s="24"/>
    </row>
    <row r="1180" ht="15.75" customHeight="1">
      <c r="A1180" s="24"/>
      <c r="B1180" s="25"/>
      <c r="C1180" s="26"/>
      <c r="D1180" s="26"/>
      <c r="E1180" s="24"/>
      <c r="F1180" s="24"/>
      <c r="G1180" s="24"/>
      <c r="H1180" s="24"/>
      <c r="J1180" s="29"/>
      <c r="K1180" s="25"/>
      <c r="L1180" s="24"/>
      <c r="M1180" s="24"/>
    </row>
    <row r="1181" ht="15.75" customHeight="1">
      <c r="A1181" s="24"/>
      <c r="B1181" s="25"/>
      <c r="C1181" s="26"/>
      <c r="D1181" s="26"/>
      <c r="E1181" s="24"/>
      <c r="F1181" s="24"/>
      <c r="G1181" s="24"/>
      <c r="H1181" s="24"/>
      <c r="J1181" s="29"/>
      <c r="K1181" s="25"/>
      <c r="L1181" s="24"/>
      <c r="M1181" s="24"/>
    </row>
    <row r="1182" ht="15.75" customHeight="1">
      <c r="A1182" s="24"/>
      <c r="B1182" s="25"/>
      <c r="C1182" s="26"/>
      <c r="D1182" s="26"/>
      <c r="E1182" s="24"/>
      <c r="F1182" s="24"/>
      <c r="G1182" s="24"/>
      <c r="H1182" s="24"/>
      <c r="J1182" s="29"/>
      <c r="K1182" s="25"/>
      <c r="L1182" s="24"/>
      <c r="M1182" s="24"/>
    </row>
    <row r="1183" ht="15.75" customHeight="1">
      <c r="A1183" s="24"/>
      <c r="B1183" s="25"/>
      <c r="C1183" s="26"/>
      <c r="D1183" s="26"/>
      <c r="E1183" s="24"/>
      <c r="F1183" s="24"/>
      <c r="G1183" s="24"/>
      <c r="H1183" s="24"/>
      <c r="J1183" s="29"/>
      <c r="K1183" s="25"/>
      <c r="L1183" s="24"/>
      <c r="M1183" s="24"/>
    </row>
    <row r="1184" ht="15.75" customHeight="1">
      <c r="A1184" s="24"/>
      <c r="B1184" s="25"/>
      <c r="C1184" s="26"/>
      <c r="D1184" s="26"/>
      <c r="E1184" s="24"/>
      <c r="F1184" s="24"/>
      <c r="G1184" s="24"/>
      <c r="H1184" s="24"/>
      <c r="J1184" s="29"/>
      <c r="K1184" s="25"/>
      <c r="L1184" s="24"/>
      <c r="M1184" s="24"/>
    </row>
    <row r="1185" ht="15.75" customHeight="1">
      <c r="A1185" s="24"/>
      <c r="B1185" s="25"/>
      <c r="C1185" s="26"/>
      <c r="D1185" s="26"/>
      <c r="E1185" s="24"/>
      <c r="F1185" s="24"/>
      <c r="G1185" s="24"/>
      <c r="H1185" s="24"/>
      <c r="J1185" s="29"/>
      <c r="K1185" s="25"/>
      <c r="L1185" s="24"/>
      <c r="M1185" s="24"/>
    </row>
    <row r="1186" ht="15.75" customHeight="1">
      <c r="A1186" s="24"/>
      <c r="B1186" s="25"/>
      <c r="C1186" s="26"/>
      <c r="D1186" s="26"/>
      <c r="E1186" s="24"/>
      <c r="F1186" s="24"/>
      <c r="G1186" s="24"/>
      <c r="H1186" s="24"/>
      <c r="J1186" s="29"/>
      <c r="K1186" s="25"/>
      <c r="L1186" s="24"/>
      <c r="M1186" s="24"/>
    </row>
    <row r="1187" ht="15.75" customHeight="1">
      <c r="A1187" s="24"/>
      <c r="B1187" s="25"/>
      <c r="C1187" s="26"/>
      <c r="D1187" s="26"/>
      <c r="E1187" s="24"/>
      <c r="F1187" s="24"/>
      <c r="G1187" s="24"/>
      <c r="H1187" s="24"/>
      <c r="J1187" s="29"/>
      <c r="K1187" s="25"/>
      <c r="L1187" s="24"/>
      <c r="M1187" s="24"/>
    </row>
    <row r="1188" ht="15.75" customHeight="1">
      <c r="A1188" s="24"/>
      <c r="B1188" s="25"/>
      <c r="C1188" s="26"/>
      <c r="D1188" s="26"/>
      <c r="E1188" s="24"/>
      <c r="F1188" s="24"/>
      <c r="G1188" s="24"/>
      <c r="H1188" s="24"/>
      <c r="J1188" s="29"/>
      <c r="K1188" s="25"/>
      <c r="L1188" s="24"/>
      <c r="M1188" s="24"/>
    </row>
    <row r="1189" ht="15.75" customHeight="1">
      <c r="A1189" s="24"/>
      <c r="B1189" s="25"/>
      <c r="C1189" s="26"/>
      <c r="D1189" s="26"/>
      <c r="E1189" s="24"/>
      <c r="F1189" s="24"/>
      <c r="G1189" s="24"/>
      <c r="H1189" s="24"/>
      <c r="J1189" s="29"/>
      <c r="K1189" s="25"/>
      <c r="L1189" s="24"/>
      <c r="M1189" s="24"/>
    </row>
    <row r="1190" ht="15.75" customHeight="1">
      <c r="A1190" s="24"/>
      <c r="B1190" s="25"/>
      <c r="C1190" s="26"/>
      <c r="D1190" s="26"/>
      <c r="E1190" s="24"/>
      <c r="F1190" s="24"/>
      <c r="G1190" s="24"/>
      <c r="H1190" s="24"/>
      <c r="J1190" s="29"/>
      <c r="K1190" s="25"/>
      <c r="L1190" s="24"/>
      <c r="M1190" s="24"/>
    </row>
    <row r="1191" ht="15.75" customHeight="1">
      <c r="A1191" s="24"/>
      <c r="B1191" s="25"/>
      <c r="C1191" s="26"/>
      <c r="D1191" s="26"/>
      <c r="E1191" s="24"/>
      <c r="F1191" s="24"/>
      <c r="G1191" s="24"/>
      <c r="H1191" s="24"/>
      <c r="J1191" s="29"/>
      <c r="K1191" s="25"/>
      <c r="L1191" s="24"/>
      <c r="M1191" s="24"/>
    </row>
    <row r="1192" ht="15.75" customHeight="1">
      <c r="A1192" s="24"/>
      <c r="B1192" s="25"/>
      <c r="C1192" s="26"/>
      <c r="D1192" s="26"/>
      <c r="E1192" s="24"/>
      <c r="F1192" s="24"/>
      <c r="G1192" s="24"/>
      <c r="H1192" s="24"/>
      <c r="J1192" s="29"/>
      <c r="K1192" s="25"/>
      <c r="L1192" s="24"/>
      <c r="M1192" s="24"/>
    </row>
    <row r="1193" ht="15.75" customHeight="1">
      <c r="A1193" s="24"/>
      <c r="B1193" s="25"/>
      <c r="C1193" s="26"/>
      <c r="D1193" s="26"/>
      <c r="E1193" s="24"/>
      <c r="F1193" s="24"/>
      <c r="G1193" s="24"/>
      <c r="H1193" s="24"/>
      <c r="J1193" s="29"/>
      <c r="K1193" s="25"/>
      <c r="L1193" s="24"/>
      <c r="M1193" s="24"/>
    </row>
    <row r="1194" ht="15.75" customHeight="1">
      <c r="A1194" s="24"/>
      <c r="B1194" s="25"/>
      <c r="C1194" s="26"/>
      <c r="D1194" s="26"/>
      <c r="E1194" s="24"/>
      <c r="F1194" s="24"/>
      <c r="G1194" s="24"/>
      <c r="H1194" s="24"/>
      <c r="J1194" s="29"/>
      <c r="K1194" s="25"/>
      <c r="L1194" s="24"/>
      <c r="M1194" s="24"/>
    </row>
    <row r="1195" ht="15.75" customHeight="1">
      <c r="A1195" s="24"/>
      <c r="B1195" s="25"/>
      <c r="C1195" s="26"/>
      <c r="D1195" s="26"/>
      <c r="E1195" s="24"/>
      <c r="F1195" s="24"/>
      <c r="G1195" s="24"/>
      <c r="H1195" s="24"/>
      <c r="J1195" s="29"/>
      <c r="K1195" s="25"/>
      <c r="L1195" s="24"/>
      <c r="M1195" s="24"/>
    </row>
    <row r="1196" ht="15.75" customHeight="1">
      <c r="A1196" s="24"/>
      <c r="B1196" s="25"/>
      <c r="C1196" s="26"/>
      <c r="D1196" s="26"/>
      <c r="E1196" s="24"/>
      <c r="F1196" s="24"/>
      <c r="G1196" s="24"/>
      <c r="H1196" s="24"/>
      <c r="J1196" s="29"/>
      <c r="K1196" s="25"/>
      <c r="L1196" s="24"/>
      <c r="M1196" s="24"/>
    </row>
    <row r="1197" ht="15.75" customHeight="1">
      <c r="A1197" s="24"/>
      <c r="B1197" s="25"/>
      <c r="C1197" s="26"/>
      <c r="D1197" s="26"/>
      <c r="E1197" s="24"/>
      <c r="F1197" s="24"/>
      <c r="G1197" s="24"/>
      <c r="H1197" s="24"/>
      <c r="J1197" s="29"/>
      <c r="K1197" s="25"/>
      <c r="L1197" s="24"/>
      <c r="M1197" s="24"/>
    </row>
    <row r="1198" ht="15.75" customHeight="1">
      <c r="A1198" s="24"/>
      <c r="B1198" s="25"/>
      <c r="C1198" s="26"/>
      <c r="D1198" s="26"/>
      <c r="E1198" s="24"/>
      <c r="F1198" s="24"/>
      <c r="G1198" s="24"/>
      <c r="H1198" s="24"/>
      <c r="J1198" s="29"/>
      <c r="K1198" s="25"/>
      <c r="L1198" s="24"/>
      <c r="M1198" s="24"/>
    </row>
    <row r="1199" ht="15.75" customHeight="1">
      <c r="A1199" s="24"/>
      <c r="B1199" s="25"/>
      <c r="C1199" s="26"/>
      <c r="D1199" s="26"/>
      <c r="E1199" s="24"/>
      <c r="F1199" s="24"/>
      <c r="G1199" s="24"/>
      <c r="H1199" s="24"/>
      <c r="J1199" s="29"/>
      <c r="K1199" s="25"/>
      <c r="L1199" s="24"/>
      <c r="M1199" s="24"/>
    </row>
    <row r="1200" ht="15.75" customHeight="1">
      <c r="A1200" s="24"/>
      <c r="B1200" s="25"/>
      <c r="C1200" s="26"/>
      <c r="D1200" s="26"/>
      <c r="E1200" s="24"/>
      <c r="F1200" s="24"/>
      <c r="G1200" s="24"/>
      <c r="H1200" s="24"/>
      <c r="J1200" s="29"/>
      <c r="K1200" s="25"/>
      <c r="L1200" s="24"/>
      <c r="M1200" s="24"/>
    </row>
    <row r="1201" ht="15.75" customHeight="1">
      <c r="A1201" s="24"/>
      <c r="B1201" s="25"/>
      <c r="C1201" s="26"/>
      <c r="D1201" s="26"/>
      <c r="E1201" s="24"/>
      <c r="F1201" s="24"/>
      <c r="G1201" s="24"/>
      <c r="H1201" s="24"/>
      <c r="J1201" s="29"/>
      <c r="K1201" s="25"/>
      <c r="L1201" s="24"/>
      <c r="M1201" s="24"/>
    </row>
    <row r="1202" ht="15.75" customHeight="1">
      <c r="A1202" s="24"/>
      <c r="B1202" s="25"/>
      <c r="C1202" s="26"/>
      <c r="D1202" s="26"/>
      <c r="E1202" s="24"/>
      <c r="F1202" s="24"/>
      <c r="G1202" s="24"/>
      <c r="H1202" s="24"/>
      <c r="J1202" s="29"/>
      <c r="K1202" s="25"/>
      <c r="L1202" s="24"/>
      <c r="M1202" s="24"/>
    </row>
    <row r="1203" ht="15.75" customHeight="1">
      <c r="A1203" s="24"/>
      <c r="B1203" s="25"/>
      <c r="C1203" s="26"/>
      <c r="D1203" s="26"/>
      <c r="E1203" s="24"/>
      <c r="F1203" s="24"/>
      <c r="G1203" s="24"/>
      <c r="H1203" s="24"/>
      <c r="J1203" s="29"/>
      <c r="K1203" s="25"/>
      <c r="L1203" s="24"/>
      <c r="M1203" s="24"/>
    </row>
    <row r="1204" ht="15.75" customHeight="1">
      <c r="A1204" s="24"/>
      <c r="B1204" s="25"/>
      <c r="C1204" s="26"/>
      <c r="D1204" s="26"/>
      <c r="E1204" s="24"/>
      <c r="F1204" s="24"/>
      <c r="G1204" s="24"/>
      <c r="H1204" s="24"/>
      <c r="J1204" s="29"/>
      <c r="K1204" s="25"/>
      <c r="L1204" s="24"/>
      <c r="M1204" s="24"/>
    </row>
    <row r="1205" ht="15.75" customHeight="1">
      <c r="A1205" s="24"/>
      <c r="B1205" s="25"/>
      <c r="C1205" s="26"/>
      <c r="D1205" s="26"/>
      <c r="E1205" s="24"/>
      <c r="F1205" s="24"/>
      <c r="G1205" s="24"/>
      <c r="H1205" s="24"/>
      <c r="J1205" s="29"/>
      <c r="K1205" s="25"/>
      <c r="L1205" s="24"/>
      <c r="M1205" s="24"/>
    </row>
    <row r="1206" ht="15.75" customHeight="1">
      <c r="A1206" s="24"/>
      <c r="B1206" s="25"/>
      <c r="C1206" s="26"/>
      <c r="D1206" s="26"/>
      <c r="E1206" s="24"/>
      <c r="F1206" s="24"/>
      <c r="G1206" s="24"/>
      <c r="H1206" s="24"/>
      <c r="J1206" s="29"/>
      <c r="K1206" s="25"/>
      <c r="L1206" s="24"/>
      <c r="M1206" s="24"/>
    </row>
    <row r="1207" ht="15.75" customHeight="1">
      <c r="A1207" s="24"/>
      <c r="B1207" s="25"/>
      <c r="C1207" s="26"/>
      <c r="D1207" s="26"/>
      <c r="E1207" s="24"/>
      <c r="F1207" s="24"/>
      <c r="G1207" s="24"/>
      <c r="H1207" s="24"/>
      <c r="J1207" s="29"/>
      <c r="K1207" s="25"/>
      <c r="L1207" s="24"/>
      <c r="M1207" s="24"/>
    </row>
    <row r="1208" ht="15.75" customHeight="1">
      <c r="A1208" s="24"/>
      <c r="B1208" s="25"/>
      <c r="C1208" s="26"/>
      <c r="D1208" s="26"/>
      <c r="E1208" s="24"/>
      <c r="F1208" s="24"/>
      <c r="G1208" s="24"/>
      <c r="H1208" s="24"/>
      <c r="J1208" s="29"/>
      <c r="K1208" s="25"/>
      <c r="L1208" s="24"/>
      <c r="M1208" s="24"/>
    </row>
    <row r="1209" ht="15.75" customHeight="1">
      <c r="A1209" s="24"/>
      <c r="B1209" s="25"/>
      <c r="C1209" s="26"/>
      <c r="D1209" s="26"/>
      <c r="E1209" s="24"/>
      <c r="F1209" s="24"/>
      <c r="G1209" s="24"/>
      <c r="H1209" s="24"/>
      <c r="J1209" s="29"/>
      <c r="K1209" s="25"/>
      <c r="L1209" s="24"/>
      <c r="M1209" s="24"/>
    </row>
    <row r="1210" ht="15.75" customHeight="1">
      <c r="A1210" s="24"/>
      <c r="B1210" s="25"/>
      <c r="C1210" s="26"/>
      <c r="D1210" s="26"/>
      <c r="E1210" s="24"/>
      <c r="F1210" s="24"/>
      <c r="G1210" s="24"/>
      <c r="H1210" s="24"/>
      <c r="J1210" s="29"/>
      <c r="K1210" s="25"/>
      <c r="L1210" s="24"/>
      <c r="M1210" s="24"/>
    </row>
    <row r="1211" ht="15.75" customHeight="1">
      <c r="A1211" s="24"/>
      <c r="B1211" s="25"/>
      <c r="C1211" s="26"/>
      <c r="D1211" s="26"/>
      <c r="E1211" s="24"/>
      <c r="F1211" s="24"/>
      <c r="G1211" s="24"/>
      <c r="H1211" s="24"/>
      <c r="J1211" s="29"/>
      <c r="K1211" s="25"/>
      <c r="L1211" s="24"/>
      <c r="M1211" s="24"/>
    </row>
    <row r="1212" ht="15.75" customHeight="1">
      <c r="A1212" s="24"/>
      <c r="B1212" s="25"/>
      <c r="C1212" s="26"/>
      <c r="D1212" s="26"/>
      <c r="E1212" s="24"/>
      <c r="F1212" s="24"/>
      <c r="G1212" s="24"/>
      <c r="H1212" s="24"/>
      <c r="J1212" s="29"/>
      <c r="K1212" s="25"/>
      <c r="L1212" s="24"/>
      <c r="M1212" s="24"/>
    </row>
    <row r="1213" ht="15.75" customHeight="1">
      <c r="A1213" s="24"/>
      <c r="B1213" s="25"/>
      <c r="C1213" s="26"/>
      <c r="D1213" s="26"/>
      <c r="E1213" s="24"/>
      <c r="F1213" s="24"/>
      <c r="G1213" s="24"/>
      <c r="H1213" s="24"/>
      <c r="J1213" s="29"/>
      <c r="K1213" s="25"/>
      <c r="L1213" s="24"/>
      <c r="M1213" s="24"/>
    </row>
    <row r="1214" ht="15.75" customHeight="1">
      <c r="A1214" s="24"/>
      <c r="B1214" s="25"/>
      <c r="C1214" s="26"/>
      <c r="D1214" s="26"/>
      <c r="E1214" s="24"/>
      <c r="F1214" s="24"/>
      <c r="G1214" s="24"/>
      <c r="H1214" s="24"/>
      <c r="J1214" s="29"/>
      <c r="K1214" s="25"/>
      <c r="L1214" s="24"/>
      <c r="M1214" s="24"/>
    </row>
    <row r="1215" ht="15.75" customHeight="1">
      <c r="A1215" s="24"/>
      <c r="B1215" s="25"/>
      <c r="C1215" s="26"/>
      <c r="D1215" s="26"/>
      <c r="E1215" s="24"/>
      <c r="F1215" s="24"/>
      <c r="G1215" s="24"/>
      <c r="H1215" s="24"/>
      <c r="J1215" s="29"/>
      <c r="K1215" s="25"/>
      <c r="L1215" s="24"/>
      <c r="M1215" s="24"/>
    </row>
    <row r="1216" ht="15.75" customHeight="1">
      <c r="A1216" s="24"/>
      <c r="B1216" s="25"/>
      <c r="C1216" s="26"/>
      <c r="D1216" s="26"/>
      <c r="E1216" s="24"/>
      <c r="F1216" s="24"/>
      <c r="G1216" s="24"/>
      <c r="H1216" s="24"/>
      <c r="J1216" s="29"/>
      <c r="K1216" s="25"/>
      <c r="L1216" s="24"/>
      <c r="M1216" s="24"/>
    </row>
    <row r="1217" ht="15.75" customHeight="1">
      <c r="A1217" s="24"/>
      <c r="B1217" s="25"/>
      <c r="C1217" s="26"/>
      <c r="D1217" s="26"/>
      <c r="E1217" s="24"/>
      <c r="F1217" s="24"/>
      <c r="G1217" s="24"/>
      <c r="H1217" s="24"/>
      <c r="J1217" s="29"/>
      <c r="K1217" s="25"/>
      <c r="L1217" s="24"/>
      <c r="M1217" s="24"/>
    </row>
    <row r="1218" ht="15.75" customHeight="1">
      <c r="A1218" s="24"/>
      <c r="B1218" s="25"/>
      <c r="C1218" s="26"/>
      <c r="D1218" s="26"/>
      <c r="E1218" s="24"/>
      <c r="F1218" s="24"/>
      <c r="G1218" s="24"/>
      <c r="H1218" s="24"/>
      <c r="J1218" s="29"/>
      <c r="K1218" s="25"/>
      <c r="L1218" s="24"/>
      <c r="M1218" s="24"/>
    </row>
    <row r="1219" ht="15.75" customHeight="1">
      <c r="A1219" s="24"/>
      <c r="B1219" s="25"/>
      <c r="C1219" s="26"/>
      <c r="D1219" s="26"/>
      <c r="E1219" s="24"/>
      <c r="F1219" s="24"/>
      <c r="G1219" s="24"/>
      <c r="H1219" s="24"/>
      <c r="J1219" s="29"/>
      <c r="K1219" s="25"/>
      <c r="L1219" s="24"/>
      <c r="M1219" s="24"/>
    </row>
  </sheetData>
  <dataValidations>
    <dataValidation type="list" allowBlank="1" showErrorMessage="1" sqref="E638 M638">
      <formula1>Users!$A$2:$A2729</formula1>
    </dataValidation>
    <dataValidation type="list" allowBlank="1" showErrorMessage="1" sqref="E473 M473">
      <formula1>Users!$A$2:$A2509</formula1>
    </dataValidation>
    <dataValidation type="list" allowBlank="1" showErrorMessage="1" sqref="E655 M655">
      <formula1>Users!$A$2:$A2752</formula1>
    </dataValidation>
    <dataValidation type="list" allowBlank="1" showErrorMessage="1" sqref="E714:E715 M714:M715">
      <formula1>Users!$A$2:$A2839</formula1>
    </dataValidation>
    <dataValidation type="list" allowBlank="1" showErrorMessage="1" sqref="E625:E626 M625:M626">
      <formula1>Users!$A$2:$A2707</formula1>
    </dataValidation>
    <dataValidation type="list" allowBlank="1" showErrorMessage="1" sqref="E809:E811 M809:M811">
      <formula1>Users!$A$2:$A2989</formula1>
    </dataValidation>
    <dataValidation type="list" allowBlank="1" showErrorMessage="1" sqref="E734:E739 M734:M739">
      <formula1>Users!$A$2:$A2868</formula1>
    </dataValidation>
    <dataValidation type="list" allowBlank="1" showErrorMessage="1" sqref="E519:E520 M519:M520">
      <formula1>Users!$A$2:$A2564</formula1>
    </dataValidation>
    <dataValidation type="list" allowBlank="1" showErrorMessage="1" sqref="E585:E598 M585:M598">
      <formula1>Users!$A$2:$A2658</formula1>
    </dataValidation>
    <dataValidation type="list" allowBlank="1" showErrorMessage="1" sqref="E764 M764">
      <formula1>Users!$A$2:$A2907</formula1>
    </dataValidation>
    <dataValidation type="list" allowBlank="1" showErrorMessage="1" sqref="E541:E542 M541:M542">
      <formula1>Users!$A$2:$A2595</formula1>
    </dataValidation>
    <dataValidation type="list" allowBlank="1" showErrorMessage="1" sqref="E774 M774">
      <formula1>Users!$A$2:$A2926</formula1>
    </dataValidation>
    <dataValidation type="list" allowBlank="1" showErrorMessage="1" sqref="E573:E574 M573:M574">
      <formula1>Users!$A$2:$A2642</formula1>
    </dataValidation>
    <dataValidation type="list" allowBlank="1" showErrorMessage="1" sqref="E771 M771">
      <formula1>Users!$A$2:$A2920</formula1>
    </dataValidation>
    <dataValidation type="list" allowBlank="1" showErrorMessage="1" sqref="E781:E783 M781:M783">
      <formula1>Users!$A$2:$A2939</formula1>
    </dataValidation>
    <dataValidation type="list" allowBlank="1" showErrorMessage="1" sqref="E799:E801 M799:M801">
      <formula1>Users!$A$2:$A2975</formula1>
    </dataValidation>
    <dataValidation type="list" allowBlank="1" showErrorMessage="1" sqref="E521 M521">
      <formula1>Users!$A$2:$A2567</formula1>
    </dataValidation>
    <dataValidation type="list" allowBlank="1" showErrorMessage="1" sqref="E584 M584">
      <formula1>Users!$A$2:$A2656</formula1>
    </dataValidation>
    <dataValidation type="list" allowBlank="1" showErrorMessage="1" sqref="E635 M635">
      <formula1>Users!$A$2:$A2722</formula1>
    </dataValidation>
    <dataValidation type="list" allowBlank="1" showErrorMessage="1" sqref="E775 M775">
      <formula1>Users!$A$2:$A2928</formula1>
    </dataValidation>
    <dataValidation type="list" allowBlank="1" showErrorMessage="1" sqref="L2:L862 L1016:L1219">
      <formula1>"FOR_DELIVERY,DELIVERED,NEW_DR"</formula1>
    </dataValidation>
    <dataValidation type="list" allowBlank="1" showErrorMessage="1" sqref="E788 M788">
      <formula1>Users!$A$2:$A2949</formula1>
    </dataValidation>
    <dataValidation type="list" allowBlank="1" showErrorMessage="1" sqref="E562:E565 M562:M565">
      <formula1>Users!$A$2:$A2626</formula1>
    </dataValidation>
    <dataValidation type="list" allowBlank="1" showErrorMessage="1" sqref="E666 M666">
      <formula1>Users!$A$2:$A2772</formula1>
    </dataValidation>
    <dataValidation type="list" allowBlank="1" showErrorMessage="1" sqref="E667 M667">
      <formula1>Users!$A$2:$A2774</formula1>
    </dataValidation>
    <dataValidation type="list" allowBlank="1" showErrorMessage="1" sqref="E627:E628 M627:M628">
      <formula1>Users!$A$2:$A2710</formula1>
    </dataValidation>
    <dataValidation type="list" allowBlank="1" showErrorMessage="1" sqref="E422:E472 M422:M472">
      <formula1>Users!$A$2:$A2457</formula1>
    </dataValidation>
    <dataValidation type="list" allowBlank="1" showErrorMessage="1" sqref="E757:E763 M757:M763">
      <formula1>Users!$A$2:$A2899</formula1>
    </dataValidation>
    <dataValidation type="list" allowBlank="1" showErrorMessage="1" sqref="E661 M661">
      <formula1>Users!$A$2:$A2762</formula1>
    </dataValidation>
    <dataValidation type="list" allowBlank="1" showErrorMessage="1" sqref="E784 M784">
      <formula1>Users!$A$2:$A2943</formula1>
    </dataValidation>
    <dataValidation type="list" allowBlank="1" showErrorMessage="1" sqref="E789:E791 M789:M791">
      <formula1>Users!$A$2:$A2961</formula1>
    </dataValidation>
    <dataValidation type="list" allowBlank="1" showErrorMessage="1" sqref="E769:E770 M769:M770">
      <formula1>Users!$A$2:$A2917</formula1>
    </dataValidation>
    <dataValidation type="list" allowBlank="1" showErrorMessage="1" sqref="E539:E540 M539:M540">
      <formula1>Users!$A$2:$A2592</formula1>
    </dataValidation>
    <dataValidation type="list" allowBlank="1" showErrorMessage="1" sqref="E802:E805 M802:M805">
      <formula1>Users!$A$2:$A2979</formula1>
    </dataValidation>
    <dataValidation type="list" allowBlank="1" showErrorMessage="1" sqref="E847 M847">
      <formula1>Users!$A$2:$A3042</formula1>
    </dataValidation>
    <dataValidation type="list" allowBlank="1" showErrorMessage="1" sqref="E560 M560">
      <formula1>Users!$A$2:$A2622</formula1>
    </dataValidation>
    <dataValidation type="list" allowBlank="1" showErrorMessage="1" sqref="E566:E567 M566:M567">
      <formula1>Users!$A$2:$A2631</formula1>
    </dataValidation>
    <dataValidation type="list" allowBlank="1" showErrorMessage="1" sqref="E773 M773">
      <formula1>Users!$A$2:$A2924</formula1>
    </dataValidation>
    <dataValidation type="list" allowBlank="1" showErrorMessage="1" sqref="E556 M556">
      <formula1>Users!$A$2:$A2615</formula1>
    </dataValidation>
    <dataValidation type="list" allowBlank="1" showErrorMessage="1" sqref="E797:E798 M797:M798">
      <formula1>Users!$A$2:$A2972</formula1>
    </dataValidation>
    <dataValidation type="list" allowBlank="1" showErrorMessage="1" sqref="E662 M662">
      <formula1>Users!$A$2:$A2764</formula1>
    </dataValidation>
    <dataValidation type="list" allowBlank="1" showErrorMessage="1" sqref="E634 M634">
      <formula1>Users!$A$2:$A2720</formula1>
    </dataValidation>
    <dataValidation type="list" allowBlank="1" showErrorMessage="1" sqref="E838:E846 M838:M846">
      <formula1>Users!$A$2:$A3032</formula1>
    </dataValidation>
    <dataValidation type="list" allowBlank="1" showErrorMessage="1" sqref="E710:E713 M710:M713">
      <formula1>Users!$A$2:$A2833</formula1>
    </dataValidation>
    <dataValidation type="list" allowBlank="1" showErrorMessage="1" sqref="E806:E807 M806:M807">
      <formula1>Users!$A$2:$A2984</formula1>
    </dataValidation>
    <dataValidation type="list" allowBlank="1" showErrorMessage="1" sqref="E636 M636">
      <formula1>Users!$A$2:$A2725</formula1>
    </dataValidation>
    <dataValidation type="list" allowBlank="1" showErrorMessage="1" sqref="E474:E482 M474:M482">
      <formula1>Users!$A$2:$A2511</formula1>
    </dataValidation>
    <dataValidation type="list" allowBlank="1" showErrorMessage="1" sqref="E2:E421 M2:M421">
      <formula1>Users!$A$2:$A2036</formula1>
    </dataValidation>
    <dataValidation type="list" allowBlank="1" showErrorMessage="1" sqref="E629:E630 M629:M630">
      <formula1>Users!$A$2:$A2713</formula1>
    </dataValidation>
    <dataValidation type="list" allowBlank="1" showErrorMessage="1" sqref="E637 M637">
      <formula1>Users!$A$2:$A2727</formula1>
    </dataValidation>
    <dataValidation type="list" allowBlank="1" showErrorMessage="1" sqref="E716:E719 M716:M719">
      <formula1>Users!$A$2:$A2842</formula1>
    </dataValidation>
    <dataValidation type="list" allowBlank="1" showErrorMessage="1" sqref="E516:E517 M516:M517">
      <formula1>Users!$A$2:$A2559</formula1>
    </dataValidation>
    <dataValidation type="list" allowBlank="1" showErrorMessage="1" sqref="E853:E854 M853:M854">
      <formula1>Users!$A$2:$A3052</formula1>
    </dataValidation>
    <dataValidation type="list" allowBlank="1" showErrorMessage="1" sqref="E687 M687">
      <formula1>Users!$A$2:$A2804</formula1>
    </dataValidation>
    <dataValidation type="list" allowBlank="1" showErrorMessage="1" sqref="E609:E611 M609:M611">
      <formula1>Users!$A$2:$A2687</formula1>
    </dataValidation>
    <dataValidation type="list" allowBlank="1" showErrorMessage="1" sqref="E621:E624 M621:M624">
      <formula1>Users!$A$2:$A2702</formula1>
    </dataValidation>
    <dataValidation type="list" allowBlank="1" showErrorMessage="1" sqref="E509 M509">
      <formula1>Users!$A$2:$A2549</formula1>
    </dataValidation>
    <dataValidation type="list" allowBlank="1" showErrorMessage="1" sqref="E704:E708 M704:M708">
      <formula1>Users!$A$2:$A2825</formula1>
    </dataValidation>
    <dataValidation type="list" allowBlank="1" showErrorMessage="1" sqref="E778:E779 M778:M779">
      <formula1>Users!$A$2:$A2934</formula1>
    </dataValidation>
    <dataValidation type="list" allowBlank="1" showErrorMessage="1" sqref="E639:E641 M639:M641">
      <formula1>Users!$A$2:$A2731</formula1>
    </dataValidation>
    <dataValidation type="list" allowBlank="1" showErrorMessage="1" sqref="E669:E671 M669:M671">
      <formula1>Users!$A$2:$A2778</formula1>
    </dataValidation>
    <dataValidation type="list" allowBlank="1" showErrorMessage="1" sqref="E684:E685 M684:M685">
      <formula1>Users!$A$2:$A2799</formula1>
    </dataValidation>
    <dataValidation type="list" allowBlank="1" showErrorMessage="1" sqref="E664:E665 M664:M665">
      <formula1>Users!$A$2:$A2768</formula1>
    </dataValidation>
    <dataValidation type="list" allowBlank="1" showErrorMessage="1" sqref="E746:E747 M746:M747">
      <formula1>Users!$A$2:$A2885</formula1>
    </dataValidation>
    <dataValidation type="list" allowBlank="1" showErrorMessage="1" sqref="E812 M812">
      <formula1>Users!$A$2:$A2993</formula1>
    </dataValidation>
    <dataValidation type="list" allowBlank="1" showErrorMessage="1" sqref="E849 M849">
      <formula1>Users!$A$2:$A3046</formula1>
    </dataValidation>
    <dataValidation type="list" allowBlank="1" showErrorMessage="1" sqref="E531:E535 M531:M535">
      <formula1>Users!$A$2:$A2582</formula1>
    </dataValidation>
    <dataValidation type="list" allowBlank="1" showErrorMessage="1" sqref="E569 M569">
      <formula1>Users!$A$2:$A2636</formula1>
    </dataValidation>
    <dataValidation type="list" allowBlank="1" showErrorMessage="1" sqref="E748:E752 M748:M752">
      <formula1>Users!$A$2:$A2888</formula1>
    </dataValidation>
    <dataValidation type="list" allowBlank="1" showErrorMessage="1" sqref="E672:E673 M672:M673">
      <formula1>Users!$A$2:$A2782</formula1>
    </dataValidation>
    <dataValidation type="list" allowBlank="1" showErrorMessage="1" sqref="E546 M546">
      <formula1>Users!$A$2:$A2602</formula1>
    </dataValidation>
    <dataValidation type="list" allowBlank="1" showErrorMessage="1" sqref="E766 M766">
      <formula1>Users!$A$2:$A2911</formula1>
    </dataValidation>
    <dataValidation type="list" allowBlank="1" showErrorMessage="1" sqref="E826:E831 M826:M831">
      <formula1>Users!$A$2:$A3012</formula1>
    </dataValidation>
    <dataValidation type="list" allowBlank="1" showErrorMessage="1" sqref="E725:E730 M725:M730">
      <formula1>Users!$A$2:$A2853</formula1>
    </dataValidation>
    <dataValidation type="list" allowBlank="1" showErrorMessage="1" sqref="E506:E508 M506:M508">
      <formula1>Users!$A$2:$A2545</formula1>
    </dataValidation>
    <dataValidation type="list" allowBlank="1" showErrorMessage="1" sqref="E644:E652 M644:M652">
      <formula1>Users!$A$2:$A2738</formula1>
    </dataValidation>
    <dataValidation type="list" allowBlank="1" showErrorMessage="1" sqref="E709 M709">
      <formula1>Users!$A$2:$A2831</formula1>
    </dataValidation>
    <dataValidation type="list" allowBlank="1" showErrorMessage="1" sqref="E836 M836">
      <formula1>Users!$A$2:$A3028</formula1>
    </dataValidation>
    <dataValidation type="list" allowBlank="1" showErrorMessage="1" sqref="E850:E852 M850:M852">
      <formula1>Users!$A$2:$A3048</formula1>
    </dataValidation>
    <dataValidation type="list" allowBlank="1" showErrorMessage="1" sqref="E631:E633 M631:M633">
      <formula1>Users!$A$2:$A2716</formula1>
    </dataValidation>
    <dataValidation type="list" allowBlank="1" showErrorMessage="1" sqref="E834 M834">
      <formula1>Users!$A$2:$A3023</formula1>
    </dataValidation>
    <dataValidation type="list" allowBlank="1" showErrorMessage="1" sqref="E512:E515 M512:M515">
      <formula1>Users!$A$2:$A2554</formula1>
    </dataValidation>
    <dataValidation type="list" allowBlank="1" showErrorMessage="1" sqref="E694:E700 M694:M700">
      <formula1>Users!$A$2:$A2813</formula1>
    </dataValidation>
    <dataValidation type="list" allowBlank="1" showErrorMessage="1" sqref="E744 M744">
      <formula1>Users!$A$2:$A2881</formula1>
    </dataValidation>
    <dataValidation type="list" allowBlank="1" showErrorMessage="1" sqref="E547:E553 M547:M553">
      <formula1>Users!$A$2:$A2604</formula1>
    </dataValidation>
    <dataValidation type="list" allowBlank="1" showErrorMessage="1" sqref="E767 M767">
      <formula1>Users!$A$2:$A2913</formula1>
    </dataValidation>
    <dataValidation type="list" allowBlank="1" showErrorMessage="1" sqref="E558:E559 M558:M559">
      <formula1>Users!$A$2:$A2619</formula1>
    </dataValidation>
    <dataValidation type="list" allowBlank="1" showErrorMessage="1" sqref="E777 M777">
      <formula1>Users!$A$2:$A2932</formula1>
    </dataValidation>
    <dataValidation type="list" allowBlank="1" showErrorMessage="1" sqref="E523:E526 M523:M526">
      <formula1>Users!$A$2:$A2571</formula1>
    </dataValidation>
    <dataValidation type="list" allowBlank="1" showErrorMessage="1" sqref="E575 M575">
      <formula1>Users!$A$2:$A2645</formula1>
    </dataValidation>
    <dataValidation type="list" allowBlank="1" showErrorMessage="1" sqref="E536:E538 M536:M538 E1016:E1219">
      <formula1>Users!$A$2:$A2588</formula1>
    </dataValidation>
    <dataValidation type="list" allowBlank="1" showErrorMessage="1" sqref="E568 M568">
      <formula1>Users!$A$2:$A2634</formula1>
    </dataValidation>
    <dataValidation type="list" allowBlank="1" showErrorMessage="1" sqref="E772 M772">
      <formula1>Users!$A$2:$A2922</formula1>
    </dataValidation>
    <dataValidation type="list" allowBlank="1" sqref="H2:H862 H1016:H1219">
      <formula1>"FOR_COLLECTION,COUNTERED,FOR_DEPOSIT,DEPOSITED,N/A"</formula1>
    </dataValidation>
    <dataValidation type="list" allowBlank="1" showErrorMessage="1" sqref="E602:E604 M602:M604">
      <formula1>Users!$A$2:$A2677</formula1>
    </dataValidation>
    <dataValidation type="list" allowBlank="1" showErrorMessage="1" sqref="E753:E756 M753:M756">
      <formula1>Users!$A$2:$A2894</formula1>
    </dataValidation>
    <dataValidation type="list" allowBlank="1" showErrorMessage="1" sqref="E792:E795 M792:M795">
      <formula1>Users!$A$2:$A2965</formula1>
    </dataValidation>
    <dataValidation type="list" allowBlank="1" showErrorMessage="1" sqref="E677:E678 M677:M678">
      <formula1>Users!$A$2:$A2789</formula1>
    </dataValidation>
    <dataValidation type="list" allowBlank="1" showErrorMessage="1" sqref="E855 M855">
      <formula1>Users!$A$2:$A3056</formula1>
    </dataValidation>
    <dataValidation type="list" allowBlank="1" showErrorMessage="1" sqref="E688:E693 M688:M693">
      <formula1>Users!$A$2:$A2806</formula1>
    </dataValidation>
    <dataValidation type="list" allowBlank="1" showErrorMessage="1" sqref="E833 M833">
      <formula1>Users!$A$2:$A3021</formula1>
    </dataValidation>
    <dataValidation type="list" allowBlank="1" showErrorMessage="1" sqref="E653 M653">
      <formula1>Users!$A$2:$A2748</formula1>
    </dataValidation>
    <dataValidation type="list" allowBlank="1" showErrorMessage="1" sqref="E660 M660">
      <formula1>Users!$A$2:$A2759</formula1>
    </dataValidation>
    <dataValidation type="list" allowBlank="1" showErrorMessage="1" sqref="E554:E555 M554:M555">
      <formula1>Users!$A$2:$A2612</formula1>
    </dataValidation>
    <dataValidation type="list" allowBlank="1" showErrorMessage="1" sqref="E557 M557">
      <formula1>Users!$A$2:$A2617</formula1>
    </dataValidation>
    <dataValidation type="list" allowBlank="1" showErrorMessage="1" sqref="E768 M768">
      <formula1>Users!$A$2:$A2915</formula1>
    </dataValidation>
    <dataValidation type="list" allowBlank="1" showErrorMessage="1" sqref="E742:E743 M742:M743">
      <formula1>Users!$A$2:$A2878</formula1>
    </dataValidation>
    <dataValidation type="list" allowBlank="1" showErrorMessage="1" sqref="E605:E607 M605:M607">
      <formula1>Users!$A$2:$A2681</formula1>
    </dataValidation>
    <dataValidation type="list" allowBlank="1" showErrorMessage="1" sqref="E576:E583 M576:M583">
      <formula1>Users!$A$2:$A2647</formula1>
    </dataValidation>
    <dataValidation type="list" allowBlank="1" showErrorMessage="1" sqref="E522 M522">
      <formula1>Users!$A$2:$A2569</formula1>
    </dataValidation>
    <dataValidation type="list" allowBlank="1" showErrorMessage="1" sqref="E776 M776">
      <formula1>Users!$A$2:$A2930</formula1>
    </dataValidation>
    <dataValidation type="list" allowBlank="1" showErrorMessage="1" sqref="E785:E787 M785:M787">
      <formula1>Users!$A$2:$A2945</formula1>
    </dataValidation>
    <dataValidation type="list" allowBlank="1" showErrorMessage="1" sqref="E679:E680 M679:M680">
      <formula1>Users!$A$2:$A2792</formula1>
    </dataValidation>
    <dataValidation type="list" allowBlank="1" showErrorMessage="1" sqref="E856:E859 M856:M859">
      <formula1>Users!$A$2:$A3058</formula1>
    </dataValidation>
    <dataValidation type="list" allowBlank="1" showErrorMessage="1" sqref="E570:E572 M570:M572">
      <formula1>Users!$A$2:$A2638</formula1>
    </dataValidation>
    <dataValidation type="list" allowBlank="1" showErrorMessage="1" sqref="E780 M780">
      <formula1>Users!$A$2:$A2937</formula1>
    </dataValidation>
    <dataValidation type="list" allowBlank="1" showErrorMessage="1" sqref="E608 M608">
      <formula1>Users!$A$2:$A2685</formula1>
    </dataValidation>
    <dataValidation type="list" allowBlank="1" showErrorMessage="1" sqref="E860:E862 M860:M862">
      <formula1>Users!$A$2:$A3063</formula1>
    </dataValidation>
    <dataValidation type="list" allowBlank="1" showErrorMessage="1" sqref="E528:E530 M528:M530">
      <formula1>Users!$A$2:$A2578</formula1>
    </dataValidation>
    <dataValidation type="list" allowBlank="1" showErrorMessage="1" sqref="E510:E511 M510:M511">
      <formula1>Users!$A$2:$A2551</formula1>
    </dataValidation>
    <dataValidation type="list" allowBlank="1" showErrorMessage="1" sqref="E674:E676 M674:M676">
      <formula1>Users!$A$2:$A2785</formula1>
    </dataValidation>
    <dataValidation type="list" allowBlank="1" showErrorMessage="1" sqref="E701:E703 M701:M703">
      <formula1>Users!$A$2:$A2821</formula1>
    </dataValidation>
    <dataValidation type="list" allowBlank="1" showErrorMessage="1" sqref="E835 M835">
      <formula1>Users!$A$2:$A3026</formula1>
    </dataValidation>
    <dataValidation type="list" allowBlank="1" sqref="G2:G862 G1016:G1219">
      <formula1>"CASH,DAYS_15,DAYS_30,DAYS_60,DAYS_90,DAYS_120"</formula1>
    </dataValidation>
    <dataValidation type="list" allowBlank="1" showErrorMessage="1" sqref="E654 M654">
      <formula1>Users!$A$2:$A2750</formula1>
    </dataValidation>
    <dataValidation type="list" allowBlank="1" showErrorMessage="1" sqref="E681:E683 M681:M683">
      <formula1>Users!$A$2:$A2795</formula1>
    </dataValidation>
    <dataValidation type="list" allowBlank="1" showErrorMessage="1" sqref="E731:E733 M731:M733">
      <formula1>Users!$A$2:$A2860</formula1>
    </dataValidation>
    <dataValidation type="list" allowBlank="1" showErrorMessage="1" sqref="E832 M832">
      <formula1>Users!$A$2:$A3019</formula1>
    </dataValidation>
    <dataValidation type="list" allowBlank="1" showErrorMessage="1" sqref="E656:E659 M656:M659">
      <formula1>Users!$A$2:$A2754</formula1>
    </dataValidation>
    <dataValidation type="list" allowBlank="1" showErrorMessage="1" sqref="E813:E824 M813:M824">
      <formula1>Users!$A$2:$A2995</formula1>
    </dataValidation>
    <dataValidation type="list" allowBlank="1" showErrorMessage="1" sqref="E668 M668">
      <formula1>Users!$A$2:$A2776</formula1>
    </dataValidation>
    <dataValidation type="list" allowBlank="1" showErrorMessage="1" sqref="E740:E741 M740:M741">
      <formula1>Users!$A$2:$A2875</formula1>
    </dataValidation>
    <dataValidation type="list" allowBlank="1" showErrorMessage="1" sqref="E848 M848">
      <formula1>Users!$A$2:$A3044</formula1>
    </dataValidation>
    <dataValidation type="list" allowBlank="1" showErrorMessage="1" sqref="E642:E643 M642:M643">
      <formula1>Users!$A$2:$A2735</formula1>
    </dataValidation>
    <dataValidation type="list" allowBlank="1" showErrorMessage="1" sqref="E527 M527">
      <formula1>Users!$A$2:$A2576</formula1>
    </dataValidation>
    <dataValidation type="list" allowBlank="1" showErrorMessage="1" sqref="E808 M808">
      <formula1>Users!$A$2:$A2987</formula1>
    </dataValidation>
    <dataValidation type="list" allowBlank="1" showErrorMessage="1" sqref="B2:B862">
      <formula1>clients!A$2:A1219</formula1>
    </dataValidation>
    <dataValidation type="list" allowBlank="1" showErrorMessage="1" sqref="E543:E545 M543:M545">
      <formula1>Users!$A$2:$A2598</formula1>
    </dataValidation>
    <dataValidation type="list" allowBlank="1" showErrorMessage="1" sqref="E663 M663">
      <formula1>Users!$A$2:$A2766</formula1>
    </dataValidation>
    <dataValidation type="list" allowBlank="1" showErrorMessage="1" sqref="E765 M765">
      <formula1>Users!$A$2:$A2909</formula1>
    </dataValidation>
    <dataValidation type="list" allowBlank="1" showErrorMessage="1" sqref="E825 M825">
      <formula1>Users!$A$2:$A3010</formula1>
    </dataValidation>
    <dataValidation type="list" allowBlank="1" showErrorMessage="1" sqref="E561 M561">
      <formula1>Users!$A$2:$A2624</formula1>
    </dataValidation>
    <dataValidation type="list" allowBlank="1" showErrorMessage="1" sqref="E745 M745">
      <formula1>Users!$A$2:$A2883</formula1>
    </dataValidation>
    <dataValidation type="list" allowBlank="1" showErrorMessage="1" sqref="E837 M837">
      <formula1>Users!$A$2:$A3030</formula1>
    </dataValidation>
    <dataValidation type="list" allowBlank="1" showErrorMessage="1" sqref="E483:E505 M483:M505">
      <formula1>Users!$A$2:$A2521</formula1>
    </dataValidation>
    <dataValidation type="list" allowBlank="1" showErrorMessage="1" sqref="E617:E620 M617:M620">
      <formula1>Users!$A$2:$A2697</formula1>
    </dataValidation>
    <dataValidation type="list" allowBlank="1" showErrorMessage="1" sqref="E518 M518">
      <formula1>Users!$A$2:$A2562</formula1>
    </dataValidation>
    <dataValidation type="list" allowBlank="1" showErrorMessage="1" sqref="E796 M796">
      <formula1>Users!$A$2:$A2970</formula1>
    </dataValidation>
    <dataValidation type="list" allowBlank="1" showErrorMessage="1" sqref="E686 M686">
      <formula1>Users!$A$2:$A2802</formula1>
    </dataValidation>
    <dataValidation type="list" allowBlank="1" showErrorMessage="1" sqref="E599:E601 M599:M601">
      <formula1>Users!$A$2:$A2673</formula1>
    </dataValidation>
    <dataValidation type="list" allowBlank="1" showErrorMessage="1" sqref="E720:E724 M720:M724">
      <formula1>Users!$A$2:$A2847</formula1>
    </dataValidation>
    <dataValidation type="list" allowBlank="1" showErrorMessage="1" sqref="E612:E616 M612:M616">
      <formula1>Users!$A$2:$A2691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2096</v>
      </c>
      <c r="B1" s="1" t="s">
        <v>0</v>
      </c>
      <c r="C1" s="1" t="s">
        <v>2097</v>
      </c>
      <c r="D1" s="1" t="s">
        <v>2098</v>
      </c>
      <c r="E1" s="1" t="s">
        <v>2099</v>
      </c>
    </row>
    <row r="2">
      <c r="A2" s="1" t="s">
        <v>2100</v>
      </c>
      <c r="B2" s="176" t="s">
        <v>19</v>
      </c>
      <c r="C2" s="176" t="s">
        <v>21</v>
      </c>
      <c r="D2" s="176">
        <v>24.0</v>
      </c>
      <c r="E2" s="177">
        <v>121.5</v>
      </c>
    </row>
    <row r="3">
      <c r="A3" s="1" t="s">
        <v>2101</v>
      </c>
      <c r="B3" s="176" t="s">
        <v>28</v>
      </c>
      <c r="C3" s="176" t="s">
        <v>21</v>
      </c>
      <c r="D3" s="176">
        <v>72.0</v>
      </c>
      <c r="E3" s="177">
        <v>0.0</v>
      </c>
    </row>
    <row r="4">
      <c r="A4" s="1" t="s">
        <v>2102</v>
      </c>
      <c r="B4" s="176" t="s">
        <v>33</v>
      </c>
      <c r="C4" s="176" t="s">
        <v>21</v>
      </c>
      <c r="D4" s="176">
        <v>24.0</v>
      </c>
      <c r="E4" s="177">
        <v>121.5</v>
      </c>
    </row>
    <row r="5">
      <c r="A5" s="1" t="s">
        <v>2103</v>
      </c>
      <c r="B5" s="176" t="s">
        <v>37</v>
      </c>
      <c r="C5" s="176" t="s">
        <v>21</v>
      </c>
      <c r="D5" s="176">
        <v>96.0</v>
      </c>
      <c r="E5" s="177">
        <v>0.0</v>
      </c>
    </row>
    <row r="6">
      <c r="A6" s="1" t="s">
        <v>2104</v>
      </c>
      <c r="B6" s="176" t="s">
        <v>39</v>
      </c>
      <c r="C6" s="176" t="s">
        <v>21</v>
      </c>
      <c r="D6" s="176">
        <v>72.0</v>
      </c>
      <c r="E6" s="177">
        <v>0.0</v>
      </c>
    </row>
    <row r="7">
      <c r="A7" s="1" t="s">
        <v>2105</v>
      </c>
      <c r="B7" s="176" t="s">
        <v>41</v>
      </c>
      <c r="C7" s="176" t="s">
        <v>21</v>
      </c>
      <c r="D7" s="176">
        <v>7.0</v>
      </c>
      <c r="E7" s="177">
        <v>121.5</v>
      </c>
    </row>
    <row r="8">
      <c r="A8" s="1" t="s">
        <v>2106</v>
      </c>
      <c r="B8" s="176" t="s">
        <v>44</v>
      </c>
      <c r="C8" s="176" t="s">
        <v>21</v>
      </c>
      <c r="D8" s="176">
        <v>240.0</v>
      </c>
      <c r="E8" s="177">
        <v>120.0</v>
      </c>
    </row>
    <row r="9">
      <c r="A9" s="1" t="s">
        <v>2107</v>
      </c>
      <c r="B9" s="176" t="s">
        <v>46</v>
      </c>
      <c r="C9" s="176" t="s">
        <v>21</v>
      </c>
      <c r="D9" s="176">
        <v>120.0</v>
      </c>
      <c r="E9" s="177">
        <v>95.0</v>
      </c>
    </row>
    <row r="10">
      <c r="A10" s="1" t="s">
        <v>2108</v>
      </c>
      <c r="B10" s="176" t="s">
        <v>52</v>
      </c>
      <c r="C10" s="176" t="s">
        <v>21</v>
      </c>
      <c r="D10" s="176">
        <v>24.0</v>
      </c>
      <c r="E10" s="177">
        <v>110.0</v>
      </c>
    </row>
    <row r="11">
      <c r="A11" s="1" t="s">
        <v>2109</v>
      </c>
      <c r="B11" s="176" t="s">
        <v>55</v>
      </c>
      <c r="C11" s="176" t="s">
        <v>21</v>
      </c>
      <c r="D11" s="176">
        <v>24.0</v>
      </c>
      <c r="E11" s="178">
        <v>0.0</v>
      </c>
    </row>
    <row r="12">
      <c r="A12" s="1" t="s">
        <v>2110</v>
      </c>
      <c r="B12" s="176" t="s">
        <v>57</v>
      </c>
      <c r="C12" s="176" t="s">
        <v>21</v>
      </c>
      <c r="D12" s="176">
        <v>24.0</v>
      </c>
      <c r="E12" s="178">
        <v>0.0</v>
      </c>
    </row>
    <row r="13">
      <c r="A13" s="1" t="s">
        <v>2111</v>
      </c>
      <c r="B13" s="176" t="s">
        <v>59</v>
      </c>
      <c r="C13" s="176" t="s">
        <v>21</v>
      </c>
      <c r="D13" s="176">
        <v>24.0</v>
      </c>
      <c r="E13" s="178">
        <v>0.0</v>
      </c>
    </row>
    <row r="14">
      <c r="A14" s="1" t="s">
        <v>2112</v>
      </c>
      <c r="B14" s="176" t="s">
        <v>61</v>
      </c>
      <c r="C14" s="176" t="s">
        <v>21</v>
      </c>
      <c r="D14" s="176">
        <v>24.0</v>
      </c>
      <c r="E14" s="177">
        <v>150.0</v>
      </c>
    </row>
    <row r="15">
      <c r="A15" s="1" t="s">
        <v>2113</v>
      </c>
      <c r="B15" s="176" t="s">
        <v>65</v>
      </c>
      <c r="C15" s="176" t="s">
        <v>21</v>
      </c>
      <c r="D15" s="176">
        <v>2400.0</v>
      </c>
      <c r="E15" s="177">
        <v>95.0</v>
      </c>
    </row>
    <row r="16">
      <c r="A16" s="1" t="s">
        <v>2114</v>
      </c>
      <c r="B16" s="176" t="s">
        <v>69</v>
      </c>
      <c r="C16" s="176" t="s">
        <v>21</v>
      </c>
      <c r="D16" s="176">
        <v>480.0</v>
      </c>
      <c r="E16" s="177">
        <v>115.0</v>
      </c>
    </row>
    <row r="17">
      <c r="A17" s="1" t="s">
        <v>2115</v>
      </c>
      <c r="B17" s="176" t="s">
        <v>72</v>
      </c>
      <c r="C17" s="176" t="s">
        <v>21</v>
      </c>
      <c r="D17" s="176">
        <v>48.0</v>
      </c>
      <c r="E17" s="177">
        <v>128.25</v>
      </c>
    </row>
    <row r="18">
      <c r="A18" s="1" t="s">
        <v>2116</v>
      </c>
      <c r="B18" s="176" t="s">
        <v>78</v>
      </c>
      <c r="C18" s="176" t="s">
        <v>21</v>
      </c>
      <c r="D18" s="176">
        <v>12.0</v>
      </c>
      <c r="E18" s="177">
        <v>135.0</v>
      </c>
    </row>
    <row r="19">
      <c r="A19" s="1" t="s">
        <v>2117</v>
      </c>
      <c r="B19" s="176" t="s">
        <v>82</v>
      </c>
      <c r="C19" s="176" t="s">
        <v>21</v>
      </c>
      <c r="D19" s="176">
        <v>12.0</v>
      </c>
      <c r="E19" s="177">
        <v>135.0</v>
      </c>
    </row>
    <row r="20">
      <c r="A20" s="1" t="s">
        <v>2118</v>
      </c>
      <c r="B20" s="176" t="s">
        <v>87</v>
      </c>
      <c r="C20" s="176" t="s">
        <v>21</v>
      </c>
      <c r="D20" s="176">
        <v>12.0</v>
      </c>
      <c r="E20" s="177">
        <v>121.84</v>
      </c>
    </row>
    <row r="21">
      <c r="A21" s="1" t="s">
        <v>2119</v>
      </c>
      <c r="B21" s="176" t="s">
        <v>90</v>
      </c>
      <c r="C21" s="176" t="s">
        <v>21</v>
      </c>
      <c r="D21" s="176">
        <v>24.0</v>
      </c>
      <c r="E21" s="177">
        <v>135.0</v>
      </c>
    </row>
    <row r="22">
      <c r="A22" s="1" t="s">
        <v>2120</v>
      </c>
      <c r="B22" s="176" t="s">
        <v>99</v>
      </c>
      <c r="C22" s="176" t="s">
        <v>21</v>
      </c>
      <c r="D22" s="176">
        <v>12.0</v>
      </c>
      <c r="E22" s="177">
        <v>135.0</v>
      </c>
    </row>
    <row r="23">
      <c r="A23" s="1" t="s">
        <v>2121</v>
      </c>
      <c r="B23" s="176" t="s">
        <v>103</v>
      </c>
      <c r="C23" s="176" t="s">
        <v>21</v>
      </c>
      <c r="D23" s="176">
        <v>24.0</v>
      </c>
      <c r="E23" s="177">
        <v>121.84</v>
      </c>
    </row>
    <row r="24">
      <c r="A24" s="1" t="s">
        <v>2122</v>
      </c>
      <c r="B24" s="176" t="s">
        <v>105</v>
      </c>
      <c r="C24" s="176" t="s">
        <v>21</v>
      </c>
      <c r="D24" s="176">
        <v>6.0</v>
      </c>
      <c r="E24" s="177">
        <v>135.0</v>
      </c>
    </row>
    <row r="25">
      <c r="A25" s="1" t="s">
        <v>2123</v>
      </c>
      <c r="B25" s="176" t="s">
        <v>108</v>
      </c>
      <c r="C25" s="176" t="s">
        <v>21</v>
      </c>
      <c r="D25" s="176">
        <v>24.0</v>
      </c>
      <c r="E25" s="177">
        <v>128.25</v>
      </c>
    </row>
    <row r="26">
      <c r="A26" s="1" t="s">
        <v>2124</v>
      </c>
      <c r="B26" s="176" t="s">
        <v>112</v>
      </c>
      <c r="C26" s="176" t="s">
        <v>21</v>
      </c>
      <c r="D26" s="176">
        <v>12.0</v>
      </c>
      <c r="E26" s="177">
        <v>135.0</v>
      </c>
    </row>
    <row r="27">
      <c r="A27" s="1" t="s">
        <v>2125</v>
      </c>
      <c r="B27" s="176" t="s">
        <v>116</v>
      </c>
      <c r="C27" s="176" t="s">
        <v>21</v>
      </c>
      <c r="D27" s="176">
        <v>10.0</v>
      </c>
      <c r="E27" s="178">
        <v>0.0</v>
      </c>
    </row>
    <row r="28">
      <c r="A28" s="1" t="s">
        <v>2126</v>
      </c>
      <c r="B28" s="176" t="s">
        <v>118</v>
      </c>
      <c r="C28" s="176" t="s">
        <v>21</v>
      </c>
      <c r="D28" s="176">
        <v>48.0</v>
      </c>
      <c r="E28" s="177">
        <v>121.84</v>
      </c>
    </row>
    <row r="29">
      <c r="A29" s="1" t="s">
        <v>2127</v>
      </c>
      <c r="B29" s="176" t="s">
        <v>129</v>
      </c>
      <c r="C29" s="176" t="s">
        <v>21</v>
      </c>
      <c r="D29" s="176">
        <v>24.0</v>
      </c>
      <c r="E29" s="177">
        <v>121.84</v>
      </c>
    </row>
    <row r="30">
      <c r="A30" s="1" t="s">
        <v>2128</v>
      </c>
      <c r="B30" s="176" t="s">
        <v>133</v>
      </c>
      <c r="C30" s="176" t="s">
        <v>21</v>
      </c>
      <c r="D30" s="176">
        <v>12.0</v>
      </c>
      <c r="E30" s="177">
        <v>121.84</v>
      </c>
    </row>
    <row r="31">
      <c r="A31" s="1" t="s">
        <v>2129</v>
      </c>
      <c r="B31" s="176" t="s">
        <v>143</v>
      </c>
      <c r="C31" s="176" t="s">
        <v>21</v>
      </c>
      <c r="D31" s="176">
        <v>24.0</v>
      </c>
      <c r="E31" s="177">
        <v>121.84</v>
      </c>
    </row>
    <row r="32">
      <c r="A32" s="1" t="s">
        <v>2130</v>
      </c>
      <c r="B32" s="176" t="s">
        <v>145</v>
      </c>
      <c r="C32" s="176" t="s">
        <v>21</v>
      </c>
      <c r="D32" s="176">
        <v>24.0</v>
      </c>
      <c r="E32" s="177">
        <v>100.0</v>
      </c>
    </row>
    <row r="33">
      <c r="A33" s="1" t="s">
        <v>2131</v>
      </c>
      <c r="B33" s="176" t="s">
        <v>147</v>
      </c>
      <c r="C33" s="176" t="s">
        <v>21</v>
      </c>
      <c r="D33" s="176">
        <v>240.0</v>
      </c>
      <c r="E33" s="177">
        <v>115.0</v>
      </c>
    </row>
    <row r="34">
      <c r="A34" s="1" t="s">
        <v>2132</v>
      </c>
      <c r="B34" s="176" t="s">
        <v>150</v>
      </c>
      <c r="C34" s="176" t="s">
        <v>21</v>
      </c>
      <c r="D34" s="176">
        <v>48.0</v>
      </c>
      <c r="E34" s="177">
        <v>121.84</v>
      </c>
    </row>
    <row r="35">
      <c r="A35" s="1" t="s">
        <v>2133</v>
      </c>
      <c r="B35" s="176" t="s">
        <v>153</v>
      </c>
      <c r="C35" s="176" t="s">
        <v>21</v>
      </c>
      <c r="D35" s="176">
        <v>12.0</v>
      </c>
      <c r="E35" s="177">
        <v>135.0</v>
      </c>
    </row>
    <row r="36">
      <c r="A36" s="1" t="s">
        <v>2134</v>
      </c>
      <c r="B36" s="176" t="s">
        <v>157</v>
      </c>
      <c r="C36" s="176" t="s">
        <v>21</v>
      </c>
      <c r="D36" s="176">
        <v>24.0</v>
      </c>
      <c r="E36" s="177">
        <v>121.84</v>
      </c>
    </row>
    <row r="37">
      <c r="A37" s="1" t="s">
        <v>2135</v>
      </c>
      <c r="B37" s="176" t="s">
        <v>158</v>
      </c>
      <c r="C37" s="176" t="s">
        <v>21</v>
      </c>
      <c r="D37" s="176">
        <v>18.0</v>
      </c>
      <c r="E37" s="177">
        <v>128.25</v>
      </c>
    </row>
    <row r="38">
      <c r="A38" s="1" t="s">
        <v>2136</v>
      </c>
      <c r="B38" s="176" t="s">
        <v>161</v>
      </c>
      <c r="C38" s="176" t="s">
        <v>21</v>
      </c>
      <c r="D38" s="176">
        <v>240.0</v>
      </c>
      <c r="E38" s="177">
        <v>110.0</v>
      </c>
    </row>
    <row r="39">
      <c r="A39" s="1" t="s">
        <v>2137</v>
      </c>
      <c r="B39" s="176" t="s">
        <v>164</v>
      </c>
      <c r="C39" s="176" t="s">
        <v>21</v>
      </c>
      <c r="D39" s="176">
        <v>24.0</v>
      </c>
      <c r="E39" s="177">
        <v>125.0</v>
      </c>
    </row>
    <row r="40">
      <c r="A40" s="1" t="s">
        <v>2138</v>
      </c>
      <c r="B40" s="176" t="s">
        <v>168</v>
      </c>
      <c r="C40" s="176" t="s">
        <v>21</v>
      </c>
      <c r="D40" s="176">
        <v>240.0</v>
      </c>
      <c r="E40" s="177">
        <v>115.0</v>
      </c>
    </row>
    <row r="41">
      <c r="A41" s="1" t="s">
        <v>2139</v>
      </c>
      <c r="B41" s="176" t="s">
        <v>169</v>
      </c>
      <c r="C41" s="176" t="s">
        <v>21</v>
      </c>
      <c r="D41" s="176">
        <v>48.0</v>
      </c>
      <c r="E41" s="177">
        <v>121.84</v>
      </c>
    </row>
    <row r="42">
      <c r="A42" s="1" t="s">
        <v>2140</v>
      </c>
      <c r="B42" s="176" t="s">
        <v>175</v>
      </c>
      <c r="C42" s="176" t="s">
        <v>21</v>
      </c>
      <c r="D42" s="176">
        <v>24.0</v>
      </c>
      <c r="E42" s="177">
        <v>122.6</v>
      </c>
    </row>
    <row r="43">
      <c r="A43" s="1" t="s">
        <v>2141</v>
      </c>
      <c r="B43" s="176" t="s">
        <v>180</v>
      </c>
      <c r="C43" s="176" t="s">
        <v>21</v>
      </c>
      <c r="D43" s="176">
        <v>24.0</v>
      </c>
      <c r="E43" s="177">
        <v>121.84</v>
      </c>
    </row>
    <row r="44">
      <c r="A44" s="1" t="s">
        <v>2142</v>
      </c>
      <c r="B44" s="176" t="s">
        <v>184</v>
      </c>
      <c r="C44" s="176" t="s">
        <v>21</v>
      </c>
      <c r="D44" s="176">
        <v>24.0</v>
      </c>
      <c r="E44" s="177">
        <v>121.84</v>
      </c>
    </row>
    <row r="45">
      <c r="A45" s="1" t="s">
        <v>2143</v>
      </c>
      <c r="B45" s="176" t="s">
        <v>188</v>
      </c>
      <c r="C45" s="176" t="s">
        <v>21</v>
      </c>
      <c r="D45" s="176">
        <v>24.0</v>
      </c>
      <c r="E45" s="177">
        <v>119.0</v>
      </c>
    </row>
    <row r="46">
      <c r="A46" s="1" t="s">
        <v>2144</v>
      </c>
      <c r="B46" s="176" t="s">
        <v>192</v>
      </c>
      <c r="C46" s="176" t="s">
        <v>21</v>
      </c>
      <c r="D46" s="176">
        <v>240.0</v>
      </c>
      <c r="E46" s="177">
        <v>115.0</v>
      </c>
    </row>
    <row r="47">
      <c r="A47" s="1" t="s">
        <v>2145</v>
      </c>
      <c r="B47" s="176" t="s">
        <v>193</v>
      </c>
      <c r="C47" s="176" t="s">
        <v>21</v>
      </c>
      <c r="D47" s="176">
        <v>24.0</v>
      </c>
      <c r="E47" s="177">
        <v>119.0</v>
      </c>
    </row>
    <row r="48">
      <c r="A48" s="1" t="s">
        <v>2146</v>
      </c>
      <c r="B48" s="176" t="s">
        <v>197</v>
      </c>
      <c r="C48" s="176" t="s">
        <v>21</v>
      </c>
      <c r="D48" s="176">
        <v>24.0</v>
      </c>
      <c r="E48" s="177">
        <v>119.0</v>
      </c>
    </row>
    <row r="49">
      <c r="A49" s="1" t="s">
        <v>2147</v>
      </c>
      <c r="B49" s="176" t="s">
        <v>201</v>
      </c>
      <c r="C49" s="176" t="s">
        <v>21</v>
      </c>
      <c r="D49" s="176">
        <v>144.0</v>
      </c>
      <c r="E49" s="177">
        <v>121.0</v>
      </c>
    </row>
    <row r="50">
      <c r="A50" s="1" t="s">
        <v>2148</v>
      </c>
      <c r="B50" s="176" t="s">
        <v>205</v>
      </c>
      <c r="C50" s="176" t="s">
        <v>21</v>
      </c>
      <c r="D50" s="176">
        <v>240.0</v>
      </c>
      <c r="E50" s="177">
        <v>121.0</v>
      </c>
    </row>
    <row r="51">
      <c r="A51" s="1" t="s">
        <v>2149</v>
      </c>
      <c r="B51" s="176" t="s">
        <v>209</v>
      </c>
      <c r="C51" s="176" t="s">
        <v>21</v>
      </c>
      <c r="D51" s="176">
        <v>24.0</v>
      </c>
      <c r="E51" s="177">
        <v>121.5</v>
      </c>
    </row>
    <row r="52">
      <c r="A52" s="1" t="s">
        <v>2150</v>
      </c>
      <c r="B52" s="176" t="s">
        <v>213</v>
      </c>
      <c r="C52" s="176" t="s">
        <v>21</v>
      </c>
      <c r="D52" s="176">
        <v>6.0</v>
      </c>
      <c r="E52" s="177">
        <v>119.0</v>
      </c>
    </row>
    <row r="53">
      <c r="A53" s="1" t="s">
        <v>2151</v>
      </c>
      <c r="B53" s="176" t="s">
        <v>216</v>
      </c>
      <c r="C53" s="176" t="s">
        <v>21</v>
      </c>
      <c r="D53" s="176">
        <v>6.0</v>
      </c>
      <c r="E53" s="177">
        <v>121.0</v>
      </c>
    </row>
    <row r="54">
      <c r="A54" s="1" t="s">
        <v>2152</v>
      </c>
      <c r="B54" s="176" t="s">
        <v>218</v>
      </c>
      <c r="C54" s="176" t="s">
        <v>21</v>
      </c>
      <c r="D54" s="176">
        <v>24.0</v>
      </c>
      <c r="E54" s="177">
        <v>121.0</v>
      </c>
    </row>
    <row r="55">
      <c r="A55" s="1" t="s">
        <v>2153</v>
      </c>
      <c r="B55" s="176" t="s">
        <v>221</v>
      </c>
      <c r="C55" s="176" t="s">
        <v>21</v>
      </c>
      <c r="D55" s="176">
        <v>6.0</v>
      </c>
      <c r="E55" s="177">
        <v>119.0</v>
      </c>
    </row>
    <row r="56">
      <c r="A56" s="1" t="s">
        <v>2154</v>
      </c>
      <c r="B56" s="176" t="s">
        <v>223</v>
      </c>
      <c r="C56" s="176" t="s">
        <v>21</v>
      </c>
      <c r="D56" s="176">
        <v>24.0</v>
      </c>
      <c r="E56" s="177">
        <v>121.0</v>
      </c>
    </row>
    <row r="57">
      <c r="A57" s="1" t="s">
        <v>2155</v>
      </c>
      <c r="B57" s="176" t="s">
        <v>227</v>
      </c>
      <c r="C57" s="176" t="s">
        <v>21</v>
      </c>
      <c r="D57" s="176">
        <v>24.0</v>
      </c>
      <c r="E57" s="177">
        <v>135.0</v>
      </c>
    </row>
    <row r="58">
      <c r="A58" s="1" t="s">
        <v>2156</v>
      </c>
      <c r="B58" s="176" t="s">
        <v>231</v>
      </c>
      <c r="C58" s="176" t="s">
        <v>21</v>
      </c>
      <c r="D58" s="176">
        <v>120.0</v>
      </c>
      <c r="E58" s="177">
        <v>121.5</v>
      </c>
    </row>
    <row r="59">
      <c r="A59" s="1" t="s">
        <v>2157</v>
      </c>
      <c r="B59" s="176" t="s">
        <v>233</v>
      </c>
      <c r="C59" s="176" t="s">
        <v>21</v>
      </c>
      <c r="D59" s="176">
        <v>6.0</v>
      </c>
      <c r="E59" s="177">
        <v>121.0</v>
      </c>
    </row>
    <row r="60">
      <c r="A60" s="1" t="s">
        <v>2158</v>
      </c>
      <c r="B60" s="176" t="s">
        <v>235</v>
      </c>
      <c r="C60" s="176" t="s">
        <v>21</v>
      </c>
      <c r="D60" s="176">
        <v>12.0</v>
      </c>
      <c r="E60" s="177">
        <v>135.0</v>
      </c>
    </row>
    <row r="61">
      <c r="A61" s="1" t="s">
        <v>2159</v>
      </c>
      <c r="B61" s="176" t="s">
        <v>239</v>
      </c>
      <c r="C61" s="176" t="s">
        <v>21</v>
      </c>
      <c r="D61" s="176">
        <v>48.0</v>
      </c>
      <c r="E61" s="177">
        <v>119.0</v>
      </c>
    </row>
    <row r="62">
      <c r="A62" s="1" t="s">
        <v>2160</v>
      </c>
      <c r="B62" s="176" t="s">
        <v>241</v>
      </c>
      <c r="C62" s="176" t="s">
        <v>21</v>
      </c>
      <c r="D62" s="176">
        <v>24.0</v>
      </c>
      <c r="E62" s="177">
        <v>135.0</v>
      </c>
    </row>
    <row r="63">
      <c r="A63" s="1" t="s">
        <v>2161</v>
      </c>
      <c r="B63" s="176" t="s">
        <v>244</v>
      </c>
      <c r="C63" s="176" t="s">
        <v>21</v>
      </c>
      <c r="D63" s="176">
        <v>48.0</v>
      </c>
      <c r="E63" s="177">
        <v>121.5</v>
      </c>
    </row>
    <row r="64">
      <c r="A64" s="1" t="s">
        <v>2162</v>
      </c>
      <c r="B64" s="176" t="s">
        <v>248</v>
      </c>
      <c r="C64" s="176" t="s">
        <v>21</v>
      </c>
      <c r="D64" s="176">
        <v>24.0</v>
      </c>
      <c r="E64" s="177">
        <v>121.5</v>
      </c>
    </row>
    <row r="65">
      <c r="A65" s="1" t="s">
        <v>2163</v>
      </c>
      <c r="B65" s="176" t="s">
        <v>252</v>
      </c>
      <c r="C65" s="176" t="s">
        <v>21</v>
      </c>
      <c r="D65" s="176">
        <v>24.0</v>
      </c>
      <c r="E65" s="177">
        <v>128.0</v>
      </c>
    </row>
    <row r="66">
      <c r="A66" s="1" t="s">
        <v>2164</v>
      </c>
      <c r="B66" s="176" t="s">
        <v>257</v>
      </c>
      <c r="C66" s="176" t="s">
        <v>21</v>
      </c>
      <c r="D66" s="176">
        <v>12.0</v>
      </c>
      <c r="E66" s="177">
        <v>135.0</v>
      </c>
    </row>
    <row r="67">
      <c r="A67" s="1" t="s">
        <v>2165</v>
      </c>
      <c r="B67" s="176" t="s">
        <v>261</v>
      </c>
      <c r="C67" s="176" t="s">
        <v>21</v>
      </c>
      <c r="D67" s="176">
        <v>6.0</v>
      </c>
      <c r="E67" s="177">
        <v>135.0</v>
      </c>
    </row>
    <row r="68">
      <c r="A68" s="1" t="s">
        <v>2166</v>
      </c>
      <c r="B68" s="176" t="s">
        <v>264</v>
      </c>
      <c r="C68" s="176" t="s">
        <v>21</v>
      </c>
      <c r="D68" s="176">
        <v>10.0</v>
      </c>
      <c r="E68" s="177">
        <v>135.0</v>
      </c>
    </row>
    <row r="69">
      <c r="A69" s="1" t="s">
        <v>2167</v>
      </c>
      <c r="B69" s="176" t="s">
        <v>267</v>
      </c>
      <c r="C69" s="176" t="s">
        <v>21</v>
      </c>
      <c r="D69" s="176">
        <v>24.0</v>
      </c>
      <c r="E69" s="177">
        <v>121.5</v>
      </c>
    </row>
    <row r="70">
      <c r="A70" s="1" t="s">
        <v>2168</v>
      </c>
      <c r="B70" s="176" t="s">
        <v>271</v>
      </c>
      <c r="C70" s="176" t="s">
        <v>21</v>
      </c>
      <c r="D70" s="176">
        <v>24.0</v>
      </c>
      <c r="E70" s="177">
        <v>121.5</v>
      </c>
    </row>
    <row r="71">
      <c r="A71" s="1" t="s">
        <v>2169</v>
      </c>
      <c r="B71" s="176" t="s">
        <v>275</v>
      </c>
      <c r="C71" s="176" t="s">
        <v>21</v>
      </c>
      <c r="D71" s="176">
        <v>48.0</v>
      </c>
      <c r="E71" s="177">
        <v>119.0</v>
      </c>
    </row>
    <row r="72">
      <c r="A72" s="1" t="s">
        <v>2170</v>
      </c>
      <c r="B72" s="176" t="s">
        <v>279</v>
      </c>
      <c r="C72" s="176" t="s">
        <v>21</v>
      </c>
      <c r="D72" s="176">
        <v>48.0</v>
      </c>
      <c r="E72" s="177">
        <v>119.0</v>
      </c>
    </row>
    <row r="73">
      <c r="A73" s="1" t="s">
        <v>2171</v>
      </c>
      <c r="B73" s="176" t="s">
        <v>283</v>
      </c>
      <c r="C73" s="176" t="s">
        <v>21</v>
      </c>
      <c r="D73" s="176">
        <v>48.0</v>
      </c>
      <c r="E73" s="177">
        <v>119.0</v>
      </c>
    </row>
    <row r="74">
      <c r="A74" s="1" t="s">
        <v>2172</v>
      </c>
      <c r="B74" s="176" t="s">
        <v>287</v>
      </c>
      <c r="C74" s="176" t="s">
        <v>21</v>
      </c>
      <c r="D74" s="176">
        <v>24.0</v>
      </c>
      <c r="E74" s="177">
        <v>128.0</v>
      </c>
    </row>
    <row r="75">
      <c r="A75" s="1" t="s">
        <v>2173</v>
      </c>
      <c r="B75" s="176" t="s">
        <v>291</v>
      </c>
      <c r="C75" s="176" t="s">
        <v>21</v>
      </c>
      <c r="D75" s="176">
        <v>24.0</v>
      </c>
      <c r="E75" s="177">
        <v>121.0</v>
      </c>
    </row>
    <row r="76">
      <c r="A76" s="1" t="s">
        <v>2174</v>
      </c>
      <c r="B76" s="176" t="s">
        <v>293</v>
      </c>
      <c r="C76" s="176" t="s">
        <v>21</v>
      </c>
      <c r="D76" s="176">
        <v>24.0</v>
      </c>
      <c r="E76" s="177">
        <v>128.5</v>
      </c>
    </row>
    <row r="77">
      <c r="A77" s="1" t="s">
        <v>2175</v>
      </c>
      <c r="B77" s="176" t="s">
        <v>297</v>
      </c>
      <c r="C77" s="176" t="s">
        <v>21</v>
      </c>
      <c r="D77" s="176">
        <v>24.0</v>
      </c>
      <c r="E77" s="177">
        <v>128.5</v>
      </c>
    </row>
    <row r="78">
      <c r="A78" s="1" t="s">
        <v>2176</v>
      </c>
      <c r="B78" s="176" t="s">
        <v>301</v>
      </c>
      <c r="C78" s="176" t="s">
        <v>21</v>
      </c>
      <c r="D78" s="176">
        <v>48.0</v>
      </c>
      <c r="E78" s="177">
        <v>119.0</v>
      </c>
    </row>
    <row r="79">
      <c r="A79" s="1" t="s">
        <v>2177</v>
      </c>
      <c r="B79" s="176" t="s">
        <v>305</v>
      </c>
      <c r="C79" s="176" t="s">
        <v>21</v>
      </c>
      <c r="D79" s="176">
        <v>24.0</v>
      </c>
      <c r="E79" s="177">
        <v>135.0</v>
      </c>
    </row>
    <row r="80">
      <c r="A80" s="1" t="s">
        <v>2178</v>
      </c>
      <c r="B80" s="176" t="s">
        <v>309</v>
      </c>
      <c r="C80" s="176" t="s">
        <v>21</v>
      </c>
      <c r="D80" s="176">
        <v>24.0</v>
      </c>
      <c r="E80" s="177">
        <v>121.5</v>
      </c>
    </row>
    <row r="81">
      <c r="A81" s="1" t="s">
        <v>2179</v>
      </c>
      <c r="B81" s="176" t="s">
        <v>318</v>
      </c>
      <c r="C81" s="176" t="s">
        <v>21</v>
      </c>
      <c r="D81" s="176">
        <v>24.0</v>
      </c>
      <c r="E81" s="177">
        <v>121.5</v>
      </c>
    </row>
    <row r="82">
      <c r="A82" s="1" t="s">
        <v>2180</v>
      </c>
      <c r="B82" s="176" t="s">
        <v>322</v>
      </c>
      <c r="C82" s="176" t="s">
        <v>21</v>
      </c>
      <c r="D82" s="176">
        <v>24.0</v>
      </c>
      <c r="E82" s="177">
        <v>128.25</v>
      </c>
    </row>
    <row r="83">
      <c r="A83" s="1" t="s">
        <v>2181</v>
      </c>
      <c r="B83" s="176" t="s">
        <v>329</v>
      </c>
      <c r="C83" s="176" t="s">
        <v>21</v>
      </c>
      <c r="D83" s="176">
        <v>120.0</v>
      </c>
      <c r="E83" s="177">
        <v>119.0</v>
      </c>
    </row>
    <row r="84">
      <c r="A84" s="1" t="s">
        <v>2182</v>
      </c>
      <c r="B84" s="176" t="s">
        <v>333</v>
      </c>
      <c r="C84" s="176" t="s">
        <v>21</v>
      </c>
      <c r="D84" s="176">
        <v>6.0</v>
      </c>
      <c r="E84" s="177">
        <v>128.25</v>
      </c>
    </row>
    <row r="85">
      <c r="A85" s="1" t="s">
        <v>2183</v>
      </c>
      <c r="B85" s="176" t="s">
        <v>335</v>
      </c>
      <c r="C85" s="176" t="s">
        <v>21</v>
      </c>
      <c r="D85" s="176">
        <v>24.0</v>
      </c>
      <c r="E85" s="177">
        <v>128.25</v>
      </c>
    </row>
    <row r="86">
      <c r="A86" s="1" t="s">
        <v>2184</v>
      </c>
      <c r="B86" s="176" t="s">
        <v>337</v>
      </c>
      <c r="C86" s="176" t="s">
        <v>21</v>
      </c>
      <c r="D86" s="176">
        <v>24.0</v>
      </c>
      <c r="E86" s="177">
        <v>135.0</v>
      </c>
    </row>
    <row r="87">
      <c r="A87" s="1" t="s">
        <v>2185</v>
      </c>
      <c r="B87" s="1" t="s">
        <v>2089</v>
      </c>
      <c r="C87" s="176" t="s">
        <v>21</v>
      </c>
      <c r="D87" s="176">
        <v>24.0</v>
      </c>
      <c r="E87" s="177">
        <v>121.5</v>
      </c>
    </row>
    <row r="88">
      <c r="A88" s="1" t="s">
        <v>2186</v>
      </c>
      <c r="B88" s="176" t="s">
        <v>344</v>
      </c>
      <c r="C88" s="176" t="s">
        <v>21</v>
      </c>
      <c r="D88" s="176">
        <v>24.0</v>
      </c>
      <c r="E88" s="177">
        <v>121.5</v>
      </c>
    </row>
    <row r="89">
      <c r="A89" s="1" t="s">
        <v>2187</v>
      </c>
      <c r="B89" s="176" t="s">
        <v>348</v>
      </c>
      <c r="C89" s="176" t="s">
        <v>21</v>
      </c>
      <c r="D89" s="176">
        <v>24.0</v>
      </c>
      <c r="E89" s="177">
        <v>128.5</v>
      </c>
    </row>
    <row r="90">
      <c r="A90" s="1" t="s">
        <v>2188</v>
      </c>
      <c r="B90" s="176" t="s">
        <v>352</v>
      </c>
      <c r="C90" s="176" t="s">
        <v>21</v>
      </c>
      <c r="D90" s="176">
        <v>48.0</v>
      </c>
      <c r="E90" s="177">
        <v>135.0</v>
      </c>
    </row>
    <row r="91">
      <c r="A91" s="1" t="s">
        <v>2189</v>
      </c>
      <c r="B91" s="176" t="s">
        <v>356</v>
      </c>
      <c r="C91" s="176" t="s">
        <v>21</v>
      </c>
      <c r="D91" s="176">
        <v>24.0</v>
      </c>
      <c r="E91" s="177">
        <v>135.0</v>
      </c>
    </row>
    <row r="92">
      <c r="A92" s="1" t="s">
        <v>2190</v>
      </c>
      <c r="B92" s="176" t="s">
        <v>360</v>
      </c>
      <c r="C92" s="176" t="s">
        <v>21</v>
      </c>
      <c r="D92" s="176">
        <v>24.0</v>
      </c>
      <c r="E92" s="177">
        <v>119.0</v>
      </c>
    </row>
    <row r="93">
      <c r="A93" s="1" t="s">
        <v>2191</v>
      </c>
      <c r="B93" s="176" t="s">
        <v>364</v>
      </c>
      <c r="C93" s="176" t="s">
        <v>21</v>
      </c>
      <c r="D93" s="176">
        <v>120.0</v>
      </c>
      <c r="E93" s="177">
        <v>121.5</v>
      </c>
    </row>
    <row r="94">
      <c r="A94" s="1" t="s">
        <v>2192</v>
      </c>
      <c r="B94" s="176" t="s">
        <v>368</v>
      </c>
      <c r="C94" s="176" t="s">
        <v>21</v>
      </c>
      <c r="D94" s="176">
        <v>48.0</v>
      </c>
      <c r="E94" s="177">
        <v>119.0</v>
      </c>
    </row>
    <row r="95">
      <c r="A95" s="1" t="s">
        <v>2193</v>
      </c>
      <c r="B95" s="176" t="s">
        <v>372</v>
      </c>
      <c r="C95" s="176" t="s">
        <v>21</v>
      </c>
      <c r="D95" s="176">
        <v>24.0</v>
      </c>
      <c r="E95" s="177">
        <v>128.25</v>
      </c>
    </row>
    <row r="96">
      <c r="A96" s="1" t="s">
        <v>2194</v>
      </c>
      <c r="B96" s="176" t="s">
        <v>377</v>
      </c>
      <c r="C96" s="176" t="s">
        <v>21</v>
      </c>
      <c r="D96" s="176">
        <v>48.0</v>
      </c>
      <c r="E96" s="177">
        <v>119.0</v>
      </c>
    </row>
    <row r="97">
      <c r="A97" s="1" t="s">
        <v>2195</v>
      </c>
      <c r="B97" s="176" t="s">
        <v>380</v>
      </c>
      <c r="C97" s="176" t="s">
        <v>21</v>
      </c>
      <c r="D97" s="176">
        <v>24.0</v>
      </c>
      <c r="E97" s="177">
        <v>119.0</v>
      </c>
    </row>
    <row r="98">
      <c r="A98" s="1" t="s">
        <v>2196</v>
      </c>
      <c r="B98" s="176" t="s">
        <v>383</v>
      </c>
      <c r="C98" s="176" t="s">
        <v>21</v>
      </c>
      <c r="D98" s="176">
        <v>24.0</v>
      </c>
      <c r="E98" s="177">
        <v>135.0</v>
      </c>
    </row>
    <row r="99">
      <c r="A99" s="1" t="s">
        <v>2197</v>
      </c>
      <c r="B99" s="176" t="s">
        <v>386</v>
      </c>
      <c r="C99" s="176" t="s">
        <v>21</v>
      </c>
      <c r="D99" s="176">
        <v>24.0</v>
      </c>
      <c r="E99" s="177">
        <v>128.25</v>
      </c>
    </row>
    <row r="100">
      <c r="A100" s="1" t="s">
        <v>2198</v>
      </c>
      <c r="B100" s="176" t="s">
        <v>393</v>
      </c>
      <c r="C100" s="176" t="s">
        <v>21</v>
      </c>
      <c r="D100" s="176">
        <v>24.0</v>
      </c>
      <c r="E100" s="177">
        <v>125.0</v>
      </c>
    </row>
    <row r="101">
      <c r="A101" s="1" t="s">
        <v>2199</v>
      </c>
      <c r="B101" s="176" t="s">
        <v>397</v>
      </c>
      <c r="C101" s="176" t="s">
        <v>21</v>
      </c>
      <c r="D101" s="176">
        <v>24.0</v>
      </c>
      <c r="E101" s="177">
        <v>121.5</v>
      </c>
    </row>
    <row r="102">
      <c r="A102" s="1" t="s">
        <v>2200</v>
      </c>
      <c r="B102" s="176" t="s">
        <v>402</v>
      </c>
      <c r="C102" s="176" t="s">
        <v>21</v>
      </c>
      <c r="D102" s="176">
        <v>24.0</v>
      </c>
      <c r="E102" s="177">
        <v>128.25</v>
      </c>
    </row>
    <row r="103">
      <c r="A103" s="1" t="s">
        <v>2201</v>
      </c>
      <c r="B103" s="176" t="s">
        <v>406</v>
      </c>
      <c r="C103" s="176" t="s">
        <v>21</v>
      </c>
      <c r="D103" s="176">
        <v>120.0</v>
      </c>
      <c r="E103" s="177">
        <v>121.5</v>
      </c>
    </row>
    <row r="104">
      <c r="A104" s="1" t="s">
        <v>2202</v>
      </c>
      <c r="B104" s="176" t="s">
        <v>411</v>
      </c>
      <c r="C104" s="176" t="s">
        <v>21</v>
      </c>
      <c r="D104" s="176">
        <v>48.0</v>
      </c>
      <c r="E104" s="177">
        <v>121.84</v>
      </c>
    </row>
    <row r="105">
      <c r="A105" s="1" t="s">
        <v>2203</v>
      </c>
      <c r="B105" s="176" t="s">
        <v>414</v>
      </c>
      <c r="C105" s="176" t="s">
        <v>21</v>
      </c>
      <c r="D105" s="176">
        <v>0.0</v>
      </c>
      <c r="E105" s="177">
        <v>0.0</v>
      </c>
    </row>
    <row r="106">
      <c r="A106" s="1" t="s">
        <v>2204</v>
      </c>
      <c r="B106" s="176" t="s">
        <v>418</v>
      </c>
      <c r="C106" s="176" t="s">
        <v>21</v>
      </c>
      <c r="D106" s="176">
        <v>240.0</v>
      </c>
      <c r="E106" s="177">
        <v>95.0</v>
      </c>
    </row>
    <row r="107">
      <c r="A107" s="1" t="s">
        <v>2205</v>
      </c>
      <c r="B107" s="176" t="s">
        <v>421</v>
      </c>
      <c r="C107" s="176" t="s">
        <v>21</v>
      </c>
      <c r="D107" s="176">
        <v>24.0</v>
      </c>
      <c r="E107" s="177">
        <v>121.5</v>
      </c>
    </row>
    <row r="108">
      <c r="A108" s="1" t="s">
        <v>2206</v>
      </c>
      <c r="B108" s="176" t="s">
        <v>425</v>
      </c>
      <c r="C108" s="176" t="s">
        <v>21</v>
      </c>
      <c r="D108" s="176">
        <v>24.0</v>
      </c>
      <c r="E108" s="177">
        <v>121.5</v>
      </c>
    </row>
    <row r="109">
      <c r="A109" s="1" t="s">
        <v>2207</v>
      </c>
      <c r="B109" s="176" t="s">
        <v>436</v>
      </c>
      <c r="C109" s="176" t="s">
        <v>21</v>
      </c>
      <c r="D109" s="176">
        <v>24.0</v>
      </c>
      <c r="E109" s="177">
        <v>121.0</v>
      </c>
    </row>
    <row r="110">
      <c r="A110" s="1" t="s">
        <v>2208</v>
      </c>
      <c r="B110" s="176" t="s">
        <v>438</v>
      </c>
      <c r="C110" s="176" t="s">
        <v>21</v>
      </c>
      <c r="D110" s="176">
        <v>24.0</v>
      </c>
      <c r="E110" s="177">
        <v>121.0</v>
      </c>
    </row>
    <row r="111">
      <c r="A111" s="1" t="s">
        <v>2209</v>
      </c>
      <c r="B111" s="176" t="s">
        <v>441</v>
      </c>
      <c r="C111" s="176" t="s">
        <v>21</v>
      </c>
      <c r="D111" s="176">
        <v>24.0</v>
      </c>
      <c r="E111" s="177">
        <v>121.0</v>
      </c>
    </row>
    <row r="112">
      <c r="A112" s="1" t="s">
        <v>2210</v>
      </c>
      <c r="B112" s="176" t="s">
        <v>444</v>
      </c>
      <c r="C112" s="176" t="s">
        <v>21</v>
      </c>
      <c r="D112" s="176">
        <v>24.0</v>
      </c>
      <c r="E112" s="177">
        <v>121.0</v>
      </c>
    </row>
    <row r="113">
      <c r="A113" s="1" t="s">
        <v>2211</v>
      </c>
      <c r="B113" s="176" t="s">
        <v>447</v>
      </c>
      <c r="C113" s="176" t="s">
        <v>21</v>
      </c>
      <c r="D113" s="176">
        <v>48.0</v>
      </c>
      <c r="E113" s="177">
        <v>119.0</v>
      </c>
    </row>
    <row r="114">
      <c r="A114" s="1" t="s">
        <v>2212</v>
      </c>
      <c r="B114" s="176" t="s">
        <v>450</v>
      </c>
      <c r="C114" s="176" t="s">
        <v>21</v>
      </c>
      <c r="D114" s="176">
        <v>48.0</v>
      </c>
      <c r="E114" s="177">
        <v>119.0</v>
      </c>
    </row>
    <row r="115">
      <c r="A115" s="1" t="s">
        <v>2213</v>
      </c>
      <c r="B115" s="176" t="s">
        <v>456</v>
      </c>
      <c r="C115" s="176" t="s">
        <v>21</v>
      </c>
      <c r="D115" s="176">
        <v>24.0</v>
      </c>
      <c r="E115" s="177">
        <v>119.0</v>
      </c>
    </row>
    <row r="116">
      <c r="A116" s="1" t="s">
        <v>2214</v>
      </c>
      <c r="B116" s="176" t="s">
        <v>460</v>
      </c>
      <c r="C116" s="176" t="s">
        <v>21</v>
      </c>
      <c r="D116" s="176">
        <v>24.0</v>
      </c>
      <c r="E116" s="177">
        <v>119.0</v>
      </c>
    </row>
    <row r="117">
      <c r="A117" s="1" t="s">
        <v>2215</v>
      </c>
      <c r="B117" s="176" t="s">
        <v>464</v>
      </c>
      <c r="C117" s="176" t="s">
        <v>21</v>
      </c>
      <c r="D117" s="176">
        <v>24.0</v>
      </c>
      <c r="E117" s="177">
        <v>121.0</v>
      </c>
    </row>
    <row r="118">
      <c r="A118" s="1" t="s">
        <v>2216</v>
      </c>
      <c r="B118" s="176" t="s">
        <v>468</v>
      </c>
      <c r="C118" s="176" t="s">
        <v>21</v>
      </c>
      <c r="D118" s="176">
        <v>24.0</v>
      </c>
      <c r="E118" s="177">
        <v>121.0</v>
      </c>
    </row>
    <row r="119">
      <c r="A119" s="1" t="s">
        <v>2217</v>
      </c>
      <c r="B119" s="176" t="s">
        <v>472</v>
      </c>
      <c r="C119" s="176" t="s">
        <v>21</v>
      </c>
      <c r="D119" s="176">
        <v>24.0</v>
      </c>
      <c r="E119" s="177">
        <v>119.0</v>
      </c>
    </row>
    <row r="120">
      <c r="A120" s="1" t="s">
        <v>2218</v>
      </c>
      <c r="B120" s="176" t="s">
        <v>476</v>
      </c>
      <c r="C120" s="176" t="s">
        <v>21</v>
      </c>
      <c r="D120" s="176">
        <v>48.0</v>
      </c>
      <c r="E120" s="177">
        <v>119.0</v>
      </c>
    </row>
    <row r="121">
      <c r="A121" s="1" t="s">
        <v>2219</v>
      </c>
      <c r="B121" s="176" t="s">
        <v>485</v>
      </c>
      <c r="C121" s="176" t="s">
        <v>21</v>
      </c>
      <c r="D121" s="176">
        <v>24.0</v>
      </c>
      <c r="E121" s="177">
        <v>119.0</v>
      </c>
    </row>
    <row r="122">
      <c r="A122" s="1" t="s">
        <v>2220</v>
      </c>
      <c r="B122" s="176" t="s">
        <v>489</v>
      </c>
      <c r="C122" s="176" t="s">
        <v>21</v>
      </c>
      <c r="D122" s="176">
        <v>144.0</v>
      </c>
      <c r="E122" s="178">
        <v>0.0</v>
      </c>
    </row>
    <row r="123">
      <c r="A123" s="1" t="s">
        <v>2221</v>
      </c>
      <c r="B123" s="176" t="s">
        <v>490</v>
      </c>
      <c r="C123" s="176" t="s">
        <v>21</v>
      </c>
      <c r="D123" s="176">
        <v>120.0</v>
      </c>
      <c r="E123" s="177">
        <v>135.0</v>
      </c>
    </row>
    <row r="124">
      <c r="A124" s="1" t="s">
        <v>2222</v>
      </c>
      <c r="B124" s="176" t="s">
        <v>494</v>
      </c>
      <c r="C124" s="176" t="s">
        <v>21</v>
      </c>
      <c r="D124" s="176">
        <v>24.0</v>
      </c>
      <c r="E124" s="177">
        <v>119.0</v>
      </c>
    </row>
    <row r="125">
      <c r="A125" s="1" t="s">
        <v>2223</v>
      </c>
      <c r="B125" s="176" t="s">
        <v>503</v>
      </c>
      <c r="C125" s="176" t="s">
        <v>21</v>
      </c>
      <c r="D125" s="176">
        <v>72.0</v>
      </c>
      <c r="E125" s="177">
        <v>121.5</v>
      </c>
    </row>
    <row r="126">
      <c r="A126" s="1" t="s">
        <v>2224</v>
      </c>
      <c r="B126" s="176" t="s">
        <v>510</v>
      </c>
      <c r="C126" s="176" t="s">
        <v>21</v>
      </c>
      <c r="D126" s="176">
        <v>24.0</v>
      </c>
      <c r="E126" s="177">
        <v>119.0</v>
      </c>
    </row>
    <row r="127">
      <c r="A127" s="1" t="s">
        <v>2225</v>
      </c>
      <c r="B127" s="176" t="s">
        <v>514</v>
      </c>
      <c r="C127" s="176" t="s">
        <v>21</v>
      </c>
      <c r="D127" s="176">
        <v>24.0</v>
      </c>
      <c r="E127" s="177">
        <v>119.0</v>
      </c>
    </row>
    <row r="128">
      <c r="A128" s="1" t="s">
        <v>2226</v>
      </c>
      <c r="B128" s="176" t="s">
        <v>518</v>
      </c>
      <c r="C128" s="176" t="s">
        <v>21</v>
      </c>
      <c r="D128" s="176">
        <v>24.0</v>
      </c>
      <c r="E128" s="177">
        <v>118.18</v>
      </c>
    </row>
    <row r="129">
      <c r="A129" s="1" t="s">
        <v>2227</v>
      </c>
      <c r="B129" s="176" t="s">
        <v>522</v>
      </c>
      <c r="C129" s="176" t="s">
        <v>21</v>
      </c>
      <c r="D129" s="176">
        <v>24.0</v>
      </c>
      <c r="E129" s="177">
        <v>125.0</v>
      </c>
    </row>
    <row r="130">
      <c r="A130" s="1" t="s">
        <v>2228</v>
      </c>
      <c r="B130" s="176" t="s">
        <v>523</v>
      </c>
      <c r="C130" s="176" t="s">
        <v>21</v>
      </c>
      <c r="D130" s="176">
        <v>24.0</v>
      </c>
      <c r="E130" s="177">
        <v>128.5</v>
      </c>
    </row>
    <row r="131">
      <c r="A131" s="1" t="s">
        <v>2229</v>
      </c>
      <c r="B131" s="176" t="s">
        <v>526</v>
      </c>
      <c r="C131" s="176" t="s">
        <v>21</v>
      </c>
      <c r="D131" s="176">
        <v>24.0</v>
      </c>
      <c r="E131" s="177">
        <v>128.5</v>
      </c>
    </row>
    <row r="132">
      <c r="A132" s="1" t="s">
        <v>2230</v>
      </c>
      <c r="B132" s="176" t="s">
        <v>528</v>
      </c>
      <c r="C132" s="176" t="s">
        <v>21</v>
      </c>
      <c r="D132" s="176">
        <v>24.0</v>
      </c>
      <c r="E132" s="177">
        <v>128.5</v>
      </c>
    </row>
    <row r="133">
      <c r="A133" s="1" t="s">
        <v>2231</v>
      </c>
      <c r="B133" s="176" t="s">
        <v>530</v>
      </c>
      <c r="C133" s="176" t="s">
        <v>21</v>
      </c>
      <c r="D133" s="176">
        <v>24.0</v>
      </c>
      <c r="E133" s="177">
        <v>128.5</v>
      </c>
    </row>
    <row r="134">
      <c r="A134" s="1" t="s">
        <v>2232</v>
      </c>
      <c r="B134" s="176" t="s">
        <v>532</v>
      </c>
      <c r="C134" s="176" t="s">
        <v>21</v>
      </c>
      <c r="D134" s="176">
        <v>24.0</v>
      </c>
      <c r="E134" s="177">
        <v>128.5</v>
      </c>
    </row>
    <row r="135">
      <c r="A135" s="1" t="s">
        <v>2233</v>
      </c>
      <c r="B135" s="176" t="s">
        <v>534</v>
      </c>
      <c r="C135" s="176" t="s">
        <v>21</v>
      </c>
      <c r="D135" s="176">
        <v>24.0</v>
      </c>
      <c r="E135" s="177">
        <v>128.5</v>
      </c>
    </row>
    <row r="136">
      <c r="A136" s="1" t="s">
        <v>2234</v>
      </c>
      <c r="B136" s="176" t="s">
        <v>538</v>
      </c>
      <c r="C136" s="176" t="s">
        <v>21</v>
      </c>
      <c r="D136" s="176">
        <v>24.0</v>
      </c>
      <c r="E136" s="177">
        <v>118.0</v>
      </c>
    </row>
    <row r="137">
      <c r="A137" s="1" t="s">
        <v>2235</v>
      </c>
      <c r="B137" s="176" t="s">
        <v>542</v>
      </c>
      <c r="C137" s="176" t="s">
        <v>21</v>
      </c>
      <c r="D137" s="176">
        <v>24.0</v>
      </c>
      <c r="E137" s="177">
        <v>135.0</v>
      </c>
    </row>
    <row r="138">
      <c r="A138" s="1" t="s">
        <v>2236</v>
      </c>
      <c r="B138" s="176" t="s">
        <v>546</v>
      </c>
      <c r="C138" s="176" t="s">
        <v>21</v>
      </c>
      <c r="D138" s="176">
        <v>24.0</v>
      </c>
      <c r="E138" s="177">
        <v>119.0</v>
      </c>
    </row>
    <row r="139">
      <c r="A139" s="1" t="s">
        <v>2237</v>
      </c>
      <c r="B139" s="176" t="s">
        <v>550</v>
      </c>
      <c r="C139" s="176" t="s">
        <v>21</v>
      </c>
      <c r="D139" s="176">
        <v>240.0</v>
      </c>
      <c r="E139" s="177">
        <v>115.0</v>
      </c>
    </row>
    <row r="140">
      <c r="A140" s="1" t="s">
        <v>2238</v>
      </c>
      <c r="B140" s="176" t="s">
        <v>553</v>
      </c>
      <c r="C140" s="176" t="s">
        <v>21</v>
      </c>
      <c r="D140" s="176">
        <v>48.0</v>
      </c>
      <c r="E140" s="177">
        <v>119.0</v>
      </c>
    </row>
    <row r="141">
      <c r="A141" s="1" t="s">
        <v>2239</v>
      </c>
      <c r="B141" s="176" t="s">
        <v>557</v>
      </c>
      <c r="C141" s="176" t="s">
        <v>21</v>
      </c>
      <c r="D141" s="176">
        <v>24.0</v>
      </c>
      <c r="E141" s="177">
        <v>135.0</v>
      </c>
    </row>
    <row r="142">
      <c r="A142" s="1" t="s">
        <v>2240</v>
      </c>
      <c r="B142" s="176" t="s">
        <v>561</v>
      </c>
      <c r="C142" s="176" t="s">
        <v>21</v>
      </c>
      <c r="D142" s="176">
        <v>24.0</v>
      </c>
      <c r="E142" s="177">
        <v>119.0</v>
      </c>
    </row>
    <row r="143">
      <c r="A143" s="1" t="s">
        <v>2241</v>
      </c>
      <c r="B143" s="176" t="s">
        <v>565</v>
      </c>
      <c r="C143" s="176" t="s">
        <v>21</v>
      </c>
      <c r="D143" s="176">
        <v>48.0</v>
      </c>
      <c r="E143" s="177">
        <v>119.0</v>
      </c>
    </row>
    <row r="144">
      <c r="A144" s="1" t="s">
        <v>2242</v>
      </c>
      <c r="B144" s="176" t="s">
        <v>567</v>
      </c>
      <c r="C144" s="176" t="s">
        <v>21</v>
      </c>
      <c r="D144" s="176">
        <v>48.0</v>
      </c>
      <c r="E144" s="177">
        <v>119.0</v>
      </c>
    </row>
    <row r="145">
      <c r="A145" s="1" t="s">
        <v>2243</v>
      </c>
      <c r="B145" s="176" t="s">
        <v>570</v>
      </c>
      <c r="C145" s="176" t="s">
        <v>21</v>
      </c>
      <c r="D145" s="176">
        <v>72.0</v>
      </c>
      <c r="E145" s="177">
        <v>119.0</v>
      </c>
    </row>
    <row r="146">
      <c r="A146" s="1" t="s">
        <v>2244</v>
      </c>
      <c r="B146" s="176" t="s">
        <v>576</v>
      </c>
      <c r="C146" s="176" t="s">
        <v>21</v>
      </c>
      <c r="D146" s="176">
        <v>48.0</v>
      </c>
      <c r="E146" s="177">
        <v>119.0</v>
      </c>
    </row>
    <row r="147">
      <c r="A147" s="1" t="s">
        <v>2245</v>
      </c>
      <c r="B147" s="176" t="s">
        <v>580</v>
      </c>
      <c r="C147" s="176" t="s">
        <v>21</v>
      </c>
      <c r="D147" s="176">
        <v>24.0</v>
      </c>
      <c r="E147" s="177">
        <v>135.0</v>
      </c>
    </row>
    <row r="148">
      <c r="A148" s="1" t="s">
        <v>2246</v>
      </c>
      <c r="B148" s="176" t="s">
        <v>584</v>
      </c>
      <c r="C148" s="176" t="s">
        <v>21</v>
      </c>
      <c r="D148" s="176">
        <v>24.0</v>
      </c>
      <c r="E148" s="177">
        <v>135.0</v>
      </c>
    </row>
    <row r="149">
      <c r="A149" s="1" t="s">
        <v>2247</v>
      </c>
      <c r="B149" s="176" t="s">
        <v>588</v>
      </c>
      <c r="C149" s="176" t="s">
        <v>21</v>
      </c>
      <c r="D149" s="176">
        <v>24.0</v>
      </c>
      <c r="E149" s="177">
        <v>135.0</v>
      </c>
    </row>
    <row r="150">
      <c r="A150" s="1" t="s">
        <v>2248</v>
      </c>
      <c r="B150" s="176" t="s">
        <v>594</v>
      </c>
      <c r="C150" s="176" t="s">
        <v>21</v>
      </c>
      <c r="D150" s="176">
        <v>24.0</v>
      </c>
      <c r="E150" s="177">
        <v>121.8375</v>
      </c>
    </row>
    <row r="151">
      <c r="A151" s="1" t="s">
        <v>2249</v>
      </c>
      <c r="B151" s="176" t="s">
        <v>598</v>
      </c>
      <c r="C151" s="176" t="s">
        <v>21</v>
      </c>
      <c r="D151" s="176">
        <v>24.0</v>
      </c>
      <c r="E151" s="177">
        <v>121.8375</v>
      </c>
    </row>
    <row r="152">
      <c r="A152" s="1" t="s">
        <v>2250</v>
      </c>
      <c r="B152" s="176" t="s">
        <v>601</v>
      </c>
      <c r="C152" s="176" t="s">
        <v>21</v>
      </c>
      <c r="D152" s="176">
        <v>24.0</v>
      </c>
      <c r="E152" s="177">
        <v>121.8375</v>
      </c>
    </row>
    <row r="153">
      <c r="A153" s="1" t="s">
        <v>2251</v>
      </c>
      <c r="B153" s="176" t="s">
        <v>605</v>
      </c>
      <c r="C153" s="176" t="s">
        <v>21</v>
      </c>
      <c r="D153" s="176">
        <v>72.0</v>
      </c>
      <c r="E153" s="177">
        <v>121.8375</v>
      </c>
    </row>
    <row r="154">
      <c r="A154" s="1" t="s">
        <v>2252</v>
      </c>
      <c r="B154" s="176" t="s">
        <v>609</v>
      </c>
      <c r="C154" s="176" t="s">
        <v>21</v>
      </c>
      <c r="D154" s="176">
        <v>24.0</v>
      </c>
      <c r="E154" s="177">
        <v>121.8375</v>
      </c>
    </row>
    <row r="155">
      <c r="A155" s="1" t="s">
        <v>2253</v>
      </c>
      <c r="B155" s="176" t="s">
        <v>613</v>
      </c>
      <c r="C155" s="176" t="s">
        <v>21</v>
      </c>
      <c r="D155" s="176">
        <v>240.0</v>
      </c>
      <c r="E155" s="177">
        <v>119.0</v>
      </c>
    </row>
    <row r="156">
      <c r="A156" s="1" t="s">
        <v>2254</v>
      </c>
      <c r="B156" s="176" t="s">
        <v>617</v>
      </c>
      <c r="C156" s="176" t="s">
        <v>21</v>
      </c>
      <c r="D156" s="176">
        <v>24.0</v>
      </c>
      <c r="E156" s="177">
        <v>119.0</v>
      </c>
    </row>
    <row r="157">
      <c r="A157" s="1" t="s">
        <v>2255</v>
      </c>
      <c r="B157" s="176" t="s">
        <v>621</v>
      </c>
      <c r="C157" s="176" t="s">
        <v>21</v>
      </c>
      <c r="D157" s="176">
        <v>48.0</v>
      </c>
      <c r="E157" s="177">
        <v>118.18</v>
      </c>
    </row>
    <row r="158">
      <c r="A158" s="1" t="s">
        <v>2256</v>
      </c>
      <c r="B158" s="176" t="s">
        <v>626</v>
      </c>
      <c r="C158" s="176" t="s">
        <v>21</v>
      </c>
      <c r="D158" s="176">
        <v>96.0</v>
      </c>
      <c r="E158" s="177">
        <v>119.0</v>
      </c>
    </row>
    <row r="159">
      <c r="A159" s="1" t="s">
        <v>2257</v>
      </c>
      <c r="B159" s="176" t="s">
        <v>630</v>
      </c>
      <c r="C159" s="176" t="s">
        <v>21</v>
      </c>
      <c r="D159" s="176">
        <v>24.0</v>
      </c>
      <c r="E159" s="177">
        <v>119.0</v>
      </c>
    </row>
    <row r="160">
      <c r="A160" s="1" t="s">
        <v>2258</v>
      </c>
      <c r="B160" s="176" t="s">
        <v>634</v>
      </c>
      <c r="C160" s="176" t="s">
        <v>21</v>
      </c>
      <c r="D160" s="176">
        <v>2.0</v>
      </c>
      <c r="E160" s="177">
        <v>119.0</v>
      </c>
    </row>
    <row r="161">
      <c r="A161" s="1" t="s">
        <v>2259</v>
      </c>
      <c r="B161" s="176" t="s">
        <v>639</v>
      </c>
      <c r="C161" s="176" t="s">
        <v>21</v>
      </c>
      <c r="D161" s="176">
        <v>24.0</v>
      </c>
      <c r="E161" s="177">
        <v>119.0</v>
      </c>
    </row>
    <row r="162">
      <c r="A162" s="1" t="s">
        <v>2260</v>
      </c>
      <c r="B162" s="176" t="s">
        <v>642</v>
      </c>
      <c r="C162" s="176" t="s">
        <v>21</v>
      </c>
      <c r="D162" s="176">
        <v>24.0</v>
      </c>
      <c r="E162" s="177">
        <v>119.0</v>
      </c>
    </row>
    <row r="163">
      <c r="A163" s="1" t="s">
        <v>2261</v>
      </c>
      <c r="B163" s="176" t="s">
        <v>646</v>
      </c>
      <c r="C163" s="176" t="s">
        <v>21</v>
      </c>
      <c r="D163" s="176">
        <v>480.0</v>
      </c>
      <c r="E163" s="177">
        <v>100.0</v>
      </c>
    </row>
    <row r="164">
      <c r="A164" s="1" t="s">
        <v>2262</v>
      </c>
      <c r="B164" s="176" t="s">
        <v>656</v>
      </c>
      <c r="C164" s="176" t="s">
        <v>21</v>
      </c>
      <c r="D164" s="176">
        <v>120.0</v>
      </c>
      <c r="E164" s="177">
        <v>110.0</v>
      </c>
    </row>
    <row r="165">
      <c r="A165" s="1" t="s">
        <v>2263</v>
      </c>
      <c r="B165" s="176" t="s">
        <v>660</v>
      </c>
      <c r="C165" s="176" t="s">
        <v>21</v>
      </c>
      <c r="D165" s="176">
        <v>24.0</v>
      </c>
      <c r="E165" s="177">
        <v>119.0</v>
      </c>
    </row>
    <row r="166">
      <c r="A166" s="1" t="s">
        <v>2264</v>
      </c>
      <c r="B166" s="176" t="s">
        <v>664</v>
      </c>
      <c r="C166" s="176" t="s">
        <v>21</v>
      </c>
      <c r="D166" s="176">
        <v>24.0</v>
      </c>
      <c r="E166" s="177">
        <v>119.0</v>
      </c>
    </row>
    <row r="167">
      <c r="A167" s="1" t="s">
        <v>2265</v>
      </c>
      <c r="B167" s="176" t="s">
        <v>668</v>
      </c>
      <c r="C167" s="176" t="s">
        <v>21</v>
      </c>
      <c r="D167" s="176">
        <v>24.0</v>
      </c>
      <c r="E167" s="177">
        <v>119.0</v>
      </c>
    </row>
    <row r="168">
      <c r="A168" s="1" t="s">
        <v>2266</v>
      </c>
      <c r="B168" s="176" t="s">
        <v>671</v>
      </c>
      <c r="C168" s="176" t="s">
        <v>21</v>
      </c>
      <c r="D168" s="176">
        <v>24.0</v>
      </c>
      <c r="E168" s="177">
        <v>118.18</v>
      </c>
    </row>
    <row r="169">
      <c r="A169" s="1" t="s">
        <v>2267</v>
      </c>
      <c r="B169" s="176" t="s">
        <v>676</v>
      </c>
      <c r="C169" s="176" t="s">
        <v>21</v>
      </c>
      <c r="D169" s="176">
        <v>120.0</v>
      </c>
      <c r="E169" s="177">
        <v>121.84</v>
      </c>
    </row>
    <row r="170">
      <c r="A170" s="1" t="s">
        <v>2268</v>
      </c>
      <c r="B170" s="176" t="s">
        <v>679</v>
      </c>
      <c r="C170" s="176" t="s">
        <v>21</v>
      </c>
      <c r="D170" s="176">
        <v>48.0</v>
      </c>
      <c r="E170" s="177">
        <v>121.84</v>
      </c>
    </row>
    <row r="171">
      <c r="A171" s="1" t="s">
        <v>2269</v>
      </c>
      <c r="B171" s="176" t="s">
        <v>684</v>
      </c>
      <c r="C171" s="176" t="s">
        <v>21</v>
      </c>
      <c r="D171" s="176">
        <v>24.0</v>
      </c>
      <c r="E171" s="177">
        <v>100.0</v>
      </c>
    </row>
    <row r="172">
      <c r="A172" s="1" t="s">
        <v>2270</v>
      </c>
      <c r="B172" s="176" t="s">
        <v>687</v>
      </c>
      <c r="C172" s="176" t="s">
        <v>21</v>
      </c>
      <c r="D172" s="176">
        <v>52.0</v>
      </c>
      <c r="E172" s="177">
        <v>112.0</v>
      </c>
    </row>
    <row r="173">
      <c r="A173" s="1" t="s">
        <v>2271</v>
      </c>
      <c r="B173" s="176" t="s">
        <v>689</v>
      </c>
      <c r="C173" s="176" t="s">
        <v>21</v>
      </c>
      <c r="D173" s="176">
        <v>24.0</v>
      </c>
      <c r="E173" s="177">
        <v>119.0</v>
      </c>
    </row>
    <row r="174">
      <c r="A174" s="1" t="s">
        <v>2272</v>
      </c>
      <c r="B174" s="176" t="s">
        <v>692</v>
      </c>
      <c r="C174" s="176" t="s">
        <v>21</v>
      </c>
      <c r="D174" s="176">
        <v>24.0</v>
      </c>
      <c r="E174" s="177">
        <v>119.0</v>
      </c>
    </row>
    <row r="175">
      <c r="A175" s="1" t="s">
        <v>2273</v>
      </c>
      <c r="B175" s="176" t="s">
        <v>697</v>
      </c>
      <c r="C175" s="176" t="s">
        <v>21</v>
      </c>
      <c r="D175" s="176">
        <v>24.0</v>
      </c>
      <c r="E175" s="177">
        <v>118.18</v>
      </c>
    </row>
    <row r="176">
      <c r="A176" s="1" t="s">
        <v>2274</v>
      </c>
      <c r="B176" s="176" t="s">
        <v>700</v>
      </c>
      <c r="C176" s="176" t="s">
        <v>21</v>
      </c>
      <c r="D176" s="176">
        <v>24.0</v>
      </c>
      <c r="E176" s="177">
        <v>119.0</v>
      </c>
    </row>
    <row r="177">
      <c r="A177" s="1" t="s">
        <v>2275</v>
      </c>
      <c r="B177" s="176" t="s">
        <v>705</v>
      </c>
      <c r="C177" s="176" t="s">
        <v>21</v>
      </c>
      <c r="D177" s="176">
        <v>48.0</v>
      </c>
      <c r="E177" s="177">
        <v>119.0</v>
      </c>
    </row>
    <row r="178">
      <c r="A178" s="1" t="s">
        <v>2276</v>
      </c>
      <c r="B178" s="176" t="s">
        <v>707</v>
      </c>
      <c r="C178" s="176" t="s">
        <v>21</v>
      </c>
      <c r="D178" s="176">
        <v>24.0</v>
      </c>
      <c r="E178" s="177">
        <v>118.18</v>
      </c>
    </row>
    <row r="179">
      <c r="A179" s="1" t="s">
        <v>2277</v>
      </c>
      <c r="B179" s="176" t="s">
        <v>711</v>
      </c>
      <c r="C179" s="176" t="s">
        <v>21</v>
      </c>
      <c r="D179" s="176">
        <v>48.0</v>
      </c>
      <c r="E179" s="177">
        <v>125.0</v>
      </c>
    </row>
    <row r="180">
      <c r="A180" s="1" t="s">
        <v>2278</v>
      </c>
      <c r="B180" s="176" t="s">
        <v>717</v>
      </c>
      <c r="C180" s="176" t="s">
        <v>21</v>
      </c>
      <c r="D180" s="176">
        <v>24.0</v>
      </c>
      <c r="E180" s="177">
        <v>119.0</v>
      </c>
    </row>
    <row r="181">
      <c r="A181" s="1" t="s">
        <v>2279</v>
      </c>
      <c r="B181" s="176" t="s">
        <v>721</v>
      </c>
      <c r="C181" s="176" t="s">
        <v>21</v>
      </c>
      <c r="D181" s="176">
        <v>24.0</v>
      </c>
      <c r="E181" s="177">
        <v>119.0</v>
      </c>
    </row>
    <row r="182">
      <c r="A182" s="1" t="s">
        <v>2280</v>
      </c>
      <c r="B182" s="176" t="s">
        <v>725</v>
      </c>
      <c r="C182" s="176" t="s">
        <v>21</v>
      </c>
      <c r="D182" s="176">
        <v>24.0</v>
      </c>
      <c r="E182" s="177">
        <v>119.0</v>
      </c>
    </row>
    <row r="183">
      <c r="A183" s="1" t="s">
        <v>2281</v>
      </c>
      <c r="B183" s="176" t="s">
        <v>729</v>
      </c>
      <c r="C183" s="176" t="s">
        <v>21</v>
      </c>
      <c r="D183" s="176">
        <v>48.0</v>
      </c>
      <c r="E183" s="177">
        <v>119.0</v>
      </c>
    </row>
    <row r="184">
      <c r="A184" s="1" t="s">
        <v>2282</v>
      </c>
      <c r="B184" s="176" t="s">
        <v>733</v>
      </c>
      <c r="C184" s="176" t="s">
        <v>21</v>
      </c>
      <c r="D184" s="176">
        <v>48.0</v>
      </c>
      <c r="E184" s="177">
        <v>128.5</v>
      </c>
    </row>
    <row r="185">
      <c r="A185" s="1" t="s">
        <v>2283</v>
      </c>
      <c r="B185" s="176" t="s">
        <v>736</v>
      </c>
      <c r="C185" s="176" t="s">
        <v>21</v>
      </c>
      <c r="D185" s="176">
        <v>24.0</v>
      </c>
      <c r="E185" s="177">
        <v>119.0</v>
      </c>
    </row>
    <row r="186">
      <c r="A186" s="1" t="s">
        <v>2284</v>
      </c>
      <c r="B186" s="176" t="s">
        <v>739</v>
      </c>
      <c r="C186" s="176" t="s">
        <v>21</v>
      </c>
      <c r="D186" s="176">
        <v>240.0</v>
      </c>
      <c r="E186" s="177">
        <v>121.5</v>
      </c>
    </row>
    <row r="187">
      <c r="A187" s="1" t="s">
        <v>2285</v>
      </c>
      <c r="B187" s="176" t="s">
        <v>742</v>
      </c>
      <c r="C187" s="176" t="s">
        <v>21</v>
      </c>
      <c r="D187" s="176">
        <v>48.0</v>
      </c>
      <c r="E187" s="177">
        <v>119.0</v>
      </c>
    </row>
    <row r="188">
      <c r="A188" s="1" t="s">
        <v>2286</v>
      </c>
      <c r="B188" s="176" t="s">
        <v>751</v>
      </c>
      <c r="C188" s="176" t="s">
        <v>21</v>
      </c>
      <c r="D188" s="176">
        <v>24.0</v>
      </c>
      <c r="E188" s="177">
        <v>119.0</v>
      </c>
    </row>
    <row r="189">
      <c r="A189" s="1" t="s">
        <v>2287</v>
      </c>
      <c r="B189" s="176" t="s">
        <v>759</v>
      </c>
      <c r="C189" s="176" t="s">
        <v>21</v>
      </c>
      <c r="D189" s="176">
        <v>24.0</v>
      </c>
      <c r="E189" s="177">
        <v>119.0</v>
      </c>
    </row>
    <row r="190">
      <c r="A190" s="1" t="s">
        <v>2288</v>
      </c>
      <c r="B190" s="176" t="s">
        <v>763</v>
      </c>
      <c r="C190" s="176" t="s">
        <v>21</v>
      </c>
      <c r="D190" s="176">
        <v>24.0</v>
      </c>
      <c r="E190" s="177">
        <v>119.0</v>
      </c>
    </row>
    <row r="191">
      <c r="A191" s="1" t="s">
        <v>2289</v>
      </c>
      <c r="B191" s="176" t="s">
        <v>767</v>
      </c>
      <c r="C191" s="176" t="s">
        <v>21</v>
      </c>
      <c r="D191" s="176">
        <v>24.0</v>
      </c>
      <c r="E191" s="177">
        <v>122.0</v>
      </c>
    </row>
    <row r="192">
      <c r="A192" s="1" t="s">
        <v>2290</v>
      </c>
      <c r="B192" s="176" t="s">
        <v>768</v>
      </c>
      <c r="C192" s="176" t="s">
        <v>21</v>
      </c>
      <c r="D192" s="176">
        <v>24.0</v>
      </c>
      <c r="E192" s="177">
        <v>125.0</v>
      </c>
    </row>
    <row r="193">
      <c r="A193" s="1" t="s">
        <v>2291</v>
      </c>
      <c r="B193" s="176" t="s">
        <v>772</v>
      </c>
      <c r="C193" s="176" t="s">
        <v>21</v>
      </c>
      <c r="D193" s="176">
        <v>48.0</v>
      </c>
      <c r="E193" s="177">
        <v>119.0</v>
      </c>
    </row>
    <row r="194">
      <c r="A194" s="1" t="s">
        <v>2292</v>
      </c>
      <c r="B194" s="176" t="s">
        <v>775</v>
      </c>
      <c r="C194" s="176" t="s">
        <v>21</v>
      </c>
      <c r="D194" s="176">
        <v>24.0</v>
      </c>
      <c r="E194" s="177">
        <v>119.0</v>
      </c>
    </row>
    <row r="195">
      <c r="A195" s="1" t="s">
        <v>2293</v>
      </c>
      <c r="B195" s="176" t="s">
        <v>778</v>
      </c>
      <c r="C195" s="176" t="s">
        <v>21</v>
      </c>
      <c r="D195" s="176">
        <v>48.0</v>
      </c>
      <c r="E195" s="177">
        <v>119.0</v>
      </c>
    </row>
    <row r="196">
      <c r="A196" s="1" t="s">
        <v>2294</v>
      </c>
      <c r="B196" s="176" t="s">
        <v>782</v>
      </c>
      <c r="C196" s="176" t="s">
        <v>21</v>
      </c>
      <c r="D196" s="176">
        <v>48.0</v>
      </c>
      <c r="E196" s="177">
        <v>112.0</v>
      </c>
    </row>
    <row r="197">
      <c r="A197" s="1" t="s">
        <v>2295</v>
      </c>
      <c r="B197" s="176" t="s">
        <v>784</v>
      </c>
      <c r="C197" s="176" t="s">
        <v>21</v>
      </c>
      <c r="D197" s="176">
        <v>72.0</v>
      </c>
      <c r="E197" s="177">
        <v>124.4</v>
      </c>
    </row>
    <row r="198">
      <c r="A198" s="1" t="s">
        <v>2296</v>
      </c>
      <c r="B198" s="176" t="s">
        <v>788</v>
      </c>
      <c r="C198" s="176" t="s">
        <v>21</v>
      </c>
      <c r="D198" s="176">
        <v>24.0</v>
      </c>
      <c r="E198" s="178">
        <v>0.0</v>
      </c>
    </row>
    <row r="199">
      <c r="A199" s="1" t="s">
        <v>2297</v>
      </c>
      <c r="B199" s="176" t="s">
        <v>790</v>
      </c>
      <c r="C199" s="176" t="s">
        <v>21</v>
      </c>
      <c r="D199" s="176">
        <v>24.0</v>
      </c>
      <c r="E199" s="177">
        <v>119.0</v>
      </c>
    </row>
    <row r="200">
      <c r="A200" s="1" t="s">
        <v>2298</v>
      </c>
      <c r="B200" s="176" t="s">
        <v>794</v>
      </c>
      <c r="C200" s="176" t="s">
        <v>21</v>
      </c>
      <c r="D200" s="176">
        <v>24.0</v>
      </c>
      <c r="E200" s="177">
        <v>118.19</v>
      </c>
    </row>
    <row r="201">
      <c r="A201" s="1" t="s">
        <v>2299</v>
      </c>
      <c r="B201" s="176" t="s">
        <v>798</v>
      </c>
      <c r="C201" s="176" t="s">
        <v>21</v>
      </c>
      <c r="D201" s="176">
        <v>24.0</v>
      </c>
      <c r="E201" s="177">
        <v>118.19</v>
      </c>
    </row>
    <row r="202">
      <c r="A202" s="1" t="s">
        <v>2300</v>
      </c>
      <c r="B202" s="176" t="s">
        <v>802</v>
      </c>
      <c r="C202" s="176" t="s">
        <v>21</v>
      </c>
      <c r="D202" s="176">
        <v>24.0</v>
      </c>
      <c r="E202" s="177">
        <v>119.0</v>
      </c>
    </row>
    <row r="203">
      <c r="A203" s="1" t="s">
        <v>2301</v>
      </c>
      <c r="B203" s="176" t="s">
        <v>806</v>
      </c>
      <c r="C203" s="176" t="s">
        <v>21</v>
      </c>
      <c r="D203" s="176">
        <v>72.0</v>
      </c>
      <c r="E203" s="177">
        <v>119.0</v>
      </c>
    </row>
    <row r="204">
      <c r="A204" s="1" t="s">
        <v>2302</v>
      </c>
      <c r="B204" s="176" t="s">
        <v>810</v>
      </c>
      <c r="C204" s="176" t="s">
        <v>21</v>
      </c>
      <c r="D204" s="176">
        <v>48.0</v>
      </c>
      <c r="E204" s="177">
        <v>119.0</v>
      </c>
    </row>
    <row r="205">
      <c r="A205" s="1" t="s">
        <v>2303</v>
      </c>
      <c r="B205" s="176" t="s">
        <v>814</v>
      </c>
      <c r="C205" s="176" t="s">
        <v>21</v>
      </c>
      <c r="D205" s="176">
        <v>24.0</v>
      </c>
      <c r="E205" s="177">
        <v>119.0</v>
      </c>
    </row>
    <row r="206">
      <c r="A206" s="1" t="s">
        <v>2304</v>
      </c>
      <c r="B206" s="176" t="s">
        <v>817</v>
      </c>
      <c r="C206" s="176" t="s">
        <v>21</v>
      </c>
      <c r="D206" s="176">
        <v>48.0</v>
      </c>
      <c r="E206" s="177">
        <v>124.4</v>
      </c>
    </row>
    <row r="207">
      <c r="A207" s="1" t="s">
        <v>2305</v>
      </c>
      <c r="B207" s="176" t="s">
        <v>821</v>
      </c>
      <c r="C207" s="176" t="s">
        <v>21</v>
      </c>
      <c r="D207" s="176">
        <v>48.0</v>
      </c>
      <c r="E207" s="177">
        <v>119.0</v>
      </c>
    </row>
    <row r="208">
      <c r="A208" s="1" t="s">
        <v>2306</v>
      </c>
      <c r="B208" s="176" t="s">
        <v>825</v>
      </c>
      <c r="C208" s="176" t="s">
        <v>21</v>
      </c>
      <c r="D208" s="176">
        <v>24.0</v>
      </c>
      <c r="E208" s="177">
        <v>100.0</v>
      </c>
    </row>
    <row r="209">
      <c r="A209" s="1" t="s">
        <v>2307</v>
      </c>
      <c r="B209" s="176" t="s">
        <v>828</v>
      </c>
      <c r="C209" s="176" t="s">
        <v>21</v>
      </c>
      <c r="D209" s="176">
        <v>24.0</v>
      </c>
      <c r="E209" s="177">
        <v>128.5</v>
      </c>
    </row>
    <row r="210">
      <c r="A210" s="1" t="s">
        <v>2308</v>
      </c>
      <c r="B210" s="176" t="s">
        <v>832</v>
      </c>
      <c r="C210" s="176" t="s">
        <v>21</v>
      </c>
      <c r="D210" s="176">
        <v>24.0</v>
      </c>
      <c r="E210" s="177">
        <v>118.18</v>
      </c>
    </row>
    <row r="211">
      <c r="A211" s="1" t="s">
        <v>2309</v>
      </c>
      <c r="B211" s="176" t="s">
        <v>836</v>
      </c>
      <c r="C211" s="176" t="s">
        <v>21</v>
      </c>
      <c r="D211" s="176">
        <v>24.0</v>
      </c>
      <c r="E211" s="177">
        <v>119.0</v>
      </c>
    </row>
    <row r="212">
      <c r="A212" s="1" t="s">
        <v>2310</v>
      </c>
      <c r="B212" s="176" t="s">
        <v>839</v>
      </c>
      <c r="C212" s="176" t="s">
        <v>21</v>
      </c>
      <c r="D212" s="176">
        <v>24.0</v>
      </c>
      <c r="E212" s="177">
        <v>119.0</v>
      </c>
    </row>
    <row r="213">
      <c r="A213" s="1" t="s">
        <v>2311</v>
      </c>
      <c r="B213" s="176" t="s">
        <v>843</v>
      </c>
      <c r="C213" s="176" t="s">
        <v>21</v>
      </c>
      <c r="D213" s="176">
        <v>24.0</v>
      </c>
      <c r="E213" s="177">
        <v>119.0</v>
      </c>
    </row>
    <row r="214">
      <c r="A214" s="1" t="s">
        <v>2312</v>
      </c>
      <c r="B214" s="176" t="s">
        <v>852</v>
      </c>
      <c r="C214" s="176" t="s">
        <v>21</v>
      </c>
      <c r="D214" s="176">
        <v>120.0</v>
      </c>
      <c r="E214" s="178">
        <v>0.0</v>
      </c>
    </row>
    <row r="215">
      <c r="A215" s="1" t="s">
        <v>2313</v>
      </c>
      <c r="B215" s="176" t="s">
        <v>857</v>
      </c>
      <c r="C215" s="176" t="s">
        <v>21</v>
      </c>
      <c r="D215" s="176">
        <v>24.0</v>
      </c>
      <c r="E215" s="177">
        <v>118.18</v>
      </c>
    </row>
    <row r="216">
      <c r="A216" s="1" t="s">
        <v>2314</v>
      </c>
      <c r="B216" s="176" t="s">
        <v>861</v>
      </c>
      <c r="C216" s="176" t="s">
        <v>21</v>
      </c>
      <c r="D216" s="176">
        <v>24.0</v>
      </c>
      <c r="E216" s="177">
        <v>115.0</v>
      </c>
    </row>
    <row r="217">
      <c r="A217" s="1" t="s">
        <v>2315</v>
      </c>
      <c r="B217" s="176" t="s">
        <v>864</v>
      </c>
      <c r="C217" s="176" t="s">
        <v>21</v>
      </c>
      <c r="D217" s="176">
        <v>24.0</v>
      </c>
      <c r="E217" s="177">
        <v>119.0</v>
      </c>
    </row>
    <row r="218">
      <c r="A218" s="1" t="s">
        <v>2316</v>
      </c>
      <c r="B218" s="176" t="s">
        <v>868</v>
      </c>
      <c r="C218" s="176" t="s">
        <v>21</v>
      </c>
      <c r="D218" s="176">
        <v>24.0</v>
      </c>
      <c r="E218" s="177">
        <v>118.18</v>
      </c>
    </row>
    <row r="219">
      <c r="A219" s="1" t="s">
        <v>2317</v>
      </c>
      <c r="B219" s="176" t="s">
        <v>872</v>
      </c>
      <c r="C219" s="176" t="s">
        <v>21</v>
      </c>
      <c r="D219" s="176">
        <v>24.0</v>
      </c>
      <c r="E219" s="177">
        <v>118.18</v>
      </c>
    </row>
    <row r="220">
      <c r="A220" s="1" t="s">
        <v>2318</v>
      </c>
      <c r="B220" s="176" t="s">
        <v>875</v>
      </c>
      <c r="C220" s="176" t="s">
        <v>21</v>
      </c>
      <c r="D220" s="176">
        <v>24.0</v>
      </c>
      <c r="E220" s="177">
        <v>118.18</v>
      </c>
    </row>
    <row r="221">
      <c r="A221" s="1" t="s">
        <v>2319</v>
      </c>
      <c r="B221" s="176" t="s">
        <v>879</v>
      </c>
      <c r="C221" s="176" t="s">
        <v>21</v>
      </c>
      <c r="D221" s="176">
        <v>24.0</v>
      </c>
      <c r="E221" s="177">
        <v>118.18</v>
      </c>
    </row>
    <row r="222">
      <c r="A222" s="1" t="s">
        <v>2320</v>
      </c>
      <c r="B222" s="176" t="s">
        <v>883</v>
      </c>
      <c r="C222" s="176" t="s">
        <v>21</v>
      </c>
      <c r="D222" s="176">
        <v>240.0</v>
      </c>
      <c r="E222" s="177">
        <v>110.0</v>
      </c>
    </row>
    <row r="223">
      <c r="A223" s="1" t="s">
        <v>2321</v>
      </c>
      <c r="B223" s="176" t="s">
        <v>885</v>
      </c>
      <c r="C223" s="176" t="s">
        <v>21</v>
      </c>
      <c r="D223" s="176">
        <v>48.0</v>
      </c>
      <c r="E223" s="177">
        <v>128.25</v>
      </c>
    </row>
    <row r="224">
      <c r="A224" s="1" t="s">
        <v>2322</v>
      </c>
      <c r="B224" s="176" t="s">
        <v>890</v>
      </c>
      <c r="C224" s="176" t="s">
        <v>21</v>
      </c>
      <c r="D224" s="176">
        <v>24.0</v>
      </c>
      <c r="E224" s="177">
        <v>125.0</v>
      </c>
    </row>
    <row r="225">
      <c r="A225" s="1" t="s">
        <v>2323</v>
      </c>
      <c r="B225" s="176" t="s">
        <v>894</v>
      </c>
      <c r="C225" s="176" t="s">
        <v>21</v>
      </c>
      <c r="D225" s="176">
        <v>24.0</v>
      </c>
      <c r="E225" s="177">
        <v>119.0</v>
      </c>
    </row>
    <row r="226">
      <c r="A226" s="1" t="s">
        <v>2324</v>
      </c>
      <c r="B226" s="176" t="s">
        <v>898</v>
      </c>
      <c r="C226" s="176" t="s">
        <v>21</v>
      </c>
      <c r="D226" s="176">
        <v>24.0</v>
      </c>
      <c r="E226" s="177">
        <v>125.0</v>
      </c>
    </row>
    <row r="227">
      <c r="A227" s="1" t="s">
        <v>2325</v>
      </c>
      <c r="B227" s="176" t="s">
        <v>901</v>
      </c>
      <c r="C227" s="176" t="s">
        <v>21</v>
      </c>
      <c r="D227" s="176">
        <v>4.0</v>
      </c>
      <c r="E227" s="177">
        <v>119.0</v>
      </c>
    </row>
    <row r="228">
      <c r="A228" s="1" t="s">
        <v>2326</v>
      </c>
      <c r="B228" s="176" t="s">
        <v>905</v>
      </c>
      <c r="C228" s="176" t="s">
        <v>21</v>
      </c>
      <c r="D228" s="176">
        <v>72.0</v>
      </c>
      <c r="E228" s="177">
        <v>119.0</v>
      </c>
    </row>
    <row r="229">
      <c r="A229" s="1" t="s">
        <v>2327</v>
      </c>
      <c r="B229" s="176" t="s">
        <v>909</v>
      </c>
      <c r="C229" s="176" t="s">
        <v>21</v>
      </c>
      <c r="D229" s="176">
        <v>24.0</v>
      </c>
      <c r="E229" s="177">
        <v>119.0</v>
      </c>
    </row>
    <row r="230">
      <c r="A230" s="1" t="s">
        <v>2328</v>
      </c>
      <c r="B230" s="176" t="s">
        <v>911</v>
      </c>
      <c r="C230" s="176" t="s">
        <v>21</v>
      </c>
      <c r="D230" s="176">
        <v>48.0</v>
      </c>
      <c r="E230" s="177">
        <v>119.0</v>
      </c>
    </row>
    <row r="231">
      <c r="A231" s="1" t="s">
        <v>2329</v>
      </c>
      <c r="B231" s="176" t="s">
        <v>913</v>
      </c>
      <c r="C231" s="176" t="s">
        <v>21</v>
      </c>
      <c r="D231" s="176">
        <v>24.0</v>
      </c>
      <c r="E231" s="178">
        <v>0.0</v>
      </c>
    </row>
    <row r="232">
      <c r="A232" s="1" t="s">
        <v>2330</v>
      </c>
      <c r="B232" s="176" t="s">
        <v>915</v>
      </c>
      <c r="C232" s="176" t="s">
        <v>21</v>
      </c>
      <c r="D232" s="176">
        <v>48.0</v>
      </c>
      <c r="E232" s="177">
        <v>119.0</v>
      </c>
    </row>
    <row r="233">
      <c r="A233" s="1" t="s">
        <v>2331</v>
      </c>
      <c r="B233" s="176" t="s">
        <v>918</v>
      </c>
      <c r="C233" s="176" t="s">
        <v>21</v>
      </c>
      <c r="D233" s="176">
        <v>48.0</v>
      </c>
      <c r="E233" s="177">
        <v>124.4</v>
      </c>
    </row>
    <row r="234">
      <c r="A234" s="1" t="s">
        <v>2332</v>
      </c>
      <c r="B234" s="176" t="s">
        <v>921</v>
      </c>
      <c r="C234" s="176" t="s">
        <v>21</v>
      </c>
      <c r="D234" s="176">
        <v>4.0</v>
      </c>
      <c r="E234" s="177">
        <v>119.0</v>
      </c>
    </row>
    <row r="235">
      <c r="A235" s="1" t="s">
        <v>2333</v>
      </c>
      <c r="B235" s="176" t="s">
        <v>925</v>
      </c>
      <c r="C235" s="176" t="s">
        <v>21</v>
      </c>
      <c r="D235" s="176">
        <v>24.0</v>
      </c>
      <c r="E235" s="177">
        <v>119.0</v>
      </c>
    </row>
    <row r="236">
      <c r="A236" s="1" t="s">
        <v>2334</v>
      </c>
      <c r="B236" s="176" t="s">
        <v>929</v>
      </c>
      <c r="C236" s="176" t="s">
        <v>21</v>
      </c>
      <c r="D236" s="176">
        <v>24.0</v>
      </c>
      <c r="E236" s="177">
        <v>119.0</v>
      </c>
    </row>
    <row r="237">
      <c r="A237" s="1" t="s">
        <v>2335</v>
      </c>
      <c r="B237" s="176" t="s">
        <v>933</v>
      </c>
      <c r="C237" s="176" t="s">
        <v>21</v>
      </c>
      <c r="D237" s="176">
        <v>48.0</v>
      </c>
      <c r="E237" s="177">
        <v>119.0</v>
      </c>
    </row>
    <row r="238">
      <c r="A238" s="1" t="s">
        <v>2336</v>
      </c>
      <c r="B238" s="176" t="s">
        <v>936</v>
      </c>
      <c r="C238" s="176" t="s">
        <v>21</v>
      </c>
      <c r="D238" s="176">
        <v>120.0</v>
      </c>
      <c r="E238" s="177">
        <v>119.0</v>
      </c>
    </row>
    <row r="239">
      <c r="A239" s="1" t="s">
        <v>2337</v>
      </c>
      <c r="B239" s="176" t="s">
        <v>939</v>
      </c>
      <c r="C239" s="176" t="s">
        <v>21</v>
      </c>
      <c r="D239" s="176">
        <v>72.0</v>
      </c>
      <c r="E239" s="177">
        <v>118.18</v>
      </c>
    </row>
    <row r="240">
      <c r="A240" s="1" t="s">
        <v>2338</v>
      </c>
      <c r="B240" s="176" t="s">
        <v>941</v>
      </c>
      <c r="C240" s="176" t="s">
        <v>21</v>
      </c>
      <c r="D240" s="176">
        <v>48.0</v>
      </c>
      <c r="E240" s="177">
        <v>124.4</v>
      </c>
    </row>
    <row r="241">
      <c r="A241" s="1" t="s">
        <v>2339</v>
      </c>
      <c r="B241" s="176" t="s">
        <v>946</v>
      </c>
      <c r="C241" s="176" t="s">
        <v>21</v>
      </c>
      <c r="D241" s="176">
        <v>24.0</v>
      </c>
      <c r="E241" s="177">
        <v>124.4</v>
      </c>
    </row>
    <row r="242">
      <c r="A242" s="1" t="s">
        <v>2340</v>
      </c>
      <c r="B242" s="176" t="s">
        <v>953</v>
      </c>
      <c r="C242" s="176" t="s">
        <v>21</v>
      </c>
      <c r="D242" s="176">
        <v>24.0</v>
      </c>
      <c r="E242" s="177">
        <v>119.0</v>
      </c>
    </row>
    <row r="243">
      <c r="A243" s="1" t="s">
        <v>2341</v>
      </c>
      <c r="B243" s="176" t="s">
        <v>956</v>
      </c>
      <c r="C243" s="176" t="s">
        <v>21</v>
      </c>
      <c r="D243" s="176">
        <v>24.0</v>
      </c>
      <c r="E243" s="177">
        <v>119.0</v>
      </c>
    </row>
    <row r="244">
      <c r="A244" s="1" t="s">
        <v>2342</v>
      </c>
      <c r="B244" s="176" t="s">
        <v>957</v>
      </c>
      <c r="C244" s="176" t="s">
        <v>21</v>
      </c>
      <c r="D244" s="176">
        <v>48.0</v>
      </c>
      <c r="E244" s="177">
        <v>119.0</v>
      </c>
    </row>
    <row r="245">
      <c r="A245" s="1" t="s">
        <v>2343</v>
      </c>
      <c r="B245" s="176" t="s">
        <v>959</v>
      </c>
      <c r="C245" s="176" t="s">
        <v>21</v>
      </c>
      <c r="D245" s="176">
        <v>120.0</v>
      </c>
      <c r="E245" s="177">
        <v>116.0</v>
      </c>
    </row>
    <row r="246">
      <c r="A246" s="1" t="s">
        <v>2344</v>
      </c>
      <c r="B246" s="176" t="s">
        <v>969</v>
      </c>
      <c r="C246" s="176" t="s">
        <v>21</v>
      </c>
      <c r="D246" s="176">
        <v>48.0</v>
      </c>
      <c r="E246" s="177">
        <v>119.0</v>
      </c>
    </row>
    <row r="247">
      <c r="A247" s="1" t="s">
        <v>2345</v>
      </c>
      <c r="B247" s="176" t="s">
        <v>973</v>
      </c>
      <c r="C247" s="176" t="s">
        <v>21</v>
      </c>
      <c r="D247" s="176">
        <v>24.0</v>
      </c>
      <c r="E247" s="177">
        <v>119.0</v>
      </c>
    </row>
    <row r="248">
      <c r="A248" s="1" t="s">
        <v>2346</v>
      </c>
      <c r="B248" s="176" t="s">
        <v>977</v>
      </c>
      <c r="C248" s="176" t="s">
        <v>21</v>
      </c>
      <c r="D248" s="176">
        <v>24.0</v>
      </c>
      <c r="E248" s="177">
        <v>119.0</v>
      </c>
    </row>
    <row r="249">
      <c r="A249" s="1" t="s">
        <v>2347</v>
      </c>
      <c r="B249" s="176" t="s">
        <v>981</v>
      </c>
      <c r="C249" s="176" t="s">
        <v>21</v>
      </c>
      <c r="D249" s="176">
        <v>24.0</v>
      </c>
      <c r="E249" s="177">
        <v>119.0</v>
      </c>
    </row>
    <row r="250">
      <c r="A250" s="1" t="s">
        <v>2348</v>
      </c>
      <c r="B250" s="176" t="s">
        <v>983</v>
      </c>
      <c r="C250" s="176" t="s">
        <v>21</v>
      </c>
      <c r="D250" s="176">
        <v>24.0</v>
      </c>
      <c r="E250" s="177">
        <v>119.0</v>
      </c>
    </row>
    <row r="251">
      <c r="A251" s="1" t="s">
        <v>2349</v>
      </c>
      <c r="B251" s="176" t="s">
        <v>987</v>
      </c>
      <c r="C251" s="176" t="s">
        <v>21</v>
      </c>
      <c r="D251" s="176">
        <v>48.0</v>
      </c>
      <c r="E251" s="177">
        <v>124.4</v>
      </c>
    </row>
    <row r="252">
      <c r="A252" s="1" t="s">
        <v>2350</v>
      </c>
      <c r="B252" s="176" t="s">
        <v>991</v>
      </c>
      <c r="C252" s="176" t="s">
        <v>21</v>
      </c>
      <c r="D252" s="176">
        <v>24.0</v>
      </c>
      <c r="E252" s="177">
        <v>124.4</v>
      </c>
    </row>
    <row r="253">
      <c r="A253" s="1" t="s">
        <v>2351</v>
      </c>
      <c r="B253" s="176" t="s">
        <v>994</v>
      </c>
      <c r="C253" s="176" t="s">
        <v>21</v>
      </c>
      <c r="D253" s="176">
        <v>408.0</v>
      </c>
      <c r="E253" s="177">
        <v>105.0</v>
      </c>
    </row>
    <row r="254">
      <c r="A254" s="1" t="s">
        <v>2352</v>
      </c>
      <c r="B254" s="176" t="s">
        <v>1001</v>
      </c>
      <c r="C254" s="176" t="s">
        <v>21</v>
      </c>
      <c r="D254" s="176">
        <v>24.0</v>
      </c>
      <c r="E254" s="178">
        <v>0.0</v>
      </c>
    </row>
    <row r="255">
      <c r="A255" s="1" t="s">
        <v>2353</v>
      </c>
      <c r="B255" s="176" t="s">
        <v>1002</v>
      </c>
      <c r="C255" s="176" t="s">
        <v>21</v>
      </c>
      <c r="D255" s="176">
        <v>120.0</v>
      </c>
      <c r="E255" s="177">
        <v>119.0</v>
      </c>
    </row>
    <row r="256">
      <c r="A256" s="1" t="s">
        <v>2354</v>
      </c>
      <c r="B256" s="176" t="s">
        <v>1004</v>
      </c>
      <c r="C256" s="176" t="s">
        <v>21</v>
      </c>
      <c r="D256" s="176">
        <v>24.0</v>
      </c>
      <c r="E256" s="177">
        <v>118.18</v>
      </c>
    </row>
    <row r="257">
      <c r="A257" s="1" t="s">
        <v>2355</v>
      </c>
      <c r="B257" s="176" t="s">
        <v>1006</v>
      </c>
      <c r="C257" s="176" t="s">
        <v>21</v>
      </c>
      <c r="D257" s="176">
        <v>24.0</v>
      </c>
      <c r="E257" s="177">
        <v>115.0</v>
      </c>
    </row>
    <row r="258">
      <c r="A258" s="1" t="s">
        <v>2356</v>
      </c>
      <c r="B258" s="176" t="s">
        <v>1010</v>
      </c>
      <c r="C258" s="176" t="s">
        <v>21</v>
      </c>
      <c r="D258" s="176">
        <v>48.0</v>
      </c>
      <c r="E258" s="177">
        <v>119.0</v>
      </c>
    </row>
    <row r="259">
      <c r="A259" s="1" t="s">
        <v>2357</v>
      </c>
      <c r="B259" s="176" t="s">
        <v>1012</v>
      </c>
      <c r="C259" s="176" t="s">
        <v>21</v>
      </c>
      <c r="D259" s="176">
        <v>24.0</v>
      </c>
      <c r="E259" s="177">
        <v>118.18</v>
      </c>
    </row>
    <row r="260">
      <c r="A260" s="1" t="s">
        <v>2358</v>
      </c>
      <c r="B260" s="176" t="s">
        <v>1014</v>
      </c>
      <c r="C260" s="176" t="s">
        <v>21</v>
      </c>
      <c r="D260" s="176">
        <v>120.0</v>
      </c>
      <c r="E260" s="177">
        <v>135.0</v>
      </c>
    </row>
    <row r="261">
      <c r="A261" s="1" t="s">
        <v>2359</v>
      </c>
      <c r="B261" s="176" t="s">
        <v>1021</v>
      </c>
      <c r="C261" s="176" t="s">
        <v>21</v>
      </c>
      <c r="D261" s="176">
        <v>24.0</v>
      </c>
      <c r="E261" s="177">
        <v>119.0</v>
      </c>
    </row>
    <row r="262">
      <c r="A262" s="1" t="s">
        <v>2360</v>
      </c>
      <c r="B262" s="176" t="s">
        <v>1024</v>
      </c>
      <c r="C262" s="176" t="s">
        <v>21</v>
      </c>
      <c r="D262" s="176">
        <v>24.0</v>
      </c>
      <c r="E262" s="177">
        <v>128.25</v>
      </c>
    </row>
    <row r="263">
      <c r="A263" s="1" t="s">
        <v>2361</v>
      </c>
      <c r="B263" s="176" t="s">
        <v>1026</v>
      </c>
      <c r="C263" s="176" t="s">
        <v>21</v>
      </c>
      <c r="D263" s="176">
        <v>120.0</v>
      </c>
      <c r="E263" s="177">
        <v>110.0</v>
      </c>
    </row>
    <row r="264">
      <c r="A264" s="1" t="s">
        <v>2362</v>
      </c>
      <c r="B264" s="176" t="s">
        <v>1030</v>
      </c>
      <c r="C264" s="176" t="s">
        <v>21</v>
      </c>
      <c r="D264" s="176">
        <v>48.0</v>
      </c>
      <c r="E264" s="177">
        <v>119.0</v>
      </c>
    </row>
    <row r="265">
      <c r="A265" s="1" t="s">
        <v>2363</v>
      </c>
      <c r="B265" s="176" t="s">
        <v>1034</v>
      </c>
      <c r="C265" s="176" t="s">
        <v>21</v>
      </c>
      <c r="D265" s="176">
        <v>120.0</v>
      </c>
      <c r="E265" s="177">
        <v>119.0</v>
      </c>
    </row>
    <row r="266">
      <c r="A266" s="1" t="s">
        <v>2364</v>
      </c>
      <c r="B266" s="176" t="s">
        <v>1038</v>
      </c>
      <c r="C266" s="176" t="s">
        <v>21</v>
      </c>
      <c r="D266" s="176">
        <v>168.0</v>
      </c>
      <c r="E266" s="178">
        <v>0.0</v>
      </c>
    </row>
    <row r="267">
      <c r="A267" s="1" t="s">
        <v>2365</v>
      </c>
      <c r="B267" s="176" t="s">
        <v>1039</v>
      </c>
      <c r="C267" s="176" t="s">
        <v>21</v>
      </c>
      <c r="D267" s="176">
        <v>72.0</v>
      </c>
      <c r="E267" s="177">
        <v>105.0</v>
      </c>
    </row>
    <row r="268">
      <c r="A268" s="1" t="s">
        <v>2366</v>
      </c>
      <c r="B268" s="176" t="s">
        <v>1040</v>
      </c>
      <c r="C268" s="176" t="s">
        <v>21</v>
      </c>
      <c r="D268" s="176">
        <v>24.0</v>
      </c>
      <c r="E268" s="177">
        <v>119.0</v>
      </c>
    </row>
    <row r="269">
      <c r="A269" s="1" t="s">
        <v>2367</v>
      </c>
      <c r="B269" s="176" t="s">
        <v>1044</v>
      </c>
      <c r="C269" s="176" t="s">
        <v>21</v>
      </c>
      <c r="D269" s="176">
        <v>48.0</v>
      </c>
      <c r="E269" s="177">
        <v>115.0</v>
      </c>
    </row>
    <row r="270">
      <c r="A270" s="1" t="s">
        <v>2368</v>
      </c>
      <c r="B270" s="176" t="s">
        <v>1045</v>
      </c>
      <c r="C270" s="176" t="s">
        <v>21</v>
      </c>
      <c r="D270" s="176">
        <v>120.0</v>
      </c>
      <c r="E270" s="177">
        <v>110.0</v>
      </c>
    </row>
    <row r="271">
      <c r="A271" s="1" t="s">
        <v>2369</v>
      </c>
      <c r="B271" s="176" t="s">
        <v>1046</v>
      </c>
      <c r="C271" s="176" t="s">
        <v>21</v>
      </c>
      <c r="D271" s="176">
        <v>24.0</v>
      </c>
      <c r="E271" s="177">
        <v>119.0</v>
      </c>
    </row>
    <row r="272">
      <c r="A272" s="1" t="s">
        <v>2370</v>
      </c>
      <c r="B272" s="176" t="s">
        <v>1049</v>
      </c>
      <c r="C272" s="176" t="s">
        <v>21</v>
      </c>
      <c r="D272" s="176">
        <v>48.0</v>
      </c>
      <c r="E272" s="177">
        <v>119.0</v>
      </c>
    </row>
    <row r="273">
      <c r="A273" s="1" t="s">
        <v>2371</v>
      </c>
      <c r="B273" s="176" t="s">
        <v>1051</v>
      </c>
      <c r="C273" s="176" t="s">
        <v>21</v>
      </c>
      <c r="D273" s="176">
        <v>24.0</v>
      </c>
      <c r="E273" s="177">
        <v>112.0</v>
      </c>
    </row>
    <row r="274">
      <c r="A274" s="1" t="s">
        <v>2372</v>
      </c>
      <c r="B274" s="176" t="s">
        <v>1053</v>
      </c>
      <c r="C274" s="176" t="s">
        <v>21</v>
      </c>
      <c r="D274" s="176">
        <v>120.0</v>
      </c>
      <c r="E274" s="178">
        <v>0.0</v>
      </c>
    </row>
    <row r="275">
      <c r="A275" s="1" t="s">
        <v>2373</v>
      </c>
      <c r="B275" s="176" t="s">
        <v>1055</v>
      </c>
      <c r="C275" s="176" t="s">
        <v>21</v>
      </c>
      <c r="D275" s="176">
        <v>24.0</v>
      </c>
      <c r="E275" s="177">
        <v>119.0</v>
      </c>
    </row>
    <row r="276">
      <c r="A276" s="1" t="s">
        <v>2374</v>
      </c>
      <c r="B276" s="176" t="s">
        <v>1059</v>
      </c>
      <c r="C276" s="176" t="s">
        <v>21</v>
      </c>
      <c r="D276" s="176">
        <v>24.0</v>
      </c>
      <c r="E276" s="177">
        <v>118.18</v>
      </c>
    </row>
    <row r="277">
      <c r="A277" s="1" t="s">
        <v>2375</v>
      </c>
      <c r="B277" s="176" t="s">
        <v>1063</v>
      </c>
      <c r="C277" s="176" t="s">
        <v>21</v>
      </c>
      <c r="D277" s="176">
        <v>24.0</v>
      </c>
      <c r="E277" s="177">
        <v>118.18</v>
      </c>
    </row>
    <row r="278">
      <c r="A278" s="1" t="s">
        <v>2376</v>
      </c>
      <c r="B278" s="176" t="s">
        <v>1066</v>
      </c>
      <c r="C278" s="176" t="s">
        <v>21</v>
      </c>
      <c r="D278" s="176">
        <v>48.0</v>
      </c>
      <c r="E278" s="177">
        <v>118.18</v>
      </c>
    </row>
    <row r="279">
      <c r="A279" s="1" t="s">
        <v>2377</v>
      </c>
      <c r="B279" s="176" t="s">
        <v>1069</v>
      </c>
      <c r="C279" s="176" t="s">
        <v>21</v>
      </c>
      <c r="D279" s="176">
        <v>24.0</v>
      </c>
      <c r="E279" s="177">
        <v>118.0</v>
      </c>
    </row>
    <row r="280">
      <c r="A280" s="1" t="s">
        <v>2378</v>
      </c>
      <c r="B280" s="176" t="s">
        <v>1072</v>
      </c>
      <c r="C280" s="176" t="s">
        <v>21</v>
      </c>
      <c r="D280" s="176">
        <v>24.0</v>
      </c>
      <c r="E280" s="177">
        <v>119.0</v>
      </c>
    </row>
    <row r="281">
      <c r="A281" s="1" t="s">
        <v>2379</v>
      </c>
      <c r="B281" s="176" t="s">
        <v>1077</v>
      </c>
      <c r="C281" s="176" t="s">
        <v>21</v>
      </c>
      <c r="D281" s="176">
        <v>24.0</v>
      </c>
      <c r="E281" s="178">
        <v>0.0</v>
      </c>
    </row>
    <row r="282">
      <c r="A282" s="1" t="s">
        <v>2380</v>
      </c>
      <c r="B282" s="176" t="s">
        <v>1078</v>
      </c>
      <c r="C282" s="176" t="s">
        <v>21</v>
      </c>
      <c r="D282" s="176">
        <v>48.0</v>
      </c>
      <c r="E282" s="177">
        <v>127.6</v>
      </c>
    </row>
    <row r="283">
      <c r="A283" s="1" t="s">
        <v>2381</v>
      </c>
      <c r="B283" s="176" t="s">
        <v>1082</v>
      </c>
      <c r="C283" s="176" t="s">
        <v>21</v>
      </c>
      <c r="D283" s="176">
        <v>24.0</v>
      </c>
      <c r="E283" s="177">
        <v>128.25</v>
      </c>
    </row>
    <row r="284">
      <c r="A284" s="1" t="s">
        <v>2382</v>
      </c>
      <c r="B284" s="176" t="s">
        <v>1086</v>
      </c>
      <c r="C284" s="176" t="s">
        <v>21</v>
      </c>
      <c r="D284" s="176">
        <v>24.0</v>
      </c>
      <c r="E284" s="177">
        <v>119.0</v>
      </c>
    </row>
    <row r="285">
      <c r="A285" s="1" t="s">
        <v>2383</v>
      </c>
      <c r="B285" s="176" t="s">
        <v>1089</v>
      </c>
      <c r="C285" s="176" t="s">
        <v>21</v>
      </c>
      <c r="D285" s="176">
        <v>48.0</v>
      </c>
      <c r="E285" s="177">
        <v>125.0</v>
      </c>
    </row>
    <row r="286">
      <c r="A286" s="1" t="s">
        <v>2384</v>
      </c>
      <c r="B286" s="176" t="s">
        <v>1091</v>
      </c>
      <c r="C286" s="176" t="s">
        <v>21</v>
      </c>
      <c r="D286" s="176">
        <v>24.0</v>
      </c>
      <c r="E286" s="177">
        <v>119.0</v>
      </c>
    </row>
    <row r="287">
      <c r="A287" s="1" t="s">
        <v>2385</v>
      </c>
      <c r="B287" s="176" t="s">
        <v>1094</v>
      </c>
      <c r="C287" s="176" t="s">
        <v>21</v>
      </c>
      <c r="D287" s="176">
        <v>24.0</v>
      </c>
      <c r="E287" s="177">
        <v>119.0</v>
      </c>
    </row>
    <row r="288">
      <c r="A288" s="1" t="s">
        <v>2386</v>
      </c>
      <c r="B288" s="176" t="s">
        <v>1096</v>
      </c>
      <c r="C288" s="176" t="s">
        <v>21</v>
      </c>
      <c r="D288" s="176">
        <v>24.0</v>
      </c>
      <c r="E288" s="178">
        <v>0.0</v>
      </c>
    </row>
    <row r="289">
      <c r="A289" s="1" t="s">
        <v>2387</v>
      </c>
      <c r="B289" s="176" t="s">
        <v>1098</v>
      </c>
      <c r="C289" s="176" t="s">
        <v>21</v>
      </c>
      <c r="D289" s="176">
        <v>10.0</v>
      </c>
      <c r="E289" s="177">
        <v>130.0</v>
      </c>
    </row>
    <row r="290">
      <c r="A290" s="1" t="s">
        <v>2388</v>
      </c>
      <c r="B290" s="176" t="s">
        <v>1100</v>
      </c>
      <c r="C290" s="176" t="s">
        <v>21</v>
      </c>
      <c r="D290" s="176">
        <v>24.0</v>
      </c>
      <c r="E290" s="177">
        <v>115.0</v>
      </c>
    </row>
    <row r="291">
      <c r="A291" s="1" t="s">
        <v>2389</v>
      </c>
      <c r="B291" s="176" t="s">
        <v>1102</v>
      </c>
      <c r="C291" s="176" t="s">
        <v>21</v>
      </c>
      <c r="D291" s="176">
        <v>72.0</v>
      </c>
      <c r="E291" s="177">
        <v>115.0</v>
      </c>
    </row>
    <row r="292">
      <c r="A292" s="1" t="s">
        <v>2390</v>
      </c>
      <c r="B292" s="176" t="s">
        <v>1104</v>
      </c>
      <c r="C292" s="176" t="s">
        <v>21</v>
      </c>
      <c r="D292" s="176">
        <v>24.0</v>
      </c>
      <c r="E292" s="177">
        <v>119.0</v>
      </c>
    </row>
    <row r="293">
      <c r="A293" s="1" t="s">
        <v>2391</v>
      </c>
      <c r="B293" s="176" t="s">
        <v>1107</v>
      </c>
      <c r="C293" s="176" t="s">
        <v>21</v>
      </c>
      <c r="D293" s="176">
        <v>240.0</v>
      </c>
      <c r="E293" s="178">
        <v>0.0</v>
      </c>
    </row>
    <row r="294">
      <c r="A294" s="1" t="s">
        <v>2392</v>
      </c>
      <c r="B294" s="176" t="s">
        <v>1108</v>
      </c>
      <c r="C294" s="176" t="s">
        <v>21</v>
      </c>
      <c r="D294" s="176">
        <v>48.0</v>
      </c>
      <c r="E294" s="177">
        <v>118.18</v>
      </c>
    </row>
    <row r="295">
      <c r="A295" s="1" t="s">
        <v>2393</v>
      </c>
      <c r="B295" s="176" t="s">
        <v>1110</v>
      </c>
      <c r="C295" s="176" t="s">
        <v>21</v>
      </c>
      <c r="D295" s="176">
        <v>48.0</v>
      </c>
      <c r="E295" s="177">
        <v>118.18</v>
      </c>
    </row>
    <row r="296">
      <c r="A296" s="1" t="s">
        <v>2394</v>
      </c>
      <c r="B296" s="176" t="s">
        <v>1114</v>
      </c>
      <c r="C296" s="176" t="s">
        <v>21</v>
      </c>
      <c r="D296" s="176">
        <v>72.0</v>
      </c>
      <c r="E296" s="177">
        <v>118.18</v>
      </c>
    </row>
    <row r="297">
      <c r="A297" s="1" t="s">
        <v>2395</v>
      </c>
      <c r="B297" s="176" t="s">
        <v>1116</v>
      </c>
      <c r="C297" s="176" t="s">
        <v>21</v>
      </c>
      <c r="D297" s="176">
        <v>24.0</v>
      </c>
      <c r="E297" s="177">
        <v>121.0</v>
      </c>
    </row>
    <row r="298">
      <c r="A298" s="1" t="s">
        <v>2396</v>
      </c>
      <c r="B298" s="176" t="s">
        <v>1118</v>
      </c>
      <c r="C298" s="176" t="s">
        <v>21</v>
      </c>
      <c r="D298" s="176">
        <v>72.0</v>
      </c>
      <c r="E298" s="177">
        <v>121.84</v>
      </c>
    </row>
    <row r="299">
      <c r="A299" s="1" t="s">
        <v>2397</v>
      </c>
      <c r="B299" s="176" t="s">
        <v>1120</v>
      </c>
      <c r="C299" s="176" t="s">
        <v>21</v>
      </c>
      <c r="D299" s="176">
        <v>72.0</v>
      </c>
      <c r="E299" s="177">
        <v>118.18</v>
      </c>
    </row>
    <row r="300">
      <c r="A300" s="1" t="s">
        <v>2398</v>
      </c>
      <c r="B300" s="176" t="s">
        <v>1124</v>
      </c>
      <c r="C300" s="176" t="s">
        <v>21</v>
      </c>
      <c r="D300" s="176">
        <v>12.0</v>
      </c>
      <c r="E300" s="178">
        <v>0.0</v>
      </c>
    </row>
    <row r="301">
      <c r="A301" s="1" t="s">
        <v>2399</v>
      </c>
      <c r="B301" s="176" t="s">
        <v>1126</v>
      </c>
      <c r="C301" s="176" t="s">
        <v>21</v>
      </c>
      <c r="D301" s="176">
        <v>2.0</v>
      </c>
      <c r="E301" s="177">
        <v>118.18</v>
      </c>
    </row>
    <row r="302">
      <c r="A302" s="1" t="s">
        <v>2400</v>
      </c>
      <c r="B302" s="176" t="s">
        <v>1127</v>
      </c>
      <c r="C302" s="176" t="s">
        <v>21</v>
      </c>
      <c r="D302" s="176">
        <v>24.0</v>
      </c>
      <c r="E302" s="1">
        <v>0.0</v>
      </c>
    </row>
    <row r="303">
      <c r="A303" s="1" t="s">
        <v>2401</v>
      </c>
      <c r="B303" s="176" t="s">
        <v>1129</v>
      </c>
      <c r="C303" s="176" t="s">
        <v>21</v>
      </c>
      <c r="D303" s="176">
        <v>24.0</v>
      </c>
      <c r="E303" s="177">
        <v>118.18</v>
      </c>
    </row>
    <row r="304">
      <c r="A304" s="1" t="s">
        <v>2402</v>
      </c>
      <c r="B304" s="176" t="s">
        <v>1132</v>
      </c>
      <c r="C304" s="176" t="s">
        <v>21</v>
      </c>
      <c r="D304" s="176">
        <v>24.0</v>
      </c>
      <c r="E304" s="177">
        <v>119.0</v>
      </c>
    </row>
    <row r="305">
      <c r="A305" s="1" t="s">
        <v>2403</v>
      </c>
      <c r="B305" s="176" t="s">
        <v>1134</v>
      </c>
      <c r="C305" s="176" t="s">
        <v>21</v>
      </c>
      <c r="D305" s="176">
        <v>120.0</v>
      </c>
      <c r="E305" s="177">
        <v>118.18</v>
      </c>
    </row>
    <row r="306">
      <c r="A306" s="1" t="s">
        <v>2404</v>
      </c>
      <c r="B306" s="176" t="s">
        <v>1137</v>
      </c>
      <c r="C306" s="176" t="s">
        <v>21</v>
      </c>
      <c r="D306" s="176">
        <v>240.0</v>
      </c>
      <c r="E306" s="177">
        <v>108.0</v>
      </c>
    </row>
    <row r="307">
      <c r="A307" s="1" t="s">
        <v>2405</v>
      </c>
      <c r="B307" s="176" t="s">
        <v>1140</v>
      </c>
      <c r="C307" s="176" t="s">
        <v>21</v>
      </c>
      <c r="D307" s="176">
        <v>120.0</v>
      </c>
      <c r="E307" s="177">
        <v>130.0</v>
      </c>
    </row>
    <row r="308">
      <c r="A308" s="1" t="s">
        <v>2406</v>
      </c>
      <c r="B308" s="176" t="s">
        <v>1141</v>
      </c>
      <c r="C308" s="176" t="s">
        <v>21</v>
      </c>
      <c r="D308" s="176">
        <v>48.0</v>
      </c>
      <c r="E308" s="177">
        <v>122.0</v>
      </c>
    </row>
    <row r="309">
      <c r="A309" s="1" t="s">
        <v>2407</v>
      </c>
      <c r="B309" s="176" t="s">
        <v>1145</v>
      </c>
      <c r="C309" s="176" t="s">
        <v>21</v>
      </c>
      <c r="D309" s="176">
        <v>24.0</v>
      </c>
      <c r="E309" s="177">
        <v>119.0</v>
      </c>
    </row>
    <row r="310">
      <c r="A310" s="1" t="s">
        <v>2408</v>
      </c>
      <c r="B310" s="176" t="s">
        <v>1146</v>
      </c>
      <c r="C310" s="176" t="s">
        <v>21</v>
      </c>
      <c r="D310" s="176">
        <v>24.0</v>
      </c>
      <c r="E310" s="177">
        <v>118.18</v>
      </c>
    </row>
    <row r="311">
      <c r="A311" s="1" t="s">
        <v>2409</v>
      </c>
      <c r="B311" s="176" t="s">
        <v>1147</v>
      </c>
      <c r="C311" s="176" t="s">
        <v>21</v>
      </c>
      <c r="D311" s="176">
        <v>24.0</v>
      </c>
      <c r="E311" s="177">
        <v>118.18</v>
      </c>
    </row>
    <row r="312">
      <c r="A312" s="1" t="s">
        <v>2410</v>
      </c>
      <c r="B312" s="176" t="s">
        <v>1149</v>
      </c>
      <c r="C312" s="176" t="s">
        <v>21</v>
      </c>
      <c r="D312" s="176">
        <v>48.0</v>
      </c>
      <c r="E312" s="177">
        <v>118.18</v>
      </c>
    </row>
    <row r="313">
      <c r="A313" s="1" t="s">
        <v>2411</v>
      </c>
      <c r="B313" s="176" t="s">
        <v>1151</v>
      </c>
      <c r="C313" s="176" t="s">
        <v>21</v>
      </c>
      <c r="D313" s="176">
        <v>72.0</v>
      </c>
      <c r="E313" s="177">
        <v>135.0</v>
      </c>
    </row>
    <row r="314">
      <c r="A314" s="1" t="s">
        <v>2412</v>
      </c>
      <c r="B314" s="176" t="s">
        <v>1153</v>
      </c>
      <c r="C314" s="176" t="s">
        <v>21</v>
      </c>
      <c r="D314" s="176">
        <v>24.0</v>
      </c>
      <c r="E314" s="177">
        <v>128.25</v>
      </c>
    </row>
    <row r="315">
      <c r="A315" s="1" t="s">
        <v>2413</v>
      </c>
      <c r="B315" s="176" t="s">
        <v>1156</v>
      </c>
      <c r="C315" s="176" t="s">
        <v>21</v>
      </c>
      <c r="D315" s="176">
        <v>24.0</v>
      </c>
      <c r="E315" s="177">
        <v>128.25</v>
      </c>
    </row>
    <row r="316">
      <c r="A316" s="1" t="s">
        <v>2414</v>
      </c>
      <c r="B316" s="176" t="s">
        <v>1159</v>
      </c>
      <c r="C316" s="176" t="s">
        <v>21</v>
      </c>
      <c r="D316" s="176">
        <v>240.0</v>
      </c>
      <c r="E316" s="178">
        <v>0.0</v>
      </c>
    </row>
    <row r="317">
      <c r="A317" s="1" t="s">
        <v>2415</v>
      </c>
      <c r="B317" s="176" t="s">
        <v>1160</v>
      </c>
      <c r="C317" s="176" t="s">
        <v>21</v>
      </c>
      <c r="D317" s="176">
        <v>24.0</v>
      </c>
      <c r="E317" s="177">
        <v>119.0</v>
      </c>
    </row>
    <row r="318">
      <c r="A318" s="1" t="s">
        <v>2416</v>
      </c>
      <c r="B318" s="176" t="s">
        <v>1162</v>
      </c>
      <c r="C318" s="176" t="s">
        <v>21</v>
      </c>
      <c r="D318" s="176">
        <v>24.0</v>
      </c>
      <c r="E318" s="178">
        <v>0.0</v>
      </c>
    </row>
    <row r="319">
      <c r="A319" s="1" t="s">
        <v>2417</v>
      </c>
      <c r="B319" s="176" t="s">
        <v>1163</v>
      </c>
      <c r="C319" s="176" t="s">
        <v>21</v>
      </c>
      <c r="D319" s="176">
        <v>72.0</v>
      </c>
      <c r="E319" s="177">
        <v>135.0</v>
      </c>
    </row>
    <row r="320">
      <c r="A320" s="1" t="s">
        <v>2418</v>
      </c>
      <c r="B320" s="176" t="s">
        <v>1165</v>
      </c>
      <c r="C320" s="176" t="s">
        <v>21</v>
      </c>
      <c r="D320" s="176">
        <v>48.0</v>
      </c>
      <c r="E320" s="177">
        <v>122.0</v>
      </c>
    </row>
    <row r="321">
      <c r="A321" s="1" t="s">
        <v>2419</v>
      </c>
      <c r="B321" s="176" t="s">
        <v>1167</v>
      </c>
      <c r="C321" s="176" t="s">
        <v>21</v>
      </c>
      <c r="D321" s="176">
        <v>48.0</v>
      </c>
      <c r="E321" s="177">
        <v>118.18</v>
      </c>
    </row>
    <row r="322">
      <c r="A322" s="1" t="s">
        <v>2420</v>
      </c>
      <c r="B322" s="176" t="s">
        <v>1168</v>
      </c>
      <c r="C322" s="176" t="s">
        <v>21</v>
      </c>
      <c r="D322" s="176">
        <v>24.0</v>
      </c>
      <c r="E322" s="177">
        <v>100.0</v>
      </c>
    </row>
    <row r="323">
      <c r="A323" s="1" t="s">
        <v>2421</v>
      </c>
      <c r="B323" s="176" t="s">
        <v>1169</v>
      </c>
      <c r="C323" s="176" t="s">
        <v>21</v>
      </c>
      <c r="D323" s="176">
        <v>48.0</v>
      </c>
      <c r="E323" s="177">
        <v>127.6</v>
      </c>
    </row>
    <row r="324">
      <c r="A324" s="1" t="s">
        <v>2422</v>
      </c>
      <c r="B324" s="176" t="s">
        <v>1170</v>
      </c>
      <c r="C324" s="176" t="s">
        <v>21</v>
      </c>
      <c r="D324" s="176">
        <v>120.0</v>
      </c>
      <c r="E324" s="177">
        <v>121.84</v>
      </c>
    </row>
    <row r="325">
      <c r="A325" s="1" t="s">
        <v>2423</v>
      </c>
      <c r="B325" s="176" t="s">
        <v>1171</v>
      </c>
      <c r="C325" s="176" t="s">
        <v>21</v>
      </c>
      <c r="D325" s="176">
        <v>72.0</v>
      </c>
      <c r="E325" s="177">
        <v>122.0</v>
      </c>
    </row>
    <row r="326">
      <c r="A326" s="1" t="s">
        <v>2424</v>
      </c>
      <c r="B326" s="176" t="s">
        <v>1173</v>
      </c>
      <c r="C326" s="176" t="s">
        <v>21</v>
      </c>
      <c r="D326" s="176">
        <v>24.0</v>
      </c>
      <c r="E326" s="177">
        <v>119.0</v>
      </c>
    </row>
    <row r="327">
      <c r="A327" s="1" t="s">
        <v>2425</v>
      </c>
      <c r="B327" s="176" t="s">
        <v>1174</v>
      </c>
      <c r="C327" s="176" t="s">
        <v>21</v>
      </c>
      <c r="D327" s="176">
        <v>48.0</v>
      </c>
      <c r="E327" s="177">
        <v>118.18</v>
      </c>
    </row>
    <row r="328">
      <c r="A328" s="1" t="s">
        <v>2426</v>
      </c>
      <c r="B328" s="176" t="s">
        <v>1176</v>
      </c>
      <c r="C328" s="176" t="s">
        <v>21</v>
      </c>
      <c r="D328" s="176">
        <v>48.0</v>
      </c>
      <c r="E328" s="177">
        <v>118.18</v>
      </c>
    </row>
    <row r="329">
      <c r="A329" s="1" t="s">
        <v>2427</v>
      </c>
      <c r="B329" s="176" t="s">
        <v>1177</v>
      </c>
      <c r="C329" s="176" t="s">
        <v>21</v>
      </c>
      <c r="D329" s="176">
        <v>24.0</v>
      </c>
      <c r="E329" s="177">
        <v>118.18</v>
      </c>
    </row>
    <row r="330">
      <c r="A330" s="1" t="s">
        <v>2428</v>
      </c>
      <c r="B330" s="176" t="s">
        <v>1178</v>
      </c>
      <c r="C330" s="176" t="s">
        <v>21</v>
      </c>
      <c r="D330" s="176">
        <v>24.0</v>
      </c>
      <c r="E330" s="177">
        <v>119.0</v>
      </c>
    </row>
    <row r="331">
      <c r="A331" s="1" t="s">
        <v>2429</v>
      </c>
      <c r="B331" s="176" t="s">
        <v>1180</v>
      </c>
      <c r="C331" s="176" t="s">
        <v>21</v>
      </c>
      <c r="D331" s="176">
        <v>48.0</v>
      </c>
      <c r="E331" s="178">
        <v>0.0</v>
      </c>
    </row>
    <row r="332">
      <c r="A332" s="1" t="s">
        <v>2430</v>
      </c>
      <c r="B332" s="176" t="s">
        <v>1183</v>
      </c>
      <c r="C332" s="176" t="s">
        <v>21</v>
      </c>
      <c r="D332" s="176">
        <v>24.0</v>
      </c>
      <c r="E332" s="177">
        <v>128.25</v>
      </c>
    </row>
    <row r="333">
      <c r="A333" s="1" t="s">
        <v>2431</v>
      </c>
      <c r="B333" s="176" t="s">
        <v>1184</v>
      </c>
      <c r="C333" s="176" t="s">
        <v>21</v>
      </c>
      <c r="D333" s="176">
        <v>72.0</v>
      </c>
      <c r="E333" s="177">
        <v>119.0</v>
      </c>
    </row>
    <row r="334">
      <c r="A334" s="1" t="s">
        <v>2432</v>
      </c>
      <c r="B334" s="176" t="s">
        <v>1185</v>
      </c>
      <c r="C334" s="176" t="s">
        <v>21</v>
      </c>
      <c r="D334" s="176">
        <v>24.0</v>
      </c>
      <c r="E334" s="177">
        <v>128.0</v>
      </c>
    </row>
    <row r="335">
      <c r="A335" s="1" t="s">
        <v>2433</v>
      </c>
      <c r="B335" s="176" t="s">
        <v>1187</v>
      </c>
      <c r="C335" s="176" t="s">
        <v>21</v>
      </c>
      <c r="D335" s="176">
        <v>72.0</v>
      </c>
      <c r="E335" s="177">
        <v>115.0</v>
      </c>
    </row>
    <row r="336">
      <c r="A336" s="1" t="s">
        <v>2434</v>
      </c>
      <c r="B336" s="176" t="s">
        <v>1189</v>
      </c>
      <c r="C336" s="176" t="s">
        <v>21</v>
      </c>
      <c r="D336" s="176">
        <v>48.0</v>
      </c>
      <c r="E336" s="177">
        <v>110.0</v>
      </c>
    </row>
    <row r="337">
      <c r="A337" s="1" t="s">
        <v>2435</v>
      </c>
      <c r="B337" s="176" t="s">
        <v>1191</v>
      </c>
      <c r="C337" s="176" t="s">
        <v>21</v>
      </c>
      <c r="D337" s="176">
        <v>72.0</v>
      </c>
      <c r="E337" s="177">
        <v>118.18</v>
      </c>
    </row>
    <row r="338">
      <c r="A338" s="1" t="s">
        <v>2436</v>
      </c>
      <c r="B338" s="176" t="s">
        <v>1193</v>
      </c>
      <c r="C338" s="176" t="s">
        <v>21</v>
      </c>
      <c r="D338" s="176">
        <v>48.0</v>
      </c>
      <c r="E338" s="177">
        <v>119.0</v>
      </c>
    </row>
    <row r="339">
      <c r="A339" s="1" t="s">
        <v>2437</v>
      </c>
      <c r="B339" s="176" t="s">
        <v>1194</v>
      </c>
      <c r="C339" s="176" t="s">
        <v>21</v>
      </c>
      <c r="D339" s="176">
        <v>24.0</v>
      </c>
      <c r="E339" s="177">
        <v>125.0</v>
      </c>
    </row>
    <row r="340">
      <c r="A340" s="1" t="s">
        <v>2438</v>
      </c>
      <c r="B340" s="176" t="s">
        <v>1197</v>
      </c>
      <c r="C340" s="176" t="s">
        <v>21</v>
      </c>
      <c r="D340" s="176">
        <v>72.0</v>
      </c>
      <c r="E340" s="177">
        <v>118.18</v>
      </c>
    </row>
    <row r="341">
      <c r="A341" s="1" t="s">
        <v>2439</v>
      </c>
      <c r="B341" s="176" t="s">
        <v>1198</v>
      </c>
      <c r="C341" s="176" t="s">
        <v>21</v>
      </c>
      <c r="D341" s="176">
        <v>0.0</v>
      </c>
      <c r="E341" s="178">
        <v>0.0</v>
      </c>
    </row>
    <row r="342">
      <c r="A342" s="1" t="s">
        <v>2440</v>
      </c>
      <c r="B342" s="176" t="s">
        <v>1199</v>
      </c>
      <c r="C342" s="176" t="s">
        <v>21</v>
      </c>
      <c r="D342" s="176">
        <v>24.0</v>
      </c>
      <c r="E342" s="177">
        <v>110.0</v>
      </c>
    </row>
    <row r="343">
      <c r="A343" s="1" t="s">
        <v>2441</v>
      </c>
      <c r="B343" s="176" t="s">
        <v>1202</v>
      </c>
      <c r="C343" s="176" t="s">
        <v>21</v>
      </c>
      <c r="D343" s="176">
        <v>24.0</v>
      </c>
      <c r="E343" s="177">
        <v>121.84</v>
      </c>
    </row>
    <row r="344">
      <c r="A344" s="1" t="s">
        <v>2442</v>
      </c>
      <c r="B344" s="176" t="s">
        <v>1205</v>
      </c>
      <c r="C344" s="176" t="s">
        <v>21</v>
      </c>
      <c r="D344" s="176">
        <v>24.0</v>
      </c>
      <c r="E344" s="177">
        <v>121.84</v>
      </c>
    </row>
    <row r="345">
      <c r="A345" s="1" t="s">
        <v>2443</v>
      </c>
      <c r="B345" s="176" t="s">
        <v>1207</v>
      </c>
      <c r="C345" s="176" t="s">
        <v>21</v>
      </c>
      <c r="D345" s="176">
        <v>48.0</v>
      </c>
      <c r="E345" s="177">
        <v>121.0</v>
      </c>
    </row>
    <row r="346">
      <c r="A346" s="1" t="s">
        <v>2444</v>
      </c>
      <c r="B346" s="176" t="s">
        <v>1208</v>
      </c>
      <c r="C346" s="176" t="s">
        <v>21</v>
      </c>
      <c r="D346" s="176">
        <v>24.0</v>
      </c>
      <c r="E346" s="177">
        <v>119.0</v>
      </c>
    </row>
    <row r="347">
      <c r="A347" s="1" t="s">
        <v>2445</v>
      </c>
      <c r="B347" s="176" t="s">
        <v>1210</v>
      </c>
      <c r="C347" s="176" t="s">
        <v>21</v>
      </c>
      <c r="D347" s="176">
        <v>24.0</v>
      </c>
      <c r="E347" s="177">
        <v>119.0</v>
      </c>
    </row>
    <row r="348">
      <c r="A348" s="1" t="s">
        <v>2446</v>
      </c>
      <c r="B348" s="176" t="s">
        <v>1212</v>
      </c>
      <c r="C348" s="176" t="s">
        <v>21</v>
      </c>
      <c r="D348" s="176">
        <v>72.0</v>
      </c>
      <c r="E348" s="177">
        <v>119.0</v>
      </c>
    </row>
    <row r="349">
      <c r="A349" s="1" t="s">
        <v>2447</v>
      </c>
      <c r="B349" s="176" t="s">
        <v>1215</v>
      </c>
      <c r="C349" s="176" t="s">
        <v>21</v>
      </c>
      <c r="D349" s="176">
        <v>24.0</v>
      </c>
      <c r="E349" s="177">
        <v>119.0</v>
      </c>
    </row>
    <row r="350">
      <c r="A350" s="1" t="s">
        <v>2448</v>
      </c>
      <c r="B350" s="176" t="s">
        <v>1218</v>
      </c>
      <c r="C350" s="176" t="s">
        <v>21</v>
      </c>
      <c r="D350" s="176">
        <v>24.0</v>
      </c>
      <c r="E350" s="177">
        <v>119.0</v>
      </c>
    </row>
    <row r="351">
      <c r="A351" s="1" t="s">
        <v>2449</v>
      </c>
      <c r="B351" s="176" t="s">
        <v>1220</v>
      </c>
      <c r="C351" s="176" t="s">
        <v>21</v>
      </c>
      <c r="D351" s="176">
        <v>48.0</v>
      </c>
      <c r="E351" s="177">
        <v>124.4</v>
      </c>
    </row>
    <row r="352">
      <c r="A352" s="1" t="s">
        <v>2450</v>
      </c>
      <c r="B352" s="176" t="s">
        <v>1222</v>
      </c>
      <c r="C352" s="176" t="s">
        <v>21</v>
      </c>
      <c r="D352" s="176">
        <v>24.0</v>
      </c>
      <c r="E352" s="177">
        <v>118.0</v>
      </c>
    </row>
    <row r="353">
      <c r="A353" s="1" t="s">
        <v>2451</v>
      </c>
      <c r="B353" s="176" t="s">
        <v>1224</v>
      </c>
      <c r="C353" s="176" t="s">
        <v>21</v>
      </c>
      <c r="D353" s="176">
        <v>24.0</v>
      </c>
      <c r="E353" s="177">
        <v>100.0</v>
      </c>
    </row>
    <row r="354">
      <c r="A354" s="1" t="s">
        <v>2452</v>
      </c>
      <c r="B354" s="176" t="s">
        <v>1225</v>
      </c>
      <c r="C354" s="176" t="s">
        <v>21</v>
      </c>
      <c r="D354" s="176">
        <v>48.0</v>
      </c>
      <c r="E354" s="177">
        <v>118.18</v>
      </c>
    </row>
    <row r="355">
      <c r="A355" s="1" t="s">
        <v>2453</v>
      </c>
      <c r="B355" s="176" t="s">
        <v>1227</v>
      </c>
      <c r="C355" s="176" t="s">
        <v>21</v>
      </c>
      <c r="D355" s="176">
        <v>240.0</v>
      </c>
      <c r="E355" s="177">
        <v>110.0</v>
      </c>
    </row>
    <row r="356">
      <c r="A356" s="1" t="s">
        <v>2454</v>
      </c>
      <c r="B356" s="176" t="s">
        <v>1230</v>
      </c>
      <c r="C356" s="176" t="s">
        <v>21</v>
      </c>
      <c r="D356" s="176">
        <v>24.0</v>
      </c>
      <c r="E356" s="178">
        <v>0.0</v>
      </c>
    </row>
    <row r="357">
      <c r="A357" s="1" t="s">
        <v>2455</v>
      </c>
      <c r="B357" s="176" t="s">
        <v>1231</v>
      </c>
      <c r="C357" s="176" t="s">
        <v>21</v>
      </c>
      <c r="D357" s="176">
        <v>120.0</v>
      </c>
      <c r="E357" s="177">
        <v>119.0</v>
      </c>
    </row>
    <row r="358">
      <c r="A358" s="1" t="s">
        <v>2456</v>
      </c>
      <c r="B358" s="176" t="s">
        <v>1232</v>
      </c>
      <c r="C358" s="176" t="s">
        <v>21</v>
      </c>
      <c r="D358" s="176">
        <v>24.0</v>
      </c>
      <c r="E358" s="177">
        <v>115.0</v>
      </c>
    </row>
    <row r="359">
      <c r="A359" s="1" t="s">
        <v>2457</v>
      </c>
      <c r="B359" s="176" t="s">
        <v>1234</v>
      </c>
      <c r="C359" s="176" t="s">
        <v>21</v>
      </c>
      <c r="D359" s="176">
        <v>48.0</v>
      </c>
      <c r="E359" s="177">
        <v>119.0</v>
      </c>
    </row>
    <row r="360">
      <c r="A360" s="1" t="s">
        <v>2458</v>
      </c>
      <c r="B360" s="176" t="s">
        <v>1237</v>
      </c>
      <c r="C360" s="176" t="s">
        <v>21</v>
      </c>
      <c r="D360" s="176">
        <v>24.0</v>
      </c>
      <c r="E360" s="177">
        <v>118.18</v>
      </c>
    </row>
    <row r="361">
      <c r="A361" s="1" t="s">
        <v>2459</v>
      </c>
      <c r="B361" s="176" t="s">
        <v>1239</v>
      </c>
      <c r="C361" s="176" t="s">
        <v>21</v>
      </c>
      <c r="D361" s="176">
        <v>24.0</v>
      </c>
      <c r="E361" s="177">
        <v>118.18</v>
      </c>
    </row>
    <row r="362">
      <c r="A362" s="1" t="s">
        <v>2460</v>
      </c>
      <c r="B362" s="176" t="s">
        <v>1241</v>
      </c>
      <c r="C362" s="176" t="s">
        <v>21</v>
      </c>
      <c r="D362" s="176">
        <v>48.0</v>
      </c>
      <c r="E362" s="177">
        <v>118.0</v>
      </c>
    </row>
    <row r="363">
      <c r="A363" s="1" t="s">
        <v>2461</v>
      </c>
      <c r="B363" s="176" t="s">
        <v>1244</v>
      </c>
      <c r="C363" s="176" t="s">
        <v>21</v>
      </c>
      <c r="D363" s="176">
        <v>24.0</v>
      </c>
      <c r="E363" s="177">
        <v>119.0</v>
      </c>
    </row>
    <row r="364">
      <c r="A364" s="1" t="s">
        <v>2462</v>
      </c>
      <c r="B364" s="176" t="s">
        <v>1246</v>
      </c>
      <c r="C364" s="176" t="s">
        <v>21</v>
      </c>
      <c r="D364" s="176">
        <v>48.0</v>
      </c>
      <c r="E364" s="177">
        <v>119.0</v>
      </c>
    </row>
    <row r="365">
      <c r="A365" s="1" t="s">
        <v>2463</v>
      </c>
      <c r="B365" s="176" t="s">
        <v>1248</v>
      </c>
      <c r="C365" s="176" t="s">
        <v>21</v>
      </c>
      <c r="D365" s="176">
        <v>24.0</v>
      </c>
      <c r="E365" s="178">
        <v>0.0</v>
      </c>
    </row>
    <row r="366">
      <c r="A366" s="1" t="s">
        <v>2464</v>
      </c>
      <c r="B366" s="176" t="s">
        <v>1249</v>
      </c>
      <c r="C366" s="176" t="s">
        <v>21</v>
      </c>
      <c r="D366" s="176">
        <v>24.0</v>
      </c>
      <c r="E366" s="177">
        <v>118.18</v>
      </c>
    </row>
    <row r="367">
      <c r="A367" s="1" t="s">
        <v>2465</v>
      </c>
      <c r="B367" s="176" t="s">
        <v>1251</v>
      </c>
      <c r="C367" s="176" t="s">
        <v>21</v>
      </c>
      <c r="D367" s="176">
        <v>48.0</v>
      </c>
      <c r="E367" s="177">
        <v>119.0</v>
      </c>
    </row>
    <row r="368">
      <c r="A368" s="1" t="s">
        <v>2466</v>
      </c>
      <c r="B368" s="176" t="s">
        <v>1254</v>
      </c>
      <c r="C368" s="176" t="s">
        <v>21</v>
      </c>
      <c r="D368" s="176">
        <v>24.0</v>
      </c>
      <c r="E368" s="177">
        <v>118.18</v>
      </c>
    </row>
    <row r="369">
      <c r="A369" s="1" t="s">
        <v>2467</v>
      </c>
      <c r="B369" s="176" t="s">
        <v>1256</v>
      </c>
      <c r="C369" s="176" t="s">
        <v>21</v>
      </c>
      <c r="D369" s="176">
        <v>48.0</v>
      </c>
      <c r="E369" s="177">
        <v>118.18</v>
      </c>
    </row>
    <row r="370">
      <c r="A370" s="1" t="s">
        <v>2468</v>
      </c>
      <c r="B370" s="176" t="s">
        <v>1258</v>
      </c>
      <c r="C370" s="176" t="s">
        <v>21</v>
      </c>
      <c r="D370" s="176">
        <v>120.0</v>
      </c>
      <c r="E370" s="177">
        <v>118.18</v>
      </c>
    </row>
    <row r="371">
      <c r="A371" s="1" t="s">
        <v>2469</v>
      </c>
      <c r="B371" s="176" t="s">
        <v>1260</v>
      </c>
      <c r="C371" s="176" t="s">
        <v>21</v>
      </c>
      <c r="D371" s="176">
        <v>24.0</v>
      </c>
      <c r="E371" s="177">
        <v>119.0</v>
      </c>
    </row>
    <row r="372">
      <c r="A372" s="1" t="s">
        <v>2470</v>
      </c>
      <c r="B372" s="176" t="s">
        <v>1262</v>
      </c>
      <c r="C372" s="176" t="s">
        <v>21</v>
      </c>
      <c r="D372" s="176">
        <v>24.0</v>
      </c>
      <c r="E372" s="177">
        <v>115.0</v>
      </c>
    </row>
    <row r="373">
      <c r="A373" s="1" t="s">
        <v>2471</v>
      </c>
      <c r="B373" s="176" t="s">
        <v>1264</v>
      </c>
      <c r="C373" s="176" t="s">
        <v>21</v>
      </c>
      <c r="D373" s="176">
        <v>48.0</v>
      </c>
      <c r="E373" s="177">
        <v>128.25</v>
      </c>
    </row>
    <row r="374">
      <c r="A374" s="1" t="s">
        <v>2472</v>
      </c>
      <c r="B374" s="176" t="s">
        <v>1265</v>
      </c>
      <c r="C374" s="176" t="s">
        <v>21</v>
      </c>
      <c r="D374" s="176">
        <v>240.0</v>
      </c>
      <c r="E374" s="178">
        <v>0.0</v>
      </c>
    </row>
    <row r="375">
      <c r="A375" s="1" t="s">
        <v>2473</v>
      </c>
      <c r="B375" s="176" t="s">
        <v>1266</v>
      </c>
      <c r="C375" s="176" t="s">
        <v>21</v>
      </c>
      <c r="D375" s="176">
        <v>48.0</v>
      </c>
      <c r="E375" s="177">
        <v>118.18</v>
      </c>
    </row>
    <row r="376">
      <c r="A376" s="1" t="s">
        <v>2474</v>
      </c>
      <c r="B376" s="176" t="s">
        <v>1268</v>
      </c>
      <c r="C376" s="176" t="s">
        <v>21</v>
      </c>
      <c r="D376" s="176">
        <v>48.0</v>
      </c>
      <c r="E376" s="177">
        <v>121.84</v>
      </c>
    </row>
    <row r="377">
      <c r="A377" s="1" t="s">
        <v>2475</v>
      </c>
      <c r="B377" s="176" t="s">
        <v>1270</v>
      </c>
      <c r="C377" s="176" t="s">
        <v>21</v>
      </c>
      <c r="D377" s="176">
        <v>48.0</v>
      </c>
      <c r="E377" s="177">
        <v>118.18</v>
      </c>
    </row>
    <row r="378">
      <c r="A378" s="1" t="s">
        <v>2476</v>
      </c>
      <c r="B378" s="176" t="s">
        <v>1272</v>
      </c>
      <c r="C378" s="176" t="s">
        <v>21</v>
      </c>
      <c r="D378" s="176">
        <v>72.0</v>
      </c>
      <c r="E378" s="177">
        <v>122.0</v>
      </c>
    </row>
    <row r="379">
      <c r="A379" s="1" t="s">
        <v>2477</v>
      </c>
      <c r="B379" s="176" t="s">
        <v>1275</v>
      </c>
      <c r="C379" s="176" t="s">
        <v>21</v>
      </c>
      <c r="D379" s="176">
        <v>24.0</v>
      </c>
      <c r="E379" s="177">
        <v>122.0</v>
      </c>
    </row>
    <row r="380">
      <c r="A380" s="1" t="s">
        <v>2478</v>
      </c>
      <c r="B380" s="176" t="s">
        <v>1277</v>
      </c>
      <c r="C380" s="176" t="s">
        <v>21</v>
      </c>
      <c r="D380" s="176">
        <v>24.0</v>
      </c>
      <c r="E380" s="177">
        <v>121.0</v>
      </c>
    </row>
    <row r="381">
      <c r="A381" s="1" t="s">
        <v>2479</v>
      </c>
      <c r="B381" s="176" t="s">
        <v>1279</v>
      </c>
      <c r="C381" s="176" t="s">
        <v>21</v>
      </c>
      <c r="D381" s="176">
        <v>24.0</v>
      </c>
      <c r="E381" s="177">
        <v>121.0</v>
      </c>
    </row>
    <row r="382">
      <c r="A382" s="1" t="s">
        <v>2480</v>
      </c>
      <c r="B382" s="176" t="s">
        <v>1281</v>
      </c>
      <c r="C382" s="176" t="s">
        <v>21</v>
      </c>
      <c r="D382" s="176">
        <v>120.0</v>
      </c>
      <c r="E382" s="177">
        <v>118.0</v>
      </c>
    </row>
    <row r="383">
      <c r="A383" s="1" t="s">
        <v>2481</v>
      </c>
      <c r="B383" s="176" t="s">
        <v>1282</v>
      </c>
      <c r="C383" s="176" t="s">
        <v>21</v>
      </c>
      <c r="D383" s="176">
        <v>120.0</v>
      </c>
      <c r="E383" s="177">
        <v>118.0</v>
      </c>
    </row>
    <row r="384">
      <c r="A384" s="1" t="s">
        <v>2482</v>
      </c>
      <c r="B384" s="176" t="s">
        <v>1284</v>
      </c>
      <c r="C384" s="176" t="s">
        <v>21</v>
      </c>
      <c r="D384" s="176">
        <v>24.0</v>
      </c>
      <c r="E384" s="177">
        <v>121.0</v>
      </c>
    </row>
    <row r="385">
      <c r="A385" s="1" t="s">
        <v>2483</v>
      </c>
      <c r="B385" s="176" t="s">
        <v>1286</v>
      </c>
      <c r="C385" s="176" t="s">
        <v>21</v>
      </c>
      <c r="D385" s="176">
        <v>120.0</v>
      </c>
      <c r="E385" s="177">
        <v>118.0</v>
      </c>
    </row>
    <row r="386">
      <c r="A386" s="1" t="s">
        <v>2484</v>
      </c>
      <c r="B386" s="176" t="s">
        <v>1286</v>
      </c>
      <c r="C386" s="176" t="s">
        <v>1287</v>
      </c>
      <c r="D386" s="176">
        <v>320.0</v>
      </c>
      <c r="E386" s="177">
        <v>50.0</v>
      </c>
    </row>
    <row r="387">
      <c r="A387" s="1" t="s">
        <v>2485</v>
      </c>
      <c r="B387" s="176" t="s">
        <v>1288</v>
      </c>
      <c r="C387" s="176" t="s">
        <v>21</v>
      </c>
      <c r="D387" s="176">
        <v>24.0</v>
      </c>
      <c r="E387" s="177">
        <v>118.0</v>
      </c>
    </row>
    <row r="388">
      <c r="A388" s="1" t="s">
        <v>2486</v>
      </c>
      <c r="B388" s="176" t="s">
        <v>1289</v>
      </c>
      <c r="C388" s="176" t="s">
        <v>21</v>
      </c>
      <c r="D388" s="176">
        <v>24.0</v>
      </c>
      <c r="E388" s="177">
        <v>118.0</v>
      </c>
    </row>
    <row r="389">
      <c r="A389" s="1" t="s">
        <v>2487</v>
      </c>
      <c r="B389" s="176" t="s">
        <v>1292</v>
      </c>
      <c r="C389" s="176" t="s">
        <v>21</v>
      </c>
      <c r="D389" s="176">
        <v>24.0</v>
      </c>
      <c r="E389" s="177">
        <v>121.0</v>
      </c>
    </row>
    <row r="390">
      <c r="A390" s="1" t="s">
        <v>2488</v>
      </c>
      <c r="B390" s="176" t="s">
        <v>1293</v>
      </c>
      <c r="C390" s="176" t="s">
        <v>21</v>
      </c>
      <c r="D390" s="176">
        <v>120.0</v>
      </c>
      <c r="E390" s="177">
        <v>118.0</v>
      </c>
    </row>
    <row r="391">
      <c r="A391" s="1" t="s">
        <v>2489</v>
      </c>
      <c r="B391" s="176" t="s">
        <v>1295</v>
      </c>
      <c r="C391" s="176" t="s">
        <v>21</v>
      </c>
      <c r="D391" s="176">
        <v>72.0</v>
      </c>
      <c r="E391" s="177">
        <v>121.0</v>
      </c>
    </row>
    <row r="392">
      <c r="A392" s="1" t="s">
        <v>2490</v>
      </c>
      <c r="B392" s="176" t="s">
        <v>1296</v>
      </c>
      <c r="C392" s="176" t="s">
        <v>21</v>
      </c>
      <c r="D392" s="176">
        <v>72.0</v>
      </c>
      <c r="E392" s="177">
        <v>121.0</v>
      </c>
    </row>
    <row r="393">
      <c r="A393" s="1" t="s">
        <v>2491</v>
      </c>
      <c r="B393" s="176" t="s">
        <v>1298</v>
      </c>
      <c r="C393" s="176" t="s">
        <v>21</v>
      </c>
      <c r="D393" s="176">
        <v>48.0</v>
      </c>
      <c r="E393" s="177">
        <v>115.0</v>
      </c>
    </row>
    <row r="394">
      <c r="A394" s="1" t="s">
        <v>2492</v>
      </c>
      <c r="B394" s="176" t="s">
        <v>1300</v>
      </c>
      <c r="C394" s="176" t="s">
        <v>21</v>
      </c>
      <c r="D394" s="176">
        <v>48.0</v>
      </c>
      <c r="E394" s="177">
        <v>135.0</v>
      </c>
    </row>
    <row r="395">
      <c r="A395" s="1" t="s">
        <v>2493</v>
      </c>
      <c r="B395" s="176" t="s">
        <v>1302</v>
      </c>
      <c r="C395" s="176" t="s">
        <v>21</v>
      </c>
      <c r="D395" s="176">
        <v>48.0</v>
      </c>
      <c r="E395" s="177">
        <v>128.0</v>
      </c>
    </row>
    <row r="396">
      <c r="A396" s="1" t="s">
        <v>2494</v>
      </c>
      <c r="B396" s="176" t="s">
        <v>1304</v>
      </c>
      <c r="C396" s="176" t="s">
        <v>21</v>
      </c>
      <c r="D396" s="176">
        <v>960.0</v>
      </c>
      <c r="E396" s="178">
        <v>0.0</v>
      </c>
    </row>
    <row r="397">
      <c r="A397" s="1" t="s">
        <v>2495</v>
      </c>
      <c r="B397" s="176" t="s">
        <v>1305</v>
      </c>
      <c r="C397" s="176" t="s">
        <v>21</v>
      </c>
      <c r="D397" s="176">
        <v>360.0</v>
      </c>
      <c r="E397" s="178">
        <v>0.0</v>
      </c>
    </row>
    <row r="398">
      <c r="A398" s="1" t="s">
        <v>2496</v>
      </c>
      <c r="B398" s="176" t="s">
        <v>1306</v>
      </c>
      <c r="C398" s="176" t="s">
        <v>21</v>
      </c>
      <c r="D398" s="176">
        <v>24.0</v>
      </c>
      <c r="E398" s="177">
        <v>128.0</v>
      </c>
    </row>
    <row r="399">
      <c r="A399" s="1" t="s">
        <v>2497</v>
      </c>
      <c r="B399" s="176" t="s">
        <v>1308</v>
      </c>
      <c r="C399" s="176" t="s">
        <v>21</v>
      </c>
      <c r="D399" s="176">
        <v>96.0</v>
      </c>
      <c r="E399" s="177">
        <v>119.0</v>
      </c>
    </row>
    <row r="400">
      <c r="A400" s="1" t="s">
        <v>2498</v>
      </c>
      <c r="B400" s="176" t="s">
        <v>1309</v>
      </c>
      <c r="C400" s="176" t="s">
        <v>21</v>
      </c>
      <c r="D400" s="176">
        <v>72.0</v>
      </c>
      <c r="E400" s="177">
        <v>128.25</v>
      </c>
    </row>
    <row r="401">
      <c r="A401" s="1" t="s">
        <v>2499</v>
      </c>
      <c r="B401" s="176" t="s">
        <v>1310</v>
      </c>
      <c r="C401" s="176" t="s">
        <v>21</v>
      </c>
      <c r="D401" s="176">
        <v>24.0</v>
      </c>
      <c r="E401" s="177">
        <v>119.0</v>
      </c>
    </row>
    <row r="402">
      <c r="A402" s="1" t="s">
        <v>2500</v>
      </c>
      <c r="B402" s="176" t="s">
        <v>1313</v>
      </c>
      <c r="C402" s="176" t="s">
        <v>21</v>
      </c>
      <c r="D402" s="176">
        <v>24.0</v>
      </c>
      <c r="E402" s="178">
        <v>0.0</v>
      </c>
    </row>
    <row r="403">
      <c r="A403" s="1" t="s">
        <v>2501</v>
      </c>
      <c r="B403" s="176" t="s">
        <v>1314</v>
      </c>
      <c r="C403" s="176" t="s">
        <v>21</v>
      </c>
      <c r="D403" s="176">
        <v>240.0</v>
      </c>
      <c r="E403" s="177">
        <v>100.0</v>
      </c>
    </row>
    <row r="404">
      <c r="A404" s="1" t="s">
        <v>2502</v>
      </c>
      <c r="B404" s="176" t="s">
        <v>1315</v>
      </c>
      <c r="C404" s="176" t="s">
        <v>21</v>
      </c>
      <c r="D404" s="176">
        <v>24.0</v>
      </c>
      <c r="E404" s="178">
        <v>0.0</v>
      </c>
    </row>
    <row r="405">
      <c r="A405" s="1" t="s">
        <v>2503</v>
      </c>
      <c r="B405" s="176" t="s">
        <v>1317</v>
      </c>
      <c r="C405" s="176" t="s">
        <v>21</v>
      </c>
      <c r="D405" s="176">
        <v>120.0</v>
      </c>
      <c r="E405" s="177">
        <v>105.0</v>
      </c>
    </row>
    <row r="406">
      <c r="A406" s="1" t="s">
        <v>2504</v>
      </c>
      <c r="B406" s="176" t="s">
        <v>1320</v>
      </c>
      <c r="C406" s="176" t="s">
        <v>21</v>
      </c>
      <c r="D406" s="176">
        <v>96.0</v>
      </c>
      <c r="E406" s="177">
        <v>119.0</v>
      </c>
    </row>
    <row r="407">
      <c r="A407" s="1" t="s">
        <v>2505</v>
      </c>
      <c r="B407" s="176" t="s">
        <v>1321</v>
      </c>
      <c r="C407" s="176" t="s">
        <v>21</v>
      </c>
      <c r="D407" s="176">
        <v>240.0</v>
      </c>
      <c r="E407" s="178">
        <v>0.0</v>
      </c>
    </row>
    <row r="408">
      <c r="A408" s="1" t="s">
        <v>2506</v>
      </c>
      <c r="B408" s="176" t="s">
        <v>1322</v>
      </c>
      <c r="C408" s="176" t="s">
        <v>21</v>
      </c>
      <c r="D408" s="176">
        <v>480.0</v>
      </c>
      <c r="E408" s="177">
        <v>95.0</v>
      </c>
    </row>
    <row r="409">
      <c r="A409" s="1" t="s">
        <v>2507</v>
      </c>
      <c r="B409" s="176" t="s">
        <v>1325</v>
      </c>
      <c r="C409" s="176" t="s">
        <v>21</v>
      </c>
      <c r="D409" s="176">
        <v>24.0</v>
      </c>
      <c r="E409" s="177">
        <v>121.84</v>
      </c>
    </row>
    <row r="410">
      <c r="A410" s="1" t="s">
        <v>2508</v>
      </c>
      <c r="B410" s="176" t="s">
        <v>1326</v>
      </c>
      <c r="C410" s="176" t="s">
        <v>21</v>
      </c>
      <c r="D410" s="176">
        <v>24.0</v>
      </c>
      <c r="E410" s="177">
        <v>119.0</v>
      </c>
    </row>
    <row r="411">
      <c r="A411" s="1" t="s">
        <v>2509</v>
      </c>
      <c r="B411" s="176" t="s">
        <v>1327</v>
      </c>
      <c r="C411" s="176" t="s">
        <v>21</v>
      </c>
      <c r="D411" s="176">
        <v>24.0</v>
      </c>
      <c r="E411" s="177">
        <v>118.18</v>
      </c>
    </row>
    <row r="412">
      <c r="A412" s="1" t="s">
        <v>2510</v>
      </c>
      <c r="B412" s="176" t="s">
        <v>1330</v>
      </c>
      <c r="C412" s="176" t="s">
        <v>21</v>
      </c>
      <c r="D412" s="176">
        <v>48.0</v>
      </c>
      <c r="E412" s="177">
        <v>118.18</v>
      </c>
    </row>
    <row r="413">
      <c r="A413" s="1" t="s">
        <v>2511</v>
      </c>
      <c r="B413" s="176" t="s">
        <v>1331</v>
      </c>
      <c r="C413" s="176" t="s">
        <v>21</v>
      </c>
      <c r="D413" s="176">
        <v>24.0</v>
      </c>
      <c r="E413" s="177">
        <v>119.0</v>
      </c>
    </row>
    <row r="414">
      <c r="A414" s="1" t="s">
        <v>2512</v>
      </c>
      <c r="B414" s="176" t="s">
        <v>1332</v>
      </c>
      <c r="C414" s="176" t="s">
        <v>21</v>
      </c>
      <c r="D414" s="176">
        <v>48.0</v>
      </c>
      <c r="E414" s="177">
        <v>118.0</v>
      </c>
    </row>
    <row r="415">
      <c r="A415" s="1" t="s">
        <v>2513</v>
      </c>
      <c r="B415" s="176" t="s">
        <v>1333</v>
      </c>
      <c r="C415" s="176" t="s">
        <v>21</v>
      </c>
      <c r="D415" s="176">
        <v>24.0</v>
      </c>
      <c r="E415" s="177">
        <v>118.0</v>
      </c>
    </row>
    <row r="416">
      <c r="A416" s="1" t="s">
        <v>2514</v>
      </c>
      <c r="B416" s="176" t="s">
        <v>1335</v>
      </c>
      <c r="C416" s="176" t="s">
        <v>21</v>
      </c>
      <c r="D416" s="176">
        <v>24.0</v>
      </c>
      <c r="E416" s="177">
        <v>118.0</v>
      </c>
    </row>
    <row r="417">
      <c r="A417" s="1" t="s">
        <v>2515</v>
      </c>
      <c r="B417" s="176" t="s">
        <v>1336</v>
      </c>
      <c r="C417" s="176" t="s">
        <v>21</v>
      </c>
      <c r="D417" s="176">
        <v>24.0</v>
      </c>
      <c r="E417" s="177">
        <v>118.0</v>
      </c>
    </row>
    <row r="418">
      <c r="A418" s="1" t="s">
        <v>2516</v>
      </c>
      <c r="B418" s="176" t="s">
        <v>1338</v>
      </c>
      <c r="C418" s="176" t="s">
        <v>21</v>
      </c>
      <c r="D418" s="176">
        <v>24.0</v>
      </c>
      <c r="E418" s="177">
        <v>118.0</v>
      </c>
    </row>
    <row r="419">
      <c r="A419" s="1" t="s">
        <v>2517</v>
      </c>
      <c r="B419" s="176" t="s">
        <v>1340</v>
      </c>
      <c r="C419" s="176" t="s">
        <v>21</v>
      </c>
      <c r="D419" s="176">
        <v>48.0</v>
      </c>
      <c r="E419" s="177">
        <v>118.0</v>
      </c>
    </row>
    <row r="420">
      <c r="A420" s="1" t="s">
        <v>2518</v>
      </c>
      <c r="B420" s="176" t="s">
        <v>1341</v>
      </c>
      <c r="C420" s="176" t="s">
        <v>1287</v>
      </c>
      <c r="D420" s="176">
        <v>40.0</v>
      </c>
      <c r="E420" s="178">
        <v>0.0</v>
      </c>
    </row>
    <row r="421">
      <c r="A421" s="1" t="s">
        <v>2519</v>
      </c>
      <c r="B421" s="176" t="s">
        <v>1342</v>
      </c>
      <c r="C421" s="176" t="s">
        <v>21</v>
      </c>
      <c r="D421" s="176">
        <v>48.0</v>
      </c>
      <c r="E421" s="177">
        <v>118.0</v>
      </c>
    </row>
    <row r="422">
      <c r="A422" s="1" t="s">
        <v>2520</v>
      </c>
      <c r="B422" s="176" t="s">
        <v>1344</v>
      </c>
      <c r="C422" s="176" t="s">
        <v>1287</v>
      </c>
      <c r="D422" s="176">
        <v>40.0</v>
      </c>
      <c r="E422" s="177">
        <v>47.15</v>
      </c>
    </row>
    <row r="423">
      <c r="A423" s="1" t="s">
        <v>2521</v>
      </c>
      <c r="B423" s="176" t="s">
        <v>1345</v>
      </c>
      <c r="C423" s="176" t="s">
        <v>1287</v>
      </c>
      <c r="D423" s="176">
        <v>40.0</v>
      </c>
      <c r="E423" s="177">
        <v>49.64</v>
      </c>
    </row>
    <row r="424">
      <c r="A424" s="1" t="s">
        <v>2522</v>
      </c>
      <c r="B424" s="176" t="s">
        <v>1348</v>
      </c>
      <c r="C424" s="176" t="s">
        <v>1287</v>
      </c>
      <c r="D424" s="176">
        <v>40.0</v>
      </c>
      <c r="E424" s="177">
        <v>49.64</v>
      </c>
    </row>
    <row r="425">
      <c r="A425" s="1" t="s">
        <v>2523</v>
      </c>
      <c r="B425" s="176" t="s">
        <v>1349</v>
      </c>
      <c r="C425" s="176" t="s">
        <v>21</v>
      </c>
      <c r="D425" s="176">
        <v>24.0</v>
      </c>
      <c r="E425" s="177">
        <v>119.0</v>
      </c>
    </row>
    <row r="426">
      <c r="A426" s="1" t="s">
        <v>2524</v>
      </c>
      <c r="B426" s="176" t="s">
        <v>1351</v>
      </c>
      <c r="C426" s="176" t="s">
        <v>1287</v>
      </c>
      <c r="D426" s="176">
        <v>40.0</v>
      </c>
      <c r="E426" s="178">
        <v>0.0</v>
      </c>
    </row>
    <row r="427">
      <c r="A427" s="1" t="s">
        <v>2525</v>
      </c>
      <c r="B427" s="176" t="s">
        <v>1352</v>
      </c>
      <c r="C427" s="176" t="s">
        <v>21</v>
      </c>
      <c r="D427" s="176">
        <v>48.0</v>
      </c>
      <c r="E427" s="177">
        <v>118.0</v>
      </c>
    </row>
    <row r="428">
      <c r="A428" s="1" t="s">
        <v>2526</v>
      </c>
      <c r="B428" s="176" t="s">
        <v>1355</v>
      </c>
      <c r="C428" s="176" t="s">
        <v>1287</v>
      </c>
      <c r="D428" s="176">
        <v>40.0</v>
      </c>
      <c r="E428" s="177">
        <v>49.64</v>
      </c>
    </row>
    <row r="429">
      <c r="A429" s="1" t="s">
        <v>2527</v>
      </c>
      <c r="B429" s="176" t="s">
        <v>1356</v>
      </c>
      <c r="C429" s="176" t="s">
        <v>1287</v>
      </c>
      <c r="D429" s="176">
        <v>80.0</v>
      </c>
      <c r="E429" s="177">
        <v>49.64</v>
      </c>
    </row>
    <row r="430">
      <c r="A430" s="1" t="s">
        <v>2528</v>
      </c>
      <c r="B430" s="176" t="s">
        <v>1358</v>
      </c>
      <c r="C430" s="176" t="s">
        <v>1287</v>
      </c>
      <c r="D430" s="176">
        <v>40.0</v>
      </c>
      <c r="E430" s="177">
        <v>49.64</v>
      </c>
    </row>
    <row r="431">
      <c r="A431" s="1" t="s">
        <v>2529</v>
      </c>
      <c r="B431" s="176" t="s">
        <v>1360</v>
      </c>
      <c r="C431" s="176" t="s">
        <v>1287</v>
      </c>
      <c r="D431" s="176">
        <v>40.0</v>
      </c>
      <c r="E431" s="177">
        <v>45.0</v>
      </c>
    </row>
    <row r="432">
      <c r="A432" s="1" t="s">
        <v>2530</v>
      </c>
      <c r="B432" s="176" t="s">
        <v>1361</v>
      </c>
      <c r="C432" s="176" t="s">
        <v>21</v>
      </c>
      <c r="D432" s="176">
        <v>48.0</v>
      </c>
      <c r="E432" s="177">
        <v>127.6</v>
      </c>
    </row>
    <row r="433">
      <c r="A433" s="1" t="s">
        <v>2531</v>
      </c>
      <c r="B433" s="176" t="s">
        <v>1362</v>
      </c>
      <c r="C433" s="176" t="s">
        <v>21</v>
      </c>
      <c r="D433" s="176">
        <v>24.0</v>
      </c>
      <c r="E433" s="177">
        <v>119.0</v>
      </c>
    </row>
    <row r="434">
      <c r="A434" s="1" t="s">
        <v>2532</v>
      </c>
      <c r="B434" s="176" t="s">
        <v>1363</v>
      </c>
      <c r="C434" s="176" t="s">
        <v>21</v>
      </c>
      <c r="D434" s="176">
        <v>192.0</v>
      </c>
      <c r="E434" s="177">
        <v>119.0</v>
      </c>
    </row>
    <row r="435">
      <c r="A435" s="1" t="s">
        <v>2533</v>
      </c>
      <c r="B435" s="176" t="s">
        <v>1365</v>
      </c>
      <c r="C435" s="176" t="s">
        <v>21</v>
      </c>
      <c r="D435" s="176">
        <v>24.0</v>
      </c>
      <c r="E435" s="178">
        <v>0.0</v>
      </c>
    </row>
    <row r="436">
      <c r="A436" s="1" t="s">
        <v>2534</v>
      </c>
      <c r="B436" s="176" t="s">
        <v>1366</v>
      </c>
      <c r="C436" s="176" t="s">
        <v>21</v>
      </c>
      <c r="D436" s="176">
        <v>24.0</v>
      </c>
      <c r="E436" s="177">
        <v>118.18</v>
      </c>
    </row>
    <row r="437">
      <c r="A437" s="1" t="s">
        <v>2535</v>
      </c>
      <c r="B437" s="176" t="s">
        <v>1368</v>
      </c>
      <c r="C437" s="176" t="s">
        <v>21</v>
      </c>
      <c r="D437" s="176">
        <v>24.0</v>
      </c>
      <c r="E437" s="177">
        <v>118.18</v>
      </c>
    </row>
    <row r="438">
      <c r="A438" s="1" t="s">
        <v>2536</v>
      </c>
      <c r="B438" s="176" t="s">
        <v>1368</v>
      </c>
      <c r="C438" s="176" t="s">
        <v>1287</v>
      </c>
      <c r="D438" s="176">
        <v>40.0</v>
      </c>
      <c r="E438" s="177">
        <v>49.64</v>
      </c>
    </row>
    <row r="439">
      <c r="A439" s="1" t="s">
        <v>2537</v>
      </c>
      <c r="B439" s="176" t="s">
        <v>1369</v>
      </c>
      <c r="C439" s="176" t="s">
        <v>21</v>
      </c>
      <c r="D439" s="176">
        <v>48.0</v>
      </c>
      <c r="E439" s="177">
        <v>118.18</v>
      </c>
    </row>
    <row r="440">
      <c r="A440" s="1" t="s">
        <v>2538</v>
      </c>
      <c r="B440" s="176" t="s">
        <v>1369</v>
      </c>
      <c r="C440" s="176" t="s">
        <v>1287</v>
      </c>
      <c r="D440" s="176">
        <v>40.0</v>
      </c>
      <c r="E440" s="177">
        <v>49.64</v>
      </c>
    </row>
    <row r="441">
      <c r="A441" s="1" t="s">
        <v>2539</v>
      </c>
      <c r="B441" s="176" t="s">
        <v>1371</v>
      </c>
      <c r="C441" s="176" t="s">
        <v>1287</v>
      </c>
      <c r="D441" s="176">
        <v>40.0</v>
      </c>
      <c r="E441" s="177">
        <v>49.64</v>
      </c>
    </row>
    <row r="442">
      <c r="A442" s="1" t="s">
        <v>2540</v>
      </c>
      <c r="B442" s="176" t="s">
        <v>1372</v>
      </c>
      <c r="C442" s="176" t="s">
        <v>21</v>
      </c>
      <c r="D442" s="176">
        <v>24.0</v>
      </c>
      <c r="E442" s="177">
        <v>118.18</v>
      </c>
    </row>
    <row r="443">
      <c r="A443" s="1" t="s">
        <v>2541</v>
      </c>
      <c r="B443" s="176" t="s">
        <v>1374</v>
      </c>
      <c r="C443" s="176" t="s">
        <v>1287</v>
      </c>
      <c r="D443" s="176">
        <v>40.0</v>
      </c>
      <c r="E443" s="177">
        <v>49.64</v>
      </c>
    </row>
    <row r="444">
      <c r="A444" s="1" t="s">
        <v>2542</v>
      </c>
      <c r="B444" s="176" t="s">
        <v>1378</v>
      </c>
      <c r="C444" s="176" t="s">
        <v>1287</v>
      </c>
      <c r="D444" s="176">
        <v>40.0</v>
      </c>
      <c r="E444" s="177">
        <v>49.64</v>
      </c>
    </row>
    <row r="445">
      <c r="A445" s="1" t="s">
        <v>2543</v>
      </c>
      <c r="B445" s="176" t="s">
        <v>1380</v>
      </c>
      <c r="C445" s="176" t="s">
        <v>21</v>
      </c>
      <c r="D445" s="176">
        <v>24.0</v>
      </c>
      <c r="E445" s="177">
        <v>118.0</v>
      </c>
    </row>
    <row r="446">
      <c r="A446" s="1" t="s">
        <v>2544</v>
      </c>
      <c r="B446" s="176" t="s">
        <v>1382</v>
      </c>
      <c r="C446" s="176" t="s">
        <v>1287</v>
      </c>
      <c r="D446" s="176">
        <v>40.0</v>
      </c>
      <c r="E446" s="177">
        <v>49.64</v>
      </c>
    </row>
    <row r="447">
      <c r="A447" s="1" t="s">
        <v>2545</v>
      </c>
      <c r="B447" s="176" t="s">
        <v>1385</v>
      </c>
      <c r="C447" s="176" t="s">
        <v>21</v>
      </c>
      <c r="D447" s="176">
        <v>24.0</v>
      </c>
      <c r="E447" s="177">
        <v>118.18</v>
      </c>
    </row>
    <row r="448">
      <c r="A448" s="1" t="s">
        <v>2546</v>
      </c>
      <c r="B448" s="176" t="s">
        <v>1388</v>
      </c>
      <c r="C448" s="176" t="s">
        <v>1287</v>
      </c>
      <c r="D448" s="176">
        <v>40.0</v>
      </c>
      <c r="E448" s="177">
        <v>49.64</v>
      </c>
    </row>
    <row r="449">
      <c r="A449" s="1" t="s">
        <v>2547</v>
      </c>
      <c r="B449" s="176" t="s">
        <v>1391</v>
      </c>
      <c r="C449" s="176" t="s">
        <v>1287</v>
      </c>
      <c r="D449" s="176">
        <v>40.0</v>
      </c>
      <c r="E449" s="177">
        <v>49.64</v>
      </c>
    </row>
    <row r="450">
      <c r="A450" s="1" t="s">
        <v>2548</v>
      </c>
      <c r="B450" s="176" t="s">
        <v>1391</v>
      </c>
      <c r="C450" s="176" t="s">
        <v>21</v>
      </c>
      <c r="D450" s="176">
        <v>24.0</v>
      </c>
      <c r="E450" s="177">
        <v>125.0</v>
      </c>
    </row>
    <row r="451">
      <c r="A451" s="1" t="s">
        <v>2549</v>
      </c>
      <c r="B451" s="176" t="s">
        <v>1394</v>
      </c>
      <c r="C451" s="176" t="s">
        <v>1287</v>
      </c>
      <c r="D451" s="176">
        <v>40.0</v>
      </c>
      <c r="E451" s="177">
        <v>49.64</v>
      </c>
    </row>
    <row r="452">
      <c r="A452" s="1" t="s">
        <v>2550</v>
      </c>
      <c r="B452" s="176" t="s">
        <v>1396</v>
      </c>
      <c r="C452" s="176" t="s">
        <v>1287</v>
      </c>
      <c r="D452" s="176">
        <v>120.0</v>
      </c>
      <c r="E452" s="177">
        <v>49.64</v>
      </c>
    </row>
    <row r="453">
      <c r="A453" s="1" t="s">
        <v>2551</v>
      </c>
      <c r="B453" s="176" t="s">
        <v>1397</v>
      </c>
      <c r="C453" s="176" t="s">
        <v>1287</v>
      </c>
      <c r="D453" s="176">
        <v>520.0</v>
      </c>
      <c r="E453" s="178">
        <v>0.0</v>
      </c>
    </row>
    <row r="454">
      <c r="A454" s="1" t="s">
        <v>2552</v>
      </c>
      <c r="B454" s="176" t="s">
        <v>1398</v>
      </c>
      <c r="C454" s="176" t="s">
        <v>1287</v>
      </c>
      <c r="D454" s="176">
        <v>40.0</v>
      </c>
      <c r="E454" s="177">
        <v>55.0</v>
      </c>
    </row>
    <row r="455">
      <c r="A455" s="1" t="s">
        <v>2553</v>
      </c>
      <c r="B455" s="176" t="s">
        <v>1400</v>
      </c>
      <c r="C455" s="176" t="s">
        <v>1287</v>
      </c>
      <c r="D455" s="176">
        <v>160.0</v>
      </c>
      <c r="E455" s="177">
        <v>55.0</v>
      </c>
    </row>
    <row r="456">
      <c r="A456" s="1" t="s">
        <v>2554</v>
      </c>
      <c r="B456" s="176" t="s">
        <v>1401</v>
      </c>
      <c r="C456" s="176" t="s">
        <v>1287</v>
      </c>
      <c r="D456" s="176">
        <v>80.0</v>
      </c>
      <c r="E456" s="177">
        <v>55.0</v>
      </c>
    </row>
    <row r="457">
      <c r="A457" s="1" t="s">
        <v>2555</v>
      </c>
      <c r="B457" s="176" t="s">
        <v>1402</v>
      </c>
      <c r="C457" s="176" t="s">
        <v>1287</v>
      </c>
      <c r="D457" s="176">
        <v>80.0</v>
      </c>
      <c r="E457" s="177">
        <v>55.0</v>
      </c>
    </row>
    <row r="458">
      <c r="A458" s="1" t="s">
        <v>2556</v>
      </c>
      <c r="B458" s="176" t="s">
        <v>1403</v>
      </c>
      <c r="C458" s="176" t="s">
        <v>1287</v>
      </c>
      <c r="D458" s="176">
        <v>160.0</v>
      </c>
      <c r="E458" s="177">
        <v>55.0</v>
      </c>
    </row>
    <row r="459">
      <c r="A459" s="1" t="s">
        <v>2557</v>
      </c>
      <c r="B459" s="176" t="s">
        <v>1405</v>
      </c>
      <c r="C459" s="176" t="s">
        <v>21</v>
      </c>
      <c r="D459" s="176">
        <v>24.0</v>
      </c>
      <c r="E459" s="178">
        <v>0.0</v>
      </c>
    </row>
    <row r="460">
      <c r="A460" s="1" t="s">
        <v>2558</v>
      </c>
      <c r="B460" s="176" t="s">
        <v>1407</v>
      </c>
      <c r="C460" s="176" t="s">
        <v>21</v>
      </c>
      <c r="D460" s="176">
        <v>24.0</v>
      </c>
      <c r="E460" s="177">
        <v>125.0</v>
      </c>
    </row>
    <row r="461">
      <c r="A461" s="1" t="s">
        <v>2559</v>
      </c>
      <c r="B461" s="176" t="s">
        <v>1408</v>
      </c>
      <c r="C461" s="176" t="s">
        <v>21</v>
      </c>
      <c r="D461" s="176">
        <v>2.0</v>
      </c>
      <c r="E461" s="177">
        <v>125.0</v>
      </c>
    </row>
    <row r="462">
      <c r="A462" s="1" t="s">
        <v>2560</v>
      </c>
      <c r="B462" s="176" t="s">
        <v>1411</v>
      </c>
      <c r="C462" s="176" t="s">
        <v>1287</v>
      </c>
      <c r="D462" s="176">
        <v>8.0</v>
      </c>
      <c r="E462" s="177">
        <v>49.66</v>
      </c>
    </row>
    <row r="463">
      <c r="A463" s="1" t="s">
        <v>2561</v>
      </c>
      <c r="B463" s="176" t="s">
        <v>1412</v>
      </c>
      <c r="C463" s="176" t="s">
        <v>1287</v>
      </c>
      <c r="D463" s="176">
        <v>20.0</v>
      </c>
      <c r="E463" s="177">
        <v>49.66</v>
      </c>
    </row>
    <row r="464">
      <c r="A464" s="1" t="s">
        <v>2562</v>
      </c>
      <c r="B464" s="176" t="s">
        <v>1414</v>
      </c>
      <c r="C464" s="176" t="s">
        <v>21</v>
      </c>
      <c r="D464" s="176">
        <v>12.0</v>
      </c>
      <c r="E464" s="177">
        <v>125.0</v>
      </c>
    </row>
    <row r="465">
      <c r="A465" s="1" t="s">
        <v>2563</v>
      </c>
      <c r="B465" s="176" t="s">
        <v>1415</v>
      </c>
      <c r="C465" s="176" t="s">
        <v>21</v>
      </c>
      <c r="D465" s="176">
        <v>24.0</v>
      </c>
      <c r="E465" s="178">
        <v>0.0</v>
      </c>
    </row>
    <row r="466">
      <c r="A466" s="1" t="s">
        <v>2564</v>
      </c>
      <c r="B466" s="176" t="s">
        <v>1416</v>
      </c>
      <c r="C466" s="176" t="s">
        <v>21</v>
      </c>
      <c r="D466" s="176">
        <v>24.0</v>
      </c>
      <c r="E466" s="177">
        <v>110.0</v>
      </c>
    </row>
    <row r="467">
      <c r="A467" s="1" t="s">
        <v>2565</v>
      </c>
      <c r="B467" s="176" t="s">
        <v>1419</v>
      </c>
      <c r="C467" s="176" t="s">
        <v>21</v>
      </c>
      <c r="D467" s="176">
        <v>24.0</v>
      </c>
      <c r="E467" s="177">
        <v>119.0</v>
      </c>
    </row>
    <row r="468">
      <c r="A468" s="1" t="s">
        <v>2566</v>
      </c>
      <c r="B468" s="176" t="s">
        <v>1421</v>
      </c>
      <c r="C468" s="176" t="s">
        <v>21</v>
      </c>
      <c r="D468" s="176">
        <v>24.0</v>
      </c>
      <c r="E468" s="177">
        <v>119.0</v>
      </c>
    </row>
    <row r="469">
      <c r="A469" s="1" t="s">
        <v>2567</v>
      </c>
      <c r="B469" s="176" t="s">
        <v>1423</v>
      </c>
      <c r="C469" s="176" t="s">
        <v>21</v>
      </c>
      <c r="D469" s="176">
        <v>48.0</v>
      </c>
      <c r="E469" s="177">
        <v>105.0</v>
      </c>
    </row>
    <row r="470">
      <c r="A470" s="1" t="s">
        <v>2568</v>
      </c>
      <c r="B470" s="176" t="s">
        <v>1424</v>
      </c>
      <c r="C470" s="176" t="s">
        <v>1287</v>
      </c>
      <c r="D470" s="176">
        <v>200.0</v>
      </c>
      <c r="E470" s="178">
        <v>0.0</v>
      </c>
    </row>
    <row r="471">
      <c r="A471" s="1" t="s">
        <v>2569</v>
      </c>
      <c r="B471" s="176" t="s">
        <v>1425</v>
      </c>
      <c r="C471" s="176" t="s">
        <v>21</v>
      </c>
      <c r="D471" s="176">
        <v>192.0</v>
      </c>
      <c r="E471" s="178">
        <v>0.0</v>
      </c>
    </row>
    <row r="472">
      <c r="A472" s="1" t="s">
        <v>2570</v>
      </c>
      <c r="B472" s="176" t="s">
        <v>1426</v>
      </c>
      <c r="C472" s="176" t="s">
        <v>1287</v>
      </c>
      <c r="D472" s="176">
        <v>80.0</v>
      </c>
      <c r="E472" s="177">
        <v>50.0</v>
      </c>
    </row>
    <row r="473">
      <c r="A473" s="1" t="s">
        <v>2571</v>
      </c>
      <c r="B473" s="176" t="s">
        <v>1427</v>
      </c>
      <c r="C473" s="176" t="s">
        <v>1287</v>
      </c>
      <c r="D473" s="176">
        <v>40.0</v>
      </c>
      <c r="E473" s="177">
        <v>55.0</v>
      </c>
    </row>
    <row r="474">
      <c r="A474" s="1" t="s">
        <v>2572</v>
      </c>
      <c r="B474" s="176" t="s">
        <v>1427</v>
      </c>
      <c r="C474" s="176" t="s">
        <v>21</v>
      </c>
      <c r="D474" s="176">
        <v>24.0</v>
      </c>
      <c r="E474" s="177">
        <v>119.0</v>
      </c>
    </row>
    <row r="475">
      <c r="A475" s="1" t="s">
        <v>2573</v>
      </c>
      <c r="B475" s="176" t="s">
        <v>1429</v>
      </c>
      <c r="C475" s="176" t="s">
        <v>1287</v>
      </c>
      <c r="D475" s="176">
        <v>80.0</v>
      </c>
      <c r="E475" s="177">
        <v>55.0</v>
      </c>
    </row>
    <row r="476">
      <c r="A476" s="1" t="s">
        <v>2574</v>
      </c>
      <c r="B476" s="176" t="s">
        <v>1431</v>
      </c>
      <c r="C476" s="176" t="s">
        <v>1287</v>
      </c>
      <c r="D476" s="176">
        <v>40.0</v>
      </c>
      <c r="E476" s="177">
        <v>50.0</v>
      </c>
    </row>
    <row r="477">
      <c r="A477" s="1" t="s">
        <v>2575</v>
      </c>
      <c r="B477" s="176" t="s">
        <v>1432</v>
      </c>
      <c r="C477" s="176" t="s">
        <v>21</v>
      </c>
      <c r="D477" s="176">
        <v>360.0</v>
      </c>
      <c r="E477" s="177">
        <v>100.0</v>
      </c>
    </row>
    <row r="478">
      <c r="A478" s="1" t="s">
        <v>2576</v>
      </c>
      <c r="B478" s="176" t="s">
        <v>1432</v>
      </c>
      <c r="C478" s="176" t="s">
        <v>1287</v>
      </c>
      <c r="D478" s="176">
        <v>40.0</v>
      </c>
      <c r="E478" s="177">
        <v>45.0</v>
      </c>
    </row>
    <row r="479">
      <c r="A479" s="1" t="s">
        <v>2577</v>
      </c>
      <c r="B479" s="176" t="s">
        <v>1436</v>
      </c>
      <c r="C479" s="176" t="s">
        <v>1287</v>
      </c>
      <c r="D479" s="176">
        <v>20.0</v>
      </c>
      <c r="E479" s="177">
        <v>49.66</v>
      </c>
    </row>
    <row r="480">
      <c r="A480" s="1" t="s">
        <v>2578</v>
      </c>
      <c r="B480" s="176" t="s">
        <v>1436</v>
      </c>
      <c r="C480" s="176" t="s">
        <v>21</v>
      </c>
      <c r="D480" s="176">
        <v>24.0</v>
      </c>
      <c r="E480" s="177">
        <v>118.0</v>
      </c>
    </row>
    <row r="481">
      <c r="A481" s="1" t="s">
        <v>2579</v>
      </c>
      <c r="B481" s="176" t="s">
        <v>1439</v>
      </c>
      <c r="C481" s="176" t="s">
        <v>1287</v>
      </c>
      <c r="D481" s="176">
        <v>80.0</v>
      </c>
      <c r="E481" s="177">
        <v>49.66</v>
      </c>
    </row>
    <row r="482">
      <c r="A482" s="1" t="s">
        <v>2580</v>
      </c>
      <c r="B482" s="176" t="s">
        <v>1442</v>
      </c>
      <c r="C482" s="176" t="s">
        <v>1287</v>
      </c>
      <c r="D482" s="176">
        <v>40.0</v>
      </c>
      <c r="E482" s="177">
        <v>49.64</v>
      </c>
    </row>
    <row r="483">
      <c r="A483" s="1" t="s">
        <v>2581</v>
      </c>
      <c r="B483" s="176" t="s">
        <v>1442</v>
      </c>
      <c r="C483" s="176" t="s">
        <v>21</v>
      </c>
      <c r="D483" s="176">
        <v>24.0</v>
      </c>
      <c r="E483" s="177">
        <v>118.18</v>
      </c>
    </row>
    <row r="484">
      <c r="A484" s="1" t="s">
        <v>2582</v>
      </c>
      <c r="B484" s="176" t="s">
        <v>1443</v>
      </c>
      <c r="C484" s="176" t="s">
        <v>1287</v>
      </c>
      <c r="D484" s="176">
        <v>40.0</v>
      </c>
      <c r="E484" s="177">
        <v>49.64</v>
      </c>
    </row>
    <row r="485">
      <c r="A485" s="1" t="s">
        <v>2583</v>
      </c>
      <c r="B485" s="176" t="s">
        <v>1446</v>
      </c>
      <c r="C485" s="176" t="s">
        <v>1287</v>
      </c>
      <c r="D485" s="176">
        <v>40.0</v>
      </c>
      <c r="E485" s="177">
        <v>49.64</v>
      </c>
    </row>
    <row r="486">
      <c r="A486" s="1" t="s">
        <v>2584</v>
      </c>
      <c r="B486" s="176" t="s">
        <v>1448</v>
      </c>
      <c r="C486" s="176" t="s">
        <v>1287</v>
      </c>
      <c r="D486" s="176">
        <v>80.0</v>
      </c>
      <c r="E486" s="177">
        <v>55.0</v>
      </c>
    </row>
    <row r="487">
      <c r="A487" s="1" t="s">
        <v>2585</v>
      </c>
      <c r="B487" s="176" t="s">
        <v>1450</v>
      </c>
      <c r="C487" s="176" t="s">
        <v>1287</v>
      </c>
      <c r="D487" s="176">
        <v>80.0</v>
      </c>
      <c r="E487" s="177">
        <v>55.0</v>
      </c>
    </row>
    <row r="488">
      <c r="A488" s="1" t="s">
        <v>2586</v>
      </c>
      <c r="B488" s="176" t="s">
        <v>1450</v>
      </c>
      <c r="C488" s="176" t="s">
        <v>21</v>
      </c>
      <c r="D488" s="176">
        <v>48.0</v>
      </c>
      <c r="E488" s="177">
        <v>119.0</v>
      </c>
    </row>
    <row r="489">
      <c r="A489" s="1" t="s">
        <v>2587</v>
      </c>
      <c r="B489" s="176" t="s">
        <v>1452</v>
      </c>
      <c r="C489" s="176" t="s">
        <v>1287</v>
      </c>
      <c r="D489" s="176">
        <v>1200.0</v>
      </c>
      <c r="E489" s="178">
        <v>0.0</v>
      </c>
    </row>
    <row r="490">
      <c r="A490" s="1" t="s">
        <v>2588</v>
      </c>
      <c r="B490" s="176" t="s">
        <v>1453</v>
      </c>
      <c r="C490" s="176" t="s">
        <v>21</v>
      </c>
      <c r="D490" s="176">
        <v>24.0</v>
      </c>
      <c r="E490" s="177">
        <v>118.18</v>
      </c>
    </row>
    <row r="491">
      <c r="A491" s="1" t="s">
        <v>2589</v>
      </c>
      <c r="B491" s="176" t="s">
        <v>1453</v>
      </c>
      <c r="C491" s="176" t="s">
        <v>1287</v>
      </c>
      <c r="D491" s="176">
        <v>40.0</v>
      </c>
      <c r="E491" s="177">
        <v>48.0</v>
      </c>
    </row>
    <row r="492">
      <c r="A492" s="1" t="s">
        <v>2590</v>
      </c>
      <c r="B492" s="176" t="s">
        <v>1456</v>
      </c>
      <c r="C492" s="176" t="s">
        <v>21</v>
      </c>
      <c r="D492" s="176">
        <v>24.0</v>
      </c>
      <c r="E492" s="177">
        <v>118.18</v>
      </c>
    </row>
    <row r="493">
      <c r="A493" s="1" t="s">
        <v>2591</v>
      </c>
      <c r="B493" s="176" t="s">
        <v>1456</v>
      </c>
      <c r="C493" s="176" t="s">
        <v>1287</v>
      </c>
      <c r="D493" s="176">
        <v>40.0</v>
      </c>
      <c r="E493" s="177">
        <v>48.0</v>
      </c>
    </row>
    <row r="494">
      <c r="A494" s="1" t="s">
        <v>2592</v>
      </c>
      <c r="B494" s="176" t="s">
        <v>1459</v>
      </c>
      <c r="C494" s="176" t="s">
        <v>21</v>
      </c>
      <c r="D494" s="176">
        <v>48.0</v>
      </c>
      <c r="E494" s="177">
        <v>125.0</v>
      </c>
    </row>
    <row r="495">
      <c r="A495" s="1" t="s">
        <v>2593</v>
      </c>
      <c r="B495" s="176" t="s">
        <v>1460</v>
      </c>
      <c r="C495" s="176" t="s">
        <v>21</v>
      </c>
      <c r="D495" s="176">
        <v>24.0</v>
      </c>
      <c r="E495" s="177">
        <v>118.0</v>
      </c>
    </row>
    <row r="496">
      <c r="A496" s="1" t="s">
        <v>2594</v>
      </c>
      <c r="B496" s="176" t="s">
        <v>1460</v>
      </c>
      <c r="C496" s="176" t="s">
        <v>1287</v>
      </c>
      <c r="D496" s="176">
        <v>40.0</v>
      </c>
      <c r="E496" s="177">
        <v>49.66</v>
      </c>
    </row>
    <row r="497">
      <c r="A497" s="1" t="s">
        <v>2595</v>
      </c>
      <c r="B497" s="176" t="s">
        <v>1462</v>
      </c>
      <c r="C497" s="176" t="s">
        <v>21</v>
      </c>
      <c r="D497" s="176">
        <v>24.0</v>
      </c>
      <c r="E497" s="177">
        <v>118.0</v>
      </c>
    </row>
    <row r="498">
      <c r="A498" s="1" t="s">
        <v>2596</v>
      </c>
      <c r="B498" s="176" t="s">
        <v>1462</v>
      </c>
      <c r="C498" s="176" t="s">
        <v>1287</v>
      </c>
      <c r="D498" s="176">
        <v>40.0</v>
      </c>
      <c r="E498" s="177">
        <v>49.66</v>
      </c>
    </row>
    <row r="499">
      <c r="A499" s="1" t="s">
        <v>2597</v>
      </c>
      <c r="B499" s="176" t="s">
        <v>1464</v>
      </c>
      <c r="C499" s="176" t="s">
        <v>21</v>
      </c>
      <c r="D499" s="176">
        <v>24.0</v>
      </c>
      <c r="E499" s="177">
        <v>118.18</v>
      </c>
    </row>
    <row r="500">
      <c r="A500" s="1" t="s">
        <v>2598</v>
      </c>
      <c r="B500" s="176" t="s">
        <v>1464</v>
      </c>
      <c r="C500" s="176" t="s">
        <v>1287</v>
      </c>
      <c r="D500" s="176">
        <v>40.0</v>
      </c>
      <c r="E500" s="177">
        <v>48.0</v>
      </c>
    </row>
    <row r="501">
      <c r="A501" s="1" t="s">
        <v>2599</v>
      </c>
      <c r="B501" s="176" t="s">
        <v>1466</v>
      </c>
      <c r="C501" s="176" t="s">
        <v>1287</v>
      </c>
      <c r="D501" s="176">
        <v>40.0</v>
      </c>
      <c r="E501" s="177">
        <v>49.64</v>
      </c>
    </row>
    <row r="502">
      <c r="A502" s="1" t="s">
        <v>2600</v>
      </c>
      <c r="B502" s="176" t="s">
        <v>1468</v>
      </c>
      <c r="C502" s="176" t="s">
        <v>1287</v>
      </c>
      <c r="D502" s="176">
        <v>40.0</v>
      </c>
      <c r="E502" s="177">
        <v>49.64</v>
      </c>
    </row>
    <row r="503">
      <c r="A503" s="1" t="s">
        <v>2601</v>
      </c>
      <c r="B503" s="176" t="s">
        <v>1469</v>
      </c>
      <c r="C503" s="176" t="s">
        <v>1287</v>
      </c>
      <c r="D503" s="176">
        <v>40.0</v>
      </c>
      <c r="E503" s="177">
        <v>49.64</v>
      </c>
    </row>
    <row r="504">
      <c r="A504" s="1" t="s">
        <v>2602</v>
      </c>
      <c r="B504" s="176" t="s">
        <v>1470</v>
      </c>
      <c r="C504" s="176" t="s">
        <v>1287</v>
      </c>
      <c r="D504" s="176">
        <v>40.0</v>
      </c>
      <c r="E504" s="177">
        <v>49.64</v>
      </c>
    </row>
    <row r="505">
      <c r="A505" s="1" t="s">
        <v>2603</v>
      </c>
      <c r="B505" s="176" t="s">
        <v>1470</v>
      </c>
      <c r="C505" s="176" t="s">
        <v>21</v>
      </c>
      <c r="D505" s="176">
        <v>24.0</v>
      </c>
      <c r="E505" s="177">
        <v>118.18</v>
      </c>
    </row>
    <row r="506">
      <c r="A506" s="1" t="s">
        <v>2604</v>
      </c>
      <c r="B506" s="176" t="s">
        <v>1471</v>
      </c>
      <c r="C506" s="176" t="s">
        <v>21</v>
      </c>
      <c r="D506" s="176">
        <v>24.0</v>
      </c>
      <c r="E506" s="177">
        <v>118.18</v>
      </c>
    </row>
    <row r="507">
      <c r="A507" s="1" t="s">
        <v>2605</v>
      </c>
      <c r="B507" s="176" t="s">
        <v>1471</v>
      </c>
      <c r="C507" s="176" t="s">
        <v>1287</v>
      </c>
      <c r="D507" s="176">
        <v>40.0</v>
      </c>
      <c r="E507" s="177">
        <v>49.64</v>
      </c>
    </row>
    <row r="508">
      <c r="A508" s="1" t="s">
        <v>2606</v>
      </c>
      <c r="B508" s="176" t="s">
        <v>1472</v>
      </c>
      <c r="C508" s="176" t="s">
        <v>1287</v>
      </c>
      <c r="D508" s="176">
        <v>40.0</v>
      </c>
      <c r="E508" s="177">
        <v>47.16</v>
      </c>
    </row>
    <row r="509">
      <c r="A509" s="1" t="s">
        <v>2607</v>
      </c>
      <c r="B509" s="176" t="s">
        <v>1474</v>
      </c>
      <c r="C509" s="176" t="s">
        <v>1287</v>
      </c>
      <c r="D509" s="176">
        <v>40.0</v>
      </c>
      <c r="E509" s="178">
        <v>0.0</v>
      </c>
    </row>
    <row r="510">
      <c r="A510" s="1" t="s">
        <v>2608</v>
      </c>
      <c r="B510" s="176" t="s">
        <v>1475</v>
      </c>
      <c r="C510" s="176" t="s">
        <v>21</v>
      </c>
      <c r="D510" s="176">
        <v>24.0</v>
      </c>
      <c r="E510" s="177">
        <v>118.0</v>
      </c>
    </row>
    <row r="511">
      <c r="A511" s="1" t="s">
        <v>2609</v>
      </c>
      <c r="B511" s="176" t="s">
        <v>1475</v>
      </c>
      <c r="C511" s="176" t="s">
        <v>1287</v>
      </c>
      <c r="D511" s="176">
        <v>40.0</v>
      </c>
      <c r="E511" s="177">
        <v>49.66</v>
      </c>
    </row>
    <row r="512">
      <c r="A512" s="1" t="s">
        <v>2610</v>
      </c>
      <c r="B512" s="176" t="s">
        <v>1477</v>
      </c>
      <c r="C512" s="176" t="s">
        <v>1287</v>
      </c>
      <c r="D512" s="176">
        <v>40.0</v>
      </c>
      <c r="E512" s="177">
        <v>49.64</v>
      </c>
    </row>
    <row r="513">
      <c r="A513" s="1" t="s">
        <v>2611</v>
      </c>
      <c r="B513" s="176" t="s">
        <v>1479</v>
      </c>
      <c r="C513" s="176" t="s">
        <v>21</v>
      </c>
      <c r="D513" s="176">
        <v>12.0</v>
      </c>
      <c r="E513" s="178">
        <v>0.0</v>
      </c>
    </row>
    <row r="514">
      <c r="A514" s="1" t="s">
        <v>2612</v>
      </c>
      <c r="B514" s="176" t="s">
        <v>1480</v>
      </c>
      <c r="C514" s="176" t="s">
        <v>1287</v>
      </c>
      <c r="D514" s="176">
        <v>40.0</v>
      </c>
      <c r="E514" s="178">
        <v>0.0</v>
      </c>
    </row>
    <row r="515">
      <c r="A515" s="1" t="s">
        <v>2613</v>
      </c>
      <c r="B515" s="176" t="s">
        <v>1481</v>
      </c>
      <c r="C515" s="176" t="s">
        <v>1287</v>
      </c>
      <c r="D515" s="176">
        <v>40.0</v>
      </c>
      <c r="E515" s="177">
        <v>49.66</v>
      </c>
    </row>
    <row r="516">
      <c r="A516" s="1" t="s">
        <v>2614</v>
      </c>
      <c r="B516" s="176" t="s">
        <v>1484</v>
      </c>
      <c r="C516" s="176" t="s">
        <v>1287</v>
      </c>
      <c r="D516" s="176">
        <v>160.0</v>
      </c>
      <c r="E516" s="177">
        <v>49.66</v>
      </c>
    </row>
    <row r="517">
      <c r="A517" s="1" t="s">
        <v>2615</v>
      </c>
      <c r="B517" s="176" t="s">
        <v>1484</v>
      </c>
      <c r="C517" s="176" t="s">
        <v>21</v>
      </c>
      <c r="D517" s="176">
        <v>72.0</v>
      </c>
      <c r="E517" s="177">
        <v>118.0</v>
      </c>
    </row>
    <row r="518">
      <c r="A518" s="1" t="s">
        <v>2616</v>
      </c>
      <c r="B518" s="176" t="s">
        <v>1488</v>
      </c>
      <c r="C518" s="176" t="s">
        <v>1287</v>
      </c>
      <c r="D518" s="176">
        <v>40.0</v>
      </c>
      <c r="E518" s="177">
        <v>49.64</v>
      </c>
    </row>
    <row r="519">
      <c r="A519" s="1" t="s">
        <v>2617</v>
      </c>
      <c r="B519" s="176" t="s">
        <v>1490</v>
      </c>
      <c r="C519" s="176" t="s">
        <v>1287</v>
      </c>
      <c r="D519" s="176">
        <v>40.0</v>
      </c>
      <c r="E519" s="177">
        <v>49.64</v>
      </c>
    </row>
    <row r="520">
      <c r="A520" s="1" t="s">
        <v>2618</v>
      </c>
      <c r="B520" s="176" t="s">
        <v>1493</v>
      </c>
      <c r="C520" s="176" t="s">
        <v>1287</v>
      </c>
      <c r="D520" s="176">
        <v>40.0</v>
      </c>
      <c r="E520" s="177">
        <v>49.64</v>
      </c>
    </row>
    <row r="521">
      <c r="A521" s="1" t="s">
        <v>2619</v>
      </c>
      <c r="B521" s="176" t="s">
        <v>1496</v>
      </c>
      <c r="C521" s="176" t="s">
        <v>21</v>
      </c>
      <c r="D521" s="176">
        <v>24.0</v>
      </c>
      <c r="E521" s="177">
        <v>118.18</v>
      </c>
    </row>
    <row r="522">
      <c r="A522" s="1" t="s">
        <v>2620</v>
      </c>
      <c r="B522" s="176" t="s">
        <v>1497</v>
      </c>
      <c r="C522" s="176" t="s">
        <v>1287</v>
      </c>
      <c r="D522" s="176">
        <v>40.0</v>
      </c>
      <c r="E522" s="177">
        <v>49.66</v>
      </c>
    </row>
    <row r="523">
      <c r="A523" s="1" t="s">
        <v>2621</v>
      </c>
      <c r="B523" s="176" t="s">
        <v>1500</v>
      </c>
      <c r="C523" s="176" t="s">
        <v>1287</v>
      </c>
      <c r="D523" s="176">
        <v>40.0</v>
      </c>
      <c r="E523" s="177">
        <v>49.66</v>
      </c>
    </row>
    <row r="524">
      <c r="A524" s="1" t="s">
        <v>2622</v>
      </c>
      <c r="B524" s="176" t="s">
        <v>1500</v>
      </c>
      <c r="C524" s="176" t="s">
        <v>21</v>
      </c>
      <c r="D524" s="176">
        <v>24.0</v>
      </c>
      <c r="E524" s="177">
        <v>118.0</v>
      </c>
    </row>
    <row r="525">
      <c r="A525" s="1" t="s">
        <v>2623</v>
      </c>
      <c r="B525" s="176" t="s">
        <v>1502</v>
      </c>
      <c r="C525" s="176" t="s">
        <v>1287</v>
      </c>
      <c r="D525" s="176">
        <v>40.0</v>
      </c>
      <c r="E525" s="177">
        <v>49.64</v>
      </c>
    </row>
    <row r="526">
      <c r="A526" s="1" t="s">
        <v>2624</v>
      </c>
      <c r="B526" s="176" t="s">
        <v>1504</v>
      </c>
      <c r="C526" s="176" t="s">
        <v>21</v>
      </c>
      <c r="D526" s="176">
        <v>24.0</v>
      </c>
      <c r="E526" s="177">
        <v>118.0</v>
      </c>
    </row>
    <row r="527">
      <c r="A527" s="1" t="s">
        <v>2625</v>
      </c>
      <c r="B527" s="176" t="s">
        <v>1504</v>
      </c>
      <c r="C527" s="176" t="s">
        <v>1287</v>
      </c>
      <c r="D527" s="176">
        <v>40.0</v>
      </c>
      <c r="E527" s="177">
        <v>49.64</v>
      </c>
    </row>
    <row r="528">
      <c r="A528" s="1" t="s">
        <v>2626</v>
      </c>
      <c r="B528" s="176" t="s">
        <v>1506</v>
      </c>
      <c r="C528" s="176" t="s">
        <v>1287</v>
      </c>
      <c r="D528" s="176">
        <v>40.0</v>
      </c>
      <c r="E528" s="177">
        <v>49.64</v>
      </c>
    </row>
    <row r="529">
      <c r="A529" s="1" t="s">
        <v>2627</v>
      </c>
      <c r="B529" s="176" t="s">
        <v>1507</v>
      </c>
      <c r="C529" s="176" t="s">
        <v>1287</v>
      </c>
      <c r="D529" s="176">
        <v>120.0</v>
      </c>
      <c r="E529" s="178">
        <v>0.0</v>
      </c>
    </row>
    <row r="530">
      <c r="A530" s="1" t="s">
        <v>2628</v>
      </c>
      <c r="B530" s="176" t="s">
        <v>1508</v>
      </c>
      <c r="C530" s="176" t="s">
        <v>1287</v>
      </c>
      <c r="D530" s="176">
        <v>40.0</v>
      </c>
      <c r="E530" s="177">
        <v>58.0</v>
      </c>
    </row>
    <row r="531">
      <c r="A531" s="1" t="s">
        <v>2629</v>
      </c>
      <c r="B531" s="176" t="s">
        <v>1508</v>
      </c>
      <c r="C531" s="176" t="s">
        <v>21</v>
      </c>
      <c r="D531" s="176">
        <v>24.0</v>
      </c>
      <c r="E531" s="177">
        <v>119.0</v>
      </c>
    </row>
    <row r="532">
      <c r="A532" s="1" t="s">
        <v>2630</v>
      </c>
      <c r="B532" s="176" t="s">
        <v>1510</v>
      </c>
      <c r="C532" s="176" t="s">
        <v>21</v>
      </c>
      <c r="D532" s="176">
        <v>6.0</v>
      </c>
      <c r="E532" s="177">
        <v>119.0</v>
      </c>
    </row>
    <row r="533">
      <c r="A533" s="1" t="s">
        <v>2631</v>
      </c>
      <c r="B533" s="176" t="s">
        <v>1510</v>
      </c>
      <c r="C533" s="176" t="s">
        <v>1287</v>
      </c>
      <c r="D533" s="176">
        <v>12.0</v>
      </c>
      <c r="E533" s="177">
        <v>60.0</v>
      </c>
    </row>
    <row r="534">
      <c r="A534" s="1" t="s">
        <v>2632</v>
      </c>
      <c r="B534" s="176" t="s">
        <v>1512</v>
      </c>
      <c r="C534" s="176" t="s">
        <v>21</v>
      </c>
      <c r="D534" s="176">
        <v>24.0</v>
      </c>
      <c r="E534" s="177">
        <v>125.0</v>
      </c>
    </row>
    <row r="535">
      <c r="A535" s="1" t="s">
        <v>2633</v>
      </c>
      <c r="B535" s="176" t="s">
        <v>1513</v>
      </c>
      <c r="C535" s="176" t="s">
        <v>21</v>
      </c>
      <c r="D535" s="176">
        <v>72.0</v>
      </c>
      <c r="E535" s="177">
        <v>115.0</v>
      </c>
    </row>
    <row r="536">
      <c r="A536" s="1" t="s">
        <v>2634</v>
      </c>
      <c r="B536" s="176" t="s">
        <v>1514</v>
      </c>
      <c r="C536" s="176" t="s">
        <v>1287</v>
      </c>
      <c r="D536" s="176">
        <v>40.0</v>
      </c>
      <c r="E536" s="177">
        <v>49.64</v>
      </c>
    </row>
    <row r="537">
      <c r="A537" s="1" t="s">
        <v>2635</v>
      </c>
      <c r="B537" s="176" t="s">
        <v>1515</v>
      </c>
      <c r="C537" s="176" t="s">
        <v>1287</v>
      </c>
      <c r="D537" s="176">
        <v>40.0</v>
      </c>
      <c r="E537" s="177">
        <v>49.64</v>
      </c>
    </row>
    <row r="538">
      <c r="A538" s="1" t="s">
        <v>2636</v>
      </c>
      <c r="B538" s="176" t="s">
        <v>1516</v>
      </c>
      <c r="C538" s="176" t="s">
        <v>1287</v>
      </c>
      <c r="D538" s="176">
        <v>40.0</v>
      </c>
      <c r="E538" s="177">
        <v>49.64</v>
      </c>
    </row>
    <row r="539">
      <c r="A539" s="1" t="s">
        <v>2637</v>
      </c>
      <c r="B539" s="176" t="s">
        <v>1518</v>
      </c>
      <c r="C539" s="176" t="s">
        <v>1287</v>
      </c>
      <c r="D539" s="176">
        <v>40.0</v>
      </c>
      <c r="E539" s="177">
        <v>49.64</v>
      </c>
    </row>
    <row r="540">
      <c r="A540" s="1" t="s">
        <v>2638</v>
      </c>
      <c r="B540" s="176" t="s">
        <v>1521</v>
      </c>
      <c r="C540" s="176" t="s">
        <v>21</v>
      </c>
      <c r="D540" s="176">
        <v>480.0</v>
      </c>
      <c r="E540" s="177">
        <v>115.0</v>
      </c>
    </row>
    <row r="541">
      <c r="A541" s="1" t="s">
        <v>2639</v>
      </c>
      <c r="B541" s="176" t="s">
        <v>1521</v>
      </c>
      <c r="C541" s="176" t="s">
        <v>1287</v>
      </c>
      <c r="D541" s="176">
        <v>160.0</v>
      </c>
      <c r="E541" s="177">
        <v>45.0</v>
      </c>
    </row>
    <row r="542">
      <c r="A542" s="1" t="s">
        <v>2640</v>
      </c>
      <c r="B542" s="176" t="s">
        <v>1523</v>
      </c>
      <c r="C542" s="176" t="s">
        <v>21</v>
      </c>
      <c r="D542" s="176">
        <v>24.0</v>
      </c>
      <c r="E542" s="177">
        <v>118.18</v>
      </c>
    </row>
    <row r="543">
      <c r="A543" s="1" t="s">
        <v>2641</v>
      </c>
      <c r="B543" s="176" t="s">
        <v>1524</v>
      </c>
      <c r="C543" s="176" t="s">
        <v>21</v>
      </c>
      <c r="D543" s="176">
        <v>48.0</v>
      </c>
      <c r="E543" s="177">
        <v>119.0</v>
      </c>
    </row>
    <row r="544">
      <c r="A544" s="1" t="s">
        <v>2642</v>
      </c>
      <c r="B544" s="176" t="s">
        <v>1524</v>
      </c>
      <c r="C544" s="176" t="s">
        <v>1287</v>
      </c>
      <c r="D544" s="176">
        <v>200.0</v>
      </c>
      <c r="E544" s="177">
        <v>49.64</v>
      </c>
    </row>
    <row r="545">
      <c r="A545" s="1" t="s">
        <v>2643</v>
      </c>
      <c r="B545" s="176" t="s">
        <v>1527</v>
      </c>
      <c r="C545" s="176" t="s">
        <v>1287</v>
      </c>
      <c r="D545" s="176">
        <v>200.0</v>
      </c>
      <c r="E545" s="177">
        <v>49.64</v>
      </c>
    </row>
    <row r="546">
      <c r="A546" s="1" t="s">
        <v>2644</v>
      </c>
      <c r="B546" s="176" t="s">
        <v>1527</v>
      </c>
      <c r="C546" s="176" t="s">
        <v>21</v>
      </c>
      <c r="D546" s="176">
        <v>48.0</v>
      </c>
      <c r="E546" s="177">
        <v>118.18</v>
      </c>
    </row>
    <row r="547">
      <c r="A547" s="1" t="s">
        <v>2645</v>
      </c>
      <c r="B547" s="176" t="s">
        <v>1528</v>
      </c>
      <c r="C547" s="176" t="s">
        <v>21</v>
      </c>
      <c r="D547" s="176">
        <v>240.0</v>
      </c>
      <c r="E547" s="177">
        <v>115.0</v>
      </c>
    </row>
    <row r="548">
      <c r="A548" s="1" t="s">
        <v>2646</v>
      </c>
      <c r="B548" s="176" t="s">
        <v>1528</v>
      </c>
      <c r="C548" s="176" t="s">
        <v>1287</v>
      </c>
      <c r="D548" s="176">
        <v>80.0</v>
      </c>
      <c r="E548" s="177">
        <v>49.64</v>
      </c>
    </row>
    <row r="549">
      <c r="A549" s="1" t="s">
        <v>2647</v>
      </c>
      <c r="B549" s="176" t="s">
        <v>1531</v>
      </c>
      <c r="C549" s="176" t="s">
        <v>1287</v>
      </c>
      <c r="D549" s="176">
        <v>40.0</v>
      </c>
      <c r="E549" s="177">
        <v>49.64</v>
      </c>
    </row>
    <row r="550">
      <c r="A550" s="1" t="s">
        <v>2648</v>
      </c>
      <c r="B550" s="176" t="s">
        <v>1534</v>
      </c>
      <c r="C550" s="176" t="s">
        <v>21</v>
      </c>
      <c r="D550" s="176">
        <v>48.0</v>
      </c>
      <c r="E550" s="177">
        <v>118.0</v>
      </c>
    </row>
    <row r="551">
      <c r="A551" s="1" t="s">
        <v>2649</v>
      </c>
      <c r="B551" s="176" t="s">
        <v>1534</v>
      </c>
      <c r="C551" s="176" t="s">
        <v>1287</v>
      </c>
      <c r="D551" s="176">
        <v>40.0</v>
      </c>
      <c r="E551" s="177">
        <v>49.66</v>
      </c>
    </row>
    <row r="552">
      <c r="A552" s="1" t="s">
        <v>2650</v>
      </c>
      <c r="B552" s="176" t="s">
        <v>1537</v>
      </c>
      <c r="C552" s="176" t="s">
        <v>1287</v>
      </c>
      <c r="D552" s="176">
        <v>40.0</v>
      </c>
      <c r="E552" s="177">
        <v>49.66</v>
      </c>
    </row>
    <row r="553">
      <c r="A553" s="1" t="s">
        <v>2651</v>
      </c>
      <c r="B553" s="176" t="s">
        <v>1537</v>
      </c>
      <c r="C553" s="176" t="s">
        <v>21</v>
      </c>
      <c r="D553" s="176">
        <v>24.0</v>
      </c>
      <c r="E553" s="177">
        <v>118.0</v>
      </c>
    </row>
    <row r="554">
      <c r="A554" s="1" t="s">
        <v>2652</v>
      </c>
      <c r="B554" s="176" t="s">
        <v>1540</v>
      </c>
      <c r="C554" s="176" t="s">
        <v>21</v>
      </c>
      <c r="D554" s="176">
        <v>24.0</v>
      </c>
      <c r="E554" s="177">
        <v>118.0</v>
      </c>
    </row>
    <row r="555">
      <c r="A555" s="1" t="s">
        <v>2653</v>
      </c>
      <c r="B555" s="176" t="s">
        <v>1540</v>
      </c>
      <c r="C555" s="176" t="s">
        <v>1287</v>
      </c>
      <c r="D555" s="176">
        <v>40.0</v>
      </c>
      <c r="E555" s="177">
        <v>49.66</v>
      </c>
    </row>
    <row r="556">
      <c r="A556" s="1" t="s">
        <v>2654</v>
      </c>
      <c r="B556" s="176" t="s">
        <v>1542</v>
      </c>
      <c r="C556" s="176" t="s">
        <v>1287</v>
      </c>
      <c r="D556" s="176">
        <v>80.0</v>
      </c>
      <c r="E556" s="177">
        <v>55.0</v>
      </c>
    </row>
    <row r="557">
      <c r="A557" s="1" t="s">
        <v>2655</v>
      </c>
      <c r="B557" s="176" t="s">
        <v>1544</v>
      </c>
      <c r="C557" s="176" t="s">
        <v>21</v>
      </c>
      <c r="D557" s="176">
        <v>120.0</v>
      </c>
      <c r="E557" s="177">
        <v>119.0</v>
      </c>
    </row>
    <row r="558">
      <c r="A558" s="1" t="s">
        <v>2656</v>
      </c>
      <c r="B558" s="176" t="s">
        <v>1545</v>
      </c>
      <c r="C558" s="176" t="s">
        <v>1287</v>
      </c>
      <c r="D558" s="176">
        <v>80.0</v>
      </c>
      <c r="E558" s="177">
        <v>55.0</v>
      </c>
    </row>
    <row r="559">
      <c r="A559" s="1" t="s">
        <v>2657</v>
      </c>
      <c r="B559" s="176" t="s">
        <v>1546</v>
      </c>
      <c r="C559" s="176" t="s">
        <v>21</v>
      </c>
      <c r="D559" s="176">
        <v>48.0</v>
      </c>
      <c r="E559" s="177">
        <v>119.0</v>
      </c>
    </row>
    <row r="560">
      <c r="A560" s="1" t="s">
        <v>2658</v>
      </c>
      <c r="B560" s="176" t="s">
        <v>1546</v>
      </c>
      <c r="C560" s="176" t="s">
        <v>1287</v>
      </c>
      <c r="D560" s="176">
        <v>80.0</v>
      </c>
      <c r="E560" s="177">
        <v>55.0</v>
      </c>
    </row>
    <row r="561">
      <c r="A561" s="1" t="s">
        <v>2659</v>
      </c>
      <c r="B561" s="176" t="s">
        <v>1548</v>
      </c>
      <c r="C561" s="176" t="s">
        <v>1287</v>
      </c>
      <c r="D561" s="176">
        <v>80.0</v>
      </c>
      <c r="E561" s="177">
        <v>55.0</v>
      </c>
    </row>
    <row r="562">
      <c r="A562" s="1" t="s">
        <v>2660</v>
      </c>
      <c r="B562" s="176" t="s">
        <v>1549</v>
      </c>
      <c r="C562" s="176" t="s">
        <v>21</v>
      </c>
      <c r="D562" s="176">
        <v>72.0</v>
      </c>
      <c r="E562" s="177">
        <v>119.0</v>
      </c>
    </row>
    <row r="563">
      <c r="A563" s="1" t="s">
        <v>2661</v>
      </c>
      <c r="B563" s="176" t="s">
        <v>1549</v>
      </c>
      <c r="C563" s="176" t="s">
        <v>1287</v>
      </c>
      <c r="D563" s="176">
        <v>80.0</v>
      </c>
      <c r="E563" s="177">
        <v>55.0</v>
      </c>
    </row>
    <row r="564">
      <c r="A564" s="1" t="s">
        <v>2662</v>
      </c>
      <c r="B564" s="176" t="s">
        <v>1550</v>
      </c>
      <c r="C564" s="176" t="s">
        <v>21</v>
      </c>
      <c r="D564" s="176">
        <v>24.0</v>
      </c>
      <c r="E564" s="177">
        <v>118.18</v>
      </c>
    </row>
    <row r="565">
      <c r="A565" s="1" t="s">
        <v>2663</v>
      </c>
      <c r="B565" s="176" t="s">
        <v>1550</v>
      </c>
      <c r="C565" s="176" t="s">
        <v>1287</v>
      </c>
      <c r="D565" s="176">
        <v>40.0</v>
      </c>
      <c r="E565" s="177">
        <v>49.64</v>
      </c>
    </row>
    <row r="566">
      <c r="A566" s="1" t="s">
        <v>2664</v>
      </c>
      <c r="B566" s="176" t="s">
        <v>1552</v>
      </c>
      <c r="C566" s="176" t="s">
        <v>21</v>
      </c>
      <c r="D566" s="176">
        <v>24.0</v>
      </c>
      <c r="E566" s="177">
        <v>118.18</v>
      </c>
    </row>
    <row r="567">
      <c r="A567" s="1" t="s">
        <v>2665</v>
      </c>
      <c r="B567" s="176" t="s">
        <v>1552</v>
      </c>
      <c r="C567" s="176" t="s">
        <v>1287</v>
      </c>
      <c r="D567" s="176">
        <v>12.0</v>
      </c>
      <c r="E567" s="177">
        <v>49.64</v>
      </c>
    </row>
    <row r="568">
      <c r="A568" s="1" t="s">
        <v>2666</v>
      </c>
      <c r="B568" s="176" t="s">
        <v>1555</v>
      </c>
      <c r="C568" s="176" t="s">
        <v>21</v>
      </c>
      <c r="D568" s="176">
        <v>72.0</v>
      </c>
      <c r="E568" s="177">
        <v>100.0</v>
      </c>
    </row>
    <row r="569">
      <c r="A569" s="1" t="s">
        <v>2667</v>
      </c>
      <c r="B569" s="176" t="s">
        <v>1557</v>
      </c>
      <c r="C569" s="176" t="s">
        <v>1287</v>
      </c>
      <c r="D569" s="176">
        <v>640.0</v>
      </c>
      <c r="E569" s="177">
        <v>47.0</v>
      </c>
    </row>
    <row r="570">
      <c r="A570" s="1" t="s">
        <v>2668</v>
      </c>
      <c r="B570" s="176" t="s">
        <v>1561</v>
      </c>
      <c r="C570" s="176" t="s">
        <v>21</v>
      </c>
      <c r="D570" s="176">
        <v>240.0</v>
      </c>
      <c r="E570" s="177">
        <v>115.0</v>
      </c>
    </row>
    <row r="571">
      <c r="A571" s="1" t="s">
        <v>2669</v>
      </c>
      <c r="B571" s="176" t="s">
        <v>1561</v>
      </c>
      <c r="C571" s="176" t="s">
        <v>1287</v>
      </c>
      <c r="D571" s="176">
        <v>80.0</v>
      </c>
      <c r="E571" s="177">
        <v>49.64</v>
      </c>
    </row>
    <row r="572">
      <c r="A572" s="1" t="s">
        <v>2670</v>
      </c>
      <c r="B572" s="176" t="s">
        <v>1566</v>
      </c>
      <c r="C572" s="176" t="s">
        <v>21</v>
      </c>
      <c r="D572" s="176">
        <v>24.0</v>
      </c>
      <c r="E572" s="177">
        <v>119.0</v>
      </c>
    </row>
    <row r="573">
      <c r="A573" s="1" t="s">
        <v>2671</v>
      </c>
      <c r="B573" s="176" t="s">
        <v>1566</v>
      </c>
      <c r="C573" s="176" t="s">
        <v>1287</v>
      </c>
      <c r="D573" s="176">
        <v>40.0</v>
      </c>
      <c r="E573" s="177">
        <v>55.0</v>
      </c>
    </row>
    <row r="574">
      <c r="A574" s="1" t="s">
        <v>2672</v>
      </c>
      <c r="B574" s="176" t="s">
        <v>1568</v>
      </c>
      <c r="C574" s="176" t="s">
        <v>21</v>
      </c>
      <c r="D574" s="176">
        <v>192.0</v>
      </c>
      <c r="E574" s="177">
        <v>115.0</v>
      </c>
    </row>
    <row r="575">
      <c r="A575" s="1" t="s">
        <v>2673</v>
      </c>
      <c r="B575" s="176" t="s">
        <v>1568</v>
      </c>
      <c r="C575" s="176" t="s">
        <v>1287</v>
      </c>
      <c r="D575" s="176">
        <v>160.0</v>
      </c>
      <c r="E575" s="177">
        <v>49.64</v>
      </c>
    </row>
    <row r="576">
      <c r="A576" s="1" t="s">
        <v>2674</v>
      </c>
      <c r="B576" s="176" t="s">
        <v>1572</v>
      </c>
      <c r="C576" s="176" t="s">
        <v>21</v>
      </c>
      <c r="D576" s="176">
        <v>24.0</v>
      </c>
      <c r="E576" s="177">
        <v>118.18</v>
      </c>
    </row>
    <row r="577">
      <c r="A577" s="1" t="s">
        <v>2675</v>
      </c>
      <c r="B577" s="176" t="s">
        <v>1573</v>
      </c>
      <c r="C577" s="176" t="s">
        <v>1287</v>
      </c>
      <c r="D577" s="176">
        <v>40.0</v>
      </c>
      <c r="E577" s="177">
        <v>49.64</v>
      </c>
    </row>
    <row r="578">
      <c r="A578" s="1" t="s">
        <v>2676</v>
      </c>
      <c r="B578" s="176" t="s">
        <v>1575</v>
      </c>
      <c r="C578" s="176" t="s">
        <v>21</v>
      </c>
      <c r="D578" s="176">
        <v>24.0</v>
      </c>
      <c r="E578" s="177">
        <v>118.0</v>
      </c>
    </row>
    <row r="579">
      <c r="A579" s="1" t="s">
        <v>2677</v>
      </c>
      <c r="B579" s="176" t="s">
        <v>1577</v>
      </c>
      <c r="C579" s="176" t="s">
        <v>1287</v>
      </c>
      <c r="D579" s="176">
        <v>40.0</v>
      </c>
      <c r="E579" s="177">
        <v>58.0</v>
      </c>
    </row>
    <row r="580">
      <c r="A580" s="1" t="s">
        <v>2678</v>
      </c>
      <c r="B580" s="176" t="s">
        <v>1578</v>
      </c>
      <c r="C580" s="176" t="s">
        <v>1287</v>
      </c>
      <c r="D580" s="176">
        <v>40.0</v>
      </c>
      <c r="E580" s="177">
        <v>55.0</v>
      </c>
    </row>
    <row r="581">
      <c r="A581" s="1" t="s">
        <v>2679</v>
      </c>
      <c r="B581" s="176" t="s">
        <v>1580</v>
      </c>
      <c r="C581" s="176" t="s">
        <v>21</v>
      </c>
      <c r="D581" s="176">
        <v>48.0</v>
      </c>
      <c r="E581" s="177">
        <v>115.0</v>
      </c>
    </row>
    <row r="582">
      <c r="A582" s="1" t="s">
        <v>2680</v>
      </c>
      <c r="B582" s="176" t="s">
        <v>1583</v>
      </c>
      <c r="C582" s="176" t="s">
        <v>21</v>
      </c>
      <c r="D582" s="176">
        <v>120.0</v>
      </c>
      <c r="E582" s="178">
        <v>0.0</v>
      </c>
    </row>
    <row r="583">
      <c r="A583" s="1" t="s">
        <v>2681</v>
      </c>
      <c r="B583" s="176" t="s">
        <v>1583</v>
      </c>
      <c r="C583" s="176" t="s">
        <v>1287</v>
      </c>
      <c r="D583" s="176">
        <v>120.0</v>
      </c>
      <c r="E583" s="178">
        <v>0.0</v>
      </c>
    </row>
    <row r="584">
      <c r="A584" s="1" t="s">
        <v>2682</v>
      </c>
      <c r="B584" s="176" t="s">
        <v>1584</v>
      </c>
      <c r="C584" s="176" t="s">
        <v>21</v>
      </c>
      <c r="D584" s="176">
        <v>10.0</v>
      </c>
      <c r="E584" s="178">
        <v>0.0</v>
      </c>
    </row>
    <row r="585">
      <c r="A585" s="1" t="s">
        <v>2683</v>
      </c>
      <c r="B585" s="176" t="s">
        <v>1584</v>
      </c>
      <c r="C585" s="176" t="s">
        <v>1287</v>
      </c>
      <c r="D585" s="176">
        <v>6.0</v>
      </c>
      <c r="E585" s="178">
        <v>0.0</v>
      </c>
    </row>
    <row r="586">
      <c r="A586" s="1" t="s">
        <v>2684</v>
      </c>
      <c r="B586" s="176" t="s">
        <v>1585</v>
      </c>
      <c r="C586" s="176" t="s">
        <v>1287</v>
      </c>
      <c r="D586" s="176">
        <v>20.0</v>
      </c>
      <c r="E586" s="177">
        <v>49.64</v>
      </c>
    </row>
    <row r="587">
      <c r="A587" s="1" t="s">
        <v>2685</v>
      </c>
      <c r="B587" s="176" t="s">
        <v>1588</v>
      </c>
      <c r="C587" s="176" t="s">
        <v>1287</v>
      </c>
      <c r="D587" s="176">
        <v>20.0</v>
      </c>
      <c r="E587" s="177">
        <v>49.64</v>
      </c>
    </row>
    <row r="588">
      <c r="A588" s="1" t="s">
        <v>2686</v>
      </c>
      <c r="B588" s="176" t="s">
        <v>1592</v>
      </c>
      <c r="C588" s="176" t="s">
        <v>1287</v>
      </c>
      <c r="D588" s="176">
        <v>80.0</v>
      </c>
      <c r="E588" s="177">
        <v>49.64</v>
      </c>
    </row>
    <row r="589">
      <c r="A589" s="1" t="s">
        <v>2687</v>
      </c>
      <c r="B589" s="176" t="s">
        <v>1594</v>
      </c>
      <c r="C589" s="176" t="s">
        <v>1287</v>
      </c>
      <c r="D589" s="176">
        <v>40.0</v>
      </c>
      <c r="E589" s="177">
        <v>49.64</v>
      </c>
    </row>
    <row r="590">
      <c r="A590" s="1" t="s">
        <v>2688</v>
      </c>
      <c r="B590" s="176" t="s">
        <v>1596</v>
      </c>
      <c r="C590" s="176" t="s">
        <v>1287</v>
      </c>
      <c r="D590" s="176">
        <v>40.0</v>
      </c>
      <c r="E590" s="177">
        <v>47.0</v>
      </c>
    </row>
    <row r="591">
      <c r="A591" s="1" t="s">
        <v>2689</v>
      </c>
      <c r="B591" s="176" t="s">
        <v>1597</v>
      </c>
      <c r="C591" s="176" t="s">
        <v>1287</v>
      </c>
      <c r="D591" s="176">
        <v>40.0</v>
      </c>
      <c r="E591" s="177">
        <v>49.64</v>
      </c>
    </row>
    <row r="592">
      <c r="A592" s="1" t="s">
        <v>2690</v>
      </c>
      <c r="B592" s="176" t="s">
        <v>1598</v>
      </c>
      <c r="C592" s="176" t="s">
        <v>1287</v>
      </c>
      <c r="D592" s="176">
        <v>40.0</v>
      </c>
      <c r="E592" s="177">
        <v>49.64</v>
      </c>
    </row>
    <row r="593">
      <c r="A593" s="1" t="s">
        <v>2691</v>
      </c>
      <c r="B593" s="176" t="s">
        <v>1599</v>
      </c>
      <c r="C593" s="176" t="s">
        <v>1287</v>
      </c>
      <c r="D593" s="176">
        <v>40.0</v>
      </c>
      <c r="E593" s="177">
        <v>49.64</v>
      </c>
    </row>
    <row r="594">
      <c r="A594" s="1" t="s">
        <v>2692</v>
      </c>
      <c r="B594" s="176" t="s">
        <v>1601</v>
      </c>
      <c r="C594" s="176" t="s">
        <v>1287</v>
      </c>
      <c r="D594" s="176">
        <v>40.0</v>
      </c>
      <c r="E594" s="177">
        <v>49.64</v>
      </c>
    </row>
    <row r="595">
      <c r="A595" s="1" t="s">
        <v>2693</v>
      </c>
      <c r="B595" s="176" t="s">
        <v>1602</v>
      </c>
      <c r="C595" s="176" t="s">
        <v>21</v>
      </c>
      <c r="D595" s="176">
        <v>24.0</v>
      </c>
      <c r="E595" s="177">
        <v>118.0</v>
      </c>
    </row>
    <row r="596">
      <c r="A596" s="1" t="s">
        <v>2694</v>
      </c>
      <c r="B596" s="176" t="s">
        <v>1604</v>
      </c>
      <c r="C596" s="176" t="s">
        <v>21</v>
      </c>
      <c r="D596" s="176">
        <v>48.0</v>
      </c>
      <c r="E596" s="177">
        <v>118.0</v>
      </c>
    </row>
    <row r="597">
      <c r="A597" s="1" t="s">
        <v>2695</v>
      </c>
      <c r="B597" s="176" t="s">
        <v>1605</v>
      </c>
      <c r="C597" s="176" t="s">
        <v>1287</v>
      </c>
      <c r="D597" s="176">
        <v>80.0</v>
      </c>
      <c r="E597" s="177">
        <v>50.0</v>
      </c>
    </row>
    <row r="598">
      <c r="A598" s="1" t="s">
        <v>2696</v>
      </c>
      <c r="B598" s="176" t="s">
        <v>1606</v>
      </c>
      <c r="C598" s="176" t="s">
        <v>21</v>
      </c>
      <c r="D598" s="176">
        <v>10.0</v>
      </c>
      <c r="E598" s="177">
        <v>112.0</v>
      </c>
    </row>
    <row r="599">
      <c r="A599" s="1" t="s">
        <v>2697</v>
      </c>
      <c r="B599" s="176" t="s">
        <v>1607</v>
      </c>
      <c r="C599" s="176" t="s">
        <v>21</v>
      </c>
      <c r="D599" s="176">
        <v>24.0</v>
      </c>
      <c r="E599" s="177">
        <v>118.18</v>
      </c>
    </row>
    <row r="600">
      <c r="A600" s="1" t="s">
        <v>2698</v>
      </c>
      <c r="B600" s="176" t="s">
        <v>1607</v>
      </c>
      <c r="C600" s="176" t="s">
        <v>1287</v>
      </c>
      <c r="D600" s="176">
        <v>40.0</v>
      </c>
      <c r="E600" s="177">
        <v>49.64</v>
      </c>
    </row>
    <row r="601">
      <c r="A601" s="1" t="s">
        <v>2699</v>
      </c>
      <c r="B601" s="176" t="s">
        <v>1608</v>
      </c>
      <c r="C601" s="176" t="s">
        <v>21</v>
      </c>
      <c r="D601" s="176">
        <v>24.0</v>
      </c>
      <c r="E601" s="177">
        <v>118.0</v>
      </c>
    </row>
    <row r="602">
      <c r="A602" s="1" t="s">
        <v>2700</v>
      </c>
      <c r="B602" s="176" t="s">
        <v>1609</v>
      </c>
      <c r="C602" s="176" t="s">
        <v>1287</v>
      </c>
      <c r="D602" s="176">
        <v>40.0</v>
      </c>
      <c r="E602" s="177">
        <v>49.64</v>
      </c>
    </row>
    <row r="603">
      <c r="A603" s="1" t="s">
        <v>2701</v>
      </c>
      <c r="B603" s="176" t="s">
        <v>1610</v>
      </c>
      <c r="C603" s="176" t="s">
        <v>1287</v>
      </c>
      <c r="D603" s="176">
        <v>600.0</v>
      </c>
      <c r="E603" s="178">
        <v>0.0</v>
      </c>
    </row>
    <row r="604">
      <c r="A604" s="1" t="s">
        <v>2702</v>
      </c>
      <c r="B604" s="176" t="s">
        <v>1610</v>
      </c>
      <c r="C604" s="176" t="s">
        <v>21</v>
      </c>
      <c r="D604" s="176">
        <v>120.0</v>
      </c>
      <c r="E604" s="178">
        <v>0.0</v>
      </c>
    </row>
    <row r="605">
      <c r="A605" s="1" t="s">
        <v>2703</v>
      </c>
      <c r="B605" s="176" t="s">
        <v>1611</v>
      </c>
      <c r="C605" s="176" t="s">
        <v>1287</v>
      </c>
      <c r="D605" s="176">
        <v>40.0</v>
      </c>
      <c r="E605" s="177">
        <v>55.0</v>
      </c>
    </row>
    <row r="606">
      <c r="A606" s="1" t="s">
        <v>2704</v>
      </c>
      <c r="B606" s="176" t="s">
        <v>1613</v>
      </c>
      <c r="C606" s="176" t="s">
        <v>1287</v>
      </c>
      <c r="D606" s="176">
        <v>79.0</v>
      </c>
      <c r="E606" s="177">
        <v>55.0</v>
      </c>
    </row>
    <row r="607">
      <c r="A607" s="1" t="s">
        <v>2705</v>
      </c>
      <c r="B607" s="176" t="s">
        <v>1615</v>
      </c>
      <c r="C607" s="176" t="s">
        <v>21</v>
      </c>
      <c r="D607" s="176">
        <v>120.0</v>
      </c>
      <c r="E607" s="177">
        <v>100.0</v>
      </c>
    </row>
    <row r="608">
      <c r="A608" s="1" t="s">
        <v>2706</v>
      </c>
      <c r="B608" s="176" t="s">
        <v>1615</v>
      </c>
      <c r="C608" s="176" t="s">
        <v>1287</v>
      </c>
      <c r="D608" s="176">
        <v>400.0</v>
      </c>
      <c r="E608" s="177">
        <v>45.0</v>
      </c>
    </row>
    <row r="609">
      <c r="A609" s="1" t="s">
        <v>2707</v>
      </c>
      <c r="B609" s="176" t="s">
        <v>1619</v>
      </c>
      <c r="C609" s="176" t="s">
        <v>1287</v>
      </c>
      <c r="D609" s="176">
        <v>40.0</v>
      </c>
      <c r="E609" s="177">
        <v>49.64</v>
      </c>
    </row>
    <row r="610">
      <c r="A610" s="1" t="s">
        <v>2708</v>
      </c>
      <c r="B610" s="176" t="s">
        <v>1620</v>
      </c>
      <c r="C610" s="176" t="s">
        <v>1287</v>
      </c>
      <c r="D610" s="176">
        <v>40.0</v>
      </c>
      <c r="E610" s="177">
        <v>49.64</v>
      </c>
    </row>
    <row r="611">
      <c r="A611" s="1" t="s">
        <v>2709</v>
      </c>
      <c r="B611" s="176" t="s">
        <v>1621</v>
      </c>
      <c r="C611" s="176" t="s">
        <v>21</v>
      </c>
      <c r="D611" s="176">
        <v>95.0</v>
      </c>
      <c r="E611" s="177">
        <v>118.18</v>
      </c>
    </row>
    <row r="612">
      <c r="A612" s="1" t="s">
        <v>2710</v>
      </c>
      <c r="B612" s="176" t="s">
        <v>1621</v>
      </c>
      <c r="C612" s="176" t="s">
        <v>1287</v>
      </c>
      <c r="D612" s="176">
        <v>80.0</v>
      </c>
      <c r="E612" s="177">
        <v>47.16</v>
      </c>
    </row>
    <row r="613">
      <c r="A613" s="1" t="s">
        <v>2711</v>
      </c>
      <c r="B613" s="176" t="s">
        <v>1623</v>
      </c>
      <c r="C613" s="176" t="s">
        <v>1287</v>
      </c>
      <c r="D613" s="176">
        <v>20.0</v>
      </c>
      <c r="E613" s="177">
        <v>49.66</v>
      </c>
    </row>
    <row r="614">
      <c r="A614" s="1" t="s">
        <v>2712</v>
      </c>
      <c r="B614" s="176" t="s">
        <v>1623</v>
      </c>
      <c r="C614" s="176" t="s">
        <v>21</v>
      </c>
      <c r="D614" s="176">
        <v>12.0</v>
      </c>
      <c r="E614" s="177">
        <v>118.0</v>
      </c>
    </row>
    <row r="615">
      <c r="A615" s="1" t="s">
        <v>2713</v>
      </c>
      <c r="B615" s="176" t="s">
        <v>1626</v>
      </c>
      <c r="C615" s="176" t="s">
        <v>21</v>
      </c>
      <c r="D615" s="176">
        <v>48.0</v>
      </c>
      <c r="E615" s="177">
        <v>118.0</v>
      </c>
    </row>
    <row r="616">
      <c r="A616" s="1" t="s">
        <v>2714</v>
      </c>
      <c r="B616" s="176" t="s">
        <v>1628</v>
      </c>
      <c r="C616" s="176" t="s">
        <v>1287</v>
      </c>
      <c r="D616" s="176">
        <v>80.0</v>
      </c>
      <c r="E616" s="177">
        <v>49.66</v>
      </c>
    </row>
    <row r="617">
      <c r="A617" s="1" t="s">
        <v>2715</v>
      </c>
      <c r="B617" s="176" t="s">
        <v>1629</v>
      </c>
      <c r="C617" s="176" t="s">
        <v>21</v>
      </c>
      <c r="D617" s="176">
        <v>240.0</v>
      </c>
      <c r="E617" s="177">
        <v>118.18</v>
      </c>
    </row>
    <row r="618">
      <c r="A618" s="1" t="s">
        <v>2716</v>
      </c>
      <c r="B618" s="176" t="s">
        <v>1629</v>
      </c>
      <c r="C618" s="176" t="s">
        <v>1287</v>
      </c>
      <c r="D618" s="176">
        <v>40.0</v>
      </c>
      <c r="E618" s="177">
        <v>49.64</v>
      </c>
    </row>
    <row r="619">
      <c r="A619" s="1" t="s">
        <v>2717</v>
      </c>
      <c r="B619" s="176" t="s">
        <v>1631</v>
      </c>
      <c r="C619" s="176" t="s">
        <v>21</v>
      </c>
      <c r="D619" s="176">
        <v>144.0</v>
      </c>
      <c r="E619" s="177">
        <v>118.0</v>
      </c>
    </row>
    <row r="620">
      <c r="A620" s="1" t="s">
        <v>2718</v>
      </c>
      <c r="B620" s="176" t="s">
        <v>1633</v>
      </c>
      <c r="C620" s="176" t="s">
        <v>21</v>
      </c>
      <c r="D620" s="176">
        <v>120.0</v>
      </c>
      <c r="E620" s="177">
        <v>115.0</v>
      </c>
    </row>
    <row r="621">
      <c r="A621" s="1" t="s">
        <v>2719</v>
      </c>
      <c r="B621" s="176" t="s">
        <v>1635</v>
      </c>
      <c r="C621" s="176" t="s">
        <v>1287</v>
      </c>
      <c r="D621" s="176">
        <v>40.0</v>
      </c>
      <c r="E621" s="177">
        <v>55.0</v>
      </c>
    </row>
    <row r="622">
      <c r="A622" s="1" t="s">
        <v>2720</v>
      </c>
      <c r="B622" s="176" t="s">
        <v>1636</v>
      </c>
      <c r="C622" s="176" t="s">
        <v>21</v>
      </c>
      <c r="D622" s="176">
        <v>40.0</v>
      </c>
      <c r="E622" s="177">
        <v>119.0</v>
      </c>
    </row>
    <row r="623">
      <c r="A623" s="1" t="s">
        <v>2721</v>
      </c>
      <c r="B623" s="176" t="s">
        <v>1638</v>
      </c>
      <c r="C623" s="176" t="s">
        <v>1287</v>
      </c>
      <c r="D623" s="176">
        <v>80.0</v>
      </c>
      <c r="E623" s="177">
        <v>50.0</v>
      </c>
    </row>
    <row r="624">
      <c r="A624" s="1" t="s">
        <v>2722</v>
      </c>
      <c r="B624" s="176" t="s">
        <v>1638</v>
      </c>
      <c r="C624" s="176" t="s">
        <v>21</v>
      </c>
      <c r="D624" s="176">
        <v>72.0</v>
      </c>
      <c r="E624" s="177">
        <v>118.0</v>
      </c>
    </row>
    <row r="625">
      <c r="A625" s="1" t="s">
        <v>2723</v>
      </c>
      <c r="B625" s="176" t="s">
        <v>1639</v>
      </c>
      <c r="C625" s="176" t="s">
        <v>1287</v>
      </c>
      <c r="D625" s="176">
        <v>120.0</v>
      </c>
      <c r="E625" s="177">
        <v>50.0</v>
      </c>
    </row>
    <row r="626">
      <c r="A626" s="1" t="s">
        <v>2724</v>
      </c>
      <c r="B626" s="176" t="s">
        <v>1640</v>
      </c>
      <c r="C626" s="176" t="s">
        <v>1287</v>
      </c>
      <c r="D626" s="176">
        <v>40.0</v>
      </c>
      <c r="E626" s="177">
        <v>55.0</v>
      </c>
    </row>
    <row r="627">
      <c r="A627" s="1" t="s">
        <v>2725</v>
      </c>
      <c r="B627" s="176" t="s">
        <v>1642</v>
      </c>
      <c r="C627" s="176" t="s">
        <v>1287</v>
      </c>
      <c r="D627" s="176">
        <v>40.0</v>
      </c>
      <c r="E627" s="177">
        <v>50.0</v>
      </c>
    </row>
    <row r="628">
      <c r="A628" s="1" t="s">
        <v>2726</v>
      </c>
      <c r="B628" s="176" t="s">
        <v>1644</v>
      </c>
      <c r="C628" s="176" t="s">
        <v>1287</v>
      </c>
      <c r="D628" s="176">
        <v>40.0</v>
      </c>
      <c r="E628" s="177">
        <v>55.0</v>
      </c>
    </row>
    <row r="629">
      <c r="A629" s="1" t="s">
        <v>2727</v>
      </c>
      <c r="B629" s="176" t="s">
        <v>1644</v>
      </c>
      <c r="C629" s="176" t="s">
        <v>21</v>
      </c>
      <c r="D629" s="176">
        <v>24.0</v>
      </c>
      <c r="E629" s="177">
        <v>119.0</v>
      </c>
    </row>
    <row r="630">
      <c r="A630" s="1" t="s">
        <v>2728</v>
      </c>
      <c r="B630" s="176" t="s">
        <v>1645</v>
      </c>
      <c r="C630" s="176" t="s">
        <v>1287</v>
      </c>
      <c r="D630" s="176">
        <v>40.0</v>
      </c>
      <c r="E630" s="177">
        <v>55.0</v>
      </c>
    </row>
    <row r="631">
      <c r="A631" s="1" t="s">
        <v>2729</v>
      </c>
      <c r="B631" s="176" t="s">
        <v>1646</v>
      </c>
      <c r="C631" s="176" t="s">
        <v>21</v>
      </c>
      <c r="D631" s="176">
        <v>72.0</v>
      </c>
      <c r="E631" s="177">
        <v>118.18</v>
      </c>
    </row>
    <row r="632">
      <c r="A632" s="1" t="s">
        <v>2730</v>
      </c>
      <c r="B632" s="176" t="s">
        <v>1648</v>
      </c>
      <c r="C632" s="176" t="s">
        <v>1287</v>
      </c>
      <c r="D632" s="176">
        <v>40.0</v>
      </c>
      <c r="E632" s="177">
        <v>49.64</v>
      </c>
    </row>
    <row r="633">
      <c r="A633" s="1" t="s">
        <v>2731</v>
      </c>
      <c r="B633" s="176" t="s">
        <v>1650</v>
      </c>
      <c r="C633" s="176" t="s">
        <v>21</v>
      </c>
      <c r="D633" s="176">
        <v>120.0</v>
      </c>
      <c r="E633" s="177">
        <v>118.0</v>
      </c>
    </row>
    <row r="634">
      <c r="A634" s="1" t="s">
        <v>2732</v>
      </c>
      <c r="B634" s="176" t="s">
        <v>1650</v>
      </c>
      <c r="C634" s="176" t="s">
        <v>1287</v>
      </c>
      <c r="D634" s="176">
        <v>120.0</v>
      </c>
      <c r="E634" s="177">
        <v>49.66</v>
      </c>
    </row>
    <row r="635">
      <c r="A635" s="1" t="s">
        <v>2733</v>
      </c>
      <c r="B635" s="176" t="s">
        <v>1655</v>
      </c>
      <c r="C635" s="176" t="s">
        <v>1287</v>
      </c>
      <c r="D635" s="176">
        <v>600.0</v>
      </c>
      <c r="E635" s="178">
        <v>0.0</v>
      </c>
    </row>
    <row r="636">
      <c r="A636" s="1" t="s">
        <v>2734</v>
      </c>
      <c r="B636" s="176" t="s">
        <v>1658</v>
      </c>
      <c r="C636" s="176" t="s">
        <v>1287</v>
      </c>
      <c r="D636" s="176">
        <v>40.0</v>
      </c>
      <c r="E636" s="177">
        <v>55.0</v>
      </c>
    </row>
    <row r="637">
      <c r="A637" s="1" t="s">
        <v>2735</v>
      </c>
      <c r="B637" s="176" t="s">
        <v>1659</v>
      </c>
      <c r="C637" s="176" t="s">
        <v>21</v>
      </c>
      <c r="D637" s="176">
        <v>24.0</v>
      </c>
      <c r="E637" s="177">
        <v>119.0</v>
      </c>
    </row>
    <row r="638">
      <c r="A638" s="1" t="s">
        <v>2736</v>
      </c>
      <c r="B638" s="176" t="s">
        <v>1659</v>
      </c>
      <c r="C638" s="176" t="s">
        <v>1287</v>
      </c>
      <c r="D638" s="176">
        <v>80.0</v>
      </c>
      <c r="E638" s="177">
        <v>55.0</v>
      </c>
    </row>
    <row r="639">
      <c r="A639" s="1" t="s">
        <v>2737</v>
      </c>
      <c r="B639" s="176" t="s">
        <v>1660</v>
      </c>
      <c r="C639" s="176" t="s">
        <v>1287</v>
      </c>
      <c r="D639" s="176">
        <v>200.0</v>
      </c>
      <c r="E639" s="177">
        <v>49.0</v>
      </c>
    </row>
    <row r="640">
      <c r="A640" s="1" t="s">
        <v>2738</v>
      </c>
      <c r="B640" s="176" t="s">
        <v>1661</v>
      </c>
      <c r="C640" s="176" t="s">
        <v>21</v>
      </c>
      <c r="D640" s="176">
        <v>24.0</v>
      </c>
      <c r="E640" s="177">
        <v>110.0</v>
      </c>
    </row>
    <row r="641">
      <c r="A641" s="1" t="s">
        <v>2739</v>
      </c>
      <c r="B641" s="176" t="s">
        <v>1661</v>
      </c>
      <c r="C641" s="176" t="s">
        <v>1287</v>
      </c>
      <c r="D641" s="176">
        <v>40.0</v>
      </c>
      <c r="E641" s="177">
        <v>55.0</v>
      </c>
    </row>
    <row r="642">
      <c r="A642" s="1" t="s">
        <v>2740</v>
      </c>
      <c r="B642" s="176" t="s">
        <v>1663</v>
      </c>
      <c r="C642" s="176" t="s">
        <v>21</v>
      </c>
      <c r="D642" s="176">
        <v>480.0</v>
      </c>
      <c r="E642" s="178">
        <v>0.0</v>
      </c>
    </row>
    <row r="643">
      <c r="A643" s="1" t="s">
        <v>2741</v>
      </c>
      <c r="B643" s="176" t="s">
        <v>1664</v>
      </c>
      <c r="C643" s="176" t="s">
        <v>1287</v>
      </c>
      <c r="D643" s="176">
        <v>40.0</v>
      </c>
      <c r="E643" s="177">
        <v>49.64</v>
      </c>
    </row>
    <row r="644">
      <c r="A644" s="1" t="s">
        <v>2742</v>
      </c>
      <c r="B644" s="176" t="s">
        <v>1665</v>
      </c>
      <c r="C644" s="176" t="s">
        <v>21</v>
      </c>
      <c r="D644" s="176">
        <v>96.0</v>
      </c>
      <c r="E644" s="177">
        <v>118.0</v>
      </c>
    </row>
    <row r="645">
      <c r="A645" s="1" t="s">
        <v>2743</v>
      </c>
      <c r="B645" s="176" t="s">
        <v>1665</v>
      </c>
      <c r="C645" s="176" t="s">
        <v>1287</v>
      </c>
      <c r="D645" s="176">
        <v>80.0</v>
      </c>
      <c r="E645" s="177">
        <v>47.0</v>
      </c>
    </row>
    <row r="646">
      <c r="A646" s="1" t="s">
        <v>2744</v>
      </c>
      <c r="B646" s="176" t="s">
        <v>1667</v>
      </c>
      <c r="C646" s="176" t="s">
        <v>21</v>
      </c>
      <c r="D646" s="176">
        <v>48.0</v>
      </c>
      <c r="E646" s="177">
        <v>118.18</v>
      </c>
    </row>
    <row r="647">
      <c r="A647" s="1" t="s">
        <v>2745</v>
      </c>
      <c r="B647" s="176" t="s">
        <v>1667</v>
      </c>
      <c r="C647" s="176" t="s">
        <v>1287</v>
      </c>
      <c r="D647" s="176">
        <v>40.0</v>
      </c>
      <c r="E647" s="177">
        <v>48.15</v>
      </c>
    </row>
    <row r="648">
      <c r="A648" s="1" t="s">
        <v>2746</v>
      </c>
      <c r="B648" s="176" t="s">
        <v>1668</v>
      </c>
      <c r="C648" s="176" t="s">
        <v>1287</v>
      </c>
      <c r="D648" s="176">
        <v>80.0</v>
      </c>
      <c r="E648" s="177">
        <v>55.0</v>
      </c>
    </row>
    <row r="649">
      <c r="A649" s="1" t="s">
        <v>2747</v>
      </c>
      <c r="B649" s="176" t="s">
        <v>1289</v>
      </c>
      <c r="C649" s="176" t="s">
        <v>1287</v>
      </c>
      <c r="D649" s="176">
        <v>200.0</v>
      </c>
      <c r="E649" s="177">
        <v>50.0</v>
      </c>
    </row>
    <row r="650">
      <c r="A650" s="1" t="s">
        <v>2748</v>
      </c>
      <c r="B650" s="176" t="s">
        <v>1289</v>
      </c>
      <c r="C650" s="176" t="s">
        <v>1287</v>
      </c>
      <c r="D650" s="176">
        <v>120.0</v>
      </c>
      <c r="E650" s="177">
        <v>50.0</v>
      </c>
    </row>
    <row r="651">
      <c r="A651" s="1" t="s">
        <v>2749</v>
      </c>
      <c r="B651" s="176" t="s">
        <v>1669</v>
      </c>
      <c r="C651" s="176" t="s">
        <v>1287</v>
      </c>
      <c r="D651" s="176">
        <v>80.0</v>
      </c>
      <c r="E651" s="177">
        <v>47.0</v>
      </c>
    </row>
    <row r="652">
      <c r="A652" s="1" t="s">
        <v>2750</v>
      </c>
      <c r="B652" s="176" t="s">
        <v>1669</v>
      </c>
      <c r="C652" s="176" t="s">
        <v>21</v>
      </c>
      <c r="D652" s="176">
        <v>240.0</v>
      </c>
      <c r="E652" s="177">
        <v>118.18</v>
      </c>
    </row>
    <row r="653">
      <c r="A653" s="1" t="s">
        <v>2751</v>
      </c>
      <c r="B653" s="176" t="s">
        <v>1672</v>
      </c>
      <c r="C653" s="176" t="s">
        <v>21</v>
      </c>
      <c r="D653" s="176">
        <v>24.0</v>
      </c>
      <c r="E653" s="177">
        <v>118.0</v>
      </c>
    </row>
    <row r="654">
      <c r="A654" s="1" t="s">
        <v>2752</v>
      </c>
      <c r="B654" s="176" t="s">
        <v>1672</v>
      </c>
      <c r="C654" s="176" t="s">
        <v>1287</v>
      </c>
      <c r="D654" s="176">
        <v>40.0</v>
      </c>
      <c r="E654" s="177">
        <v>49.66</v>
      </c>
    </row>
    <row r="655">
      <c r="A655" s="1" t="s">
        <v>2753</v>
      </c>
      <c r="B655" s="176" t="s">
        <v>1673</v>
      </c>
      <c r="C655" s="176" t="s">
        <v>21</v>
      </c>
      <c r="D655" s="176">
        <v>120.0</v>
      </c>
      <c r="E655" s="177">
        <v>118.18</v>
      </c>
    </row>
    <row r="656">
      <c r="A656" s="1" t="s">
        <v>2754</v>
      </c>
      <c r="B656" s="176" t="s">
        <v>1673</v>
      </c>
      <c r="C656" s="176" t="s">
        <v>1287</v>
      </c>
      <c r="D656" s="176">
        <v>40.0</v>
      </c>
      <c r="E656" s="177">
        <v>49.64</v>
      </c>
    </row>
    <row r="657">
      <c r="A657" s="1" t="s">
        <v>2755</v>
      </c>
      <c r="B657" s="176" t="s">
        <v>1674</v>
      </c>
      <c r="C657" s="176" t="s">
        <v>1287</v>
      </c>
      <c r="D657" s="176">
        <v>10.0</v>
      </c>
      <c r="E657" s="178">
        <v>0.0</v>
      </c>
    </row>
    <row r="658">
      <c r="A658" s="1" t="s">
        <v>2756</v>
      </c>
      <c r="B658" s="176" t="s">
        <v>1676</v>
      </c>
      <c r="C658" s="176" t="s">
        <v>1287</v>
      </c>
      <c r="D658" s="176">
        <v>40.0</v>
      </c>
      <c r="E658" s="177">
        <v>49.64</v>
      </c>
    </row>
    <row r="659">
      <c r="A659" s="1" t="s">
        <v>2757</v>
      </c>
      <c r="B659" s="176" t="s">
        <v>1678</v>
      </c>
      <c r="C659" s="176" t="s">
        <v>1287</v>
      </c>
      <c r="D659" s="176">
        <v>40.0</v>
      </c>
      <c r="E659" s="177">
        <v>49.64</v>
      </c>
    </row>
    <row r="660">
      <c r="A660" s="1" t="s">
        <v>2758</v>
      </c>
      <c r="B660" s="176" t="s">
        <v>1678</v>
      </c>
      <c r="C660" s="176" t="s">
        <v>21</v>
      </c>
      <c r="D660" s="176">
        <v>48.0</v>
      </c>
      <c r="E660" s="177">
        <v>118.18</v>
      </c>
    </row>
    <row r="661">
      <c r="A661" s="1" t="s">
        <v>2759</v>
      </c>
      <c r="B661" s="176" t="s">
        <v>1679</v>
      </c>
      <c r="C661" s="176" t="s">
        <v>21</v>
      </c>
      <c r="D661" s="176">
        <v>24.0</v>
      </c>
      <c r="E661" s="177">
        <v>118.18</v>
      </c>
    </row>
    <row r="662">
      <c r="A662" s="1" t="s">
        <v>2760</v>
      </c>
      <c r="B662" s="176" t="s">
        <v>1681</v>
      </c>
      <c r="C662" s="176" t="s">
        <v>21</v>
      </c>
      <c r="D662" s="176">
        <v>240.0</v>
      </c>
      <c r="E662" s="177">
        <v>105.0</v>
      </c>
    </row>
    <row r="663">
      <c r="A663" s="1" t="s">
        <v>2761</v>
      </c>
      <c r="B663" s="176" t="s">
        <v>1681</v>
      </c>
      <c r="C663" s="176" t="s">
        <v>1287</v>
      </c>
      <c r="D663" s="176">
        <v>200.0</v>
      </c>
      <c r="E663" s="177">
        <v>50.0</v>
      </c>
    </row>
    <row r="664">
      <c r="A664" s="1" t="s">
        <v>2762</v>
      </c>
      <c r="B664" s="176" t="s">
        <v>1682</v>
      </c>
      <c r="C664" s="176" t="s">
        <v>1287</v>
      </c>
      <c r="D664" s="176">
        <v>20.0</v>
      </c>
      <c r="E664" s="177">
        <v>49.64</v>
      </c>
    </row>
    <row r="665">
      <c r="A665" s="1" t="s">
        <v>2763</v>
      </c>
      <c r="B665" s="176" t="s">
        <v>1685</v>
      </c>
      <c r="C665" s="176" t="s">
        <v>1287</v>
      </c>
      <c r="D665" s="176">
        <v>20.0</v>
      </c>
      <c r="E665" s="177">
        <v>49.64</v>
      </c>
    </row>
    <row r="666">
      <c r="A666" s="1" t="s">
        <v>2764</v>
      </c>
      <c r="B666" s="176" t="s">
        <v>1687</v>
      </c>
      <c r="C666" s="176" t="s">
        <v>1287</v>
      </c>
      <c r="D666" s="176">
        <v>40.0</v>
      </c>
      <c r="E666" s="177">
        <v>47.0</v>
      </c>
    </row>
    <row r="667">
      <c r="A667" s="1" t="s">
        <v>2765</v>
      </c>
      <c r="B667" s="176" t="s">
        <v>1688</v>
      </c>
      <c r="C667" s="176" t="s">
        <v>1287</v>
      </c>
      <c r="D667" s="176">
        <v>40.0</v>
      </c>
      <c r="E667" s="177">
        <v>49.64</v>
      </c>
    </row>
    <row r="668">
      <c r="A668" s="1" t="s">
        <v>2766</v>
      </c>
      <c r="B668" s="176" t="s">
        <v>1691</v>
      </c>
      <c r="C668" s="176" t="s">
        <v>1287</v>
      </c>
      <c r="D668" s="176">
        <v>40.0</v>
      </c>
      <c r="E668" s="177">
        <v>49.64</v>
      </c>
    </row>
    <row r="669">
      <c r="A669" s="1" t="s">
        <v>2767</v>
      </c>
      <c r="B669" s="176" t="s">
        <v>1693</v>
      </c>
      <c r="C669" s="176" t="s">
        <v>1287</v>
      </c>
      <c r="D669" s="176">
        <v>10.0</v>
      </c>
      <c r="E669" s="178">
        <v>0.0</v>
      </c>
    </row>
    <row r="670">
      <c r="A670" s="1" t="s">
        <v>2768</v>
      </c>
      <c r="B670" s="176" t="s">
        <v>1694</v>
      </c>
      <c r="C670" s="176" t="s">
        <v>1287</v>
      </c>
      <c r="D670" s="176">
        <v>4.0</v>
      </c>
      <c r="E670" s="178">
        <v>0.0</v>
      </c>
    </row>
    <row r="671">
      <c r="A671" s="1" t="s">
        <v>2769</v>
      </c>
      <c r="B671" s="176" t="s">
        <v>1696</v>
      </c>
      <c r="C671" s="176" t="s">
        <v>1287</v>
      </c>
      <c r="D671" s="176">
        <v>40.0</v>
      </c>
      <c r="E671" s="177">
        <v>49.64</v>
      </c>
    </row>
    <row r="672">
      <c r="A672" s="1" t="s">
        <v>2770</v>
      </c>
      <c r="B672" s="176" t="s">
        <v>1697</v>
      </c>
      <c r="C672" s="176" t="s">
        <v>21</v>
      </c>
      <c r="D672" s="176">
        <v>24.0</v>
      </c>
      <c r="E672" s="177">
        <v>118.18</v>
      </c>
    </row>
    <row r="673">
      <c r="A673" s="1" t="s">
        <v>2771</v>
      </c>
      <c r="B673" s="176" t="s">
        <v>1697</v>
      </c>
      <c r="C673" s="176" t="s">
        <v>1287</v>
      </c>
      <c r="D673" s="176">
        <v>40.0</v>
      </c>
      <c r="E673" s="177">
        <v>49.64</v>
      </c>
    </row>
    <row r="674">
      <c r="A674" s="1" t="s">
        <v>2772</v>
      </c>
      <c r="B674" s="176" t="s">
        <v>1698</v>
      </c>
      <c r="C674" s="176" t="s">
        <v>21</v>
      </c>
      <c r="D674" s="176">
        <v>12.0</v>
      </c>
      <c r="E674" s="178">
        <v>0.0</v>
      </c>
    </row>
    <row r="675">
      <c r="A675" s="1" t="s">
        <v>2773</v>
      </c>
      <c r="B675" s="176" t="s">
        <v>1698</v>
      </c>
      <c r="C675" s="176" t="s">
        <v>1287</v>
      </c>
      <c r="D675" s="176">
        <v>10.0</v>
      </c>
      <c r="E675" s="178">
        <v>0.0</v>
      </c>
    </row>
    <row r="676">
      <c r="A676" s="1" t="s">
        <v>2774</v>
      </c>
      <c r="B676" s="176" t="s">
        <v>1699</v>
      </c>
      <c r="C676" s="176" t="s">
        <v>21</v>
      </c>
      <c r="D676" s="176">
        <v>1.0</v>
      </c>
      <c r="E676" s="178">
        <v>0.0</v>
      </c>
    </row>
    <row r="677">
      <c r="A677" s="1" t="s">
        <v>2775</v>
      </c>
      <c r="B677" s="176" t="s">
        <v>1699</v>
      </c>
      <c r="C677" s="176" t="s">
        <v>1287</v>
      </c>
      <c r="D677" s="176">
        <v>1.0</v>
      </c>
      <c r="E677" s="178">
        <v>0.0</v>
      </c>
    </row>
    <row r="678">
      <c r="A678" s="1" t="s">
        <v>2776</v>
      </c>
      <c r="B678" s="176" t="s">
        <v>1700</v>
      </c>
      <c r="C678" s="176" t="s">
        <v>21</v>
      </c>
      <c r="D678" s="176">
        <v>5.0</v>
      </c>
      <c r="E678" s="178">
        <v>0.0</v>
      </c>
    </row>
    <row r="679">
      <c r="A679" s="1" t="s">
        <v>2777</v>
      </c>
      <c r="B679" s="176" t="s">
        <v>1700</v>
      </c>
      <c r="C679" s="176" t="s">
        <v>1287</v>
      </c>
      <c r="D679" s="176">
        <v>5.0</v>
      </c>
      <c r="E679" s="178">
        <v>0.0</v>
      </c>
    </row>
    <row r="680">
      <c r="A680" s="1" t="s">
        <v>2778</v>
      </c>
      <c r="B680" s="176" t="s">
        <v>1701</v>
      </c>
      <c r="C680" s="176" t="s">
        <v>21</v>
      </c>
      <c r="D680" s="176">
        <v>5.0</v>
      </c>
      <c r="E680" s="177">
        <v>155.0</v>
      </c>
    </row>
    <row r="681">
      <c r="A681" s="1" t="s">
        <v>2779</v>
      </c>
      <c r="B681" s="176" t="s">
        <v>1703</v>
      </c>
      <c r="C681" s="176" t="s">
        <v>1287</v>
      </c>
      <c r="D681" s="176">
        <v>40.0</v>
      </c>
      <c r="E681" s="177">
        <v>49.64</v>
      </c>
    </row>
    <row r="682">
      <c r="A682" s="1" t="s">
        <v>2780</v>
      </c>
      <c r="B682" s="176" t="s">
        <v>1706</v>
      </c>
      <c r="C682" s="176" t="s">
        <v>21</v>
      </c>
      <c r="D682" s="176">
        <v>72.0</v>
      </c>
      <c r="E682" s="177">
        <v>119.0</v>
      </c>
    </row>
    <row r="683">
      <c r="A683" s="1" t="s">
        <v>2781</v>
      </c>
      <c r="B683" s="176" t="s">
        <v>1707</v>
      </c>
      <c r="C683" s="176" t="s">
        <v>21</v>
      </c>
      <c r="D683" s="176">
        <v>24.0</v>
      </c>
      <c r="E683" s="177">
        <v>118.0</v>
      </c>
    </row>
    <row r="684">
      <c r="A684" s="1" t="s">
        <v>2782</v>
      </c>
      <c r="B684" s="176" t="s">
        <v>1707</v>
      </c>
      <c r="C684" s="176" t="s">
        <v>1287</v>
      </c>
      <c r="D684" s="176">
        <v>20.0</v>
      </c>
      <c r="E684" s="177">
        <v>49.64</v>
      </c>
    </row>
    <row r="685">
      <c r="A685" s="1" t="s">
        <v>2783</v>
      </c>
      <c r="B685" s="176" t="s">
        <v>1709</v>
      </c>
      <c r="C685" s="176" t="s">
        <v>21</v>
      </c>
      <c r="D685" s="176">
        <v>24.0</v>
      </c>
      <c r="E685" s="177">
        <v>119.0</v>
      </c>
    </row>
    <row r="686">
      <c r="A686" s="1" t="s">
        <v>2784</v>
      </c>
      <c r="B686" s="176" t="s">
        <v>1709</v>
      </c>
      <c r="C686" s="176" t="s">
        <v>1287</v>
      </c>
      <c r="D686" s="176">
        <v>40.0</v>
      </c>
      <c r="E686" s="177">
        <v>55.0</v>
      </c>
    </row>
    <row r="687">
      <c r="A687" s="1" t="s">
        <v>2785</v>
      </c>
      <c r="B687" s="176" t="s">
        <v>1707</v>
      </c>
      <c r="C687" s="176" t="s">
        <v>1287</v>
      </c>
      <c r="D687" s="176">
        <v>40.0</v>
      </c>
      <c r="E687" s="177">
        <v>55.0</v>
      </c>
    </row>
    <row r="688">
      <c r="A688" s="1" t="s">
        <v>2786</v>
      </c>
      <c r="B688" s="176" t="s">
        <v>1712</v>
      </c>
      <c r="C688" s="176" t="s">
        <v>21</v>
      </c>
      <c r="D688" s="176">
        <v>240.0</v>
      </c>
      <c r="E688" s="177">
        <v>100.0</v>
      </c>
    </row>
    <row r="689">
      <c r="A689" s="1" t="s">
        <v>2787</v>
      </c>
      <c r="B689" s="176" t="s">
        <v>1712</v>
      </c>
      <c r="C689" s="176" t="s">
        <v>1287</v>
      </c>
      <c r="D689" s="176">
        <v>160.0</v>
      </c>
      <c r="E689" s="177">
        <v>45.0</v>
      </c>
    </row>
    <row r="690">
      <c r="A690" s="1" t="s">
        <v>2788</v>
      </c>
      <c r="B690" s="176" t="s">
        <v>1715</v>
      </c>
      <c r="C690" s="176" t="s">
        <v>21</v>
      </c>
      <c r="D690" s="176">
        <v>48.0</v>
      </c>
      <c r="E690" s="177">
        <v>118.0</v>
      </c>
    </row>
    <row r="691">
      <c r="A691" s="1" t="s">
        <v>2789</v>
      </c>
      <c r="B691" s="176" t="s">
        <v>1715</v>
      </c>
      <c r="C691" s="176" t="s">
        <v>1287</v>
      </c>
      <c r="D691" s="176">
        <v>80.0</v>
      </c>
      <c r="E691" s="177">
        <v>49.66</v>
      </c>
    </row>
    <row r="692">
      <c r="A692" s="1" t="s">
        <v>2790</v>
      </c>
      <c r="B692" s="176" t="s">
        <v>1717</v>
      </c>
      <c r="C692" s="176" t="s">
        <v>21</v>
      </c>
      <c r="D692" s="176">
        <v>96.0</v>
      </c>
      <c r="E692" s="177">
        <v>115.0</v>
      </c>
    </row>
    <row r="693">
      <c r="A693" s="1" t="s">
        <v>2791</v>
      </c>
      <c r="B693" s="176" t="s">
        <v>1717</v>
      </c>
      <c r="C693" s="176" t="s">
        <v>1287</v>
      </c>
      <c r="D693" s="176">
        <v>80.0</v>
      </c>
      <c r="E693" s="177">
        <v>49.65</v>
      </c>
    </row>
    <row r="694">
      <c r="A694" s="1" t="s">
        <v>2792</v>
      </c>
      <c r="B694" s="176" t="s">
        <v>1719</v>
      </c>
      <c r="C694" s="176" t="s">
        <v>1287</v>
      </c>
      <c r="D694" s="176">
        <v>40.0</v>
      </c>
      <c r="E694" s="177">
        <v>49.65</v>
      </c>
    </row>
    <row r="695">
      <c r="A695" s="1" t="s">
        <v>2793</v>
      </c>
      <c r="B695" s="176" t="s">
        <v>1720</v>
      </c>
      <c r="C695" s="176" t="s">
        <v>21</v>
      </c>
      <c r="D695" s="176">
        <v>24.0</v>
      </c>
      <c r="E695" s="177">
        <v>118.0</v>
      </c>
    </row>
    <row r="696">
      <c r="A696" s="1" t="s">
        <v>2794</v>
      </c>
      <c r="B696" s="176" t="s">
        <v>1720</v>
      </c>
      <c r="C696" s="176" t="s">
        <v>21</v>
      </c>
      <c r="D696" s="176">
        <v>5.0</v>
      </c>
      <c r="E696" s="178">
        <v>0.0</v>
      </c>
    </row>
    <row r="697">
      <c r="A697" s="1" t="s">
        <v>2795</v>
      </c>
      <c r="B697" s="176" t="s">
        <v>1720</v>
      </c>
      <c r="C697" s="176" t="s">
        <v>1287</v>
      </c>
      <c r="D697" s="176">
        <v>5.0</v>
      </c>
      <c r="E697" s="178">
        <v>0.0</v>
      </c>
    </row>
    <row r="698">
      <c r="A698" s="1" t="s">
        <v>2796</v>
      </c>
      <c r="B698" s="176" t="s">
        <v>1722</v>
      </c>
      <c r="C698" s="176" t="s">
        <v>21</v>
      </c>
      <c r="D698" s="176">
        <v>10.0</v>
      </c>
      <c r="E698" s="178">
        <v>0.0</v>
      </c>
    </row>
    <row r="699">
      <c r="A699" s="1" t="s">
        <v>2797</v>
      </c>
      <c r="B699" s="176" t="s">
        <v>1722</v>
      </c>
      <c r="C699" s="176" t="s">
        <v>1287</v>
      </c>
      <c r="D699" s="176">
        <v>10.0</v>
      </c>
      <c r="E699" s="178">
        <v>0.0</v>
      </c>
    </row>
    <row r="700">
      <c r="A700" s="1" t="s">
        <v>2798</v>
      </c>
      <c r="B700" s="176" t="s">
        <v>1725</v>
      </c>
      <c r="C700" s="176" t="s">
        <v>21</v>
      </c>
      <c r="D700" s="176">
        <v>240.0</v>
      </c>
      <c r="E700" s="177">
        <v>115.0</v>
      </c>
    </row>
    <row r="701">
      <c r="A701" s="1" t="s">
        <v>2799</v>
      </c>
      <c r="B701" s="176" t="s">
        <v>1725</v>
      </c>
      <c r="C701" s="176" t="s">
        <v>1287</v>
      </c>
      <c r="D701" s="176">
        <v>80.0</v>
      </c>
      <c r="E701" s="177">
        <v>49.64</v>
      </c>
    </row>
    <row r="702">
      <c r="A702" s="1" t="s">
        <v>2800</v>
      </c>
      <c r="B702" s="176" t="s">
        <v>1729</v>
      </c>
      <c r="C702" s="176" t="s">
        <v>21</v>
      </c>
      <c r="D702" s="176">
        <v>480.0</v>
      </c>
      <c r="E702" s="177">
        <v>118.0</v>
      </c>
    </row>
    <row r="703">
      <c r="A703" s="1" t="s">
        <v>2801</v>
      </c>
      <c r="B703" s="176" t="s">
        <v>1732</v>
      </c>
      <c r="C703" s="176" t="s">
        <v>1287</v>
      </c>
      <c r="D703" s="176">
        <v>40.0</v>
      </c>
      <c r="E703" s="177">
        <v>49.64</v>
      </c>
    </row>
    <row r="704">
      <c r="A704" s="1" t="s">
        <v>2802</v>
      </c>
      <c r="B704" s="176" t="s">
        <v>1733</v>
      </c>
      <c r="C704" s="176" t="s">
        <v>21</v>
      </c>
      <c r="D704" s="176">
        <v>24.0</v>
      </c>
      <c r="E704" s="177">
        <v>118.0</v>
      </c>
    </row>
    <row r="705">
      <c r="A705" s="1" t="s">
        <v>2803</v>
      </c>
      <c r="B705" s="176" t="s">
        <v>1733</v>
      </c>
      <c r="C705" s="176" t="s">
        <v>1287</v>
      </c>
      <c r="D705" s="176">
        <v>40.0</v>
      </c>
      <c r="E705" s="177">
        <v>49.64</v>
      </c>
    </row>
    <row r="706">
      <c r="A706" s="1" t="s">
        <v>2804</v>
      </c>
      <c r="B706" s="176" t="s">
        <v>1734</v>
      </c>
      <c r="C706" s="176" t="s">
        <v>21</v>
      </c>
      <c r="D706" s="176">
        <v>24.0</v>
      </c>
      <c r="E706" s="177">
        <v>118.18</v>
      </c>
    </row>
    <row r="707">
      <c r="A707" s="1" t="s">
        <v>2805</v>
      </c>
      <c r="B707" s="176" t="s">
        <v>1737</v>
      </c>
      <c r="C707" s="176" t="s">
        <v>21</v>
      </c>
      <c r="D707" s="176">
        <v>24.0</v>
      </c>
      <c r="E707" s="177">
        <v>118.0</v>
      </c>
    </row>
    <row r="708">
      <c r="A708" s="1" t="s">
        <v>2806</v>
      </c>
      <c r="B708" s="176" t="s">
        <v>1737</v>
      </c>
      <c r="C708" s="176" t="s">
        <v>1287</v>
      </c>
      <c r="D708" s="176">
        <v>20.0</v>
      </c>
      <c r="E708" s="177">
        <v>49.66</v>
      </c>
    </row>
    <row r="709">
      <c r="A709" s="1" t="s">
        <v>2807</v>
      </c>
      <c r="B709" s="176" t="s">
        <v>1740</v>
      </c>
      <c r="C709" s="176" t="s">
        <v>21</v>
      </c>
      <c r="D709" s="176">
        <v>144.0</v>
      </c>
      <c r="E709" s="177">
        <v>119.0</v>
      </c>
    </row>
    <row r="710">
      <c r="A710" s="1" t="s">
        <v>2808</v>
      </c>
      <c r="B710" s="176" t="s">
        <v>1741</v>
      </c>
      <c r="C710" s="176" t="s">
        <v>21</v>
      </c>
      <c r="D710" s="176">
        <v>24.0</v>
      </c>
      <c r="E710" s="177">
        <v>118.18</v>
      </c>
    </row>
    <row r="711">
      <c r="A711" s="1" t="s">
        <v>2809</v>
      </c>
      <c r="B711" s="176" t="s">
        <v>1743</v>
      </c>
      <c r="C711" s="176" t="s">
        <v>21</v>
      </c>
      <c r="D711" s="176">
        <v>24.0</v>
      </c>
      <c r="E711" s="177">
        <v>118.18</v>
      </c>
    </row>
    <row r="712">
      <c r="A712" s="1" t="s">
        <v>2810</v>
      </c>
      <c r="B712" s="176" t="s">
        <v>1743</v>
      </c>
      <c r="C712" s="176" t="s">
        <v>1287</v>
      </c>
      <c r="D712" s="176">
        <v>40.0</v>
      </c>
      <c r="E712" s="177">
        <v>49.64</v>
      </c>
    </row>
    <row r="713">
      <c r="A713" s="1" t="s">
        <v>2811</v>
      </c>
      <c r="B713" s="176" t="s">
        <v>1744</v>
      </c>
      <c r="C713" s="176" t="s">
        <v>1287</v>
      </c>
      <c r="D713" s="176">
        <v>40.0</v>
      </c>
      <c r="E713" s="177">
        <v>47.16</v>
      </c>
    </row>
    <row r="714">
      <c r="A714" s="1" t="s">
        <v>2812</v>
      </c>
      <c r="B714" s="176" t="s">
        <v>1745</v>
      </c>
      <c r="C714" s="176" t="s">
        <v>21</v>
      </c>
      <c r="D714" s="176">
        <v>24.0</v>
      </c>
      <c r="E714" s="177">
        <v>118.0</v>
      </c>
    </row>
    <row r="715">
      <c r="A715" s="1" t="s">
        <v>2813</v>
      </c>
      <c r="B715" s="176" t="s">
        <v>1745</v>
      </c>
      <c r="C715" s="176" t="s">
        <v>1287</v>
      </c>
      <c r="D715" s="176">
        <v>40.0</v>
      </c>
      <c r="E715" s="177">
        <v>49.64</v>
      </c>
    </row>
    <row r="716">
      <c r="A716" s="1" t="s">
        <v>2814</v>
      </c>
      <c r="B716" s="176" t="s">
        <v>1747</v>
      </c>
      <c r="C716" s="176" t="s">
        <v>1287</v>
      </c>
      <c r="D716" s="176">
        <v>20.0</v>
      </c>
      <c r="E716" s="177">
        <v>49.6</v>
      </c>
    </row>
    <row r="717">
      <c r="A717" s="1" t="s">
        <v>2815</v>
      </c>
      <c r="B717" s="176" t="s">
        <v>1749</v>
      </c>
      <c r="C717" s="176" t="s">
        <v>21</v>
      </c>
      <c r="D717" s="176">
        <v>24.0</v>
      </c>
      <c r="E717" s="177">
        <v>118.0</v>
      </c>
    </row>
    <row r="718">
      <c r="A718" s="1" t="s">
        <v>2816</v>
      </c>
      <c r="B718" s="176" t="s">
        <v>1749</v>
      </c>
      <c r="C718" s="176" t="s">
        <v>1287</v>
      </c>
      <c r="D718" s="176">
        <v>40.0</v>
      </c>
      <c r="E718" s="177">
        <v>49.64</v>
      </c>
    </row>
    <row r="719">
      <c r="A719" s="1" t="s">
        <v>2817</v>
      </c>
      <c r="B719" s="176" t="s">
        <v>1752</v>
      </c>
      <c r="C719" s="176" t="s">
        <v>1287</v>
      </c>
      <c r="D719" s="176">
        <v>40.0</v>
      </c>
      <c r="E719" s="177">
        <v>49.64</v>
      </c>
    </row>
    <row r="720">
      <c r="A720" s="1" t="s">
        <v>2818</v>
      </c>
      <c r="B720" s="176" t="s">
        <v>1754</v>
      </c>
      <c r="C720" s="176" t="s">
        <v>21</v>
      </c>
      <c r="D720" s="176">
        <v>24.0</v>
      </c>
      <c r="E720" s="177">
        <v>115.0</v>
      </c>
    </row>
    <row r="721">
      <c r="A721" s="1" t="s">
        <v>2819</v>
      </c>
      <c r="B721" s="176" t="s">
        <v>1755</v>
      </c>
      <c r="C721" s="176" t="s">
        <v>21</v>
      </c>
      <c r="D721" s="176">
        <v>24.0</v>
      </c>
      <c r="E721" s="177">
        <v>118.0</v>
      </c>
    </row>
    <row r="722">
      <c r="A722" s="1" t="s">
        <v>2820</v>
      </c>
      <c r="B722" s="176" t="s">
        <v>1755</v>
      </c>
      <c r="C722" s="176" t="s">
        <v>1287</v>
      </c>
      <c r="D722" s="176">
        <v>40.0</v>
      </c>
      <c r="E722" s="177">
        <v>49.64</v>
      </c>
    </row>
    <row r="723">
      <c r="A723" s="1" t="s">
        <v>2821</v>
      </c>
      <c r="B723" s="176" t="s">
        <v>1757</v>
      </c>
      <c r="C723" s="176" t="s">
        <v>1287</v>
      </c>
      <c r="D723" s="176">
        <v>40.0</v>
      </c>
      <c r="E723" s="177">
        <v>49.64</v>
      </c>
    </row>
    <row r="724">
      <c r="A724" s="1" t="s">
        <v>2822</v>
      </c>
      <c r="B724" s="176" t="s">
        <v>1760</v>
      </c>
      <c r="C724" s="176" t="s">
        <v>1287</v>
      </c>
      <c r="D724" s="176">
        <v>40.0</v>
      </c>
      <c r="E724" s="177">
        <v>49.64</v>
      </c>
    </row>
    <row r="725">
      <c r="A725" s="1" t="s">
        <v>2823</v>
      </c>
      <c r="B725" s="176" t="s">
        <v>1760</v>
      </c>
      <c r="C725" s="176" t="s">
        <v>21</v>
      </c>
      <c r="D725" s="176">
        <v>24.0</v>
      </c>
      <c r="E725" s="177">
        <v>118.18</v>
      </c>
    </row>
    <row r="726">
      <c r="A726" s="1" t="s">
        <v>2824</v>
      </c>
      <c r="B726" s="176" t="s">
        <v>1763</v>
      </c>
      <c r="C726" s="176" t="s">
        <v>21</v>
      </c>
      <c r="D726" s="176">
        <v>24.0</v>
      </c>
      <c r="E726" s="177">
        <v>130.0</v>
      </c>
    </row>
    <row r="727">
      <c r="A727" s="1" t="s">
        <v>2825</v>
      </c>
      <c r="B727" s="176" t="s">
        <v>1765</v>
      </c>
      <c r="C727" s="176" t="s">
        <v>21</v>
      </c>
      <c r="D727" s="176">
        <v>48.0</v>
      </c>
      <c r="E727" s="177">
        <v>115.0</v>
      </c>
    </row>
    <row r="728">
      <c r="A728" s="1" t="s">
        <v>2826</v>
      </c>
      <c r="B728" s="176" t="s">
        <v>1768</v>
      </c>
      <c r="C728" s="176" t="s">
        <v>21</v>
      </c>
      <c r="D728" s="176">
        <v>72.0</v>
      </c>
      <c r="E728" s="177">
        <v>115.0</v>
      </c>
    </row>
    <row r="729">
      <c r="A729" s="1" t="s">
        <v>2827</v>
      </c>
      <c r="B729" s="176" t="s">
        <v>1770</v>
      </c>
      <c r="C729" s="176" t="s">
        <v>1287</v>
      </c>
      <c r="D729" s="176">
        <v>40.0</v>
      </c>
      <c r="E729" s="177">
        <v>50.0</v>
      </c>
    </row>
    <row r="730">
      <c r="A730" s="1" t="s">
        <v>2828</v>
      </c>
      <c r="B730" s="176" t="s">
        <v>1771</v>
      </c>
      <c r="C730" s="176" t="s">
        <v>21</v>
      </c>
      <c r="D730" s="176">
        <v>72.0</v>
      </c>
      <c r="E730" s="177">
        <v>115.0</v>
      </c>
    </row>
    <row r="731">
      <c r="A731" s="1" t="s">
        <v>2829</v>
      </c>
      <c r="B731" s="176" t="s">
        <v>1772</v>
      </c>
      <c r="C731" s="176" t="s">
        <v>21</v>
      </c>
      <c r="D731" s="176">
        <v>120.0</v>
      </c>
      <c r="E731" s="177">
        <v>118.18</v>
      </c>
    </row>
    <row r="732">
      <c r="A732" s="1" t="s">
        <v>2830</v>
      </c>
      <c r="B732" s="176" t="s">
        <v>1772</v>
      </c>
      <c r="C732" s="176" t="s">
        <v>1287</v>
      </c>
      <c r="D732" s="176">
        <v>40.0</v>
      </c>
      <c r="E732" s="177">
        <v>47.0</v>
      </c>
    </row>
    <row r="733">
      <c r="A733" s="1" t="s">
        <v>2831</v>
      </c>
      <c r="B733" s="176" t="s">
        <v>1774</v>
      </c>
      <c r="C733" s="176" t="s">
        <v>21</v>
      </c>
      <c r="D733" s="176">
        <v>24.0</v>
      </c>
      <c r="E733" s="177">
        <v>119.0</v>
      </c>
    </row>
    <row r="734">
      <c r="A734" s="1" t="s">
        <v>2832</v>
      </c>
      <c r="B734" s="176" t="s">
        <v>1776</v>
      </c>
      <c r="C734" s="176" t="s">
        <v>1287</v>
      </c>
      <c r="D734" s="176">
        <v>40.0</v>
      </c>
      <c r="E734" s="177">
        <v>55.0</v>
      </c>
    </row>
    <row r="735">
      <c r="A735" s="1" t="s">
        <v>2833</v>
      </c>
      <c r="B735" s="176" t="s">
        <v>1777</v>
      </c>
      <c r="C735" s="176" t="s">
        <v>1287</v>
      </c>
      <c r="D735" s="176">
        <v>40.0</v>
      </c>
      <c r="E735" s="177">
        <v>55.0</v>
      </c>
    </row>
    <row r="736">
      <c r="A736" s="1" t="s">
        <v>2834</v>
      </c>
      <c r="B736" s="176" t="s">
        <v>1779</v>
      </c>
      <c r="C736" s="176" t="s">
        <v>1287</v>
      </c>
      <c r="D736" s="176">
        <v>40.0</v>
      </c>
      <c r="E736" s="177">
        <v>50.0</v>
      </c>
    </row>
    <row r="737">
      <c r="A737" s="1" t="s">
        <v>2835</v>
      </c>
      <c r="B737" s="176" t="s">
        <v>1781</v>
      </c>
      <c r="C737" s="176" t="s">
        <v>21</v>
      </c>
      <c r="D737" s="176">
        <v>24.0</v>
      </c>
      <c r="E737" s="177">
        <v>119.0</v>
      </c>
    </row>
    <row r="738">
      <c r="A738" s="1" t="s">
        <v>2836</v>
      </c>
      <c r="B738" s="176" t="s">
        <v>1782</v>
      </c>
      <c r="C738" s="176" t="s">
        <v>1287</v>
      </c>
      <c r="D738" s="176">
        <v>40.0</v>
      </c>
      <c r="E738" s="177">
        <v>50.0</v>
      </c>
    </row>
    <row r="739">
      <c r="A739" s="1" t="s">
        <v>2837</v>
      </c>
      <c r="B739" s="176" t="s">
        <v>1784</v>
      </c>
      <c r="C739" s="176" t="s">
        <v>1287</v>
      </c>
      <c r="D739" s="176">
        <v>40.0</v>
      </c>
      <c r="E739" s="177">
        <v>49.66</v>
      </c>
    </row>
    <row r="740">
      <c r="A740" s="1" t="s">
        <v>2838</v>
      </c>
      <c r="B740" s="176" t="s">
        <v>1784</v>
      </c>
      <c r="C740" s="176" t="s">
        <v>21</v>
      </c>
      <c r="D740" s="176">
        <v>24.0</v>
      </c>
      <c r="E740" s="177">
        <v>118.0</v>
      </c>
    </row>
    <row r="741">
      <c r="A741" s="1" t="s">
        <v>2839</v>
      </c>
      <c r="B741" s="176" t="s">
        <v>1787</v>
      </c>
      <c r="C741" s="176" t="s">
        <v>1287</v>
      </c>
      <c r="D741" s="176">
        <v>20.0</v>
      </c>
      <c r="E741" s="177">
        <v>49.66</v>
      </c>
    </row>
    <row r="742">
      <c r="A742" s="1" t="s">
        <v>2840</v>
      </c>
      <c r="B742" s="176" t="s">
        <v>1789</v>
      </c>
      <c r="C742" s="176" t="s">
        <v>1287</v>
      </c>
      <c r="D742" s="176">
        <v>40.0</v>
      </c>
      <c r="E742" s="177">
        <v>49.66</v>
      </c>
    </row>
    <row r="743">
      <c r="A743" s="1" t="s">
        <v>2841</v>
      </c>
      <c r="B743" s="176" t="s">
        <v>1792</v>
      </c>
      <c r="C743" s="176" t="s">
        <v>1287</v>
      </c>
      <c r="D743" s="176">
        <v>20.0</v>
      </c>
      <c r="E743" s="177">
        <v>49.66</v>
      </c>
    </row>
    <row r="744">
      <c r="A744" s="1" t="s">
        <v>2842</v>
      </c>
      <c r="B744" s="176" t="s">
        <v>1792</v>
      </c>
      <c r="C744" s="176" t="s">
        <v>21</v>
      </c>
      <c r="D744" s="176">
        <v>12.0</v>
      </c>
      <c r="E744" s="177">
        <v>118.0</v>
      </c>
    </row>
    <row r="745">
      <c r="A745" s="1" t="s">
        <v>2843</v>
      </c>
      <c r="B745" s="176" t="s">
        <v>1794</v>
      </c>
      <c r="C745" s="176" t="s">
        <v>1287</v>
      </c>
      <c r="D745" s="176">
        <v>40.0</v>
      </c>
      <c r="E745" s="177">
        <v>49.66</v>
      </c>
    </row>
    <row r="746">
      <c r="A746" s="1" t="s">
        <v>2844</v>
      </c>
      <c r="B746" s="176" t="s">
        <v>1797</v>
      </c>
      <c r="C746" s="176" t="s">
        <v>21</v>
      </c>
      <c r="D746" s="176">
        <v>144.0</v>
      </c>
      <c r="E746" s="177">
        <v>118.18</v>
      </c>
    </row>
    <row r="747">
      <c r="A747" s="1" t="s">
        <v>2845</v>
      </c>
      <c r="B747" s="176" t="s">
        <v>1798</v>
      </c>
      <c r="C747" s="176" t="s">
        <v>1287</v>
      </c>
      <c r="D747" s="176">
        <v>40.0</v>
      </c>
      <c r="E747" s="177">
        <v>49.66</v>
      </c>
    </row>
    <row r="748">
      <c r="A748" s="1" t="s">
        <v>2846</v>
      </c>
      <c r="B748" s="176" t="s">
        <v>1800</v>
      </c>
      <c r="C748" s="176" t="s">
        <v>1287</v>
      </c>
      <c r="D748" s="176">
        <v>40.0</v>
      </c>
      <c r="E748" s="177">
        <v>49.66</v>
      </c>
    </row>
    <row r="749">
      <c r="A749" s="1" t="s">
        <v>2847</v>
      </c>
      <c r="B749" s="176" t="s">
        <v>1802</v>
      </c>
      <c r="C749" s="176" t="s">
        <v>1287</v>
      </c>
      <c r="D749" s="176">
        <v>40.0</v>
      </c>
      <c r="E749" s="177">
        <v>49.66</v>
      </c>
    </row>
    <row r="750">
      <c r="A750" s="1" t="s">
        <v>2848</v>
      </c>
      <c r="B750" s="176" t="s">
        <v>1802</v>
      </c>
      <c r="C750" s="176" t="s">
        <v>21</v>
      </c>
      <c r="D750" s="176">
        <v>24.0</v>
      </c>
      <c r="E750" s="177">
        <v>118.0</v>
      </c>
    </row>
    <row r="751">
      <c r="A751" s="1" t="s">
        <v>2849</v>
      </c>
      <c r="B751" s="176" t="s">
        <v>1804</v>
      </c>
      <c r="C751" s="176" t="s">
        <v>21</v>
      </c>
      <c r="D751" s="176">
        <v>120.0</v>
      </c>
      <c r="E751" s="177">
        <v>118.0</v>
      </c>
    </row>
    <row r="752">
      <c r="A752" s="1" t="s">
        <v>2850</v>
      </c>
      <c r="B752" s="176" t="s">
        <v>1804</v>
      </c>
      <c r="C752" s="176" t="s">
        <v>1287</v>
      </c>
      <c r="D752" s="176">
        <v>40.0</v>
      </c>
      <c r="E752" s="177">
        <v>49.64</v>
      </c>
    </row>
    <row r="753">
      <c r="A753" s="1" t="s">
        <v>2851</v>
      </c>
      <c r="B753" s="176" t="s">
        <v>1807</v>
      </c>
      <c r="C753" s="176" t="s">
        <v>1287</v>
      </c>
      <c r="D753" s="176">
        <v>80.0</v>
      </c>
      <c r="E753" s="177">
        <v>49.64</v>
      </c>
    </row>
    <row r="754">
      <c r="A754" s="1" t="s">
        <v>2852</v>
      </c>
      <c r="B754" s="176" t="s">
        <v>1809</v>
      </c>
      <c r="C754" s="176" t="s">
        <v>21</v>
      </c>
      <c r="D754" s="176">
        <v>24.0</v>
      </c>
      <c r="E754" s="177">
        <v>118.18</v>
      </c>
    </row>
    <row r="755">
      <c r="A755" s="1" t="s">
        <v>2853</v>
      </c>
      <c r="B755" s="176" t="s">
        <v>1810</v>
      </c>
      <c r="C755" s="176" t="s">
        <v>21</v>
      </c>
      <c r="D755" s="176">
        <v>24.0</v>
      </c>
      <c r="E755" s="177">
        <v>118.0</v>
      </c>
    </row>
    <row r="756">
      <c r="A756" s="1" t="s">
        <v>2854</v>
      </c>
      <c r="B756" s="176" t="s">
        <v>1811</v>
      </c>
      <c r="C756" s="176" t="s">
        <v>21</v>
      </c>
      <c r="D756" s="176">
        <v>24.0</v>
      </c>
      <c r="E756" s="177">
        <v>118.18</v>
      </c>
    </row>
    <row r="757">
      <c r="A757" s="1" t="s">
        <v>2855</v>
      </c>
      <c r="B757" s="176" t="s">
        <v>1811</v>
      </c>
      <c r="C757" s="176" t="s">
        <v>1287</v>
      </c>
      <c r="D757" s="176">
        <v>40.0</v>
      </c>
      <c r="E757" s="177">
        <v>49.64</v>
      </c>
    </row>
    <row r="758">
      <c r="A758" s="1" t="s">
        <v>2856</v>
      </c>
      <c r="B758" s="176" t="s">
        <v>1819</v>
      </c>
      <c r="C758" s="176" t="s">
        <v>1287</v>
      </c>
      <c r="D758" s="176">
        <v>20.0</v>
      </c>
      <c r="E758" s="177">
        <v>50.0</v>
      </c>
    </row>
    <row r="759">
      <c r="A759" s="1" t="s">
        <v>2857</v>
      </c>
      <c r="B759" s="176" t="s">
        <v>1821</v>
      </c>
      <c r="C759" s="176" t="s">
        <v>21</v>
      </c>
      <c r="D759" s="176">
        <v>72.0</v>
      </c>
      <c r="E759" s="177">
        <v>119.0</v>
      </c>
    </row>
    <row r="760">
      <c r="A760" s="1" t="s">
        <v>2858</v>
      </c>
      <c r="B760" s="176" t="s">
        <v>1823</v>
      </c>
      <c r="C760" s="176" t="s">
        <v>1287</v>
      </c>
      <c r="D760" s="176">
        <v>40.0</v>
      </c>
      <c r="E760" s="177">
        <v>50.0</v>
      </c>
    </row>
    <row r="761">
      <c r="A761" s="1" t="s">
        <v>2859</v>
      </c>
      <c r="B761" s="176" t="s">
        <v>1825</v>
      </c>
      <c r="C761" s="176" t="s">
        <v>1287</v>
      </c>
      <c r="D761" s="176">
        <v>10.0</v>
      </c>
      <c r="E761" s="177">
        <v>50.0</v>
      </c>
    </row>
    <row r="762">
      <c r="A762" s="1" t="s">
        <v>2860</v>
      </c>
      <c r="B762" s="176" t="s">
        <v>1825</v>
      </c>
      <c r="C762" s="176" t="s">
        <v>21</v>
      </c>
      <c r="D762" s="176">
        <v>10.0</v>
      </c>
      <c r="E762" s="177">
        <v>110.0</v>
      </c>
    </row>
    <row r="763">
      <c r="A763" s="1" t="s">
        <v>2861</v>
      </c>
      <c r="B763" s="176" t="s">
        <v>1827</v>
      </c>
      <c r="C763" s="176" t="s">
        <v>21</v>
      </c>
      <c r="D763" s="176">
        <v>240.0</v>
      </c>
      <c r="E763" s="177">
        <v>100.0</v>
      </c>
    </row>
    <row r="764">
      <c r="A764" s="1" t="s">
        <v>2862</v>
      </c>
      <c r="B764" s="176" t="s">
        <v>1831</v>
      </c>
      <c r="C764" s="176" t="s">
        <v>21</v>
      </c>
      <c r="D764" s="176">
        <v>360.0</v>
      </c>
      <c r="E764" s="177">
        <v>110.0</v>
      </c>
    </row>
    <row r="765">
      <c r="A765" s="1" t="s">
        <v>2863</v>
      </c>
      <c r="B765" s="176" t="s">
        <v>1832</v>
      </c>
      <c r="C765" s="176" t="s">
        <v>21</v>
      </c>
      <c r="D765" s="176">
        <v>48.0</v>
      </c>
      <c r="E765" s="177">
        <v>115.0</v>
      </c>
    </row>
    <row r="766">
      <c r="A766" s="1" t="s">
        <v>2864</v>
      </c>
      <c r="B766" s="176" t="s">
        <v>1834</v>
      </c>
      <c r="C766" s="176" t="s">
        <v>21</v>
      </c>
      <c r="D766" s="176">
        <v>1.0</v>
      </c>
      <c r="E766" s="177">
        <v>0.0</v>
      </c>
    </row>
    <row r="767">
      <c r="A767" s="1" t="s">
        <v>2865</v>
      </c>
      <c r="B767" s="176" t="s">
        <v>1834</v>
      </c>
      <c r="C767" s="176" t="s">
        <v>1287</v>
      </c>
      <c r="D767" s="176">
        <v>1.0</v>
      </c>
      <c r="E767" s="177">
        <v>0.0</v>
      </c>
    </row>
    <row r="768">
      <c r="A768" s="1" t="s">
        <v>2866</v>
      </c>
      <c r="B768" s="176" t="s">
        <v>1836</v>
      </c>
      <c r="C768" s="176" t="s">
        <v>21</v>
      </c>
      <c r="D768" s="176">
        <v>1.0</v>
      </c>
      <c r="E768" s="177">
        <v>0.0</v>
      </c>
    </row>
    <row r="769">
      <c r="A769" s="1" t="s">
        <v>2867</v>
      </c>
      <c r="B769" s="176" t="s">
        <v>1838</v>
      </c>
      <c r="C769" s="176" t="s">
        <v>21</v>
      </c>
      <c r="D769" s="176">
        <v>1.0</v>
      </c>
      <c r="E769" s="177">
        <v>0.0</v>
      </c>
    </row>
    <row r="770">
      <c r="A770" s="1" t="s">
        <v>2868</v>
      </c>
      <c r="B770" s="176" t="s">
        <v>1840</v>
      </c>
      <c r="C770" s="176" t="s">
        <v>1287</v>
      </c>
      <c r="D770" s="176">
        <v>1.0</v>
      </c>
      <c r="E770" s="177">
        <v>0.0</v>
      </c>
    </row>
    <row r="771">
      <c r="A771" s="1" t="s">
        <v>2869</v>
      </c>
      <c r="B771" s="176" t="s">
        <v>1842</v>
      </c>
      <c r="C771" s="176" t="s">
        <v>21</v>
      </c>
      <c r="D771" s="176">
        <v>72.0</v>
      </c>
      <c r="E771" s="177">
        <v>115.0</v>
      </c>
    </row>
    <row r="772">
      <c r="A772" s="1" t="s">
        <v>2870</v>
      </c>
      <c r="B772" s="176" t="s">
        <v>1843</v>
      </c>
      <c r="C772" s="176" t="s">
        <v>1287</v>
      </c>
      <c r="D772" s="176">
        <v>40.0</v>
      </c>
      <c r="E772" s="177">
        <v>50.0</v>
      </c>
    </row>
    <row r="773">
      <c r="A773" s="1" t="s">
        <v>2871</v>
      </c>
      <c r="B773" s="176" t="s">
        <v>1845</v>
      </c>
      <c r="C773" s="176" t="s">
        <v>21</v>
      </c>
      <c r="D773" s="176">
        <v>24.0</v>
      </c>
      <c r="E773" s="177">
        <v>130.0</v>
      </c>
    </row>
    <row r="774">
      <c r="A774" s="1" t="s">
        <v>2872</v>
      </c>
      <c r="B774" s="176" t="s">
        <v>1845</v>
      </c>
      <c r="C774" s="176" t="s">
        <v>1287</v>
      </c>
      <c r="D774" s="176">
        <v>40.0</v>
      </c>
      <c r="E774" s="177">
        <v>50.0</v>
      </c>
    </row>
    <row r="775">
      <c r="A775" s="1" t="s">
        <v>2873</v>
      </c>
      <c r="B775" s="176" t="s">
        <v>1849</v>
      </c>
      <c r="C775" s="176" t="s">
        <v>1287</v>
      </c>
      <c r="D775" s="176">
        <v>40.0</v>
      </c>
      <c r="E775" s="177">
        <v>50.0</v>
      </c>
    </row>
    <row r="776">
      <c r="A776" s="1" t="s">
        <v>2874</v>
      </c>
      <c r="B776" s="176" t="s">
        <v>1851</v>
      </c>
      <c r="C776" s="176" t="s">
        <v>21</v>
      </c>
      <c r="D776" s="176">
        <v>24.0</v>
      </c>
      <c r="E776" s="177">
        <v>128.0</v>
      </c>
    </row>
    <row r="777">
      <c r="A777" s="1" t="s">
        <v>2875</v>
      </c>
      <c r="B777" s="176" t="s">
        <v>1853</v>
      </c>
      <c r="C777" s="176" t="s">
        <v>21</v>
      </c>
      <c r="D777" s="176">
        <v>240.0</v>
      </c>
      <c r="E777" s="177">
        <v>115.0</v>
      </c>
    </row>
    <row r="778">
      <c r="A778" s="1" t="s">
        <v>2876</v>
      </c>
      <c r="B778" s="176" t="s">
        <v>1853</v>
      </c>
      <c r="C778" s="176" t="s">
        <v>1287</v>
      </c>
      <c r="D778" s="176">
        <v>80.0</v>
      </c>
      <c r="E778" s="177">
        <v>50.0</v>
      </c>
    </row>
    <row r="779">
      <c r="A779" s="1" t="s">
        <v>2877</v>
      </c>
      <c r="B779" s="176" t="s">
        <v>1860</v>
      </c>
      <c r="C779" s="176" t="s">
        <v>1287</v>
      </c>
      <c r="D779" s="176">
        <v>40.0</v>
      </c>
      <c r="E779" s="177">
        <v>50.0</v>
      </c>
    </row>
    <row r="780">
      <c r="A780" s="1" t="s">
        <v>2878</v>
      </c>
      <c r="B780" s="176" t="s">
        <v>1861</v>
      </c>
      <c r="C780" s="176" t="s">
        <v>1287</v>
      </c>
      <c r="D780" s="176">
        <v>40.0</v>
      </c>
      <c r="E780" s="177">
        <v>50.0</v>
      </c>
    </row>
    <row r="781">
      <c r="A781" s="1" t="s">
        <v>2879</v>
      </c>
      <c r="B781" s="176" t="s">
        <v>1862</v>
      </c>
      <c r="C781" s="176" t="s">
        <v>1287</v>
      </c>
      <c r="D781" s="176">
        <v>40.0</v>
      </c>
      <c r="E781" s="177">
        <v>49.66</v>
      </c>
    </row>
    <row r="782">
      <c r="A782" s="1" t="s">
        <v>2880</v>
      </c>
      <c r="B782" s="176" t="s">
        <v>1864</v>
      </c>
      <c r="C782" s="176" t="s">
        <v>1287</v>
      </c>
      <c r="D782" s="176">
        <v>20.0</v>
      </c>
      <c r="E782" s="177">
        <v>49.66</v>
      </c>
    </row>
    <row r="783">
      <c r="A783" s="1" t="s">
        <v>2881</v>
      </c>
      <c r="B783" s="176" t="s">
        <v>1866</v>
      </c>
      <c r="C783" s="176" t="s">
        <v>21</v>
      </c>
      <c r="D783" s="176">
        <v>72.0</v>
      </c>
      <c r="E783" s="177">
        <v>118.0</v>
      </c>
    </row>
    <row r="784">
      <c r="A784" s="1" t="s">
        <v>2882</v>
      </c>
      <c r="B784" s="176" t="s">
        <v>1867</v>
      </c>
      <c r="C784" s="176" t="s">
        <v>1287</v>
      </c>
      <c r="D784" s="176">
        <v>40.0</v>
      </c>
      <c r="E784" s="177">
        <v>49.66</v>
      </c>
    </row>
    <row r="785">
      <c r="A785" s="1" t="s">
        <v>2883</v>
      </c>
      <c r="B785" s="176" t="s">
        <v>1867</v>
      </c>
      <c r="C785" s="176" t="s">
        <v>21</v>
      </c>
      <c r="D785" s="176">
        <v>24.0</v>
      </c>
      <c r="E785" s="177">
        <v>118.0</v>
      </c>
    </row>
    <row r="786">
      <c r="A786" s="1" t="s">
        <v>2884</v>
      </c>
      <c r="B786" s="176" t="s">
        <v>1868</v>
      </c>
      <c r="C786" s="176" t="s">
        <v>21</v>
      </c>
      <c r="D786" s="176">
        <v>480.0</v>
      </c>
      <c r="E786" s="177">
        <v>110.0</v>
      </c>
    </row>
    <row r="787">
      <c r="A787" s="1" t="s">
        <v>2885</v>
      </c>
      <c r="B787" s="176" t="s">
        <v>1869</v>
      </c>
      <c r="C787" s="176" t="s">
        <v>21</v>
      </c>
      <c r="D787" s="176">
        <v>24.0</v>
      </c>
      <c r="E787" s="177">
        <v>118.0</v>
      </c>
    </row>
    <row r="788">
      <c r="A788" s="1" t="s">
        <v>2886</v>
      </c>
      <c r="B788" s="176" t="s">
        <v>1869</v>
      </c>
      <c r="C788" s="176" t="s">
        <v>1287</v>
      </c>
      <c r="D788" s="176">
        <v>40.0</v>
      </c>
      <c r="E788" s="177">
        <v>49.64</v>
      </c>
    </row>
    <row r="789">
      <c r="A789" s="1" t="s">
        <v>2887</v>
      </c>
      <c r="B789" s="176" t="s">
        <v>1871</v>
      </c>
      <c r="C789" s="176" t="s">
        <v>1287</v>
      </c>
      <c r="D789" s="176">
        <v>40.0</v>
      </c>
      <c r="E789" s="177">
        <v>49.64</v>
      </c>
    </row>
    <row r="790">
      <c r="A790" s="1" t="s">
        <v>2888</v>
      </c>
      <c r="B790" s="176" t="s">
        <v>1872</v>
      </c>
      <c r="C790" s="176" t="s">
        <v>21</v>
      </c>
      <c r="D790" s="176">
        <v>24.0</v>
      </c>
      <c r="E790" s="177">
        <v>118.18</v>
      </c>
    </row>
    <row r="791">
      <c r="A791" s="1" t="s">
        <v>2889</v>
      </c>
      <c r="B791" s="176" t="s">
        <v>1872</v>
      </c>
      <c r="C791" s="176" t="s">
        <v>1287</v>
      </c>
      <c r="D791" s="176">
        <v>40.0</v>
      </c>
      <c r="E791" s="177">
        <v>49.64</v>
      </c>
    </row>
    <row r="792">
      <c r="A792" s="1" t="s">
        <v>2890</v>
      </c>
      <c r="B792" s="176" t="s">
        <v>1873</v>
      </c>
      <c r="C792" s="176" t="s">
        <v>21</v>
      </c>
      <c r="D792" s="176">
        <v>96.0</v>
      </c>
      <c r="E792" s="177">
        <v>118.18</v>
      </c>
    </row>
    <row r="793">
      <c r="A793" s="1" t="s">
        <v>2891</v>
      </c>
      <c r="B793" s="176" t="s">
        <v>1873</v>
      </c>
      <c r="C793" s="176" t="s">
        <v>1287</v>
      </c>
      <c r="D793" s="176">
        <v>80.0</v>
      </c>
      <c r="E793" s="177">
        <v>49.64</v>
      </c>
    </row>
    <row r="794">
      <c r="A794" s="1" t="s">
        <v>2892</v>
      </c>
      <c r="B794" s="176" t="s">
        <v>1874</v>
      </c>
      <c r="C794" s="176" t="s">
        <v>21</v>
      </c>
      <c r="D794" s="176">
        <v>24.0</v>
      </c>
      <c r="E794" s="177">
        <v>118.0</v>
      </c>
    </row>
    <row r="795">
      <c r="A795" s="1" t="s">
        <v>2893</v>
      </c>
      <c r="B795" s="176" t="s">
        <v>1874</v>
      </c>
      <c r="C795" s="176" t="s">
        <v>1287</v>
      </c>
      <c r="D795" s="176">
        <v>80.0</v>
      </c>
      <c r="E795" s="177">
        <v>49.66</v>
      </c>
    </row>
    <row r="796">
      <c r="A796" s="1" t="s">
        <v>2894</v>
      </c>
      <c r="B796" s="176" t="s">
        <v>1876</v>
      </c>
      <c r="C796" s="176" t="s">
        <v>21</v>
      </c>
      <c r="D796" s="176">
        <v>48.0</v>
      </c>
      <c r="E796" s="177">
        <v>118.0</v>
      </c>
    </row>
    <row r="797">
      <c r="A797" s="1" t="s">
        <v>2895</v>
      </c>
      <c r="B797" s="176" t="s">
        <v>1877</v>
      </c>
      <c r="C797" s="176" t="s">
        <v>21</v>
      </c>
      <c r="D797" s="176">
        <v>24.0</v>
      </c>
      <c r="E797" s="177">
        <v>119.0</v>
      </c>
    </row>
    <row r="798">
      <c r="A798" s="1" t="s">
        <v>2896</v>
      </c>
      <c r="B798" s="176" t="s">
        <v>1877</v>
      </c>
      <c r="C798" s="176" t="s">
        <v>1287</v>
      </c>
      <c r="D798" s="176">
        <v>40.0</v>
      </c>
      <c r="E798" s="177">
        <v>55.0</v>
      </c>
    </row>
    <row r="799">
      <c r="A799" s="1" t="s">
        <v>2897</v>
      </c>
      <c r="B799" s="176" t="s">
        <v>1880</v>
      </c>
      <c r="C799" s="176" t="s">
        <v>21</v>
      </c>
      <c r="D799" s="176">
        <v>72.0</v>
      </c>
      <c r="E799" s="177">
        <v>127.6</v>
      </c>
    </row>
    <row r="800">
      <c r="A800" s="1" t="s">
        <v>2898</v>
      </c>
      <c r="B800" s="176" t="s">
        <v>1881</v>
      </c>
      <c r="C800" s="176" t="s">
        <v>1287</v>
      </c>
      <c r="D800" s="176">
        <v>40.0</v>
      </c>
      <c r="E800" s="177">
        <v>49.66</v>
      </c>
    </row>
    <row r="801">
      <c r="A801" s="1" t="s">
        <v>2899</v>
      </c>
      <c r="B801" s="176" t="s">
        <v>1884</v>
      </c>
      <c r="C801" s="176" t="s">
        <v>21</v>
      </c>
      <c r="D801" s="1">
        <v>0.0</v>
      </c>
      <c r="E801" s="177">
        <v>127.6</v>
      </c>
    </row>
    <row r="802">
      <c r="A802" s="1" t="s">
        <v>2900</v>
      </c>
      <c r="B802" s="176" t="s">
        <v>1885</v>
      </c>
      <c r="C802" s="176" t="s">
        <v>21</v>
      </c>
      <c r="D802" s="176">
        <v>144.0</v>
      </c>
      <c r="E802" s="177">
        <v>118.18</v>
      </c>
    </row>
    <row r="803">
      <c r="A803" s="1" t="s">
        <v>2901</v>
      </c>
      <c r="B803" s="176" t="s">
        <v>1888</v>
      </c>
      <c r="C803" s="176" t="s">
        <v>21</v>
      </c>
      <c r="D803" s="176">
        <v>24.0</v>
      </c>
      <c r="E803" s="177">
        <v>118.0</v>
      </c>
    </row>
    <row r="804">
      <c r="A804" s="1" t="s">
        <v>2902</v>
      </c>
      <c r="B804" s="176" t="s">
        <v>1888</v>
      </c>
      <c r="C804" s="176" t="s">
        <v>1287</v>
      </c>
      <c r="D804" s="176">
        <v>40.0</v>
      </c>
      <c r="E804" s="177">
        <v>49.64</v>
      </c>
    </row>
    <row r="805">
      <c r="A805" s="1" t="s">
        <v>2903</v>
      </c>
      <c r="B805" s="176" t="s">
        <v>1890</v>
      </c>
      <c r="C805" s="176" t="s">
        <v>21</v>
      </c>
      <c r="D805" s="176">
        <v>24.0</v>
      </c>
      <c r="E805" s="177">
        <v>118.18</v>
      </c>
    </row>
    <row r="806">
      <c r="A806" s="1" t="s">
        <v>2904</v>
      </c>
      <c r="B806" s="176" t="s">
        <v>1891</v>
      </c>
      <c r="C806" s="176" t="s">
        <v>21</v>
      </c>
      <c r="D806" s="176">
        <v>24.0</v>
      </c>
      <c r="E806" s="177">
        <v>118.18</v>
      </c>
    </row>
    <row r="807">
      <c r="A807" s="1" t="s">
        <v>2905</v>
      </c>
      <c r="B807" s="176" t="s">
        <v>1893</v>
      </c>
      <c r="C807" s="176" t="s">
        <v>21</v>
      </c>
      <c r="D807" s="176">
        <v>240.0</v>
      </c>
      <c r="E807" s="178">
        <v>0.0</v>
      </c>
    </row>
    <row r="808">
      <c r="A808" s="1" t="s">
        <v>2906</v>
      </c>
      <c r="B808" s="176" t="s">
        <v>1894</v>
      </c>
      <c r="C808" s="176" t="s">
        <v>1287</v>
      </c>
      <c r="D808" s="176">
        <v>40.0</v>
      </c>
      <c r="E808" s="177">
        <v>50.0</v>
      </c>
    </row>
    <row r="809">
      <c r="A809" s="1" t="s">
        <v>2907</v>
      </c>
      <c r="B809" s="176" t="s">
        <v>1894</v>
      </c>
      <c r="C809" s="176" t="s">
        <v>21</v>
      </c>
      <c r="D809" s="176">
        <v>24.0</v>
      </c>
      <c r="E809" s="177">
        <v>118.0</v>
      </c>
    </row>
    <row r="810">
      <c r="A810" s="1" t="s">
        <v>2908</v>
      </c>
      <c r="B810" s="176" t="s">
        <v>1896</v>
      </c>
      <c r="C810" s="176" t="s">
        <v>21</v>
      </c>
      <c r="D810" s="176">
        <v>48.0</v>
      </c>
      <c r="E810" s="177">
        <v>118.0</v>
      </c>
    </row>
    <row r="811">
      <c r="A811" s="1" t="s">
        <v>2909</v>
      </c>
      <c r="B811" s="176" t="s">
        <v>1897</v>
      </c>
      <c r="C811" s="176" t="s">
        <v>21</v>
      </c>
      <c r="D811" s="176">
        <v>48.0</v>
      </c>
      <c r="E811" s="177">
        <v>118.0</v>
      </c>
    </row>
    <row r="812">
      <c r="A812" s="1" t="s">
        <v>2910</v>
      </c>
      <c r="B812" s="176" t="s">
        <v>1899</v>
      </c>
      <c r="C812" s="176" t="s">
        <v>21</v>
      </c>
      <c r="D812" s="176">
        <v>48.0</v>
      </c>
      <c r="E812" s="177">
        <v>118.18</v>
      </c>
    </row>
    <row r="813">
      <c r="A813" s="1" t="s">
        <v>2911</v>
      </c>
      <c r="B813" s="176" t="s">
        <v>1900</v>
      </c>
      <c r="C813" s="176" t="s">
        <v>1287</v>
      </c>
      <c r="D813" s="176">
        <v>40.0</v>
      </c>
      <c r="E813" s="177">
        <v>49.64</v>
      </c>
    </row>
    <row r="814">
      <c r="A814" s="1" t="s">
        <v>2912</v>
      </c>
      <c r="B814" s="176" t="s">
        <v>1902</v>
      </c>
      <c r="C814" s="176" t="s">
        <v>21</v>
      </c>
      <c r="D814" s="176">
        <v>24.0</v>
      </c>
      <c r="E814" s="177">
        <v>104.17</v>
      </c>
    </row>
    <row r="815">
      <c r="A815" s="1" t="s">
        <v>2913</v>
      </c>
      <c r="B815" s="176" t="s">
        <v>1904</v>
      </c>
      <c r="C815" s="176" t="s">
        <v>1287</v>
      </c>
      <c r="D815" s="176">
        <v>320.0</v>
      </c>
      <c r="E815" s="177">
        <v>48.0</v>
      </c>
    </row>
    <row r="816">
      <c r="A816" s="1" t="s">
        <v>2914</v>
      </c>
      <c r="B816" s="176" t="s">
        <v>1907</v>
      </c>
      <c r="C816" s="176" t="s">
        <v>21</v>
      </c>
      <c r="D816" s="176">
        <v>24.0</v>
      </c>
      <c r="E816" s="177">
        <v>120.0</v>
      </c>
    </row>
    <row r="817">
      <c r="A817" s="1" t="s">
        <v>2915</v>
      </c>
      <c r="B817" s="176" t="s">
        <v>1907</v>
      </c>
      <c r="C817" s="176" t="s">
        <v>1287</v>
      </c>
      <c r="D817" s="176">
        <v>40.0</v>
      </c>
      <c r="E817" s="177">
        <v>60.0</v>
      </c>
    </row>
    <row r="818">
      <c r="A818" s="1" t="s">
        <v>2916</v>
      </c>
      <c r="B818" s="176" t="s">
        <v>1909</v>
      </c>
      <c r="C818" s="176" t="s">
        <v>21</v>
      </c>
      <c r="D818" s="176">
        <v>24.0</v>
      </c>
      <c r="E818" s="177">
        <v>120.0</v>
      </c>
    </row>
    <row r="819">
      <c r="A819" s="1" t="s">
        <v>2917</v>
      </c>
      <c r="B819" s="176" t="s">
        <v>1909</v>
      </c>
      <c r="C819" s="176" t="s">
        <v>1287</v>
      </c>
      <c r="D819" s="176">
        <v>40.0</v>
      </c>
      <c r="E819" s="177">
        <v>50.0</v>
      </c>
    </row>
    <row r="820">
      <c r="A820" s="1" t="s">
        <v>2918</v>
      </c>
      <c r="B820" s="176" t="s">
        <v>1911</v>
      </c>
      <c r="C820" s="176" t="s">
        <v>21</v>
      </c>
      <c r="D820" s="176">
        <v>24.0</v>
      </c>
      <c r="E820" s="177">
        <v>120.0</v>
      </c>
    </row>
    <row r="821">
      <c r="A821" s="1" t="s">
        <v>2919</v>
      </c>
      <c r="B821" s="176" t="s">
        <v>1911</v>
      </c>
      <c r="C821" s="176" t="s">
        <v>1287</v>
      </c>
      <c r="D821" s="176">
        <v>40.0</v>
      </c>
      <c r="E821" s="177">
        <v>60.0</v>
      </c>
    </row>
    <row r="822">
      <c r="A822" s="1" t="s">
        <v>2920</v>
      </c>
      <c r="B822" s="176" t="s">
        <v>1913</v>
      </c>
      <c r="C822" s="176" t="s">
        <v>21</v>
      </c>
      <c r="D822" s="176">
        <v>24.0</v>
      </c>
      <c r="E822" s="177">
        <v>130.0</v>
      </c>
    </row>
    <row r="823">
      <c r="A823" s="1" t="s">
        <v>2921</v>
      </c>
      <c r="B823" s="176" t="s">
        <v>1913</v>
      </c>
      <c r="C823" s="176" t="s">
        <v>1287</v>
      </c>
      <c r="D823" s="176">
        <v>40.0</v>
      </c>
      <c r="E823" s="177">
        <v>60.0</v>
      </c>
    </row>
    <row r="824">
      <c r="A824" s="1" t="s">
        <v>2922</v>
      </c>
      <c r="B824" s="176" t="s">
        <v>1916</v>
      </c>
      <c r="C824" s="176" t="s">
        <v>21</v>
      </c>
      <c r="D824" s="176">
        <v>24.0</v>
      </c>
      <c r="E824" s="177">
        <v>128.0</v>
      </c>
    </row>
    <row r="825">
      <c r="A825" s="1" t="s">
        <v>2923</v>
      </c>
      <c r="B825" s="176" t="s">
        <v>1916</v>
      </c>
      <c r="C825" s="176" t="s">
        <v>1287</v>
      </c>
      <c r="D825" s="176">
        <v>40.0</v>
      </c>
      <c r="E825" s="177">
        <v>52.0</v>
      </c>
    </row>
    <row r="826">
      <c r="A826" s="1" t="s">
        <v>2924</v>
      </c>
      <c r="B826" s="176" t="s">
        <v>1918</v>
      </c>
      <c r="C826" s="176" t="s">
        <v>21</v>
      </c>
      <c r="D826" s="176">
        <v>96.0</v>
      </c>
      <c r="E826" s="177">
        <v>118.18</v>
      </c>
    </row>
    <row r="827">
      <c r="A827" s="1" t="s">
        <v>2925</v>
      </c>
      <c r="B827" s="176" t="s">
        <v>1918</v>
      </c>
      <c r="C827" s="176" t="s">
        <v>1287</v>
      </c>
      <c r="D827" s="176">
        <v>80.0</v>
      </c>
      <c r="E827" s="177">
        <v>49.64</v>
      </c>
    </row>
    <row r="828">
      <c r="A828" s="1" t="s">
        <v>2926</v>
      </c>
      <c r="B828" s="176" t="s">
        <v>1919</v>
      </c>
      <c r="C828" s="176" t="s">
        <v>21</v>
      </c>
      <c r="D828" s="176">
        <v>72.0</v>
      </c>
      <c r="E828" s="177">
        <v>118.0</v>
      </c>
    </row>
    <row r="829">
      <c r="A829" s="1" t="s">
        <v>2927</v>
      </c>
      <c r="B829" s="176" t="s">
        <v>1920</v>
      </c>
      <c r="C829" s="176" t="s">
        <v>21</v>
      </c>
      <c r="D829" s="176">
        <v>24.0</v>
      </c>
      <c r="E829" s="177">
        <v>128.0</v>
      </c>
    </row>
    <row r="830">
      <c r="A830" s="1" t="s">
        <v>2928</v>
      </c>
      <c r="B830" s="176" t="s">
        <v>1920</v>
      </c>
      <c r="C830" s="176" t="s">
        <v>1287</v>
      </c>
      <c r="D830" s="176">
        <v>40.0</v>
      </c>
      <c r="E830" s="177">
        <v>52.0</v>
      </c>
    </row>
    <row r="831">
      <c r="A831" s="1" t="s">
        <v>2929</v>
      </c>
      <c r="B831" s="176" t="s">
        <v>1922</v>
      </c>
      <c r="C831" s="176" t="s">
        <v>21</v>
      </c>
      <c r="D831" s="176">
        <v>120.0</v>
      </c>
      <c r="E831" s="177">
        <v>100.0</v>
      </c>
    </row>
    <row r="832">
      <c r="A832" s="1" t="s">
        <v>2930</v>
      </c>
      <c r="B832" s="176" t="s">
        <v>1922</v>
      </c>
      <c r="C832" s="176" t="s">
        <v>21</v>
      </c>
      <c r="D832" s="176">
        <v>80.0</v>
      </c>
      <c r="E832" s="177">
        <v>40.0</v>
      </c>
    </row>
    <row r="833">
      <c r="A833" s="1" t="s">
        <v>2931</v>
      </c>
      <c r="B833" s="176" t="s">
        <v>1924</v>
      </c>
      <c r="C833" s="176" t="s">
        <v>21</v>
      </c>
      <c r="D833" s="176">
        <v>24.0</v>
      </c>
      <c r="E833" s="177">
        <v>120.0</v>
      </c>
    </row>
    <row r="834">
      <c r="A834" s="1" t="s">
        <v>2932</v>
      </c>
      <c r="B834" s="176" t="s">
        <v>1924</v>
      </c>
      <c r="C834" s="176" t="s">
        <v>1287</v>
      </c>
      <c r="D834" s="176">
        <v>40.0</v>
      </c>
      <c r="E834" s="177">
        <v>50.0</v>
      </c>
    </row>
    <row r="835">
      <c r="A835" s="1" t="s">
        <v>2933</v>
      </c>
      <c r="B835" s="176" t="s">
        <v>1926</v>
      </c>
      <c r="C835" s="176" t="s">
        <v>21</v>
      </c>
      <c r="D835" s="176">
        <v>24.0</v>
      </c>
      <c r="E835" s="177">
        <v>120.0</v>
      </c>
    </row>
    <row r="836">
      <c r="A836" s="1" t="s">
        <v>2934</v>
      </c>
      <c r="B836" s="176" t="s">
        <v>1926</v>
      </c>
      <c r="C836" s="176" t="s">
        <v>1287</v>
      </c>
      <c r="D836" s="176">
        <v>40.0</v>
      </c>
      <c r="E836" s="177">
        <v>50.0</v>
      </c>
    </row>
    <row r="837">
      <c r="A837" s="1" t="s">
        <v>2935</v>
      </c>
      <c r="B837" s="176" t="s">
        <v>1928</v>
      </c>
      <c r="C837" s="176" t="s">
        <v>21</v>
      </c>
      <c r="D837" s="176">
        <v>24.0</v>
      </c>
      <c r="E837" s="177">
        <v>120.0</v>
      </c>
    </row>
    <row r="838">
      <c r="A838" s="1" t="s">
        <v>2936</v>
      </c>
      <c r="B838" s="176" t="s">
        <v>1928</v>
      </c>
      <c r="C838" s="176" t="s">
        <v>1287</v>
      </c>
      <c r="D838" s="176">
        <v>40.0</v>
      </c>
      <c r="E838" s="177">
        <v>48.0</v>
      </c>
    </row>
    <row r="839">
      <c r="A839" s="1" t="s">
        <v>2937</v>
      </c>
      <c r="B839" s="176" t="s">
        <v>1930</v>
      </c>
      <c r="C839" s="176" t="s">
        <v>21</v>
      </c>
      <c r="D839" s="176">
        <v>24.0</v>
      </c>
      <c r="E839" s="177">
        <v>120.0</v>
      </c>
    </row>
    <row r="840">
      <c r="A840" s="1" t="s">
        <v>2938</v>
      </c>
      <c r="B840" s="176" t="s">
        <v>1930</v>
      </c>
      <c r="C840" s="176" t="s">
        <v>1287</v>
      </c>
      <c r="D840" s="176">
        <v>40.0</v>
      </c>
      <c r="E840" s="177">
        <v>50.0</v>
      </c>
    </row>
    <row r="841">
      <c r="A841" s="1" t="s">
        <v>2939</v>
      </c>
      <c r="B841" s="176" t="s">
        <v>1932</v>
      </c>
      <c r="C841" s="176" t="s">
        <v>21</v>
      </c>
      <c r="D841" s="176">
        <v>24.0</v>
      </c>
      <c r="E841" s="177">
        <v>130.0</v>
      </c>
    </row>
    <row r="842">
      <c r="A842" s="1" t="s">
        <v>2940</v>
      </c>
      <c r="B842" s="176" t="s">
        <v>1932</v>
      </c>
      <c r="C842" s="176" t="s">
        <v>1287</v>
      </c>
      <c r="D842" s="176">
        <v>40.0</v>
      </c>
      <c r="E842" s="177">
        <v>60.0</v>
      </c>
    </row>
    <row r="843">
      <c r="A843" s="1" t="s">
        <v>2941</v>
      </c>
      <c r="B843" s="176" t="s">
        <v>1935</v>
      </c>
      <c r="C843" s="176" t="s">
        <v>21</v>
      </c>
      <c r="D843" s="176">
        <v>24.0</v>
      </c>
      <c r="E843" s="177">
        <v>120.0</v>
      </c>
    </row>
    <row r="844">
      <c r="A844" s="1" t="s">
        <v>2942</v>
      </c>
      <c r="B844" s="176" t="s">
        <v>1935</v>
      </c>
      <c r="C844" s="176" t="s">
        <v>1287</v>
      </c>
      <c r="D844" s="176">
        <v>40.0</v>
      </c>
      <c r="E844" s="177">
        <v>50.0</v>
      </c>
    </row>
    <row r="845">
      <c r="A845" s="1" t="s">
        <v>2943</v>
      </c>
      <c r="B845" s="176" t="s">
        <v>1937</v>
      </c>
      <c r="C845" s="176" t="s">
        <v>1287</v>
      </c>
      <c r="D845" s="176">
        <v>120.0</v>
      </c>
      <c r="E845" s="177">
        <v>47.0</v>
      </c>
    </row>
    <row r="846">
      <c r="A846" s="1" t="s">
        <v>2944</v>
      </c>
      <c r="B846" s="176" t="s">
        <v>1938</v>
      </c>
      <c r="C846" s="176" t="s">
        <v>21</v>
      </c>
      <c r="D846" s="176">
        <v>240.0</v>
      </c>
      <c r="E846" s="178">
        <v>0.0</v>
      </c>
    </row>
    <row r="847">
      <c r="A847" s="1" t="s">
        <v>2945</v>
      </c>
      <c r="B847" s="176" t="s">
        <v>1938</v>
      </c>
      <c r="C847" s="176" t="s">
        <v>1287</v>
      </c>
      <c r="D847" s="176">
        <v>400.0</v>
      </c>
      <c r="E847" s="178">
        <v>0.0</v>
      </c>
    </row>
    <row r="848">
      <c r="A848" s="1" t="s">
        <v>2946</v>
      </c>
      <c r="B848" s="176" t="s">
        <v>1939</v>
      </c>
      <c r="C848" s="176" t="s">
        <v>21</v>
      </c>
      <c r="D848" s="176">
        <v>120.0</v>
      </c>
      <c r="E848" s="177">
        <v>118.0</v>
      </c>
    </row>
    <row r="849">
      <c r="A849" s="1" t="s">
        <v>2947</v>
      </c>
      <c r="B849" s="176" t="s">
        <v>1939</v>
      </c>
      <c r="C849" s="176" t="s">
        <v>1287</v>
      </c>
      <c r="D849" s="176">
        <v>40.0</v>
      </c>
      <c r="E849" s="177">
        <v>49.64</v>
      </c>
    </row>
    <row r="850">
      <c r="A850" s="1" t="s">
        <v>2948</v>
      </c>
      <c r="B850" s="176" t="s">
        <v>1940</v>
      </c>
      <c r="C850" s="176" t="s">
        <v>1287</v>
      </c>
      <c r="D850" s="176">
        <v>40.0</v>
      </c>
      <c r="E850" s="177">
        <v>50.0</v>
      </c>
    </row>
    <row r="851">
      <c r="A851" s="1" t="s">
        <v>2949</v>
      </c>
      <c r="B851" s="176" t="s">
        <v>1942</v>
      </c>
      <c r="C851" s="176" t="s">
        <v>1287</v>
      </c>
      <c r="D851" s="176">
        <v>40.0</v>
      </c>
      <c r="E851" s="177">
        <v>50.0</v>
      </c>
    </row>
    <row r="852">
      <c r="A852" s="1" t="s">
        <v>2950</v>
      </c>
      <c r="B852" s="176" t="s">
        <v>1944</v>
      </c>
      <c r="C852" s="176" t="s">
        <v>21</v>
      </c>
      <c r="D852" s="176">
        <v>24.0</v>
      </c>
      <c r="E852" s="177">
        <v>120.0</v>
      </c>
    </row>
    <row r="853">
      <c r="A853" s="1" t="s">
        <v>2951</v>
      </c>
      <c r="B853" s="176" t="s">
        <v>1944</v>
      </c>
      <c r="C853" s="176" t="s">
        <v>1287</v>
      </c>
      <c r="D853" s="176">
        <v>40.0</v>
      </c>
      <c r="E853" s="177">
        <v>50.0</v>
      </c>
    </row>
    <row r="854">
      <c r="A854" s="1" t="s">
        <v>2952</v>
      </c>
      <c r="B854" s="176" t="s">
        <v>1947</v>
      </c>
      <c r="C854" s="176" t="s">
        <v>21</v>
      </c>
      <c r="D854" s="176">
        <v>480.0</v>
      </c>
      <c r="E854" s="178">
        <v>0.0</v>
      </c>
    </row>
    <row r="855">
      <c r="A855" s="1" t="s">
        <v>2953</v>
      </c>
      <c r="B855" s="176" t="s">
        <v>1947</v>
      </c>
      <c r="C855" s="176" t="s">
        <v>1287</v>
      </c>
      <c r="D855" s="176">
        <v>800.0</v>
      </c>
      <c r="E855" s="178">
        <v>0.0</v>
      </c>
    </row>
    <row r="856">
      <c r="A856" s="1" t="s">
        <v>2954</v>
      </c>
      <c r="B856" s="176" t="s">
        <v>1950</v>
      </c>
      <c r="C856" s="176" t="s">
        <v>21</v>
      </c>
      <c r="D856" s="176">
        <v>150.0</v>
      </c>
      <c r="E856" s="177">
        <v>119.0</v>
      </c>
    </row>
    <row r="857">
      <c r="A857" s="1" t="s">
        <v>2955</v>
      </c>
      <c r="B857" s="176" t="s">
        <v>1952</v>
      </c>
      <c r="C857" s="176" t="s">
        <v>21</v>
      </c>
      <c r="D857" s="176">
        <v>24.0</v>
      </c>
      <c r="E857" s="177">
        <v>118.18</v>
      </c>
    </row>
    <row r="858">
      <c r="A858" s="1" t="s">
        <v>2956</v>
      </c>
      <c r="B858" s="176" t="s">
        <v>1953</v>
      </c>
      <c r="C858" s="176" t="s">
        <v>21</v>
      </c>
      <c r="D858" s="176">
        <v>288.0</v>
      </c>
      <c r="E858" s="177">
        <v>100.0</v>
      </c>
    </row>
    <row r="859">
      <c r="A859" s="1" t="s">
        <v>2957</v>
      </c>
      <c r="B859" s="176" t="s">
        <v>1953</v>
      </c>
      <c r="C859" s="176" t="s">
        <v>1287</v>
      </c>
      <c r="D859" s="176">
        <v>600.0</v>
      </c>
      <c r="E859" s="177">
        <v>43.0</v>
      </c>
    </row>
    <row r="860">
      <c r="A860" s="1" t="s">
        <v>2958</v>
      </c>
      <c r="B860" s="176" t="s">
        <v>1954</v>
      </c>
      <c r="C860" s="176" t="s">
        <v>21</v>
      </c>
      <c r="D860" s="176">
        <v>12.0</v>
      </c>
      <c r="E860" s="177">
        <v>118.0</v>
      </c>
    </row>
    <row r="861">
      <c r="A861" s="1" t="s">
        <v>2959</v>
      </c>
      <c r="B861" s="176" t="s">
        <v>1954</v>
      </c>
      <c r="C861" s="176" t="s">
        <v>1287</v>
      </c>
      <c r="D861" s="176">
        <v>20.0</v>
      </c>
      <c r="E861" s="177">
        <v>49.66</v>
      </c>
    </row>
    <row r="862">
      <c r="A862" s="1" t="s">
        <v>2960</v>
      </c>
      <c r="B862" s="176" t="s">
        <v>1967</v>
      </c>
      <c r="C862" s="176" t="s">
        <v>21</v>
      </c>
      <c r="D862" s="176">
        <v>48.0</v>
      </c>
      <c r="E862" s="177">
        <v>110.0</v>
      </c>
    </row>
    <row r="863">
      <c r="A863" s="1" t="s">
        <v>2961</v>
      </c>
      <c r="B863" s="176" t="s">
        <v>1969</v>
      </c>
      <c r="C863" s="176" t="s">
        <v>1287</v>
      </c>
      <c r="D863" s="176">
        <v>40.0</v>
      </c>
      <c r="E863" s="177">
        <v>50.0</v>
      </c>
    </row>
    <row r="864">
      <c r="A864" s="1" t="s">
        <v>2962</v>
      </c>
      <c r="B864" s="176" t="s">
        <v>1971</v>
      </c>
      <c r="C864" s="176" t="s">
        <v>21</v>
      </c>
      <c r="D864" s="176">
        <v>24.0</v>
      </c>
      <c r="E864" s="177">
        <v>110.0</v>
      </c>
    </row>
    <row r="865">
      <c r="A865" s="1" t="s">
        <v>2963</v>
      </c>
      <c r="B865" s="176" t="s">
        <v>1971</v>
      </c>
      <c r="C865" s="176" t="s">
        <v>1287</v>
      </c>
      <c r="D865" s="176">
        <v>40.0</v>
      </c>
      <c r="E865" s="177">
        <v>50.0</v>
      </c>
    </row>
    <row r="866">
      <c r="A866" s="1" t="s">
        <v>2964</v>
      </c>
      <c r="B866" s="176" t="s">
        <v>1975</v>
      </c>
      <c r="C866" s="176" t="s">
        <v>1287</v>
      </c>
      <c r="D866" s="176">
        <v>40.0</v>
      </c>
      <c r="E866" s="177">
        <v>50.0</v>
      </c>
    </row>
    <row r="867">
      <c r="A867" s="1" t="s">
        <v>2965</v>
      </c>
      <c r="B867" s="176" t="s">
        <v>1978</v>
      </c>
      <c r="C867" s="176" t="s">
        <v>1287</v>
      </c>
      <c r="D867" s="176">
        <v>40.0</v>
      </c>
      <c r="E867" s="177">
        <v>50.0</v>
      </c>
    </row>
    <row r="868">
      <c r="A868" s="1" t="s">
        <v>2966</v>
      </c>
      <c r="B868" s="176" t="s">
        <v>1981</v>
      </c>
      <c r="C868" s="176" t="s">
        <v>21</v>
      </c>
      <c r="D868" s="176">
        <v>144.0</v>
      </c>
      <c r="E868" s="177">
        <v>115.0</v>
      </c>
    </row>
    <row r="869">
      <c r="A869" s="1" t="s">
        <v>2967</v>
      </c>
      <c r="B869" s="176" t="s">
        <v>1983</v>
      </c>
      <c r="C869" s="176" t="s">
        <v>21</v>
      </c>
      <c r="D869" s="176">
        <v>24.0</v>
      </c>
      <c r="E869" s="177">
        <v>120.0</v>
      </c>
    </row>
    <row r="870">
      <c r="A870" s="1" t="s">
        <v>2968</v>
      </c>
      <c r="B870" s="176" t="s">
        <v>1983</v>
      </c>
      <c r="C870" s="176" t="s">
        <v>1287</v>
      </c>
      <c r="D870" s="176">
        <v>40.0</v>
      </c>
      <c r="E870" s="177">
        <v>50.0</v>
      </c>
    </row>
    <row r="871">
      <c r="A871" s="1" t="s">
        <v>2969</v>
      </c>
      <c r="B871" s="176" t="s">
        <v>1985</v>
      </c>
      <c r="C871" s="176" t="s">
        <v>21</v>
      </c>
      <c r="D871" s="176">
        <v>24.0</v>
      </c>
      <c r="E871" s="177">
        <v>115.0</v>
      </c>
    </row>
    <row r="872">
      <c r="A872" s="1" t="s">
        <v>2970</v>
      </c>
      <c r="B872" s="176" t="s">
        <v>1985</v>
      </c>
      <c r="C872" s="176" t="s">
        <v>1287</v>
      </c>
      <c r="D872" s="176">
        <v>40.0</v>
      </c>
      <c r="E872" s="177">
        <v>47.0</v>
      </c>
    </row>
    <row r="873">
      <c r="A873" s="1" t="s">
        <v>2971</v>
      </c>
      <c r="B873" s="176" t="s">
        <v>1987</v>
      </c>
      <c r="C873" s="176" t="s">
        <v>21</v>
      </c>
      <c r="D873" s="176">
        <v>48.0</v>
      </c>
      <c r="E873" s="177">
        <v>118.18</v>
      </c>
    </row>
    <row r="874">
      <c r="A874" s="1" t="s">
        <v>2972</v>
      </c>
      <c r="B874" s="176" t="s">
        <v>1988</v>
      </c>
      <c r="C874" s="176" t="s">
        <v>21</v>
      </c>
      <c r="D874" s="176">
        <v>48.0</v>
      </c>
      <c r="E874" s="177">
        <v>118.0</v>
      </c>
    </row>
    <row r="875">
      <c r="A875" s="1" t="s">
        <v>2973</v>
      </c>
      <c r="B875" s="176" t="s">
        <v>1988</v>
      </c>
      <c r="C875" s="176" t="s">
        <v>1287</v>
      </c>
      <c r="D875" s="176">
        <v>200.0</v>
      </c>
      <c r="E875" s="177">
        <v>49.64</v>
      </c>
    </row>
    <row r="876">
      <c r="A876" s="1" t="s">
        <v>2974</v>
      </c>
      <c r="B876" s="176" t="s">
        <v>1990</v>
      </c>
      <c r="C876" s="176" t="s">
        <v>21</v>
      </c>
      <c r="D876" s="176">
        <v>24.0</v>
      </c>
      <c r="E876" s="177">
        <v>118.18</v>
      </c>
    </row>
    <row r="877">
      <c r="A877" s="1" t="s">
        <v>2975</v>
      </c>
      <c r="B877" s="176" t="s">
        <v>1991</v>
      </c>
      <c r="C877" s="176" t="s">
        <v>1287</v>
      </c>
      <c r="D877" s="176">
        <v>20.0</v>
      </c>
      <c r="E877" s="177">
        <v>49.64</v>
      </c>
    </row>
    <row r="878">
      <c r="A878" s="1" t="s">
        <v>2976</v>
      </c>
      <c r="B878" s="176" t="s">
        <v>1992</v>
      </c>
      <c r="C878" s="176" t="s">
        <v>21</v>
      </c>
      <c r="D878" s="176">
        <v>24.0</v>
      </c>
      <c r="E878" s="177">
        <v>118.0</v>
      </c>
    </row>
    <row r="879">
      <c r="A879" s="1" t="s">
        <v>2977</v>
      </c>
      <c r="B879" s="176" t="s">
        <v>1992</v>
      </c>
      <c r="C879" s="176" t="s">
        <v>1287</v>
      </c>
      <c r="D879" s="176">
        <v>20.0</v>
      </c>
      <c r="E879" s="177">
        <v>49.64</v>
      </c>
    </row>
    <row r="880">
      <c r="A880" s="1" t="s">
        <v>2978</v>
      </c>
      <c r="B880" s="176" t="s">
        <v>1994</v>
      </c>
      <c r="C880" s="176" t="s">
        <v>21</v>
      </c>
      <c r="D880" s="176">
        <v>24.0</v>
      </c>
      <c r="E880" s="177">
        <v>118.18</v>
      </c>
    </row>
    <row r="881">
      <c r="A881" s="1" t="s">
        <v>2979</v>
      </c>
      <c r="B881" s="176" t="s">
        <v>1996</v>
      </c>
      <c r="C881" s="176" t="s">
        <v>21</v>
      </c>
      <c r="D881" s="176">
        <v>24.0</v>
      </c>
      <c r="E881" s="177">
        <v>118.0</v>
      </c>
    </row>
    <row r="882">
      <c r="A882" s="1" t="s">
        <v>2980</v>
      </c>
      <c r="B882" s="176" t="s">
        <v>1998</v>
      </c>
      <c r="C882" s="176" t="s">
        <v>21</v>
      </c>
      <c r="D882" s="176">
        <v>150.0</v>
      </c>
      <c r="E882" s="177">
        <v>119.0</v>
      </c>
    </row>
    <row r="883">
      <c r="A883" s="1" t="s">
        <v>2981</v>
      </c>
      <c r="B883" s="176" t="s">
        <v>1999</v>
      </c>
      <c r="C883" s="176" t="s">
        <v>21</v>
      </c>
      <c r="D883" s="176">
        <v>168.0</v>
      </c>
      <c r="E883" s="177">
        <v>105.0</v>
      </c>
    </row>
    <row r="884">
      <c r="A884" s="1" t="s">
        <v>2982</v>
      </c>
      <c r="B884" s="176" t="s">
        <v>1999</v>
      </c>
      <c r="C884" s="176" t="s">
        <v>1287</v>
      </c>
      <c r="D884" s="176">
        <v>840.0</v>
      </c>
      <c r="E884" s="177">
        <v>43.0</v>
      </c>
    </row>
    <row r="885">
      <c r="A885" s="1" t="s">
        <v>2983</v>
      </c>
      <c r="B885" s="176" t="s">
        <v>2001</v>
      </c>
      <c r="C885" s="176" t="s">
        <v>21</v>
      </c>
      <c r="D885" s="176">
        <v>24.0</v>
      </c>
      <c r="E885" s="177">
        <v>118.0</v>
      </c>
    </row>
    <row r="886">
      <c r="A886" s="1" t="s">
        <v>2984</v>
      </c>
      <c r="B886" s="176" t="s">
        <v>2002</v>
      </c>
      <c r="C886" s="176" t="s">
        <v>21</v>
      </c>
      <c r="D886" s="176">
        <v>24.0</v>
      </c>
      <c r="E886" s="177">
        <v>118.0</v>
      </c>
    </row>
    <row r="887">
      <c r="A887" s="1" t="s">
        <v>2985</v>
      </c>
      <c r="B887" s="176" t="s">
        <v>2002</v>
      </c>
      <c r="C887" s="176" t="s">
        <v>1287</v>
      </c>
      <c r="D887" s="176">
        <v>40.0</v>
      </c>
      <c r="E887" s="177">
        <v>49.66</v>
      </c>
    </row>
    <row r="888">
      <c r="A888" s="1" t="s">
        <v>2986</v>
      </c>
      <c r="B888" s="176" t="s">
        <v>2004</v>
      </c>
      <c r="C888" s="176" t="s">
        <v>21</v>
      </c>
      <c r="D888" s="176">
        <v>96.0</v>
      </c>
      <c r="E888" s="177">
        <v>118.0</v>
      </c>
    </row>
    <row r="889">
      <c r="A889" s="1" t="s">
        <v>2987</v>
      </c>
      <c r="B889" s="176" t="s">
        <v>2004</v>
      </c>
      <c r="C889" s="176" t="s">
        <v>1287</v>
      </c>
      <c r="D889" s="176">
        <v>40.0</v>
      </c>
      <c r="E889" s="177">
        <v>0.0</v>
      </c>
    </row>
    <row r="890">
      <c r="A890" s="1" t="s">
        <v>2988</v>
      </c>
      <c r="B890" s="176" t="s">
        <v>2006</v>
      </c>
      <c r="C890" s="176" t="s">
        <v>21</v>
      </c>
      <c r="D890" s="176">
        <v>48.0</v>
      </c>
      <c r="E890" s="177">
        <v>118.0</v>
      </c>
    </row>
    <row r="891">
      <c r="A891" s="1" t="s">
        <v>2989</v>
      </c>
      <c r="B891" s="176" t="s">
        <v>2007</v>
      </c>
      <c r="C891" s="176" t="s">
        <v>21</v>
      </c>
      <c r="D891" s="176">
        <v>48.0</v>
      </c>
      <c r="E891" s="177">
        <v>118.0</v>
      </c>
    </row>
    <row r="892">
      <c r="A892" s="1" t="s">
        <v>2990</v>
      </c>
      <c r="B892" s="176" t="s">
        <v>2008</v>
      </c>
      <c r="C892" s="176" t="s">
        <v>21</v>
      </c>
      <c r="D892" s="176">
        <v>24.0</v>
      </c>
      <c r="E892" s="177">
        <v>118.0</v>
      </c>
    </row>
    <row r="893">
      <c r="A893" s="1" t="s">
        <v>2991</v>
      </c>
      <c r="B893" s="176" t="s">
        <v>2008</v>
      </c>
      <c r="C893" s="176" t="s">
        <v>1287</v>
      </c>
      <c r="D893" s="176">
        <v>40.0</v>
      </c>
      <c r="E893" s="177">
        <v>49.64</v>
      </c>
    </row>
    <row r="894">
      <c r="A894" s="1" t="s">
        <v>2992</v>
      </c>
      <c r="B894" s="176" t="s">
        <v>2010</v>
      </c>
      <c r="C894" s="176" t="s">
        <v>21</v>
      </c>
      <c r="D894" s="176">
        <v>24.0</v>
      </c>
      <c r="E894" s="177">
        <v>118.0</v>
      </c>
    </row>
    <row r="895">
      <c r="A895" s="1" t="s">
        <v>2993</v>
      </c>
      <c r="B895" s="176" t="s">
        <v>2010</v>
      </c>
      <c r="C895" s="176" t="s">
        <v>1287</v>
      </c>
      <c r="D895" s="176">
        <v>40.0</v>
      </c>
      <c r="E895" s="177">
        <v>49.64</v>
      </c>
    </row>
    <row r="896">
      <c r="A896" s="1" t="s">
        <v>2994</v>
      </c>
      <c r="B896" s="176" t="s">
        <v>2012</v>
      </c>
      <c r="C896" s="176" t="s">
        <v>21</v>
      </c>
      <c r="D896" s="176">
        <v>48.0</v>
      </c>
      <c r="E896" s="177">
        <v>118.18</v>
      </c>
    </row>
    <row r="897">
      <c r="A897" s="1" t="s">
        <v>2995</v>
      </c>
      <c r="B897" s="176" t="s">
        <v>2013</v>
      </c>
      <c r="C897" s="176" t="s">
        <v>21</v>
      </c>
      <c r="D897" s="176">
        <v>15.0</v>
      </c>
      <c r="E897" s="177">
        <v>135.0</v>
      </c>
    </row>
    <row r="898">
      <c r="A898" s="1" t="s">
        <v>2996</v>
      </c>
      <c r="B898" s="176" t="s">
        <v>2015</v>
      </c>
      <c r="C898" s="176" t="s">
        <v>1287</v>
      </c>
      <c r="D898" s="176">
        <v>40.0</v>
      </c>
      <c r="E898" s="177">
        <v>49.66</v>
      </c>
    </row>
    <row r="899">
      <c r="A899" s="1" t="s">
        <v>2997</v>
      </c>
      <c r="B899" s="176" t="s">
        <v>2016</v>
      </c>
      <c r="C899" s="176" t="s">
        <v>21</v>
      </c>
      <c r="D899" s="176">
        <v>48.0</v>
      </c>
      <c r="E899" s="177">
        <v>118.18</v>
      </c>
    </row>
    <row r="900">
      <c r="A900" s="1" t="s">
        <v>2998</v>
      </c>
      <c r="B900" s="176" t="s">
        <v>2017</v>
      </c>
      <c r="C900" s="176"/>
      <c r="D900" s="176">
        <v>600.0</v>
      </c>
      <c r="E900" s="178">
        <v>0.0</v>
      </c>
    </row>
    <row r="901">
      <c r="A901" s="1" t="s">
        <v>2999</v>
      </c>
      <c r="B901" s="176" t="s">
        <v>2018</v>
      </c>
      <c r="C901" s="176" t="s">
        <v>21</v>
      </c>
      <c r="D901" s="176">
        <v>120.0</v>
      </c>
      <c r="E901" s="177">
        <v>110.0</v>
      </c>
    </row>
    <row r="902">
      <c r="A902" s="1" t="s">
        <v>3000</v>
      </c>
      <c r="B902" s="176" t="s">
        <v>2020</v>
      </c>
      <c r="C902" s="176" t="s">
        <v>21</v>
      </c>
      <c r="D902" s="176">
        <v>144.0</v>
      </c>
      <c r="E902" s="177">
        <v>119.0</v>
      </c>
    </row>
    <row r="903">
      <c r="A903" s="1" t="s">
        <v>3001</v>
      </c>
      <c r="B903" s="176" t="s">
        <v>2021</v>
      </c>
      <c r="C903" s="176" t="s">
        <v>21</v>
      </c>
      <c r="D903" s="176">
        <v>144.0</v>
      </c>
      <c r="E903" s="177">
        <v>118.18</v>
      </c>
    </row>
    <row r="904">
      <c r="A904" s="1" t="s">
        <v>3002</v>
      </c>
      <c r="B904" s="176" t="s">
        <v>2022</v>
      </c>
      <c r="C904" s="176" t="s">
        <v>21</v>
      </c>
      <c r="D904" s="176">
        <v>144.0</v>
      </c>
      <c r="E904" s="177">
        <v>118.0</v>
      </c>
    </row>
    <row r="905">
      <c r="A905" s="1" t="s">
        <v>3003</v>
      </c>
      <c r="B905" s="176" t="s">
        <v>2024</v>
      </c>
      <c r="C905" s="176" t="s">
        <v>21</v>
      </c>
      <c r="D905" s="176">
        <v>48.0</v>
      </c>
      <c r="E905" s="177">
        <v>118.0</v>
      </c>
    </row>
    <row r="906">
      <c r="A906" s="1" t="s">
        <v>3004</v>
      </c>
      <c r="B906" s="176" t="s">
        <v>2026</v>
      </c>
      <c r="C906" s="176" t="s">
        <v>21</v>
      </c>
      <c r="D906" s="176">
        <v>432.0</v>
      </c>
      <c r="E906" s="177">
        <v>118.0</v>
      </c>
    </row>
    <row r="907">
      <c r="A907" s="1" t="s">
        <v>3005</v>
      </c>
      <c r="B907" s="176" t="s">
        <v>2028</v>
      </c>
      <c r="C907" s="176" t="s">
        <v>21</v>
      </c>
      <c r="D907" s="176">
        <v>24.0</v>
      </c>
      <c r="E907" s="177">
        <v>120.0</v>
      </c>
    </row>
    <row r="908">
      <c r="A908" s="1" t="s">
        <v>3006</v>
      </c>
      <c r="B908" s="176" t="s">
        <v>2028</v>
      </c>
      <c r="C908" s="176" t="s">
        <v>1287</v>
      </c>
      <c r="D908" s="176">
        <v>40.0</v>
      </c>
      <c r="E908" s="177">
        <v>60.0</v>
      </c>
    </row>
    <row r="909">
      <c r="A909" s="1" t="s">
        <v>3007</v>
      </c>
      <c r="B909" s="176" t="s">
        <v>2028</v>
      </c>
      <c r="C909" s="176" t="s">
        <v>21</v>
      </c>
      <c r="D909" s="176">
        <v>96.0</v>
      </c>
      <c r="E909" s="177">
        <v>118.0</v>
      </c>
    </row>
    <row r="910">
      <c r="A910" s="1" t="s">
        <v>3008</v>
      </c>
      <c r="B910" s="176" t="s">
        <v>2028</v>
      </c>
      <c r="C910" s="176" t="s">
        <v>1287</v>
      </c>
      <c r="D910" s="176">
        <v>80.0</v>
      </c>
      <c r="E910" s="177">
        <v>49.66</v>
      </c>
    </row>
    <row r="911">
      <c r="A911" s="1" t="s">
        <v>3009</v>
      </c>
      <c r="B911" s="176" t="s">
        <v>2030</v>
      </c>
      <c r="C911" s="176" t="s">
        <v>21</v>
      </c>
      <c r="D911" s="176">
        <v>24.0</v>
      </c>
      <c r="E911" s="177">
        <v>118.0</v>
      </c>
    </row>
    <row r="912">
      <c r="A912" s="1" t="s">
        <v>3010</v>
      </c>
      <c r="B912" s="176" t="s">
        <v>2030</v>
      </c>
      <c r="C912" s="176" t="s">
        <v>1287</v>
      </c>
      <c r="D912" s="176">
        <v>40.0</v>
      </c>
      <c r="E912" s="177">
        <v>49.0</v>
      </c>
    </row>
    <row r="913">
      <c r="A913" s="1" t="s">
        <v>3011</v>
      </c>
      <c r="B913" s="176" t="s">
        <v>2032</v>
      </c>
      <c r="C913" s="176" t="s">
        <v>21</v>
      </c>
      <c r="D913" s="176">
        <v>48.0</v>
      </c>
      <c r="E913" s="177">
        <v>118.18</v>
      </c>
    </row>
    <row r="914">
      <c r="A914" s="1" t="s">
        <v>3012</v>
      </c>
      <c r="B914" s="176" t="s">
        <v>2033</v>
      </c>
      <c r="C914" s="176" t="s">
        <v>21</v>
      </c>
      <c r="D914" s="176">
        <v>48.0</v>
      </c>
      <c r="E914" s="177">
        <v>118.0</v>
      </c>
    </row>
    <row r="915">
      <c r="A915" s="1" t="s">
        <v>3013</v>
      </c>
      <c r="B915" s="176" t="s">
        <v>2034</v>
      </c>
      <c r="C915" s="176" t="s">
        <v>21</v>
      </c>
      <c r="D915" s="176">
        <v>48.0</v>
      </c>
      <c r="E915" s="177">
        <v>118.0</v>
      </c>
    </row>
    <row r="916">
      <c r="A916" s="1" t="s">
        <v>3014</v>
      </c>
      <c r="B916" s="176" t="s">
        <v>2035</v>
      </c>
      <c r="C916" s="176" t="s">
        <v>21</v>
      </c>
      <c r="D916" s="176">
        <v>48.0</v>
      </c>
      <c r="E916" s="177">
        <v>118.0</v>
      </c>
    </row>
    <row r="917">
      <c r="A917" s="1" t="s">
        <v>3015</v>
      </c>
      <c r="B917" s="176" t="s">
        <v>2037</v>
      </c>
      <c r="C917" s="176" t="s">
        <v>21</v>
      </c>
      <c r="D917" s="176">
        <v>24.0</v>
      </c>
      <c r="E917" s="177">
        <v>118.18</v>
      </c>
    </row>
    <row r="918">
      <c r="A918" s="1" t="s">
        <v>3016</v>
      </c>
      <c r="B918" s="176" t="s">
        <v>2038</v>
      </c>
      <c r="C918" s="176" t="s">
        <v>21</v>
      </c>
      <c r="D918" s="176">
        <v>24.0</v>
      </c>
      <c r="E918" s="177">
        <v>118.18</v>
      </c>
    </row>
    <row r="919">
      <c r="A919" s="1" t="s">
        <v>3017</v>
      </c>
      <c r="B919" s="176" t="s">
        <v>2038</v>
      </c>
      <c r="C919" s="176" t="s">
        <v>1287</v>
      </c>
      <c r="D919" s="176">
        <v>20.0</v>
      </c>
      <c r="E919" s="177">
        <v>49.64</v>
      </c>
    </row>
    <row r="920">
      <c r="A920" s="1" t="s">
        <v>3018</v>
      </c>
      <c r="B920" s="176" t="s">
        <v>2039</v>
      </c>
      <c r="C920" s="176" t="s">
        <v>21</v>
      </c>
      <c r="D920" s="176">
        <v>48.0</v>
      </c>
      <c r="E920" s="177">
        <v>118.0</v>
      </c>
    </row>
    <row r="921">
      <c r="A921" s="1" t="s">
        <v>3019</v>
      </c>
      <c r="B921" s="176" t="s">
        <v>2039</v>
      </c>
      <c r="C921" s="176" t="s">
        <v>1287</v>
      </c>
      <c r="D921" s="176">
        <v>280.0</v>
      </c>
      <c r="E921" s="177">
        <v>43.0</v>
      </c>
    </row>
    <row r="922">
      <c r="A922" s="1" t="s">
        <v>3020</v>
      </c>
      <c r="B922" s="176" t="s">
        <v>2040</v>
      </c>
      <c r="C922" s="176" t="s">
        <v>21</v>
      </c>
      <c r="D922" s="176">
        <v>96.0</v>
      </c>
      <c r="E922" s="177">
        <v>118.18</v>
      </c>
    </row>
    <row r="923">
      <c r="A923" s="1" t="s">
        <v>3021</v>
      </c>
      <c r="B923" s="176" t="s">
        <v>2040</v>
      </c>
      <c r="C923" s="176" t="s">
        <v>1287</v>
      </c>
      <c r="D923" s="176">
        <v>40.0</v>
      </c>
      <c r="E923" s="177">
        <v>0.0</v>
      </c>
    </row>
    <row r="924">
      <c r="A924" s="1" t="s">
        <v>3022</v>
      </c>
      <c r="B924" s="176" t="s">
        <v>2042</v>
      </c>
      <c r="C924" s="176" t="s">
        <v>21</v>
      </c>
      <c r="D924" s="176">
        <v>480.0</v>
      </c>
      <c r="E924" s="177">
        <v>100.0</v>
      </c>
    </row>
    <row r="925">
      <c r="A925" s="1" t="s">
        <v>3023</v>
      </c>
      <c r="B925" s="176" t="s">
        <v>2042</v>
      </c>
      <c r="C925" s="176" t="s">
        <v>1287</v>
      </c>
      <c r="D925" s="176">
        <v>800.0</v>
      </c>
      <c r="E925" s="177">
        <v>45.0</v>
      </c>
    </row>
    <row r="926">
      <c r="A926" s="1" t="s">
        <v>3024</v>
      </c>
      <c r="B926" s="176" t="s">
        <v>2042</v>
      </c>
      <c r="C926" s="176" t="s">
        <v>1287</v>
      </c>
      <c r="D926" s="176">
        <v>200.0</v>
      </c>
      <c r="E926" s="177">
        <v>0.0</v>
      </c>
    </row>
    <row r="927">
      <c r="A927" s="1" t="s">
        <v>3025</v>
      </c>
      <c r="B927" s="176" t="s">
        <v>2044</v>
      </c>
      <c r="C927" s="176" t="s">
        <v>21</v>
      </c>
      <c r="D927" s="176">
        <v>720.0</v>
      </c>
      <c r="E927" s="177">
        <v>95.0</v>
      </c>
    </row>
    <row r="928">
      <c r="A928" s="1" t="s">
        <v>3026</v>
      </c>
      <c r="B928" s="176" t="s">
        <v>2044</v>
      </c>
      <c r="C928" s="176" t="s">
        <v>1287</v>
      </c>
      <c r="D928" s="176">
        <v>400.0</v>
      </c>
      <c r="E928" s="177">
        <v>40.0</v>
      </c>
    </row>
    <row r="929">
      <c r="A929" s="1" t="s">
        <v>3027</v>
      </c>
      <c r="B929" s="176" t="s">
        <v>2046</v>
      </c>
      <c r="C929" s="176" t="s">
        <v>21</v>
      </c>
      <c r="D929" s="176">
        <v>480.0</v>
      </c>
      <c r="E929" s="177">
        <v>105.0</v>
      </c>
    </row>
    <row r="930">
      <c r="A930" s="1" t="s">
        <v>3028</v>
      </c>
      <c r="B930" s="176" t="s">
        <v>2046</v>
      </c>
      <c r="C930" s="176" t="s">
        <v>1287</v>
      </c>
      <c r="D930" s="176">
        <v>800.0</v>
      </c>
      <c r="E930" s="177">
        <v>45.0</v>
      </c>
    </row>
    <row r="931">
      <c r="A931" s="1" t="s">
        <v>3029</v>
      </c>
      <c r="B931" s="176" t="s">
        <v>2048</v>
      </c>
      <c r="C931" s="176" t="s">
        <v>21</v>
      </c>
      <c r="D931" s="176">
        <v>240.0</v>
      </c>
      <c r="E931" s="177">
        <v>110.0</v>
      </c>
    </row>
    <row r="932">
      <c r="A932" s="1" t="s">
        <v>3030</v>
      </c>
      <c r="B932" s="176" t="s">
        <v>2048</v>
      </c>
      <c r="C932" s="176" t="s">
        <v>1287</v>
      </c>
      <c r="D932" s="176">
        <v>200.0</v>
      </c>
      <c r="E932" s="177">
        <v>45.0</v>
      </c>
    </row>
    <row r="933">
      <c r="A933" s="1" t="s">
        <v>3031</v>
      </c>
      <c r="B933" s="176" t="s">
        <v>2050</v>
      </c>
      <c r="C933" s="176" t="s">
        <v>21</v>
      </c>
      <c r="D933" s="176">
        <v>24.0</v>
      </c>
      <c r="E933" s="177">
        <v>115.0</v>
      </c>
    </row>
    <row r="934">
      <c r="A934" s="1" t="s">
        <v>3032</v>
      </c>
      <c r="B934" s="176" t="s">
        <v>2051</v>
      </c>
      <c r="C934" s="176" t="s">
        <v>21</v>
      </c>
      <c r="D934" s="176">
        <v>288.0</v>
      </c>
      <c r="E934" s="177">
        <v>110.0</v>
      </c>
    </row>
    <row r="935">
      <c r="A935" s="1" t="s">
        <v>3033</v>
      </c>
      <c r="B935" s="176" t="s">
        <v>2052</v>
      </c>
      <c r="C935" s="176" t="s">
        <v>21</v>
      </c>
      <c r="D935" s="176">
        <v>24.0</v>
      </c>
      <c r="E935" s="177">
        <v>119.0</v>
      </c>
    </row>
    <row r="936">
      <c r="A936" s="1" t="s">
        <v>3034</v>
      </c>
      <c r="B936" s="176" t="s">
        <v>2053</v>
      </c>
      <c r="C936" s="176" t="s">
        <v>21</v>
      </c>
      <c r="D936" s="176">
        <v>96.0</v>
      </c>
      <c r="E936" s="177">
        <v>118.0</v>
      </c>
    </row>
    <row r="937">
      <c r="A937" s="1" t="s">
        <v>3035</v>
      </c>
      <c r="B937" s="176" t="s">
        <v>2055</v>
      </c>
      <c r="C937" s="176" t="s">
        <v>21</v>
      </c>
      <c r="D937" s="176">
        <v>24.0</v>
      </c>
      <c r="E937" s="177">
        <v>119.0</v>
      </c>
    </row>
    <row r="938">
      <c r="A938" s="1" t="s">
        <v>3036</v>
      </c>
      <c r="B938" s="176" t="s">
        <v>2056</v>
      </c>
      <c r="C938" s="176" t="s">
        <v>21</v>
      </c>
      <c r="D938" s="176">
        <v>24.0</v>
      </c>
      <c r="E938" s="177">
        <v>115.0</v>
      </c>
    </row>
    <row r="939">
      <c r="A939" s="1" t="s">
        <v>3037</v>
      </c>
      <c r="B939" s="176" t="s">
        <v>2057</v>
      </c>
      <c r="C939" s="176" t="s">
        <v>21</v>
      </c>
      <c r="D939" s="176">
        <v>24.0</v>
      </c>
      <c r="E939" s="177">
        <v>125.0</v>
      </c>
    </row>
    <row r="940">
      <c r="A940" s="1" t="s">
        <v>3038</v>
      </c>
      <c r="B940" s="176" t="s">
        <v>2059</v>
      </c>
      <c r="C940" s="176" t="s">
        <v>1287</v>
      </c>
      <c r="D940" s="176">
        <v>40.0</v>
      </c>
      <c r="E940" s="177">
        <v>50.0</v>
      </c>
    </row>
    <row r="941">
      <c r="A941" s="1" t="s">
        <v>3039</v>
      </c>
      <c r="B941" s="176" t="s">
        <v>2061</v>
      </c>
      <c r="C941" s="176" t="s">
        <v>21</v>
      </c>
      <c r="D941" s="176">
        <v>24.0</v>
      </c>
      <c r="E941" s="177">
        <v>120.0</v>
      </c>
    </row>
    <row r="942">
      <c r="A942" s="1" t="s">
        <v>3040</v>
      </c>
      <c r="B942" s="176" t="s">
        <v>2061</v>
      </c>
      <c r="C942" s="176" t="s">
        <v>1287</v>
      </c>
      <c r="D942" s="176">
        <v>40.0</v>
      </c>
      <c r="E942" s="177">
        <v>50.0</v>
      </c>
    </row>
    <row r="943">
      <c r="A943" s="1" t="s">
        <v>3041</v>
      </c>
      <c r="B943" s="176" t="s">
        <v>2063</v>
      </c>
      <c r="C943" s="176" t="s">
        <v>21</v>
      </c>
      <c r="D943" s="176">
        <v>24.0</v>
      </c>
      <c r="E943" s="177">
        <v>120.0</v>
      </c>
    </row>
    <row r="944">
      <c r="A944" s="1" t="s">
        <v>3042</v>
      </c>
      <c r="B944" s="176" t="s">
        <v>2063</v>
      </c>
      <c r="C944" s="176" t="s">
        <v>1287</v>
      </c>
      <c r="D944" s="176">
        <v>40.0</v>
      </c>
      <c r="E944" s="177">
        <v>50.0</v>
      </c>
    </row>
    <row r="945">
      <c r="A945" s="1" t="s">
        <v>3043</v>
      </c>
      <c r="B945" s="176" t="s">
        <v>2065</v>
      </c>
      <c r="C945" s="176" t="s">
        <v>21</v>
      </c>
      <c r="D945" s="176">
        <v>24.0</v>
      </c>
      <c r="E945" s="177">
        <v>120.0</v>
      </c>
    </row>
    <row r="946">
      <c r="A946" s="1" t="s">
        <v>3044</v>
      </c>
      <c r="B946" s="176" t="s">
        <v>2065</v>
      </c>
      <c r="C946" s="176" t="s">
        <v>1287</v>
      </c>
      <c r="D946" s="176">
        <v>40.0</v>
      </c>
      <c r="E946" s="177">
        <v>50.0</v>
      </c>
    </row>
    <row r="947">
      <c r="A947" s="1" t="s">
        <v>3045</v>
      </c>
      <c r="B947" s="176" t="s">
        <v>2067</v>
      </c>
      <c r="C947" s="176" t="s">
        <v>21</v>
      </c>
      <c r="D947" s="176">
        <v>120.0</v>
      </c>
      <c r="E947" s="177">
        <v>110.0</v>
      </c>
    </row>
    <row r="948">
      <c r="A948" s="1" t="s">
        <v>3046</v>
      </c>
      <c r="B948" s="176" t="s">
        <v>2067</v>
      </c>
      <c r="C948" s="176" t="s">
        <v>1287</v>
      </c>
      <c r="D948" s="176">
        <v>200.0</v>
      </c>
      <c r="E948" s="177">
        <v>50.0</v>
      </c>
    </row>
    <row r="949">
      <c r="A949" s="1" t="s">
        <v>3047</v>
      </c>
      <c r="B949" s="176" t="s">
        <v>2069</v>
      </c>
      <c r="C949" s="176" t="s">
        <v>1287</v>
      </c>
      <c r="D949" s="176">
        <v>40.0</v>
      </c>
      <c r="E949" s="177">
        <v>60.0</v>
      </c>
    </row>
    <row r="950">
      <c r="A950" s="1" t="s">
        <v>3048</v>
      </c>
      <c r="B950" s="176" t="s">
        <v>2071</v>
      </c>
      <c r="C950" s="176" t="s">
        <v>21</v>
      </c>
      <c r="D950" s="176">
        <v>24.0</v>
      </c>
      <c r="E950" s="177">
        <v>118.0</v>
      </c>
    </row>
    <row r="951">
      <c r="A951" s="1" t="s">
        <v>3049</v>
      </c>
      <c r="B951" s="176" t="s">
        <v>2073</v>
      </c>
      <c r="C951" s="176" t="s">
        <v>21</v>
      </c>
      <c r="D951" s="176">
        <v>96.0</v>
      </c>
      <c r="E951" s="177">
        <v>118.0</v>
      </c>
    </row>
    <row r="952">
      <c r="A952" s="1" t="s">
        <v>3050</v>
      </c>
      <c r="B952" s="176" t="s">
        <v>2073</v>
      </c>
      <c r="C952" s="176" t="s">
        <v>1287</v>
      </c>
      <c r="D952" s="176">
        <v>80.0</v>
      </c>
      <c r="E952" s="177">
        <v>49.66</v>
      </c>
    </row>
    <row r="953">
      <c r="A953" s="1" t="s">
        <v>3051</v>
      </c>
      <c r="B953" s="176" t="s">
        <v>2074</v>
      </c>
      <c r="C953" s="176" t="s">
        <v>1287</v>
      </c>
      <c r="D953" s="176">
        <v>320.0</v>
      </c>
      <c r="E953" s="177">
        <v>45.0</v>
      </c>
    </row>
    <row r="954">
      <c r="A954" s="1" t="s">
        <v>3052</v>
      </c>
      <c r="B954" s="176" t="s">
        <v>2076</v>
      </c>
      <c r="C954" s="1" t="s">
        <v>21</v>
      </c>
      <c r="D954" s="176">
        <v>480.0</v>
      </c>
      <c r="E954" s="177">
        <v>100.0</v>
      </c>
    </row>
    <row r="955">
      <c r="A955" s="1" t="s">
        <v>3053</v>
      </c>
      <c r="B955" s="176" t="s">
        <v>2030</v>
      </c>
      <c r="C955" s="176" t="s">
        <v>1287</v>
      </c>
      <c r="D955" s="176">
        <v>20.0</v>
      </c>
      <c r="E955" s="177">
        <v>47.0</v>
      </c>
    </row>
    <row r="956">
      <c r="A956" s="1" t="s">
        <v>3054</v>
      </c>
      <c r="B956" s="176" t="s">
        <v>2013</v>
      </c>
      <c r="C956" s="176" t="s">
        <v>1287</v>
      </c>
      <c r="D956" s="176">
        <v>20.0</v>
      </c>
      <c r="E956" s="177">
        <v>47.0</v>
      </c>
    </row>
    <row r="957">
      <c r="A957" s="1" t="s">
        <v>3055</v>
      </c>
      <c r="B957" s="176" t="s">
        <v>2078</v>
      </c>
      <c r="C957" s="176" t="s">
        <v>21</v>
      </c>
      <c r="D957" s="176">
        <v>48.0</v>
      </c>
      <c r="E957" s="177">
        <v>118.0</v>
      </c>
    </row>
    <row r="958">
      <c r="A958" s="1" t="s">
        <v>3056</v>
      </c>
      <c r="B958" s="176" t="s">
        <v>2078</v>
      </c>
      <c r="C958" s="176" t="s">
        <v>1287</v>
      </c>
      <c r="D958" s="176">
        <v>24.0</v>
      </c>
      <c r="E958" s="178">
        <v>0.0</v>
      </c>
    </row>
    <row r="959">
      <c r="A959" s="1" t="s">
        <v>3057</v>
      </c>
      <c r="B959" s="176" t="s">
        <v>2079</v>
      </c>
      <c r="C959" s="176" t="s">
        <v>21</v>
      </c>
      <c r="D959" s="176">
        <v>144.0</v>
      </c>
      <c r="E959" s="177">
        <v>118.0</v>
      </c>
    </row>
    <row r="960">
      <c r="A960" s="1" t="s">
        <v>3058</v>
      </c>
      <c r="B960" s="176" t="s">
        <v>2081</v>
      </c>
      <c r="C960" s="176" t="s">
        <v>21</v>
      </c>
      <c r="D960" s="176">
        <v>48.0</v>
      </c>
      <c r="E960" s="177">
        <v>128.25</v>
      </c>
    </row>
    <row r="961">
      <c r="A961" s="1" t="s">
        <v>3059</v>
      </c>
      <c r="B961" s="176" t="s">
        <v>2082</v>
      </c>
      <c r="C961" s="176" t="s">
        <v>21</v>
      </c>
      <c r="D961" s="176">
        <v>264.0</v>
      </c>
      <c r="E961" s="177">
        <v>118.18</v>
      </c>
    </row>
    <row r="962">
      <c r="A962" s="1" t="s">
        <v>3060</v>
      </c>
      <c r="B962" s="176" t="s">
        <v>2083</v>
      </c>
      <c r="C962" s="176" t="s">
        <v>21</v>
      </c>
      <c r="D962" s="176">
        <v>264.0</v>
      </c>
      <c r="E962" s="177">
        <v>100.0</v>
      </c>
    </row>
    <row r="963">
      <c r="A963" s="1" t="s">
        <v>3061</v>
      </c>
      <c r="B963" s="176" t="s">
        <v>2083</v>
      </c>
      <c r="C963" s="176" t="s">
        <v>1287</v>
      </c>
      <c r="D963" s="176">
        <v>640.0</v>
      </c>
      <c r="E963" s="177">
        <v>40.0</v>
      </c>
    </row>
    <row r="964">
      <c r="A964" s="1" t="s">
        <v>3062</v>
      </c>
      <c r="B964" s="176" t="s">
        <v>2085</v>
      </c>
      <c r="C964" s="176" t="s">
        <v>1287</v>
      </c>
      <c r="D964" s="176">
        <v>40.0</v>
      </c>
      <c r="E964" s="177">
        <v>49.66</v>
      </c>
    </row>
    <row r="965">
      <c r="A965" s="1" t="s">
        <v>3063</v>
      </c>
      <c r="B965" s="176" t="s">
        <v>2086</v>
      </c>
      <c r="C965" s="176" t="s">
        <v>1287</v>
      </c>
      <c r="D965" s="176">
        <v>40.0</v>
      </c>
      <c r="E965" s="177">
        <v>49.66</v>
      </c>
    </row>
    <row r="966">
      <c r="A966" s="1" t="s">
        <v>3064</v>
      </c>
      <c r="B966" s="176" t="s">
        <v>2087</v>
      </c>
      <c r="C966" s="176" t="s">
        <v>1287</v>
      </c>
      <c r="D966" s="176">
        <v>24.0</v>
      </c>
      <c r="E966" s="177">
        <v>135.0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7.63"/>
    <col customWidth="1" min="3" max="3" width="16.88"/>
    <col customWidth="1" min="4" max="5" width="12.63"/>
  </cols>
  <sheetData>
    <row r="1" ht="15.75" customHeight="1">
      <c r="A1" s="179" t="s">
        <v>3065</v>
      </c>
      <c r="B1" s="96" t="s">
        <v>3066</v>
      </c>
      <c r="C1" s="179" t="s">
        <v>3067</v>
      </c>
      <c r="D1" s="1" t="s">
        <v>3068</v>
      </c>
      <c r="E1" s="1" t="s">
        <v>3069</v>
      </c>
      <c r="F1" s="1" t="s">
        <v>17</v>
      </c>
      <c r="G1" s="1" t="s">
        <v>13</v>
      </c>
      <c r="H1" s="1" t="s">
        <v>3070</v>
      </c>
    </row>
    <row r="2" ht="15.75" customHeight="1">
      <c r="A2" s="180"/>
      <c r="B2" s="180">
        <v>45689.0</v>
      </c>
      <c r="C2" s="96" t="s">
        <v>3071</v>
      </c>
      <c r="D2" s="1" t="s">
        <v>3072</v>
      </c>
      <c r="E2" s="1" t="b">
        <v>0</v>
      </c>
      <c r="F2" s="1" t="b">
        <v>0</v>
      </c>
      <c r="H2" s="1" t="s">
        <v>3073</v>
      </c>
    </row>
    <row r="3" ht="15.75" customHeight="1">
      <c r="A3" s="180"/>
      <c r="B3" s="180">
        <v>45809.0</v>
      </c>
      <c r="C3" s="96" t="s">
        <v>3074</v>
      </c>
      <c r="D3" s="1" t="s">
        <v>3072</v>
      </c>
      <c r="E3" s="1" t="b">
        <v>0</v>
      </c>
      <c r="F3" s="1" t="b">
        <v>0</v>
      </c>
      <c r="H3" s="1" t="s">
        <v>3075</v>
      </c>
    </row>
    <row r="4" ht="15.75" customHeight="1">
      <c r="A4" s="180"/>
      <c r="B4" s="180">
        <v>45939.0</v>
      </c>
      <c r="C4" s="96" t="s">
        <v>3071</v>
      </c>
      <c r="D4" s="1" t="s">
        <v>3072</v>
      </c>
      <c r="E4" s="1" t="b">
        <v>0</v>
      </c>
      <c r="F4" s="1" t="b">
        <v>0</v>
      </c>
      <c r="H4" s="1" t="s">
        <v>3076</v>
      </c>
    </row>
    <row r="5" ht="15.75" customHeight="1">
      <c r="A5" s="180"/>
      <c r="B5" s="180">
        <v>45939.0</v>
      </c>
      <c r="C5" s="96" t="s">
        <v>3071</v>
      </c>
      <c r="D5" s="1" t="s">
        <v>3072</v>
      </c>
      <c r="E5" s="1" t="b">
        <v>0</v>
      </c>
      <c r="F5" s="1" t="b">
        <v>0</v>
      </c>
      <c r="H5" s="1" t="s">
        <v>3077</v>
      </c>
    </row>
    <row r="6" ht="15.75" customHeight="1">
      <c r="A6" s="180"/>
      <c r="B6" s="180">
        <v>45939.0</v>
      </c>
      <c r="C6" s="96" t="s">
        <v>3074</v>
      </c>
      <c r="D6" s="1" t="s">
        <v>3072</v>
      </c>
      <c r="E6" s="1" t="b">
        <v>0</v>
      </c>
      <c r="F6" s="1" t="b">
        <v>0</v>
      </c>
      <c r="H6" s="1" t="s">
        <v>3078</v>
      </c>
    </row>
    <row r="7" ht="15.75" customHeight="1">
      <c r="A7" s="180"/>
      <c r="B7" s="180">
        <v>45939.0</v>
      </c>
      <c r="C7" s="96" t="s">
        <v>3074</v>
      </c>
      <c r="D7" s="1" t="s">
        <v>3072</v>
      </c>
      <c r="E7" s="1" t="b">
        <v>0</v>
      </c>
      <c r="F7" s="1" t="b">
        <v>0</v>
      </c>
      <c r="H7" s="1" t="s">
        <v>3079</v>
      </c>
    </row>
    <row r="8" ht="15.75" customHeight="1">
      <c r="A8" s="180"/>
      <c r="B8" s="180">
        <v>45960.0</v>
      </c>
      <c r="C8" s="96" t="s">
        <v>3074</v>
      </c>
      <c r="D8" s="1" t="s">
        <v>3072</v>
      </c>
      <c r="E8" s="1" t="b">
        <v>0</v>
      </c>
      <c r="F8" s="1" t="b">
        <v>0</v>
      </c>
      <c r="H8" s="1" t="s">
        <v>3080</v>
      </c>
    </row>
    <row r="9" ht="15.75" customHeight="1">
      <c r="A9" s="180"/>
      <c r="B9" s="180">
        <v>45960.0</v>
      </c>
      <c r="C9" s="96" t="s">
        <v>3074</v>
      </c>
      <c r="D9" s="1" t="s">
        <v>3072</v>
      </c>
      <c r="E9" s="1" t="b">
        <v>0</v>
      </c>
      <c r="F9" s="1" t="b">
        <v>0</v>
      </c>
      <c r="H9" s="1" t="s">
        <v>3081</v>
      </c>
    </row>
    <row r="10" ht="15.75" customHeight="1">
      <c r="A10" s="180"/>
      <c r="B10" s="180">
        <v>45989.0</v>
      </c>
      <c r="C10" s="96" t="s">
        <v>3071</v>
      </c>
      <c r="D10" s="1" t="s">
        <v>3072</v>
      </c>
      <c r="E10" s="1" t="b">
        <v>0</v>
      </c>
      <c r="F10" s="1" t="b">
        <v>0</v>
      </c>
      <c r="H10" s="1" t="s">
        <v>3082</v>
      </c>
    </row>
    <row r="11" ht="15.75" customHeight="1">
      <c r="A11" s="180"/>
      <c r="B11" s="180"/>
      <c r="C11" s="96"/>
    </row>
    <row r="12" ht="15.75" customHeight="1">
      <c r="A12" s="180"/>
      <c r="B12" s="180"/>
      <c r="C12" s="96"/>
    </row>
    <row r="13" ht="15.75" customHeight="1">
      <c r="C13" s="96"/>
    </row>
    <row r="14" ht="15.75" customHeight="1">
      <c r="C14" s="96"/>
    </row>
    <row r="15" ht="15.75" customHeight="1">
      <c r="C15" s="96"/>
    </row>
    <row r="16" ht="15.75" customHeight="1">
      <c r="C16" s="96"/>
    </row>
    <row r="17" ht="15.75" customHeight="1">
      <c r="C17" s="96"/>
    </row>
    <row r="18" ht="15.75" customHeight="1">
      <c r="C18" s="96"/>
    </row>
    <row r="19" ht="15.75" customHeight="1">
      <c r="C19" s="96"/>
    </row>
    <row r="20" ht="15.75" customHeight="1">
      <c r="C20" s="96"/>
    </row>
    <row r="21" ht="15.75" customHeight="1">
      <c r="C21" s="96"/>
    </row>
    <row r="22" ht="15.75" customHeight="1">
      <c r="C22" s="96"/>
    </row>
    <row r="23" ht="15.75" customHeight="1">
      <c r="C23" s="96"/>
    </row>
    <row r="24" ht="15.75" customHeight="1">
      <c r="C24" s="96"/>
    </row>
    <row r="25" ht="15.75" customHeight="1">
      <c r="C25" s="96"/>
    </row>
    <row r="26" ht="15.75" customHeight="1">
      <c r="C26" s="96"/>
    </row>
    <row r="27" ht="15.75" customHeight="1">
      <c r="C27" s="96"/>
    </row>
    <row r="28" ht="15.75" customHeight="1">
      <c r="C28" s="96"/>
    </row>
    <row r="29" ht="15.75" customHeight="1">
      <c r="C29" s="96"/>
    </row>
    <row r="30" ht="15.75" customHeight="1">
      <c r="C30" s="96"/>
    </row>
    <row r="31" ht="15.75" customHeight="1">
      <c r="C31" s="96"/>
    </row>
    <row r="32" ht="15.75" customHeight="1">
      <c r="C32" s="96"/>
    </row>
    <row r="33" ht="15.75" customHeight="1">
      <c r="C33" s="96"/>
    </row>
    <row r="34" ht="15.75" customHeight="1">
      <c r="C34" s="96"/>
    </row>
    <row r="35" ht="15.75" customHeight="1">
      <c r="C35" s="96"/>
    </row>
    <row r="36" ht="15.75" customHeight="1">
      <c r="C36" s="96"/>
    </row>
    <row r="37" ht="15.75" customHeight="1">
      <c r="C37" s="96"/>
    </row>
    <row r="38" ht="15.75" customHeight="1">
      <c r="C38" s="96"/>
    </row>
    <row r="39" ht="15.75" customHeight="1">
      <c r="C39" s="96"/>
    </row>
    <row r="40" ht="15.75" customHeight="1">
      <c r="C40" s="96"/>
    </row>
    <row r="41" ht="15.75" customHeight="1">
      <c r="C41" s="96"/>
    </row>
    <row r="42" ht="15.75" customHeight="1">
      <c r="C42" s="96"/>
    </row>
    <row r="43" ht="15.75" customHeight="1">
      <c r="C43" s="96"/>
    </row>
    <row r="44" ht="15.75" customHeight="1">
      <c r="C44" s="96"/>
    </row>
    <row r="45" ht="15.75" customHeight="1">
      <c r="C45" s="96"/>
    </row>
    <row r="46" ht="15.75" customHeight="1">
      <c r="C46" s="96"/>
    </row>
    <row r="47" ht="15.75" customHeight="1">
      <c r="C47" s="96"/>
    </row>
    <row r="48" ht="15.75" customHeight="1">
      <c r="C48" s="96"/>
    </row>
    <row r="49" ht="15.75" customHeight="1">
      <c r="C49" s="96"/>
    </row>
    <row r="50" ht="15.75" customHeight="1">
      <c r="C50" s="96"/>
    </row>
    <row r="51" ht="15.75" customHeight="1">
      <c r="C51" s="96"/>
    </row>
    <row r="52" ht="15.75" customHeight="1">
      <c r="C52" s="96"/>
    </row>
    <row r="53" ht="15.75" customHeight="1">
      <c r="C53" s="96"/>
    </row>
    <row r="54" ht="15.75" customHeight="1">
      <c r="C54" s="96"/>
    </row>
    <row r="55" ht="15.75" customHeight="1">
      <c r="C55" s="96"/>
    </row>
    <row r="56" ht="15.75" customHeight="1">
      <c r="C56" s="96"/>
    </row>
    <row r="57" ht="15.75" customHeight="1">
      <c r="C57" s="96"/>
    </row>
    <row r="58" ht="15.75" customHeight="1">
      <c r="C58" s="96"/>
    </row>
    <row r="59" ht="15.75" customHeight="1">
      <c r="C59" s="96"/>
    </row>
    <row r="60" ht="15.75" customHeight="1">
      <c r="C60" s="96"/>
    </row>
    <row r="61" ht="15.75" customHeight="1">
      <c r="C61" s="96"/>
    </row>
    <row r="62" ht="15.75" customHeight="1">
      <c r="C62" s="96"/>
    </row>
    <row r="63" ht="15.75" customHeight="1">
      <c r="C63" s="96"/>
    </row>
    <row r="64" ht="15.75" customHeight="1">
      <c r="C64" s="96"/>
    </row>
    <row r="65" ht="15.75" customHeight="1">
      <c r="C65" s="96"/>
    </row>
    <row r="66" ht="15.75" customHeight="1">
      <c r="C66" s="96"/>
    </row>
    <row r="67" ht="15.75" customHeight="1">
      <c r="C67" s="96"/>
    </row>
    <row r="68" ht="15.75" customHeight="1">
      <c r="C68" s="96"/>
    </row>
    <row r="69" ht="15.75" customHeight="1">
      <c r="C69" s="96"/>
    </row>
    <row r="70" ht="15.75" customHeight="1">
      <c r="C70" s="96"/>
    </row>
    <row r="71" ht="15.75" customHeight="1">
      <c r="C71" s="96"/>
    </row>
    <row r="72" ht="15.75" customHeight="1">
      <c r="C72" s="96"/>
    </row>
    <row r="73" ht="15.75" customHeight="1">
      <c r="C73" s="96"/>
    </row>
    <row r="74" ht="15.75" customHeight="1">
      <c r="C74" s="96"/>
    </row>
    <row r="75" ht="15.75" customHeight="1">
      <c r="C75" s="96"/>
    </row>
    <row r="76" ht="15.75" customHeight="1">
      <c r="C76" s="96"/>
    </row>
    <row r="77" ht="15.75" customHeight="1">
      <c r="C77" s="96"/>
    </row>
    <row r="78" ht="15.75" customHeight="1">
      <c r="C78" s="96"/>
    </row>
    <row r="79" ht="15.75" customHeight="1">
      <c r="C79" s="96"/>
    </row>
    <row r="80" ht="15.75" customHeight="1">
      <c r="C80" s="96"/>
    </row>
    <row r="81" ht="15.75" customHeight="1">
      <c r="C81" s="96"/>
    </row>
    <row r="82" ht="15.75" customHeight="1">
      <c r="C82" s="96"/>
    </row>
    <row r="83" ht="15.75" customHeight="1">
      <c r="C83" s="96"/>
    </row>
    <row r="84" ht="15.75" customHeight="1">
      <c r="C84" s="96"/>
    </row>
    <row r="85" ht="15.75" customHeight="1">
      <c r="C85" s="96"/>
    </row>
    <row r="86" ht="15.75" customHeight="1">
      <c r="C86" s="96"/>
    </row>
    <row r="87" ht="15.75" customHeight="1">
      <c r="C87" s="96"/>
    </row>
    <row r="88" ht="15.75" customHeight="1">
      <c r="C88" s="96"/>
    </row>
    <row r="89" ht="15.75" customHeight="1">
      <c r="C89" s="96"/>
    </row>
    <row r="90" ht="15.75" customHeight="1">
      <c r="C90" s="96"/>
    </row>
    <row r="91" ht="15.75" customHeight="1">
      <c r="C91" s="96"/>
    </row>
    <row r="92" ht="15.75" customHeight="1">
      <c r="C92" s="96"/>
    </row>
    <row r="93" ht="15.75" customHeight="1">
      <c r="C93" s="96"/>
    </row>
    <row r="94" ht="15.75" customHeight="1">
      <c r="C94" s="96"/>
    </row>
    <row r="95" ht="15.75" customHeight="1">
      <c r="C95" s="96"/>
    </row>
    <row r="96" ht="15.75" customHeight="1">
      <c r="C96" s="96"/>
    </row>
    <row r="97" ht="15.75" customHeight="1">
      <c r="C97" s="96"/>
    </row>
    <row r="98" ht="15.75" customHeight="1">
      <c r="C98" s="96"/>
    </row>
    <row r="99" ht="15.75" customHeight="1">
      <c r="C99" s="96"/>
    </row>
    <row r="100" ht="15.75" customHeight="1">
      <c r="C100" s="96"/>
    </row>
    <row r="101" ht="15.75" customHeight="1">
      <c r="C101" s="96"/>
    </row>
    <row r="102" ht="15.75" customHeight="1">
      <c r="C102" s="96"/>
    </row>
    <row r="103" ht="15.75" customHeight="1">
      <c r="C103" s="96"/>
    </row>
    <row r="104" ht="15.75" customHeight="1">
      <c r="C104" s="96"/>
    </row>
    <row r="105" ht="15.75" customHeight="1">
      <c r="C105" s="96"/>
    </row>
    <row r="106" ht="15.75" customHeight="1">
      <c r="C106" s="96"/>
    </row>
    <row r="107" ht="15.75" customHeight="1">
      <c r="C107" s="96"/>
    </row>
    <row r="108" ht="15.75" customHeight="1">
      <c r="C108" s="96"/>
    </row>
    <row r="109" ht="15.75" customHeight="1">
      <c r="C109" s="96"/>
    </row>
    <row r="110" ht="15.75" customHeight="1">
      <c r="C110" s="96"/>
    </row>
    <row r="111" ht="15.75" customHeight="1">
      <c r="C111" s="96"/>
    </row>
    <row r="112" ht="15.75" customHeight="1">
      <c r="C112" s="96"/>
    </row>
    <row r="113" ht="15.75" customHeight="1">
      <c r="C113" s="96"/>
    </row>
    <row r="114" ht="15.75" customHeight="1">
      <c r="C114" s="96"/>
    </row>
    <row r="115" ht="15.75" customHeight="1">
      <c r="C115" s="96"/>
    </row>
    <row r="116" ht="15.75" customHeight="1">
      <c r="C116" s="96"/>
    </row>
    <row r="117" ht="15.75" customHeight="1">
      <c r="C117" s="96"/>
    </row>
    <row r="118" ht="15.75" customHeight="1">
      <c r="C118" s="96"/>
    </row>
    <row r="119" ht="15.75" customHeight="1">
      <c r="C119" s="96"/>
    </row>
    <row r="120" ht="15.75" customHeight="1">
      <c r="C120" s="96"/>
    </row>
    <row r="121" ht="15.75" customHeight="1">
      <c r="C121" s="96"/>
    </row>
    <row r="122" ht="15.75" customHeight="1">
      <c r="C122" s="96"/>
    </row>
    <row r="123" ht="15.75" customHeight="1">
      <c r="C123" s="96"/>
    </row>
    <row r="124" ht="15.75" customHeight="1">
      <c r="C124" s="96"/>
    </row>
    <row r="125" ht="15.75" customHeight="1">
      <c r="C125" s="96"/>
    </row>
    <row r="126" ht="15.75" customHeight="1">
      <c r="C126" s="96"/>
    </row>
    <row r="127" ht="15.75" customHeight="1">
      <c r="C127" s="96"/>
    </row>
    <row r="128" ht="15.75" customHeight="1">
      <c r="C128" s="96"/>
    </row>
    <row r="129" ht="15.75" customHeight="1">
      <c r="C129" s="96"/>
    </row>
    <row r="130" ht="15.75" customHeight="1">
      <c r="C130" s="96"/>
    </row>
    <row r="131" ht="15.75" customHeight="1">
      <c r="C131" s="96"/>
    </row>
    <row r="132" ht="15.75" customHeight="1">
      <c r="C132" s="96"/>
    </row>
    <row r="133" ht="15.75" customHeight="1">
      <c r="C133" s="96"/>
    </row>
    <row r="134" ht="15.75" customHeight="1">
      <c r="C134" s="96"/>
    </row>
    <row r="135" ht="15.75" customHeight="1">
      <c r="C135" s="96"/>
    </row>
    <row r="136" ht="15.75" customHeight="1">
      <c r="C136" s="96"/>
    </row>
    <row r="137" ht="15.75" customHeight="1">
      <c r="C137" s="96"/>
    </row>
    <row r="138" ht="15.75" customHeight="1">
      <c r="C138" s="96"/>
    </row>
    <row r="139" ht="15.75" customHeight="1">
      <c r="C139" s="96"/>
    </row>
    <row r="140" ht="15.75" customHeight="1">
      <c r="C140" s="96"/>
    </row>
    <row r="141" ht="15.75" customHeight="1">
      <c r="C141" s="96"/>
    </row>
    <row r="142" ht="15.75" customHeight="1">
      <c r="C142" s="96"/>
    </row>
    <row r="143" ht="15.75" customHeight="1">
      <c r="C143" s="96"/>
    </row>
    <row r="144" ht="15.75" customHeight="1">
      <c r="C144" s="96"/>
    </row>
    <row r="145" ht="15.75" customHeight="1">
      <c r="C145" s="96"/>
    </row>
    <row r="146" ht="15.75" customHeight="1">
      <c r="C146" s="96"/>
    </row>
    <row r="147" ht="15.75" customHeight="1">
      <c r="C147" s="96"/>
    </row>
    <row r="148" ht="15.75" customHeight="1">
      <c r="C148" s="96"/>
    </row>
    <row r="149" ht="15.75" customHeight="1">
      <c r="C149" s="96"/>
    </row>
    <row r="150" ht="15.75" customHeight="1">
      <c r="C150" s="96"/>
    </row>
    <row r="151" ht="15.75" customHeight="1">
      <c r="C151" s="96"/>
    </row>
    <row r="152" ht="15.75" customHeight="1">
      <c r="C152" s="96"/>
    </row>
    <row r="153" ht="15.75" customHeight="1">
      <c r="C153" s="96"/>
    </row>
    <row r="154" ht="15.75" customHeight="1">
      <c r="C154" s="96"/>
    </row>
    <row r="155" ht="15.75" customHeight="1">
      <c r="C155" s="96"/>
    </row>
    <row r="156" ht="15.75" customHeight="1">
      <c r="C156" s="96"/>
    </row>
    <row r="157" ht="15.75" customHeight="1">
      <c r="C157" s="96"/>
    </row>
    <row r="158" ht="15.75" customHeight="1">
      <c r="C158" s="96"/>
    </row>
    <row r="159" ht="15.75" customHeight="1">
      <c r="C159" s="96"/>
    </row>
    <row r="160" ht="15.75" customHeight="1">
      <c r="C160" s="96"/>
    </row>
    <row r="161" ht="15.75" customHeight="1">
      <c r="C161" s="96"/>
    </row>
    <row r="162" ht="15.75" customHeight="1">
      <c r="C162" s="96"/>
    </row>
    <row r="163" ht="15.75" customHeight="1">
      <c r="C163" s="96"/>
    </row>
    <row r="164" ht="15.75" customHeight="1">
      <c r="C164" s="96"/>
    </row>
    <row r="165" ht="15.75" customHeight="1">
      <c r="C165" s="96"/>
    </row>
    <row r="166" ht="15.75" customHeight="1">
      <c r="C166" s="96"/>
    </row>
    <row r="167" ht="15.75" customHeight="1">
      <c r="C167" s="96"/>
    </row>
    <row r="168" ht="15.75" customHeight="1">
      <c r="C168" s="96"/>
    </row>
    <row r="169" ht="15.75" customHeight="1">
      <c r="C169" s="96"/>
    </row>
    <row r="170" ht="15.75" customHeight="1">
      <c r="C170" s="96"/>
    </row>
    <row r="171" ht="15.75" customHeight="1">
      <c r="C171" s="96"/>
    </row>
    <row r="172" ht="15.75" customHeight="1">
      <c r="C172" s="96"/>
    </row>
    <row r="173" ht="15.75" customHeight="1">
      <c r="C173" s="96"/>
    </row>
    <row r="174" ht="15.75" customHeight="1">
      <c r="C174" s="96"/>
    </row>
    <row r="175" ht="15.75" customHeight="1">
      <c r="C175" s="96"/>
    </row>
    <row r="176" ht="15.75" customHeight="1">
      <c r="C176" s="96"/>
    </row>
    <row r="177" ht="15.75" customHeight="1">
      <c r="C177" s="96"/>
    </row>
    <row r="178" ht="15.75" customHeight="1">
      <c r="C178" s="96"/>
    </row>
    <row r="179" ht="15.75" customHeight="1">
      <c r="C179" s="96"/>
    </row>
    <row r="180" ht="15.75" customHeight="1">
      <c r="C180" s="96"/>
    </row>
    <row r="181" ht="15.75" customHeight="1">
      <c r="C181" s="96"/>
    </row>
    <row r="182" ht="15.75" customHeight="1">
      <c r="C182" s="96"/>
    </row>
    <row r="183" ht="15.75" customHeight="1">
      <c r="C183" s="96"/>
    </row>
    <row r="184" ht="15.75" customHeight="1">
      <c r="C184" s="96"/>
    </row>
    <row r="185" ht="15.75" customHeight="1">
      <c r="C185" s="96"/>
    </row>
    <row r="186" ht="15.75" customHeight="1">
      <c r="C186" s="96"/>
    </row>
    <row r="187" ht="15.75" customHeight="1">
      <c r="C187" s="96"/>
    </row>
    <row r="188" ht="15.75" customHeight="1">
      <c r="C188" s="96"/>
    </row>
    <row r="189" ht="15.75" customHeight="1">
      <c r="C189" s="96"/>
    </row>
    <row r="190" ht="15.75" customHeight="1">
      <c r="C190" s="96"/>
    </row>
    <row r="191" ht="15.75" customHeight="1">
      <c r="C191" s="96"/>
    </row>
    <row r="192" ht="15.75" customHeight="1">
      <c r="C192" s="96"/>
    </row>
    <row r="193" ht="15.75" customHeight="1">
      <c r="C193" s="96"/>
    </row>
    <row r="194" ht="15.75" customHeight="1">
      <c r="C194" s="96"/>
    </row>
    <row r="195" ht="15.75" customHeight="1">
      <c r="C195" s="96"/>
    </row>
    <row r="196" ht="15.75" customHeight="1">
      <c r="C196" s="96"/>
    </row>
    <row r="197" ht="15.75" customHeight="1">
      <c r="C197" s="96"/>
    </row>
    <row r="198" ht="15.75" customHeight="1">
      <c r="C198" s="96"/>
    </row>
    <row r="199" ht="15.75" customHeight="1">
      <c r="C199" s="96"/>
    </row>
    <row r="200" ht="15.75" customHeight="1">
      <c r="C200" s="96"/>
    </row>
    <row r="201" ht="15.75" customHeight="1">
      <c r="C201" s="96"/>
    </row>
    <row r="202" ht="15.75" customHeight="1">
      <c r="C202" s="96"/>
    </row>
    <row r="203" ht="15.75" customHeight="1">
      <c r="C203" s="96"/>
    </row>
    <row r="204" ht="15.75" customHeight="1">
      <c r="C204" s="96"/>
    </row>
    <row r="205" ht="15.75" customHeight="1">
      <c r="C205" s="96"/>
    </row>
    <row r="206" ht="15.75" customHeight="1">
      <c r="C206" s="96"/>
    </row>
    <row r="207" ht="15.75" customHeight="1">
      <c r="C207" s="96"/>
    </row>
    <row r="208" ht="15.75" customHeight="1">
      <c r="C208" s="96"/>
    </row>
    <row r="209" ht="15.75" customHeight="1">
      <c r="C209" s="96"/>
    </row>
    <row r="210" ht="15.75" customHeight="1">
      <c r="C210" s="96"/>
    </row>
    <row r="211" ht="15.75" customHeight="1">
      <c r="C211" s="96"/>
    </row>
    <row r="212" ht="15.75" customHeight="1">
      <c r="C212" s="96"/>
    </row>
    <row r="213" ht="15.75" customHeight="1">
      <c r="C213" s="15"/>
    </row>
    <row r="214" ht="15.75" customHeight="1">
      <c r="C214" s="15"/>
    </row>
    <row r="215" ht="15.75" customHeight="1">
      <c r="C215" s="15"/>
    </row>
    <row r="216" ht="15.75" customHeight="1">
      <c r="C216" s="15"/>
    </row>
    <row r="217" ht="15.75" customHeight="1">
      <c r="C217" s="15"/>
    </row>
    <row r="218" ht="15.75" customHeight="1">
      <c r="C218" s="15"/>
    </row>
    <row r="219" ht="15.75" customHeight="1">
      <c r="C219" s="15"/>
    </row>
    <row r="220" ht="15.75" customHeight="1">
      <c r="C220" s="15"/>
    </row>
    <row r="221" ht="15.75" customHeight="1">
      <c r="C221" s="15"/>
    </row>
    <row r="222" ht="15.75" customHeight="1">
      <c r="C222" s="15"/>
    </row>
    <row r="223" ht="15.75" customHeight="1">
      <c r="C223" s="15"/>
    </row>
    <row r="224" ht="15.75" customHeight="1">
      <c r="C224" s="15"/>
    </row>
    <row r="225" ht="15.75" customHeight="1">
      <c r="C225" s="15"/>
    </row>
    <row r="226" ht="15.75" customHeight="1">
      <c r="C226" s="15"/>
    </row>
    <row r="227" ht="15.75" customHeight="1">
      <c r="C227" s="15"/>
    </row>
    <row r="228" ht="15.75" customHeight="1">
      <c r="C228" s="15"/>
    </row>
    <row r="229" ht="15.75" customHeight="1">
      <c r="C229" s="15"/>
    </row>
    <row r="230" ht="15.75" customHeight="1">
      <c r="C230" s="15"/>
    </row>
    <row r="231" ht="15.75" customHeight="1">
      <c r="C231" s="15"/>
    </row>
    <row r="232" ht="15.75" customHeight="1">
      <c r="C232" s="15"/>
    </row>
    <row r="233" ht="15.75" customHeight="1">
      <c r="C233" s="15"/>
    </row>
    <row r="234" ht="15.75" customHeight="1">
      <c r="C234" s="15"/>
    </row>
    <row r="235" ht="15.75" customHeight="1">
      <c r="C235" s="15"/>
    </row>
    <row r="236" ht="15.75" customHeight="1">
      <c r="C236" s="15"/>
    </row>
    <row r="237" ht="15.75" customHeight="1">
      <c r="C237" s="15"/>
    </row>
    <row r="238" ht="15.75" customHeight="1">
      <c r="C238" s="15"/>
    </row>
    <row r="239" ht="15.75" customHeight="1">
      <c r="C239" s="15"/>
    </row>
    <row r="240" ht="15.75" customHeight="1">
      <c r="C240" s="15"/>
    </row>
    <row r="241" ht="15.75" customHeight="1">
      <c r="C241" s="15"/>
    </row>
    <row r="242" ht="15.75" customHeight="1">
      <c r="C242" s="15"/>
    </row>
    <row r="243" ht="15.75" customHeight="1">
      <c r="C243" s="15"/>
    </row>
    <row r="244" ht="15.75" customHeight="1">
      <c r="C244" s="15"/>
    </row>
    <row r="245" ht="15.75" customHeight="1">
      <c r="C245" s="15"/>
    </row>
    <row r="246" ht="15.75" customHeight="1">
      <c r="C246" s="15"/>
    </row>
    <row r="247" ht="15.75" customHeight="1">
      <c r="C247" s="15"/>
    </row>
    <row r="248" ht="15.75" customHeight="1">
      <c r="C248" s="15"/>
    </row>
    <row r="249" ht="15.75" customHeight="1">
      <c r="C249" s="15"/>
    </row>
    <row r="250" ht="15.75" customHeight="1">
      <c r="C250" s="15"/>
    </row>
    <row r="251" ht="15.75" customHeight="1">
      <c r="C251" s="15"/>
    </row>
    <row r="252" ht="15.75" customHeight="1">
      <c r="C252" s="15"/>
    </row>
    <row r="253" ht="15.75" customHeight="1">
      <c r="C253" s="15"/>
    </row>
    <row r="254" ht="15.75" customHeight="1">
      <c r="C254" s="15"/>
    </row>
    <row r="255" ht="15.75" customHeight="1">
      <c r="C255" s="15"/>
    </row>
    <row r="256" ht="15.75" customHeight="1">
      <c r="C256" s="15"/>
    </row>
    <row r="257" ht="15.75" customHeight="1">
      <c r="C257" s="15"/>
    </row>
    <row r="258" ht="15.75" customHeight="1">
      <c r="C258" s="15"/>
    </row>
    <row r="259" ht="15.75" customHeight="1">
      <c r="C259" s="15"/>
    </row>
    <row r="260" ht="15.75" customHeight="1">
      <c r="C260" s="15"/>
    </row>
    <row r="261" ht="15.75" customHeight="1">
      <c r="C261" s="15"/>
    </row>
    <row r="262" ht="15.75" customHeight="1">
      <c r="C262" s="15"/>
    </row>
    <row r="263" ht="15.75" customHeight="1">
      <c r="C263" s="15"/>
    </row>
    <row r="264" ht="15.75" customHeight="1">
      <c r="C264" s="15"/>
    </row>
    <row r="265" ht="15.75" customHeight="1">
      <c r="C265" s="15"/>
    </row>
    <row r="266" ht="15.75" customHeight="1">
      <c r="C266" s="15"/>
    </row>
    <row r="267" ht="15.75" customHeight="1">
      <c r="C267" s="15"/>
    </row>
    <row r="268" ht="15.75" customHeight="1">
      <c r="C268" s="15"/>
    </row>
    <row r="269" ht="15.75" customHeight="1">
      <c r="C269" s="15"/>
    </row>
    <row r="270" ht="15.75" customHeight="1">
      <c r="C270" s="15"/>
    </row>
    <row r="271" ht="15.75" customHeight="1">
      <c r="C271" s="15"/>
    </row>
    <row r="272" ht="15.75" customHeight="1">
      <c r="C272" s="15"/>
    </row>
    <row r="273" ht="15.75" customHeight="1">
      <c r="C273" s="15"/>
    </row>
    <row r="274" ht="15.75" customHeight="1">
      <c r="C274" s="15"/>
    </row>
    <row r="275" ht="15.75" customHeight="1">
      <c r="C275" s="15"/>
    </row>
    <row r="276" ht="15.75" customHeight="1">
      <c r="C276" s="15"/>
    </row>
    <row r="277" ht="15.75" customHeight="1">
      <c r="C277" s="15"/>
    </row>
    <row r="278" ht="15.75" customHeight="1">
      <c r="C278" s="15"/>
    </row>
    <row r="279" ht="15.75" customHeight="1">
      <c r="C279" s="15"/>
    </row>
    <row r="280" ht="15.75" customHeight="1">
      <c r="C280" s="15"/>
    </row>
    <row r="281" ht="15.75" customHeight="1">
      <c r="C281" s="15"/>
    </row>
    <row r="282" ht="15.75" customHeight="1">
      <c r="C282" s="15"/>
    </row>
    <row r="283" ht="15.75" customHeight="1">
      <c r="C283" s="15"/>
    </row>
    <row r="284" ht="15.75" customHeight="1">
      <c r="C284" s="15"/>
    </row>
    <row r="285" ht="15.75" customHeight="1">
      <c r="C285" s="15"/>
    </row>
    <row r="286" ht="15.75" customHeight="1">
      <c r="C286" s="15"/>
    </row>
    <row r="287" ht="15.75" customHeight="1">
      <c r="C287" s="15"/>
    </row>
    <row r="288" ht="15.75" customHeight="1">
      <c r="C288" s="15"/>
    </row>
    <row r="289" ht="15.75" customHeight="1">
      <c r="C289" s="15"/>
    </row>
    <row r="290" ht="15.75" customHeight="1">
      <c r="C290" s="15"/>
    </row>
    <row r="291" ht="15.75" customHeight="1">
      <c r="C291" s="15"/>
    </row>
    <row r="292" ht="15.75" customHeight="1">
      <c r="C292" s="15"/>
    </row>
    <row r="293" ht="15.75" customHeight="1">
      <c r="C293" s="15"/>
    </row>
    <row r="294" ht="15.75" customHeight="1">
      <c r="C294" s="15"/>
    </row>
    <row r="295" ht="15.75" customHeight="1">
      <c r="C295" s="15"/>
    </row>
    <row r="296" ht="15.75" customHeight="1">
      <c r="C296" s="15"/>
    </row>
    <row r="297" ht="15.75" customHeight="1">
      <c r="C297" s="15"/>
    </row>
    <row r="298" ht="15.75" customHeight="1">
      <c r="C298" s="15"/>
    </row>
    <row r="299" ht="15.75" customHeight="1">
      <c r="C299" s="15"/>
    </row>
    <row r="300" ht="15.75" customHeight="1">
      <c r="C300" s="15"/>
    </row>
    <row r="301" ht="15.75" customHeight="1">
      <c r="C301" s="15"/>
    </row>
    <row r="302" ht="15.75" customHeight="1">
      <c r="C302" s="15"/>
    </row>
    <row r="303" ht="15.75" customHeight="1">
      <c r="C303" s="15"/>
    </row>
    <row r="304" ht="15.75" customHeight="1">
      <c r="C304" s="15"/>
    </row>
    <row r="305" ht="15.75" customHeight="1">
      <c r="C305" s="15"/>
    </row>
    <row r="306" ht="15.75" customHeight="1">
      <c r="C306" s="15"/>
    </row>
    <row r="307" ht="15.75" customHeight="1">
      <c r="C307" s="15"/>
    </row>
    <row r="308" ht="15.75" customHeight="1">
      <c r="C308" s="15"/>
    </row>
    <row r="309" ht="15.75" customHeight="1">
      <c r="C309" s="15"/>
    </row>
    <row r="310" ht="15.75" customHeight="1">
      <c r="C310" s="15"/>
    </row>
    <row r="311" ht="15.75" customHeight="1">
      <c r="C311" s="15"/>
    </row>
    <row r="312" ht="15.75" customHeight="1">
      <c r="C312" s="15"/>
    </row>
    <row r="313" ht="15.75" customHeight="1">
      <c r="C313" s="15"/>
    </row>
    <row r="314" ht="15.75" customHeight="1">
      <c r="C314" s="15"/>
    </row>
    <row r="315" ht="15.75" customHeight="1">
      <c r="C315" s="15"/>
    </row>
    <row r="316" ht="15.75" customHeight="1">
      <c r="C316" s="15"/>
    </row>
    <row r="317" ht="15.75" customHeight="1">
      <c r="C317" s="15"/>
    </row>
    <row r="318" ht="15.75" customHeight="1">
      <c r="C318" s="15"/>
    </row>
    <row r="319" ht="15.75" customHeight="1">
      <c r="C319" s="15"/>
    </row>
    <row r="320" ht="15.75" customHeight="1">
      <c r="C320" s="15"/>
    </row>
    <row r="321" ht="15.75" customHeight="1">
      <c r="C321" s="15"/>
    </row>
    <row r="322" ht="15.75" customHeight="1">
      <c r="C322" s="15"/>
    </row>
    <row r="323" ht="15.75" customHeight="1">
      <c r="C323" s="15"/>
    </row>
    <row r="324" ht="15.75" customHeight="1">
      <c r="C324" s="15"/>
    </row>
    <row r="325" ht="15.75" customHeight="1">
      <c r="C325" s="15"/>
    </row>
    <row r="326" ht="15.75" customHeight="1">
      <c r="C326" s="15"/>
    </row>
    <row r="327" ht="15.75" customHeight="1">
      <c r="C327" s="15"/>
    </row>
    <row r="328" ht="15.75" customHeight="1">
      <c r="C328" s="15"/>
    </row>
    <row r="329" ht="15.75" customHeight="1">
      <c r="C329" s="15"/>
    </row>
    <row r="330" ht="15.75" customHeight="1">
      <c r="C330" s="15"/>
    </row>
    <row r="331" ht="15.75" customHeight="1">
      <c r="C331" s="15"/>
    </row>
    <row r="332" ht="15.75" customHeight="1">
      <c r="C332" s="15"/>
    </row>
    <row r="333" ht="15.75" customHeight="1">
      <c r="C333" s="15"/>
    </row>
    <row r="334" ht="15.75" customHeight="1">
      <c r="C334" s="15"/>
    </row>
    <row r="335" ht="15.75" customHeight="1">
      <c r="C335" s="15"/>
    </row>
    <row r="336" ht="15.75" customHeight="1">
      <c r="C336" s="15"/>
    </row>
    <row r="337" ht="15.75" customHeight="1">
      <c r="C337" s="15"/>
    </row>
    <row r="338" ht="15.75" customHeight="1">
      <c r="C338" s="15"/>
    </row>
    <row r="339" ht="15.75" customHeight="1">
      <c r="C339" s="15"/>
    </row>
    <row r="340" ht="15.75" customHeight="1">
      <c r="C340" s="15"/>
    </row>
    <row r="341" ht="15.75" customHeight="1">
      <c r="C341" s="15"/>
    </row>
    <row r="342" ht="15.75" customHeight="1">
      <c r="C342" s="15"/>
    </row>
    <row r="343" ht="15.75" customHeight="1">
      <c r="C343" s="15"/>
    </row>
    <row r="344" ht="15.75" customHeight="1">
      <c r="C344" s="15"/>
    </row>
    <row r="345" ht="15.75" customHeight="1">
      <c r="C345" s="15"/>
    </row>
    <row r="346" ht="15.75" customHeight="1">
      <c r="C346" s="15"/>
    </row>
    <row r="347" ht="15.75" customHeight="1">
      <c r="C347" s="15"/>
    </row>
    <row r="348" ht="15.75" customHeight="1">
      <c r="C348" s="15"/>
    </row>
    <row r="349" ht="15.75" customHeight="1">
      <c r="C349" s="15"/>
    </row>
    <row r="350" ht="15.75" customHeight="1">
      <c r="C350" s="15"/>
    </row>
    <row r="351" ht="15.75" customHeight="1">
      <c r="C351" s="15"/>
    </row>
    <row r="352" ht="15.75" customHeight="1">
      <c r="C352" s="15"/>
    </row>
    <row r="353" ht="15.75" customHeight="1">
      <c r="C353" s="15"/>
    </row>
    <row r="354" ht="15.75" customHeight="1">
      <c r="C354" s="15"/>
    </row>
    <row r="355" ht="15.75" customHeight="1">
      <c r="C355" s="15"/>
    </row>
    <row r="356" ht="15.75" customHeight="1">
      <c r="C356" s="15"/>
    </row>
    <row r="357" ht="15.75" customHeight="1">
      <c r="C357" s="15"/>
    </row>
    <row r="358" ht="15.75" customHeight="1">
      <c r="C358" s="15"/>
    </row>
    <row r="359" ht="15.75" customHeight="1">
      <c r="C359" s="15"/>
    </row>
    <row r="360" ht="15.75" customHeight="1">
      <c r="C360" s="15"/>
    </row>
    <row r="361" ht="15.75" customHeight="1">
      <c r="C361" s="15"/>
    </row>
    <row r="362" ht="15.75" customHeight="1">
      <c r="C362" s="15"/>
    </row>
    <row r="363" ht="15.75" customHeight="1">
      <c r="C363" s="15"/>
    </row>
    <row r="364" ht="15.75" customHeight="1">
      <c r="C364" s="15"/>
    </row>
    <row r="365" ht="15.75" customHeight="1">
      <c r="C365" s="15"/>
    </row>
    <row r="366" ht="15.75" customHeight="1">
      <c r="C366" s="15"/>
    </row>
    <row r="367" ht="15.75" customHeight="1">
      <c r="C367" s="15"/>
    </row>
    <row r="368" ht="15.75" customHeight="1">
      <c r="C368" s="15"/>
    </row>
    <row r="369" ht="15.75" customHeight="1">
      <c r="C369" s="15"/>
    </row>
    <row r="370" ht="15.75" customHeight="1">
      <c r="C370" s="15"/>
    </row>
    <row r="371" ht="15.75" customHeight="1">
      <c r="C371" s="15"/>
    </row>
    <row r="372" ht="15.75" customHeight="1">
      <c r="C372" s="15"/>
    </row>
    <row r="373" ht="15.75" customHeight="1">
      <c r="C373" s="15"/>
    </row>
    <row r="374" ht="15.75" customHeight="1">
      <c r="C374" s="15"/>
    </row>
    <row r="375" ht="15.75" customHeight="1">
      <c r="C375" s="15"/>
    </row>
    <row r="376" ht="15.75" customHeight="1">
      <c r="C376" s="15"/>
    </row>
    <row r="377" ht="15.75" customHeight="1">
      <c r="C377" s="15"/>
    </row>
    <row r="378" ht="15.75" customHeight="1">
      <c r="C378" s="15"/>
    </row>
    <row r="379" ht="15.75" customHeight="1">
      <c r="C379" s="15"/>
    </row>
    <row r="380" ht="15.75" customHeight="1">
      <c r="C380" s="15"/>
    </row>
    <row r="381" ht="15.75" customHeight="1">
      <c r="C381" s="15"/>
    </row>
    <row r="382" ht="15.75" customHeight="1">
      <c r="C382" s="15"/>
    </row>
    <row r="383" ht="15.75" customHeight="1">
      <c r="C383" s="15"/>
    </row>
    <row r="384" ht="15.75" customHeight="1">
      <c r="C384" s="15"/>
    </row>
    <row r="385" ht="15.75" customHeight="1">
      <c r="C385" s="15"/>
    </row>
    <row r="386" ht="15.75" customHeight="1">
      <c r="C386" s="15"/>
    </row>
    <row r="387" ht="15.75" customHeight="1">
      <c r="C387" s="15"/>
    </row>
    <row r="388" ht="15.75" customHeight="1">
      <c r="C388" s="15"/>
    </row>
    <row r="389" ht="15.75" customHeight="1">
      <c r="C389" s="15"/>
    </row>
    <row r="390" ht="15.75" customHeight="1">
      <c r="C390" s="15"/>
    </row>
    <row r="391" ht="15.75" customHeight="1">
      <c r="C391" s="15"/>
    </row>
    <row r="392" ht="15.75" customHeight="1">
      <c r="C392" s="15"/>
    </row>
    <row r="393" ht="15.75" customHeight="1">
      <c r="C393" s="15"/>
    </row>
    <row r="394" ht="15.75" customHeight="1">
      <c r="C394" s="15"/>
    </row>
    <row r="395" ht="15.75" customHeight="1">
      <c r="C395" s="15"/>
    </row>
    <row r="396" ht="15.75" customHeight="1">
      <c r="C396" s="15"/>
    </row>
    <row r="397" ht="15.75" customHeight="1">
      <c r="C397" s="15"/>
    </row>
    <row r="398" ht="15.75" customHeight="1">
      <c r="C398" s="15"/>
    </row>
    <row r="399" ht="15.75" customHeight="1">
      <c r="C399" s="15"/>
    </row>
    <row r="400" ht="15.75" customHeight="1">
      <c r="C400" s="15"/>
    </row>
    <row r="401" ht="15.75" customHeight="1">
      <c r="C401" s="15"/>
    </row>
    <row r="402" ht="15.75" customHeight="1">
      <c r="C402" s="15"/>
    </row>
    <row r="403" ht="15.75" customHeight="1">
      <c r="C403" s="15"/>
    </row>
    <row r="404" ht="15.75" customHeight="1">
      <c r="C404" s="15"/>
    </row>
    <row r="405" ht="15.75" customHeight="1">
      <c r="C405" s="15"/>
    </row>
    <row r="406" ht="15.75" customHeight="1">
      <c r="C406" s="15"/>
    </row>
    <row r="407" ht="15.75" customHeight="1">
      <c r="C407" s="15"/>
    </row>
    <row r="408" ht="15.75" customHeight="1">
      <c r="C408" s="15"/>
    </row>
    <row r="409" ht="15.75" customHeight="1">
      <c r="C409" s="15"/>
    </row>
    <row r="410" ht="15.75" customHeight="1">
      <c r="C410" s="15"/>
    </row>
    <row r="411" ht="15.75" customHeight="1">
      <c r="C411" s="15"/>
    </row>
    <row r="412" ht="15.75" customHeight="1">
      <c r="C412" s="15"/>
    </row>
    <row r="413" ht="15.75" customHeight="1">
      <c r="C413" s="15"/>
    </row>
    <row r="414" ht="15.75" customHeight="1">
      <c r="C414" s="15"/>
    </row>
    <row r="415" ht="15.75" customHeight="1">
      <c r="C415" s="15"/>
    </row>
    <row r="416" ht="15.75" customHeight="1">
      <c r="C416" s="15"/>
    </row>
    <row r="417" ht="15.75" customHeight="1">
      <c r="C417" s="15"/>
    </row>
    <row r="418" ht="15.75" customHeight="1">
      <c r="C418" s="15"/>
    </row>
    <row r="419" ht="15.75" customHeight="1">
      <c r="C419" s="15"/>
    </row>
    <row r="420" ht="15.75" customHeight="1">
      <c r="C420" s="15"/>
    </row>
    <row r="421" ht="15.75" customHeight="1">
      <c r="C421" s="15"/>
    </row>
    <row r="422" ht="15.75" customHeight="1">
      <c r="C422" s="15"/>
    </row>
    <row r="423" ht="15.75" customHeight="1">
      <c r="C423" s="15"/>
    </row>
    <row r="424" ht="15.75" customHeight="1">
      <c r="C424" s="15"/>
    </row>
    <row r="425" ht="15.75" customHeight="1">
      <c r="C425" s="15"/>
    </row>
    <row r="426" ht="15.75" customHeight="1">
      <c r="C426" s="15"/>
    </row>
    <row r="427" ht="15.75" customHeight="1">
      <c r="C427" s="15"/>
    </row>
    <row r="428" ht="15.75" customHeight="1">
      <c r="C428" s="15"/>
    </row>
    <row r="429" ht="15.75" customHeight="1">
      <c r="C429" s="15"/>
    </row>
    <row r="430" ht="15.75" customHeight="1">
      <c r="C430" s="15"/>
    </row>
    <row r="431" ht="15.75" customHeight="1">
      <c r="C431" s="15"/>
    </row>
    <row r="432" ht="15.75" customHeight="1">
      <c r="C432" s="15"/>
    </row>
    <row r="433" ht="15.75" customHeight="1">
      <c r="C433" s="15"/>
    </row>
    <row r="434" ht="15.75" customHeight="1">
      <c r="C434" s="15"/>
    </row>
    <row r="435" ht="15.75" customHeight="1">
      <c r="C435" s="15"/>
    </row>
    <row r="436" ht="15.75" customHeight="1">
      <c r="C436" s="15"/>
    </row>
    <row r="437" ht="15.75" customHeight="1">
      <c r="C437" s="15"/>
    </row>
    <row r="438" ht="15.75" customHeight="1">
      <c r="C438" s="15"/>
    </row>
    <row r="439" ht="15.75" customHeight="1">
      <c r="C439" s="15"/>
    </row>
    <row r="440" ht="15.75" customHeight="1">
      <c r="C440" s="15"/>
    </row>
    <row r="441" ht="15.75" customHeight="1">
      <c r="C441" s="15"/>
    </row>
    <row r="442" ht="15.75" customHeight="1">
      <c r="C442" s="15"/>
    </row>
    <row r="443" ht="15.75" customHeight="1">
      <c r="C443" s="15"/>
    </row>
    <row r="444" ht="15.75" customHeight="1">
      <c r="C444" s="15"/>
    </row>
    <row r="445" ht="15.75" customHeight="1">
      <c r="C445" s="15"/>
    </row>
    <row r="446" ht="15.75" customHeight="1">
      <c r="C446" s="15"/>
    </row>
    <row r="447" ht="15.75" customHeight="1">
      <c r="C447" s="15"/>
    </row>
    <row r="448" ht="15.75" customHeight="1">
      <c r="C448" s="15"/>
    </row>
    <row r="449" ht="15.75" customHeight="1">
      <c r="C449" s="15"/>
    </row>
    <row r="450" ht="15.75" customHeight="1">
      <c r="C450" s="15"/>
    </row>
    <row r="451" ht="15.75" customHeight="1">
      <c r="C451" s="15"/>
    </row>
    <row r="452" ht="15.75" customHeight="1">
      <c r="C452" s="15"/>
    </row>
    <row r="453" ht="15.75" customHeight="1">
      <c r="C453" s="15"/>
    </row>
    <row r="454" ht="15.75" customHeight="1">
      <c r="C454" s="15"/>
    </row>
    <row r="455" ht="15.75" customHeight="1">
      <c r="C455" s="15"/>
    </row>
    <row r="456" ht="15.75" customHeight="1">
      <c r="C456" s="15"/>
    </row>
    <row r="457" ht="15.75" customHeight="1">
      <c r="C457" s="15"/>
    </row>
    <row r="458" ht="15.75" customHeight="1">
      <c r="C458" s="15"/>
    </row>
    <row r="459" ht="15.75" customHeight="1">
      <c r="C459" s="15"/>
    </row>
    <row r="460" ht="15.75" customHeight="1">
      <c r="C460" s="15"/>
    </row>
    <row r="461" ht="15.75" customHeight="1">
      <c r="C461" s="15"/>
    </row>
    <row r="462" ht="15.75" customHeight="1">
      <c r="C462" s="15"/>
    </row>
    <row r="463" ht="15.75" customHeight="1">
      <c r="C463" s="15"/>
    </row>
    <row r="464" ht="15.75" customHeight="1">
      <c r="C464" s="15"/>
    </row>
    <row r="465" ht="15.75" customHeight="1">
      <c r="C465" s="15"/>
    </row>
    <row r="466" ht="15.75" customHeight="1">
      <c r="C466" s="15"/>
    </row>
    <row r="467" ht="15.75" customHeight="1">
      <c r="C467" s="15"/>
    </row>
    <row r="468" ht="15.75" customHeight="1">
      <c r="C468" s="15"/>
    </row>
    <row r="469" ht="15.75" customHeight="1">
      <c r="C469" s="15"/>
    </row>
    <row r="470" ht="15.75" customHeight="1">
      <c r="C470" s="15"/>
    </row>
    <row r="471" ht="15.75" customHeight="1">
      <c r="C471" s="15"/>
    </row>
    <row r="472" ht="15.75" customHeight="1">
      <c r="C472" s="15"/>
    </row>
    <row r="473" ht="15.75" customHeight="1">
      <c r="C473" s="15"/>
    </row>
    <row r="474" ht="15.75" customHeight="1">
      <c r="C474" s="15"/>
    </row>
    <row r="475" ht="15.75" customHeight="1">
      <c r="C475" s="15"/>
    </row>
    <row r="476" ht="15.75" customHeight="1">
      <c r="C476" s="15"/>
    </row>
    <row r="477" ht="15.75" customHeight="1">
      <c r="C477" s="15"/>
    </row>
    <row r="478" ht="15.75" customHeight="1">
      <c r="C478" s="15"/>
    </row>
    <row r="479" ht="15.75" customHeight="1">
      <c r="C479" s="15"/>
    </row>
    <row r="480" ht="15.75" customHeight="1">
      <c r="C480" s="15"/>
    </row>
    <row r="481" ht="15.75" customHeight="1">
      <c r="C481" s="15"/>
    </row>
    <row r="482" ht="15.75" customHeight="1">
      <c r="C482" s="15"/>
    </row>
    <row r="483" ht="15.75" customHeight="1">
      <c r="C483" s="15"/>
    </row>
    <row r="484" ht="15.75" customHeight="1">
      <c r="C484" s="15"/>
    </row>
    <row r="485" ht="15.75" customHeight="1">
      <c r="C485" s="15"/>
    </row>
    <row r="486" ht="15.75" customHeight="1">
      <c r="C486" s="15"/>
    </row>
    <row r="487" ht="15.75" customHeight="1">
      <c r="C487" s="15"/>
    </row>
    <row r="488" ht="15.75" customHeight="1">
      <c r="C488" s="15"/>
    </row>
    <row r="489" ht="15.75" customHeight="1">
      <c r="C489" s="15"/>
    </row>
    <row r="490" ht="15.75" customHeight="1">
      <c r="C490" s="15"/>
    </row>
    <row r="491" ht="15.75" customHeight="1">
      <c r="C491" s="15"/>
    </row>
    <row r="492" ht="15.75" customHeight="1">
      <c r="C492" s="15"/>
    </row>
    <row r="493" ht="15.75" customHeight="1">
      <c r="C493" s="15"/>
    </row>
    <row r="494" ht="15.75" customHeight="1">
      <c r="C494" s="15"/>
    </row>
    <row r="495" ht="15.75" customHeight="1">
      <c r="C495" s="15"/>
    </row>
    <row r="496" ht="15.75" customHeight="1">
      <c r="C496" s="15"/>
    </row>
    <row r="497" ht="15.75" customHeight="1">
      <c r="C497" s="15"/>
    </row>
    <row r="498" ht="15.75" customHeight="1">
      <c r="C498" s="15"/>
    </row>
    <row r="499" ht="15.75" customHeight="1">
      <c r="C499" s="15"/>
    </row>
    <row r="500" ht="15.75" customHeight="1">
      <c r="C500" s="15"/>
    </row>
    <row r="501" ht="15.75" customHeight="1">
      <c r="C501" s="15"/>
    </row>
    <row r="502" ht="15.75" customHeight="1">
      <c r="C502" s="15"/>
    </row>
    <row r="503" ht="15.75" customHeight="1">
      <c r="C503" s="15"/>
    </row>
    <row r="504" ht="15.75" customHeight="1">
      <c r="C504" s="15"/>
    </row>
    <row r="505" ht="15.75" customHeight="1">
      <c r="C505" s="15"/>
    </row>
    <row r="506" ht="15.75" customHeight="1">
      <c r="C506" s="15"/>
    </row>
    <row r="507" ht="15.75" customHeight="1">
      <c r="C507" s="15"/>
    </row>
    <row r="508" ht="15.75" customHeight="1">
      <c r="C508" s="15"/>
    </row>
    <row r="509" ht="15.75" customHeight="1">
      <c r="C509" s="15"/>
    </row>
    <row r="510" ht="15.75" customHeight="1">
      <c r="C510" s="15"/>
    </row>
    <row r="511" ht="15.75" customHeight="1">
      <c r="C511" s="15"/>
    </row>
    <row r="512" ht="15.75" customHeight="1">
      <c r="C512" s="15"/>
    </row>
    <row r="513" ht="15.75" customHeight="1">
      <c r="C513" s="15"/>
    </row>
    <row r="514" ht="15.75" customHeight="1">
      <c r="C514" s="15"/>
    </row>
    <row r="515" ht="15.75" customHeight="1">
      <c r="C515" s="15"/>
    </row>
    <row r="516" ht="15.75" customHeight="1">
      <c r="C516" s="15"/>
    </row>
    <row r="517" ht="15.75" customHeight="1">
      <c r="C517" s="15"/>
    </row>
    <row r="518" ht="15.75" customHeight="1">
      <c r="C518" s="15"/>
    </row>
    <row r="519" ht="15.75" customHeight="1">
      <c r="C519" s="15"/>
    </row>
    <row r="520" ht="15.75" customHeight="1">
      <c r="C520" s="15"/>
    </row>
    <row r="521" ht="15.75" customHeight="1">
      <c r="C521" s="15"/>
    </row>
    <row r="522" ht="15.75" customHeight="1">
      <c r="C522" s="15"/>
    </row>
    <row r="523" ht="15.75" customHeight="1">
      <c r="C523" s="15"/>
    </row>
    <row r="524" ht="15.75" customHeight="1">
      <c r="C524" s="15"/>
    </row>
    <row r="525" ht="15.75" customHeight="1">
      <c r="C525" s="15"/>
    </row>
    <row r="526" ht="15.75" customHeight="1">
      <c r="C526" s="15"/>
    </row>
    <row r="527" ht="15.75" customHeight="1">
      <c r="C527" s="15"/>
    </row>
    <row r="528" ht="15.75" customHeight="1">
      <c r="C528" s="15"/>
    </row>
    <row r="529" ht="15.75" customHeight="1">
      <c r="C529" s="15"/>
    </row>
    <row r="530" ht="15.75" customHeight="1">
      <c r="C530" s="15"/>
    </row>
    <row r="531" ht="15.75" customHeight="1">
      <c r="C531" s="15"/>
    </row>
    <row r="532" ht="15.75" customHeight="1">
      <c r="C532" s="15"/>
    </row>
    <row r="533" ht="15.75" customHeight="1">
      <c r="C533" s="15"/>
    </row>
    <row r="534" ht="15.75" customHeight="1">
      <c r="C534" s="15"/>
    </row>
    <row r="535" ht="15.75" customHeight="1">
      <c r="C535" s="15"/>
    </row>
    <row r="536" ht="15.75" customHeight="1">
      <c r="C536" s="15"/>
    </row>
    <row r="537" ht="15.75" customHeight="1">
      <c r="C537" s="15"/>
    </row>
    <row r="538" ht="15.75" customHeight="1">
      <c r="C538" s="15"/>
    </row>
    <row r="539" ht="15.75" customHeight="1">
      <c r="C539" s="15"/>
    </row>
    <row r="540" ht="15.75" customHeight="1">
      <c r="C540" s="15"/>
    </row>
    <row r="541" ht="15.75" customHeight="1">
      <c r="C541" s="15"/>
    </row>
    <row r="542" ht="15.75" customHeight="1">
      <c r="C542" s="15"/>
    </row>
    <row r="543" ht="15.75" customHeight="1">
      <c r="C543" s="15"/>
    </row>
    <row r="544" ht="15.75" customHeight="1">
      <c r="C544" s="15"/>
    </row>
    <row r="545" ht="15.75" customHeight="1">
      <c r="C545" s="15"/>
    </row>
    <row r="546" ht="15.75" customHeight="1">
      <c r="C546" s="15"/>
    </row>
    <row r="547" ht="15.75" customHeight="1">
      <c r="C547" s="15"/>
    </row>
    <row r="548" ht="15.75" customHeight="1">
      <c r="C548" s="15"/>
    </row>
    <row r="549" ht="15.75" customHeight="1">
      <c r="C549" s="15"/>
    </row>
    <row r="550" ht="15.75" customHeight="1">
      <c r="C550" s="15"/>
    </row>
    <row r="551" ht="15.75" customHeight="1">
      <c r="C551" s="15"/>
    </row>
    <row r="552" ht="15.75" customHeight="1">
      <c r="C552" s="15"/>
    </row>
    <row r="553" ht="15.75" customHeight="1">
      <c r="C553" s="15"/>
    </row>
    <row r="554" ht="15.75" customHeight="1">
      <c r="C554" s="15"/>
    </row>
    <row r="555" ht="15.75" customHeight="1">
      <c r="C555" s="15"/>
    </row>
    <row r="556" ht="15.75" customHeight="1">
      <c r="C556" s="15"/>
    </row>
    <row r="557" ht="15.75" customHeight="1">
      <c r="C557" s="15"/>
    </row>
    <row r="558" ht="15.75" customHeight="1">
      <c r="C558" s="15"/>
    </row>
    <row r="559" ht="15.75" customHeight="1">
      <c r="C559" s="15"/>
    </row>
    <row r="560" ht="15.75" customHeight="1">
      <c r="C560" s="15"/>
    </row>
    <row r="561" ht="15.75" customHeight="1">
      <c r="C561" s="15"/>
    </row>
    <row r="562" ht="15.75" customHeight="1">
      <c r="C562" s="15"/>
    </row>
    <row r="563" ht="15.75" customHeight="1">
      <c r="C563" s="15"/>
    </row>
    <row r="564" ht="15.75" customHeight="1">
      <c r="C564" s="15"/>
    </row>
    <row r="565" ht="15.75" customHeight="1">
      <c r="C565" s="15"/>
    </row>
    <row r="566" ht="15.75" customHeight="1">
      <c r="C566" s="15"/>
    </row>
    <row r="567" ht="15.75" customHeight="1">
      <c r="C567" s="15"/>
    </row>
    <row r="568" ht="15.75" customHeight="1">
      <c r="C568" s="15"/>
    </row>
    <row r="569" ht="15.75" customHeight="1">
      <c r="C569" s="15"/>
    </row>
    <row r="570" ht="15.75" customHeight="1">
      <c r="C570" s="15"/>
    </row>
    <row r="571" ht="15.75" customHeight="1">
      <c r="C571" s="15"/>
    </row>
    <row r="572" ht="15.75" customHeight="1">
      <c r="C572" s="15"/>
    </row>
    <row r="573" ht="15.75" customHeight="1">
      <c r="C573" s="15"/>
    </row>
    <row r="574" ht="15.75" customHeight="1">
      <c r="C574" s="15"/>
    </row>
    <row r="575" ht="15.75" customHeight="1">
      <c r="C575" s="15"/>
    </row>
    <row r="576" ht="15.75" customHeight="1">
      <c r="C576" s="15"/>
    </row>
    <row r="577" ht="15.75" customHeight="1">
      <c r="C577" s="15"/>
    </row>
    <row r="578" ht="15.75" customHeight="1">
      <c r="C578" s="15"/>
    </row>
    <row r="579" ht="15.75" customHeight="1">
      <c r="C579" s="15"/>
    </row>
    <row r="580" ht="15.75" customHeight="1">
      <c r="C580" s="15"/>
    </row>
    <row r="581" ht="15.75" customHeight="1">
      <c r="C581" s="15"/>
    </row>
    <row r="582" ht="15.75" customHeight="1">
      <c r="C582" s="15"/>
    </row>
    <row r="583" ht="15.75" customHeight="1">
      <c r="C583" s="15"/>
    </row>
    <row r="584" ht="15.75" customHeight="1">
      <c r="C584" s="15"/>
    </row>
    <row r="585" ht="15.75" customHeight="1">
      <c r="C585" s="15"/>
    </row>
    <row r="586" ht="15.75" customHeight="1">
      <c r="C586" s="15"/>
    </row>
    <row r="587" ht="15.75" customHeight="1">
      <c r="C587" s="15"/>
    </row>
    <row r="588" ht="15.75" customHeight="1">
      <c r="C588" s="15"/>
    </row>
    <row r="589" ht="15.75" customHeight="1">
      <c r="C589" s="15"/>
    </row>
    <row r="590" ht="15.75" customHeight="1">
      <c r="C590" s="15"/>
    </row>
    <row r="591" ht="15.75" customHeight="1">
      <c r="C591" s="15"/>
    </row>
    <row r="592" ht="15.75" customHeight="1">
      <c r="C592" s="15"/>
    </row>
    <row r="593" ht="15.75" customHeight="1">
      <c r="C593" s="15"/>
    </row>
    <row r="594" ht="15.75" customHeight="1">
      <c r="C594" s="15"/>
    </row>
    <row r="595" ht="15.75" customHeight="1">
      <c r="C595" s="15"/>
    </row>
    <row r="596" ht="15.75" customHeight="1">
      <c r="C596" s="15"/>
    </row>
    <row r="597" ht="15.75" customHeight="1">
      <c r="C597" s="15"/>
    </row>
    <row r="598" ht="15.75" customHeight="1">
      <c r="C598" s="15"/>
    </row>
    <row r="599" ht="15.75" customHeight="1">
      <c r="C599" s="15"/>
    </row>
    <row r="600" ht="15.75" customHeight="1">
      <c r="C600" s="15"/>
    </row>
    <row r="601" ht="15.75" customHeight="1">
      <c r="C601" s="15"/>
    </row>
    <row r="602" ht="15.75" customHeight="1">
      <c r="C602" s="15"/>
    </row>
    <row r="603" ht="15.75" customHeight="1">
      <c r="C603" s="15"/>
    </row>
    <row r="604" ht="15.75" customHeight="1">
      <c r="C604" s="15"/>
    </row>
    <row r="605" ht="15.75" customHeight="1">
      <c r="C605" s="15"/>
    </row>
    <row r="606" ht="15.75" customHeight="1">
      <c r="C606" s="15"/>
    </row>
    <row r="607" ht="15.75" customHeight="1">
      <c r="C607" s="15"/>
    </row>
    <row r="608" ht="15.75" customHeight="1">
      <c r="C608" s="15"/>
    </row>
    <row r="609" ht="15.75" customHeight="1">
      <c r="C609" s="15"/>
    </row>
    <row r="610" ht="15.75" customHeight="1">
      <c r="C610" s="15"/>
    </row>
    <row r="611" ht="15.75" customHeight="1">
      <c r="C611" s="15"/>
    </row>
    <row r="612" ht="15.75" customHeight="1">
      <c r="C612" s="15"/>
    </row>
    <row r="613" ht="15.75" customHeight="1">
      <c r="C613" s="15"/>
    </row>
    <row r="614" ht="15.75" customHeight="1">
      <c r="C614" s="15"/>
    </row>
    <row r="615" ht="15.75" customHeight="1">
      <c r="C615" s="15"/>
    </row>
    <row r="616" ht="15.75" customHeight="1">
      <c r="C616" s="15"/>
    </row>
    <row r="617" ht="15.75" customHeight="1">
      <c r="C617" s="15"/>
    </row>
    <row r="618" ht="15.75" customHeight="1">
      <c r="C618" s="15"/>
    </row>
    <row r="619" ht="15.75" customHeight="1">
      <c r="C619" s="15"/>
    </row>
    <row r="620" ht="15.75" customHeight="1">
      <c r="C620" s="15"/>
    </row>
    <row r="621" ht="15.75" customHeight="1">
      <c r="C621" s="15"/>
    </row>
    <row r="622" ht="15.75" customHeight="1">
      <c r="C622" s="15"/>
    </row>
    <row r="623" ht="15.75" customHeight="1">
      <c r="C623" s="15"/>
    </row>
    <row r="624" ht="15.75" customHeight="1">
      <c r="C624" s="15"/>
    </row>
    <row r="625" ht="15.75" customHeight="1">
      <c r="C625" s="15"/>
    </row>
    <row r="626" ht="15.75" customHeight="1">
      <c r="C626" s="15"/>
    </row>
    <row r="627" ht="15.75" customHeight="1">
      <c r="C627" s="15"/>
    </row>
    <row r="628" ht="15.75" customHeight="1">
      <c r="C628" s="15"/>
    </row>
    <row r="629" ht="15.75" customHeight="1">
      <c r="C629" s="15"/>
    </row>
    <row r="630" ht="15.75" customHeight="1">
      <c r="C630" s="15"/>
    </row>
    <row r="631" ht="15.75" customHeight="1">
      <c r="C631" s="15"/>
    </row>
    <row r="632" ht="15.75" customHeight="1">
      <c r="C632" s="15"/>
    </row>
    <row r="633" ht="15.75" customHeight="1">
      <c r="C633" s="15"/>
    </row>
    <row r="634" ht="15.75" customHeight="1">
      <c r="C634" s="15"/>
    </row>
    <row r="635" ht="15.75" customHeight="1">
      <c r="C635" s="15"/>
    </row>
    <row r="636" ht="15.75" customHeight="1">
      <c r="C636" s="15"/>
    </row>
    <row r="637" ht="15.75" customHeight="1">
      <c r="C637" s="15"/>
    </row>
    <row r="638" ht="15.75" customHeight="1">
      <c r="C638" s="15"/>
    </row>
    <row r="639" ht="15.75" customHeight="1">
      <c r="C639" s="15"/>
    </row>
    <row r="640" ht="15.75" customHeight="1">
      <c r="C640" s="15"/>
    </row>
    <row r="641" ht="15.75" customHeight="1">
      <c r="C641" s="15"/>
    </row>
    <row r="642" ht="15.75" customHeight="1">
      <c r="C642" s="15"/>
    </row>
    <row r="643" ht="15.75" customHeight="1">
      <c r="C643" s="15"/>
    </row>
    <row r="644" ht="15.75" customHeight="1">
      <c r="C644" s="15"/>
    </row>
    <row r="645" ht="15.75" customHeight="1">
      <c r="C645" s="15"/>
    </row>
    <row r="646" ht="15.75" customHeight="1">
      <c r="C646" s="15"/>
    </row>
    <row r="647" ht="15.75" customHeight="1">
      <c r="C647" s="15"/>
    </row>
    <row r="648" ht="15.75" customHeight="1">
      <c r="C648" s="15"/>
    </row>
    <row r="649" ht="15.75" customHeight="1">
      <c r="C649" s="15"/>
    </row>
    <row r="650" ht="15.75" customHeight="1">
      <c r="C650" s="15"/>
    </row>
    <row r="651" ht="15.75" customHeight="1">
      <c r="C651" s="15"/>
    </row>
    <row r="652" ht="15.75" customHeight="1">
      <c r="C652" s="15"/>
    </row>
    <row r="653" ht="15.75" customHeight="1">
      <c r="C653" s="15"/>
    </row>
    <row r="654" ht="15.75" customHeight="1">
      <c r="C654" s="15"/>
    </row>
    <row r="655" ht="15.75" customHeight="1">
      <c r="C655" s="15"/>
    </row>
    <row r="656" ht="15.75" customHeight="1">
      <c r="C656" s="15"/>
    </row>
    <row r="657" ht="15.75" customHeight="1">
      <c r="C657" s="15"/>
    </row>
    <row r="658" ht="15.75" customHeight="1">
      <c r="C658" s="15"/>
    </row>
    <row r="659" ht="15.75" customHeight="1">
      <c r="C659" s="15"/>
    </row>
    <row r="660" ht="15.75" customHeight="1">
      <c r="C660" s="15"/>
    </row>
    <row r="661" ht="15.75" customHeight="1">
      <c r="C661" s="15"/>
    </row>
    <row r="662" ht="15.75" customHeight="1">
      <c r="C662" s="15"/>
    </row>
    <row r="663" ht="15.75" customHeight="1">
      <c r="C663" s="15"/>
    </row>
    <row r="664" ht="15.75" customHeight="1">
      <c r="C664" s="15"/>
    </row>
    <row r="665" ht="15.75" customHeight="1">
      <c r="C665" s="15"/>
    </row>
    <row r="666" ht="15.75" customHeight="1">
      <c r="C666" s="15"/>
    </row>
    <row r="667" ht="15.75" customHeight="1">
      <c r="C667" s="15"/>
    </row>
    <row r="668" ht="15.75" customHeight="1">
      <c r="C668" s="15"/>
    </row>
    <row r="669" ht="15.75" customHeight="1">
      <c r="C669" s="15"/>
    </row>
    <row r="670" ht="15.75" customHeight="1">
      <c r="C670" s="15"/>
    </row>
    <row r="671" ht="15.75" customHeight="1">
      <c r="C671" s="15"/>
    </row>
    <row r="672" ht="15.75" customHeight="1">
      <c r="C672" s="15"/>
    </row>
    <row r="673" ht="15.75" customHeight="1">
      <c r="C673" s="15"/>
    </row>
    <row r="674" ht="15.75" customHeight="1">
      <c r="C674" s="15"/>
    </row>
    <row r="675" ht="15.75" customHeight="1">
      <c r="C675" s="15"/>
    </row>
    <row r="676" ht="15.75" customHeight="1">
      <c r="C676" s="15"/>
    </row>
    <row r="677" ht="15.75" customHeight="1">
      <c r="C677" s="15"/>
    </row>
    <row r="678" ht="15.75" customHeight="1">
      <c r="C678" s="15"/>
    </row>
    <row r="679" ht="15.75" customHeight="1">
      <c r="C679" s="15"/>
    </row>
    <row r="680" ht="15.75" customHeight="1">
      <c r="C680" s="15"/>
    </row>
    <row r="681" ht="15.75" customHeight="1">
      <c r="C681" s="15"/>
    </row>
    <row r="682" ht="15.75" customHeight="1">
      <c r="C682" s="15"/>
    </row>
    <row r="683" ht="15.75" customHeight="1">
      <c r="C683" s="15"/>
    </row>
    <row r="684" ht="15.75" customHeight="1">
      <c r="C684" s="15"/>
    </row>
    <row r="685" ht="15.75" customHeight="1">
      <c r="C685" s="15"/>
    </row>
    <row r="686" ht="15.75" customHeight="1">
      <c r="C686" s="15"/>
    </row>
    <row r="687" ht="15.75" customHeight="1">
      <c r="C687" s="15"/>
    </row>
    <row r="688" ht="15.75" customHeight="1">
      <c r="C688" s="15"/>
    </row>
    <row r="689" ht="15.75" customHeight="1">
      <c r="C689" s="15"/>
    </row>
    <row r="690" ht="15.75" customHeight="1">
      <c r="C690" s="15"/>
    </row>
    <row r="691" ht="15.75" customHeight="1">
      <c r="C691" s="15"/>
    </row>
    <row r="692" ht="15.75" customHeight="1">
      <c r="C692" s="15"/>
    </row>
    <row r="693" ht="15.75" customHeight="1">
      <c r="C693" s="15"/>
    </row>
    <row r="694" ht="15.75" customHeight="1">
      <c r="C694" s="15"/>
    </row>
    <row r="695" ht="15.75" customHeight="1">
      <c r="C695" s="15"/>
    </row>
    <row r="696" ht="15.75" customHeight="1">
      <c r="C696" s="15"/>
    </row>
    <row r="697" ht="15.75" customHeight="1">
      <c r="C697" s="15"/>
    </row>
    <row r="698" ht="15.75" customHeight="1">
      <c r="C698" s="15"/>
    </row>
    <row r="699" ht="15.75" customHeight="1">
      <c r="C699" s="15"/>
    </row>
    <row r="700" ht="15.75" customHeight="1">
      <c r="C700" s="15"/>
    </row>
    <row r="701" ht="15.75" customHeight="1">
      <c r="C701" s="15"/>
    </row>
    <row r="702" ht="15.75" customHeight="1">
      <c r="C702" s="15"/>
    </row>
    <row r="703" ht="15.75" customHeight="1">
      <c r="C703" s="15"/>
    </row>
    <row r="704" ht="15.75" customHeight="1">
      <c r="C704" s="15"/>
    </row>
    <row r="705" ht="15.75" customHeight="1">
      <c r="C705" s="15"/>
    </row>
    <row r="706" ht="15.75" customHeight="1">
      <c r="C706" s="15"/>
    </row>
    <row r="707" ht="15.75" customHeight="1">
      <c r="C707" s="15"/>
    </row>
    <row r="708" ht="15.75" customHeight="1">
      <c r="C708" s="15"/>
    </row>
    <row r="709" ht="15.75" customHeight="1">
      <c r="C709" s="15"/>
    </row>
    <row r="710" ht="15.75" customHeight="1">
      <c r="C710" s="15"/>
    </row>
    <row r="711" ht="15.75" customHeight="1">
      <c r="C711" s="15"/>
    </row>
    <row r="712" ht="15.75" customHeight="1">
      <c r="C712" s="15"/>
    </row>
    <row r="713" ht="15.75" customHeight="1">
      <c r="C713" s="15"/>
    </row>
    <row r="714" ht="15.75" customHeight="1">
      <c r="C714" s="15"/>
    </row>
    <row r="715" ht="15.75" customHeight="1">
      <c r="C715" s="15"/>
    </row>
    <row r="716" ht="15.75" customHeight="1">
      <c r="C716" s="15"/>
    </row>
    <row r="717" ht="15.75" customHeight="1">
      <c r="C717" s="15"/>
    </row>
    <row r="718" ht="15.75" customHeight="1">
      <c r="C718" s="15"/>
    </row>
    <row r="719" ht="15.75" customHeight="1">
      <c r="C719" s="15"/>
    </row>
    <row r="720" ht="15.75" customHeight="1">
      <c r="C720" s="15"/>
    </row>
    <row r="721" ht="15.75" customHeight="1">
      <c r="C721" s="15"/>
    </row>
    <row r="722" ht="15.75" customHeight="1">
      <c r="C722" s="15"/>
    </row>
    <row r="723" ht="15.75" customHeight="1">
      <c r="C723" s="15"/>
    </row>
    <row r="724" ht="15.75" customHeight="1">
      <c r="C724" s="15"/>
    </row>
    <row r="725" ht="15.75" customHeight="1">
      <c r="C725" s="15"/>
    </row>
    <row r="726" ht="15.75" customHeight="1">
      <c r="C726" s="15"/>
    </row>
    <row r="727" ht="15.75" customHeight="1">
      <c r="C727" s="15"/>
    </row>
    <row r="728" ht="15.75" customHeight="1">
      <c r="C728" s="15"/>
    </row>
    <row r="729" ht="15.75" customHeight="1">
      <c r="C729" s="15"/>
    </row>
    <row r="730" ht="15.75" customHeight="1">
      <c r="C730" s="15"/>
    </row>
    <row r="731" ht="15.75" customHeight="1">
      <c r="C731" s="15"/>
    </row>
    <row r="732" ht="15.75" customHeight="1">
      <c r="C732" s="15"/>
    </row>
    <row r="733" ht="15.75" customHeight="1">
      <c r="C733" s="15"/>
    </row>
    <row r="734" ht="15.75" customHeight="1">
      <c r="C734" s="15"/>
    </row>
    <row r="735" ht="15.75" customHeight="1">
      <c r="C735" s="15"/>
    </row>
    <row r="736" ht="15.75" customHeight="1">
      <c r="C736" s="15"/>
    </row>
    <row r="737" ht="15.75" customHeight="1">
      <c r="C737" s="15"/>
    </row>
    <row r="738" ht="15.75" customHeight="1">
      <c r="C738" s="15"/>
    </row>
    <row r="739" ht="15.75" customHeight="1">
      <c r="C739" s="15"/>
    </row>
    <row r="740" ht="15.75" customHeight="1">
      <c r="C740" s="15"/>
    </row>
    <row r="741" ht="15.75" customHeight="1">
      <c r="C741" s="15"/>
    </row>
    <row r="742" ht="15.75" customHeight="1">
      <c r="C742" s="15"/>
    </row>
    <row r="743" ht="15.75" customHeight="1">
      <c r="C743" s="15"/>
    </row>
    <row r="744" ht="15.75" customHeight="1">
      <c r="C744" s="15"/>
    </row>
    <row r="745" ht="15.75" customHeight="1">
      <c r="C745" s="15"/>
    </row>
    <row r="746" ht="15.75" customHeight="1">
      <c r="C746" s="15"/>
    </row>
    <row r="747" ht="15.75" customHeight="1">
      <c r="C747" s="15"/>
    </row>
    <row r="748" ht="15.75" customHeight="1">
      <c r="C748" s="15"/>
    </row>
    <row r="749" ht="15.75" customHeight="1">
      <c r="C749" s="15"/>
    </row>
    <row r="750" ht="15.75" customHeight="1">
      <c r="C750" s="15"/>
    </row>
    <row r="751" ht="15.75" customHeight="1">
      <c r="C751" s="15"/>
    </row>
    <row r="752" ht="15.75" customHeight="1">
      <c r="C752" s="15"/>
    </row>
    <row r="753" ht="15.75" customHeight="1">
      <c r="C753" s="15"/>
    </row>
    <row r="754" ht="15.75" customHeight="1">
      <c r="C754" s="15"/>
    </row>
    <row r="755" ht="15.75" customHeight="1">
      <c r="C755" s="15"/>
    </row>
    <row r="756" ht="15.75" customHeight="1">
      <c r="C756" s="15"/>
    </row>
    <row r="757" ht="15.75" customHeight="1">
      <c r="C757" s="15"/>
    </row>
    <row r="758" ht="15.75" customHeight="1">
      <c r="C758" s="15"/>
    </row>
    <row r="759" ht="15.75" customHeight="1">
      <c r="C759" s="15"/>
    </row>
    <row r="760" ht="15.75" customHeight="1">
      <c r="C760" s="15"/>
    </row>
    <row r="761" ht="15.75" customHeight="1">
      <c r="C761" s="15"/>
    </row>
    <row r="762" ht="15.75" customHeight="1">
      <c r="C762" s="15"/>
    </row>
    <row r="763" ht="15.75" customHeight="1">
      <c r="C763" s="15"/>
    </row>
    <row r="764" ht="15.75" customHeight="1">
      <c r="C764" s="15"/>
    </row>
    <row r="765" ht="15.75" customHeight="1">
      <c r="C765" s="15"/>
    </row>
    <row r="766" ht="15.75" customHeight="1">
      <c r="C766" s="15"/>
    </row>
    <row r="767" ht="15.75" customHeight="1">
      <c r="C767" s="15"/>
    </row>
    <row r="768" ht="15.75" customHeight="1">
      <c r="C768" s="15"/>
    </row>
    <row r="769" ht="15.75" customHeight="1">
      <c r="C769" s="15"/>
    </row>
    <row r="770" ht="15.75" customHeight="1">
      <c r="C770" s="15"/>
    </row>
    <row r="771" ht="15.75" customHeight="1">
      <c r="C771" s="15"/>
    </row>
    <row r="772" ht="15.75" customHeight="1">
      <c r="C772" s="15"/>
    </row>
    <row r="773" ht="15.75" customHeight="1">
      <c r="C773" s="15"/>
    </row>
    <row r="774" ht="15.75" customHeight="1">
      <c r="C774" s="15"/>
    </row>
    <row r="775" ht="15.75" customHeight="1">
      <c r="C775" s="15"/>
    </row>
    <row r="776" ht="15.75" customHeight="1">
      <c r="C776" s="15"/>
    </row>
    <row r="777" ht="15.75" customHeight="1">
      <c r="C777" s="15"/>
    </row>
    <row r="778" ht="15.75" customHeight="1">
      <c r="C778" s="15"/>
    </row>
    <row r="779" ht="15.75" customHeight="1">
      <c r="C779" s="15"/>
    </row>
    <row r="780" ht="15.75" customHeight="1">
      <c r="C780" s="15"/>
    </row>
    <row r="781" ht="15.75" customHeight="1">
      <c r="C781" s="15"/>
    </row>
    <row r="782" ht="15.75" customHeight="1">
      <c r="C782" s="15"/>
    </row>
    <row r="783" ht="15.75" customHeight="1">
      <c r="C783" s="15"/>
    </row>
    <row r="784" ht="15.75" customHeight="1">
      <c r="C784" s="15"/>
    </row>
    <row r="785" ht="15.75" customHeight="1">
      <c r="C785" s="15"/>
    </row>
    <row r="786" ht="15.75" customHeight="1">
      <c r="C786" s="15"/>
    </row>
    <row r="787" ht="15.75" customHeight="1">
      <c r="C787" s="15"/>
    </row>
    <row r="788" ht="15.75" customHeight="1">
      <c r="C788" s="15"/>
    </row>
    <row r="789" ht="15.75" customHeight="1">
      <c r="C789" s="15"/>
    </row>
    <row r="790" ht="15.75" customHeight="1">
      <c r="C790" s="15"/>
    </row>
    <row r="791" ht="15.75" customHeight="1">
      <c r="C791" s="15"/>
    </row>
    <row r="792" ht="15.75" customHeight="1">
      <c r="C792" s="15"/>
    </row>
    <row r="793" ht="15.75" customHeight="1">
      <c r="C793" s="15"/>
    </row>
    <row r="794" ht="15.75" customHeight="1">
      <c r="C794" s="15"/>
    </row>
    <row r="795" ht="15.75" customHeight="1">
      <c r="C795" s="15"/>
    </row>
    <row r="796" ht="15.75" customHeight="1">
      <c r="C796" s="15"/>
    </row>
    <row r="797" ht="15.75" customHeight="1">
      <c r="C797" s="15"/>
    </row>
    <row r="798" ht="15.75" customHeight="1">
      <c r="C798" s="15"/>
    </row>
    <row r="799" ht="15.75" customHeight="1">
      <c r="C799" s="15"/>
    </row>
    <row r="800" ht="15.75" customHeight="1">
      <c r="C800" s="15"/>
    </row>
    <row r="801" ht="15.75" customHeight="1">
      <c r="C801" s="15"/>
    </row>
    <row r="802" ht="15.75" customHeight="1">
      <c r="C802" s="15"/>
    </row>
    <row r="803" ht="15.75" customHeight="1">
      <c r="C803" s="15"/>
    </row>
    <row r="804" ht="15.75" customHeight="1">
      <c r="C804" s="15"/>
    </row>
    <row r="805" ht="15.75" customHeight="1">
      <c r="C805" s="15"/>
    </row>
    <row r="806" ht="15.75" customHeight="1">
      <c r="C806" s="15"/>
    </row>
    <row r="807" ht="15.75" customHeight="1">
      <c r="C807" s="15"/>
    </row>
    <row r="808" ht="15.75" customHeight="1">
      <c r="C808" s="15"/>
    </row>
    <row r="809" ht="15.75" customHeight="1">
      <c r="C809" s="15"/>
    </row>
    <row r="810" ht="15.75" customHeight="1">
      <c r="C810" s="15"/>
    </row>
    <row r="811" ht="15.75" customHeight="1">
      <c r="C811" s="15"/>
    </row>
    <row r="812" ht="15.75" customHeight="1">
      <c r="C812" s="15"/>
    </row>
    <row r="813" ht="15.75" customHeight="1">
      <c r="C813" s="15"/>
    </row>
    <row r="814" ht="15.75" customHeight="1">
      <c r="C814" s="15"/>
    </row>
    <row r="815" ht="15.75" customHeight="1">
      <c r="C815" s="15"/>
    </row>
    <row r="816" ht="15.75" customHeight="1">
      <c r="C816" s="15"/>
    </row>
    <row r="817" ht="15.75" customHeight="1">
      <c r="C817" s="15"/>
    </row>
    <row r="818" ht="15.75" customHeight="1">
      <c r="C818" s="15"/>
    </row>
    <row r="819" ht="15.75" customHeight="1">
      <c r="C819" s="15"/>
    </row>
    <row r="820" ht="15.75" customHeight="1">
      <c r="C820" s="15"/>
    </row>
    <row r="821" ht="15.75" customHeight="1">
      <c r="C821" s="15"/>
    </row>
    <row r="822" ht="15.75" customHeight="1">
      <c r="C822" s="15"/>
    </row>
    <row r="823" ht="15.75" customHeight="1">
      <c r="C823" s="15"/>
    </row>
    <row r="824" ht="15.75" customHeight="1">
      <c r="C824" s="15"/>
    </row>
    <row r="825" ht="15.75" customHeight="1">
      <c r="C825" s="15"/>
    </row>
    <row r="826" ht="15.75" customHeight="1">
      <c r="C826" s="15"/>
    </row>
    <row r="827" ht="15.75" customHeight="1">
      <c r="C827" s="15"/>
    </row>
    <row r="828" ht="15.75" customHeight="1">
      <c r="C828" s="15"/>
    </row>
    <row r="829" ht="15.75" customHeight="1">
      <c r="C829" s="15"/>
    </row>
    <row r="830" ht="15.75" customHeight="1">
      <c r="C830" s="15"/>
    </row>
    <row r="831" ht="15.75" customHeight="1">
      <c r="C831" s="15"/>
    </row>
    <row r="832" ht="15.75" customHeight="1">
      <c r="C832" s="15"/>
    </row>
    <row r="833" ht="15.75" customHeight="1">
      <c r="C833" s="15"/>
    </row>
    <row r="834" ht="15.75" customHeight="1">
      <c r="C834" s="15"/>
    </row>
    <row r="835" ht="15.75" customHeight="1">
      <c r="C835" s="15"/>
    </row>
    <row r="836" ht="15.75" customHeight="1">
      <c r="C836" s="15"/>
    </row>
    <row r="837" ht="15.75" customHeight="1">
      <c r="C837" s="15"/>
    </row>
    <row r="838" ht="15.75" customHeight="1">
      <c r="C838" s="15"/>
    </row>
    <row r="839" ht="15.75" customHeight="1">
      <c r="C839" s="15"/>
    </row>
    <row r="840" ht="15.75" customHeight="1">
      <c r="C840" s="15"/>
    </row>
    <row r="841" ht="15.75" customHeight="1">
      <c r="C841" s="15"/>
    </row>
    <row r="842" ht="15.75" customHeight="1">
      <c r="C842" s="15"/>
    </row>
    <row r="843" ht="15.75" customHeight="1">
      <c r="C843" s="15"/>
    </row>
    <row r="844" ht="15.75" customHeight="1">
      <c r="C844" s="15"/>
    </row>
    <row r="845" ht="15.75" customHeight="1">
      <c r="C845" s="15"/>
    </row>
    <row r="846" ht="15.75" customHeight="1">
      <c r="C846" s="15"/>
    </row>
    <row r="847" ht="15.75" customHeight="1">
      <c r="C847" s="15"/>
    </row>
    <row r="848" ht="15.75" customHeight="1">
      <c r="C848" s="15"/>
    </row>
    <row r="849" ht="15.75" customHeight="1">
      <c r="C849" s="15"/>
    </row>
    <row r="850" ht="15.75" customHeight="1">
      <c r="C850" s="15"/>
    </row>
    <row r="851" ht="15.75" customHeight="1">
      <c r="C851" s="15"/>
    </row>
    <row r="852" ht="15.75" customHeight="1">
      <c r="C852" s="15"/>
    </row>
    <row r="853" ht="15.75" customHeight="1">
      <c r="C853" s="15"/>
    </row>
    <row r="854" ht="15.75" customHeight="1">
      <c r="C854" s="15"/>
    </row>
    <row r="855" ht="15.75" customHeight="1">
      <c r="C855" s="15"/>
    </row>
    <row r="856" ht="15.75" customHeight="1">
      <c r="C856" s="15"/>
    </row>
    <row r="857" ht="15.75" customHeight="1">
      <c r="C857" s="15"/>
    </row>
    <row r="858" ht="15.75" customHeight="1">
      <c r="C858" s="15"/>
    </row>
    <row r="859" ht="15.75" customHeight="1">
      <c r="C859" s="15"/>
    </row>
    <row r="860" ht="15.75" customHeight="1">
      <c r="C860" s="15"/>
    </row>
    <row r="861" ht="15.75" customHeight="1">
      <c r="C861" s="15"/>
    </row>
    <row r="862" ht="15.75" customHeight="1">
      <c r="C862" s="15"/>
    </row>
    <row r="863" ht="15.75" customHeight="1">
      <c r="C863" s="15"/>
    </row>
    <row r="864" ht="15.75" customHeight="1">
      <c r="C864" s="15"/>
    </row>
    <row r="865" ht="15.75" customHeight="1">
      <c r="C865" s="15"/>
    </row>
    <row r="866" ht="15.75" customHeight="1">
      <c r="C866" s="15"/>
    </row>
    <row r="867" ht="15.75" customHeight="1">
      <c r="C867" s="15"/>
    </row>
    <row r="868" ht="15.75" customHeight="1">
      <c r="C868" s="15"/>
    </row>
    <row r="869" ht="15.75" customHeight="1">
      <c r="C869" s="15"/>
    </row>
    <row r="870" ht="15.75" customHeight="1">
      <c r="C870" s="15"/>
    </row>
    <row r="871" ht="15.75" customHeight="1">
      <c r="C871" s="15"/>
    </row>
    <row r="872" ht="15.75" customHeight="1">
      <c r="C872" s="15"/>
    </row>
    <row r="873" ht="15.75" customHeight="1">
      <c r="C873" s="15"/>
    </row>
    <row r="874" ht="15.75" customHeight="1">
      <c r="C874" s="15"/>
    </row>
    <row r="875" ht="15.75" customHeight="1">
      <c r="C875" s="15"/>
    </row>
    <row r="876" ht="15.75" customHeight="1">
      <c r="C876" s="15"/>
    </row>
    <row r="877" ht="15.75" customHeight="1">
      <c r="C877" s="15"/>
    </row>
    <row r="878" ht="15.75" customHeight="1">
      <c r="C878" s="15"/>
    </row>
    <row r="879" ht="15.75" customHeight="1">
      <c r="C879" s="15"/>
    </row>
    <row r="880" ht="15.75" customHeight="1">
      <c r="C880" s="15"/>
    </row>
    <row r="881" ht="15.75" customHeight="1">
      <c r="C881" s="15"/>
    </row>
    <row r="882" ht="15.75" customHeight="1">
      <c r="C882" s="15"/>
    </row>
    <row r="883" ht="15.75" customHeight="1">
      <c r="C883" s="15"/>
    </row>
    <row r="884" ht="15.75" customHeight="1">
      <c r="C884" s="15"/>
    </row>
    <row r="885" ht="15.75" customHeight="1">
      <c r="C885" s="15"/>
    </row>
    <row r="886" ht="15.75" customHeight="1">
      <c r="C886" s="15"/>
    </row>
    <row r="887" ht="15.75" customHeight="1">
      <c r="C887" s="15"/>
    </row>
    <row r="888" ht="15.75" customHeight="1">
      <c r="C888" s="15"/>
    </row>
    <row r="889" ht="15.75" customHeight="1">
      <c r="C889" s="15"/>
    </row>
    <row r="890" ht="15.75" customHeight="1">
      <c r="C890" s="15"/>
    </row>
    <row r="891" ht="15.75" customHeight="1">
      <c r="C891" s="15"/>
    </row>
    <row r="892" ht="15.75" customHeight="1">
      <c r="C892" s="15"/>
    </row>
    <row r="893" ht="15.75" customHeight="1">
      <c r="C893" s="15"/>
    </row>
    <row r="894" ht="15.75" customHeight="1">
      <c r="C894" s="15"/>
    </row>
    <row r="895" ht="15.75" customHeight="1">
      <c r="C895" s="15"/>
    </row>
    <row r="896" ht="15.75" customHeight="1">
      <c r="C896" s="15"/>
    </row>
    <row r="897" ht="15.75" customHeight="1">
      <c r="C897" s="15"/>
    </row>
    <row r="898" ht="15.75" customHeight="1">
      <c r="C898" s="15"/>
    </row>
    <row r="899" ht="15.75" customHeight="1">
      <c r="C899" s="15"/>
    </row>
    <row r="900" ht="15.75" customHeight="1">
      <c r="C900" s="15"/>
    </row>
    <row r="901" ht="15.75" customHeight="1">
      <c r="C901" s="15"/>
    </row>
    <row r="902" ht="15.75" customHeight="1">
      <c r="C902" s="15"/>
    </row>
    <row r="903" ht="15.75" customHeight="1">
      <c r="C903" s="15"/>
    </row>
    <row r="904" ht="15.75" customHeight="1">
      <c r="C904" s="15"/>
    </row>
    <row r="905" ht="15.75" customHeight="1">
      <c r="C905" s="15"/>
    </row>
    <row r="906" ht="15.75" customHeight="1">
      <c r="C906" s="15"/>
    </row>
    <row r="907" ht="15.75" customHeight="1">
      <c r="C907" s="15"/>
    </row>
    <row r="908" ht="15.75" customHeight="1">
      <c r="C908" s="15"/>
    </row>
    <row r="909" ht="15.75" customHeight="1">
      <c r="C909" s="15"/>
    </row>
    <row r="910" ht="15.75" customHeight="1">
      <c r="C910" s="15"/>
    </row>
    <row r="911" ht="15.75" customHeight="1">
      <c r="C911" s="15"/>
    </row>
    <row r="912" ht="15.75" customHeight="1">
      <c r="C912" s="15"/>
    </row>
    <row r="913" ht="15.75" customHeight="1">
      <c r="C913" s="15"/>
    </row>
    <row r="914" ht="15.75" customHeight="1">
      <c r="C914" s="15"/>
    </row>
    <row r="915" ht="15.75" customHeight="1">
      <c r="C915" s="15"/>
    </row>
    <row r="916" ht="15.75" customHeight="1">
      <c r="C916" s="15"/>
    </row>
    <row r="917" ht="15.75" customHeight="1">
      <c r="C917" s="15"/>
    </row>
    <row r="918" ht="15.75" customHeight="1">
      <c r="C918" s="15"/>
    </row>
    <row r="919" ht="15.75" customHeight="1">
      <c r="C919" s="15"/>
    </row>
    <row r="920" ht="15.75" customHeight="1">
      <c r="C920" s="15"/>
    </row>
    <row r="921" ht="15.75" customHeight="1">
      <c r="C921" s="15"/>
    </row>
    <row r="922" ht="15.75" customHeight="1">
      <c r="C922" s="15"/>
    </row>
    <row r="923" ht="15.75" customHeight="1">
      <c r="C923" s="15"/>
    </row>
    <row r="924" ht="15.75" customHeight="1">
      <c r="C924" s="15"/>
    </row>
    <row r="925" ht="15.75" customHeight="1">
      <c r="C925" s="15"/>
    </row>
    <row r="926" ht="15.75" customHeight="1">
      <c r="C926" s="15"/>
    </row>
    <row r="927" ht="15.75" customHeight="1">
      <c r="C927" s="15"/>
    </row>
    <row r="928" ht="15.75" customHeight="1">
      <c r="C928" s="15"/>
    </row>
    <row r="929" ht="15.75" customHeight="1">
      <c r="C929" s="15"/>
    </row>
    <row r="930" ht="15.75" customHeight="1">
      <c r="C930" s="15"/>
    </row>
    <row r="931" ht="15.75" customHeight="1">
      <c r="C931" s="15"/>
    </row>
    <row r="932" ht="15.75" customHeight="1">
      <c r="C932" s="15"/>
    </row>
    <row r="933" ht="15.75" customHeight="1">
      <c r="C933" s="15"/>
    </row>
    <row r="934" ht="15.75" customHeight="1">
      <c r="C934" s="15"/>
    </row>
    <row r="935" ht="15.75" customHeight="1">
      <c r="C935" s="15"/>
    </row>
    <row r="936" ht="15.75" customHeight="1">
      <c r="C936" s="15"/>
    </row>
    <row r="937" ht="15.75" customHeight="1">
      <c r="C937" s="15"/>
    </row>
    <row r="938" ht="15.75" customHeight="1">
      <c r="C938" s="15"/>
    </row>
    <row r="939" ht="15.75" customHeight="1">
      <c r="C939" s="15"/>
    </row>
    <row r="940" ht="15.75" customHeight="1">
      <c r="C940" s="15"/>
    </row>
    <row r="941" ht="15.75" customHeight="1">
      <c r="C941" s="15"/>
    </row>
    <row r="942" ht="15.75" customHeight="1">
      <c r="C942" s="15"/>
    </row>
    <row r="943" ht="15.75" customHeight="1">
      <c r="C943" s="15"/>
    </row>
    <row r="944" ht="15.75" customHeight="1">
      <c r="C944" s="15"/>
    </row>
    <row r="945" ht="15.75" customHeight="1">
      <c r="C945" s="15"/>
    </row>
    <row r="946" ht="15.75" customHeight="1">
      <c r="C946" s="15"/>
    </row>
    <row r="947" ht="15.75" customHeight="1">
      <c r="C947" s="15"/>
    </row>
    <row r="948" ht="15.75" customHeight="1">
      <c r="C948" s="15"/>
    </row>
    <row r="949" ht="15.75" customHeight="1">
      <c r="C949" s="15"/>
    </row>
    <row r="950" ht="15.75" customHeight="1">
      <c r="C950" s="15"/>
    </row>
    <row r="951" ht="15.75" customHeight="1">
      <c r="C951" s="15"/>
    </row>
    <row r="952" ht="15.75" customHeight="1">
      <c r="C952" s="15"/>
    </row>
    <row r="953" ht="15.75" customHeight="1">
      <c r="C953" s="15"/>
    </row>
    <row r="954" ht="15.75" customHeight="1">
      <c r="C954" s="15"/>
    </row>
    <row r="955" ht="15.75" customHeight="1">
      <c r="C955" s="15"/>
    </row>
    <row r="956" ht="15.75" customHeight="1">
      <c r="C956" s="15"/>
    </row>
    <row r="957" ht="15.75" customHeight="1">
      <c r="C957" s="15"/>
    </row>
    <row r="958" ht="15.75" customHeight="1">
      <c r="C958" s="15"/>
    </row>
    <row r="959" ht="15.75" customHeight="1">
      <c r="C959" s="15"/>
    </row>
    <row r="960" ht="15.75" customHeight="1">
      <c r="C960" s="15"/>
    </row>
    <row r="961" ht="15.75" customHeight="1">
      <c r="C961" s="15"/>
    </row>
    <row r="962" ht="15.75" customHeight="1">
      <c r="C962" s="15"/>
    </row>
    <row r="963" ht="15.75" customHeight="1">
      <c r="C963" s="15"/>
    </row>
    <row r="964" ht="15.75" customHeight="1">
      <c r="C964" s="15"/>
    </row>
    <row r="965" ht="15.75" customHeight="1">
      <c r="C965" s="15"/>
    </row>
    <row r="966" ht="15.75" customHeight="1">
      <c r="C966" s="15"/>
    </row>
    <row r="967" ht="15.75" customHeight="1">
      <c r="C967" s="15"/>
    </row>
    <row r="968" ht="15.75" customHeight="1">
      <c r="C968" s="15"/>
    </row>
    <row r="969" ht="15.75" customHeight="1">
      <c r="C969" s="15"/>
    </row>
    <row r="970" ht="15.75" customHeight="1">
      <c r="C970" s="15"/>
    </row>
    <row r="971" ht="15.75" customHeight="1">
      <c r="C971" s="15"/>
    </row>
    <row r="972" ht="15.75" customHeight="1">
      <c r="C972" s="15"/>
    </row>
    <row r="973" ht="15.75" customHeight="1">
      <c r="C973" s="15"/>
    </row>
    <row r="974" ht="15.75" customHeight="1">
      <c r="C974" s="15"/>
    </row>
    <row r="975" ht="15.75" customHeight="1">
      <c r="C975" s="15"/>
    </row>
    <row r="976" ht="15.75" customHeight="1">
      <c r="C976" s="15"/>
    </row>
    <row r="977" ht="15.75" customHeight="1">
      <c r="C977" s="15"/>
    </row>
    <row r="978" ht="15.75" customHeight="1">
      <c r="C978" s="15"/>
    </row>
    <row r="979" ht="15.75" customHeight="1">
      <c r="C979" s="15"/>
    </row>
    <row r="980" ht="15.75" customHeight="1">
      <c r="C980" s="15"/>
    </row>
    <row r="981" ht="15.75" customHeight="1">
      <c r="C981" s="15"/>
    </row>
    <row r="982" ht="15.75" customHeight="1">
      <c r="C982" s="15"/>
    </row>
    <row r="983" ht="15.75" customHeight="1">
      <c r="C983" s="15"/>
    </row>
    <row r="984" ht="15.75" customHeight="1">
      <c r="C984" s="15"/>
    </row>
    <row r="985" ht="15.75" customHeight="1"/>
    <row r="986" ht="15.75" customHeight="1"/>
    <row r="987" ht="15.75" customHeight="1"/>
    <row r="988" ht="15.75" customHeight="1"/>
    <row r="989" ht="15.75" customHeight="1"/>
    <row r="990" ht="15.75" customHeight="1"/>
    <row r="991" ht="15.75" customHeight="1"/>
    <row r="992" ht="15.75" customHeight="1"/>
  </sheetData>
  <dataValidations>
    <dataValidation type="list" allowBlank="1" showErrorMessage="1" sqref="C2:C984">
      <formula1>"TF to WH,WH to HQ"</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3065</v>
      </c>
      <c r="B1" s="1" t="s">
        <v>3083</v>
      </c>
      <c r="C1" s="1" t="s">
        <v>2098</v>
      </c>
    </row>
    <row r="2">
      <c r="A2" s="1" t="s">
        <v>3073</v>
      </c>
      <c r="B2" s="96" t="s">
        <v>21</v>
      </c>
      <c r="C2" s="96">
        <v>24000.0</v>
      </c>
    </row>
    <row r="3">
      <c r="A3" s="1" t="s">
        <v>3075</v>
      </c>
      <c r="B3" s="96" t="s">
        <v>21</v>
      </c>
      <c r="C3" s="96">
        <v>24000.0</v>
      </c>
    </row>
    <row r="4">
      <c r="A4" s="1" t="s">
        <v>3076</v>
      </c>
      <c r="B4" s="96" t="s">
        <v>21</v>
      </c>
      <c r="C4" s="96">
        <v>12000.0</v>
      </c>
    </row>
    <row r="5">
      <c r="A5" s="1" t="s">
        <v>3077</v>
      </c>
      <c r="B5" s="96" t="s">
        <v>1287</v>
      </c>
      <c r="C5" s="96">
        <v>20000.0</v>
      </c>
    </row>
    <row r="6">
      <c r="A6" s="1" t="s">
        <v>3078</v>
      </c>
      <c r="B6" s="96" t="s">
        <v>21</v>
      </c>
      <c r="C6" s="96">
        <v>9600.0</v>
      </c>
    </row>
    <row r="7">
      <c r="A7" s="1" t="s">
        <v>3079</v>
      </c>
      <c r="B7" s="96" t="s">
        <v>1287</v>
      </c>
      <c r="C7" s="96">
        <v>16000.0</v>
      </c>
    </row>
    <row r="8">
      <c r="A8" s="1" t="s">
        <v>3080</v>
      </c>
      <c r="B8" s="96" t="s">
        <v>21</v>
      </c>
      <c r="C8" s="96">
        <v>2400.0</v>
      </c>
    </row>
    <row r="9">
      <c r="A9" s="1" t="s">
        <v>3081</v>
      </c>
      <c r="B9" s="96" t="s">
        <v>1287</v>
      </c>
      <c r="C9" s="96">
        <v>4000.0</v>
      </c>
    </row>
    <row r="10">
      <c r="A10" s="1" t="s">
        <v>3082</v>
      </c>
      <c r="B10" s="96" t="s">
        <v>1287</v>
      </c>
      <c r="C10" s="96">
        <v>55550.0</v>
      </c>
    </row>
  </sheetData>
  <dataValidations>
    <dataValidation type="list" allowBlank="1" showErrorMessage="1" sqref="B2:B10">
      <formula1>products!$A$2:$A1000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25"/>
  </cols>
  <sheetData>
    <row r="1">
      <c r="A1" s="1" t="s">
        <v>3084</v>
      </c>
      <c r="B1" s="1" t="s">
        <v>3085</v>
      </c>
      <c r="C1" s="1" t="s">
        <v>3086</v>
      </c>
      <c r="D1" s="1" t="s">
        <v>3087</v>
      </c>
    </row>
    <row r="2">
      <c r="A2" s="15" t="s">
        <v>21</v>
      </c>
      <c r="B2" s="1" t="s">
        <v>3088</v>
      </c>
      <c r="C2" s="1" t="s">
        <v>3089</v>
      </c>
    </row>
    <row r="3">
      <c r="A3" s="15" t="s">
        <v>1287</v>
      </c>
      <c r="B3" s="1" t="s">
        <v>3090</v>
      </c>
      <c r="C3" s="1" t="s">
        <v>3089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75"/>
    <col customWidth="1" min="2" max="2" width="35.25"/>
    <col customWidth="1" min="3" max="3" width="10.25"/>
    <col customWidth="1" min="4" max="4" width="12.63"/>
    <col customWidth="1" min="5" max="5" width="41.5"/>
    <col customWidth="1" min="6" max="6" width="12.63"/>
  </cols>
  <sheetData>
    <row r="1" ht="15.75" customHeight="1">
      <c r="A1" s="181"/>
      <c r="B1" s="5" t="s">
        <v>3091</v>
      </c>
      <c r="C1" s="3" t="s">
        <v>3092</v>
      </c>
      <c r="D1" s="3" t="s">
        <v>3093</v>
      </c>
      <c r="E1" s="5" t="s">
        <v>3094</v>
      </c>
      <c r="F1" s="5" t="s">
        <v>3095</v>
      </c>
      <c r="G1" s="181"/>
      <c r="H1" s="182"/>
      <c r="I1" s="181"/>
      <c r="J1" s="181"/>
      <c r="K1" s="181"/>
      <c r="L1" s="181"/>
      <c r="M1" s="181"/>
      <c r="N1" s="181"/>
      <c r="O1" s="181"/>
      <c r="P1" s="181"/>
      <c r="Q1" s="181"/>
      <c r="R1" s="181"/>
      <c r="S1" s="181"/>
      <c r="T1" s="181"/>
      <c r="U1" s="181"/>
      <c r="V1" s="181"/>
      <c r="W1" s="181"/>
      <c r="X1" s="181"/>
      <c r="Y1" s="181"/>
      <c r="Z1" s="181"/>
      <c r="AA1" s="181"/>
      <c r="AB1" s="181"/>
      <c r="AC1" s="181"/>
      <c r="AD1" s="181"/>
      <c r="AE1" s="181"/>
      <c r="AF1" s="181"/>
    </row>
    <row r="2" ht="15.75" customHeight="1">
      <c r="A2" s="181" t="s">
        <v>232</v>
      </c>
      <c r="B2" s="96" t="s">
        <v>3096</v>
      </c>
      <c r="C2" s="183">
        <v>45813.0</v>
      </c>
      <c r="D2" s="24" t="s">
        <v>28</v>
      </c>
      <c r="E2" s="96"/>
      <c r="F2" s="184">
        <v>2916.0</v>
      </c>
      <c r="G2" s="181"/>
      <c r="H2" s="185"/>
      <c r="I2" s="181"/>
      <c r="J2" s="181"/>
      <c r="K2" s="181"/>
      <c r="L2" s="181"/>
      <c r="M2" s="181"/>
      <c r="N2" s="181"/>
      <c r="O2" s="181"/>
      <c r="P2" s="181"/>
      <c r="Q2" s="181"/>
      <c r="R2" s="181"/>
      <c r="S2" s="181"/>
      <c r="T2" s="181"/>
      <c r="U2" s="181"/>
      <c r="V2" s="181"/>
      <c r="W2" s="181"/>
      <c r="X2" s="181"/>
      <c r="Y2" s="181"/>
      <c r="Z2" s="181"/>
      <c r="AA2" s="181"/>
      <c r="AB2" s="181"/>
      <c r="AC2" s="181"/>
      <c r="AD2" s="181"/>
      <c r="AE2" s="181"/>
      <c r="AF2" s="181"/>
    </row>
    <row r="3" ht="15.75" customHeight="1">
      <c r="A3" s="181"/>
      <c r="C3" s="183">
        <v>45813.0</v>
      </c>
      <c r="D3" s="186" t="s">
        <v>231</v>
      </c>
      <c r="F3" s="184">
        <v>14580.0</v>
      </c>
      <c r="G3" s="181"/>
      <c r="H3" s="187"/>
      <c r="I3" s="181"/>
      <c r="J3" s="181"/>
      <c r="K3" s="181"/>
      <c r="L3" s="181"/>
      <c r="M3" s="181"/>
      <c r="N3" s="181"/>
      <c r="O3" s="181"/>
      <c r="P3" s="181"/>
      <c r="Q3" s="181"/>
      <c r="R3" s="181"/>
      <c r="S3" s="181"/>
      <c r="T3" s="181"/>
      <c r="U3" s="181"/>
      <c r="V3" s="181"/>
      <c r="W3" s="181"/>
      <c r="X3" s="181"/>
      <c r="Y3" s="181"/>
      <c r="Z3" s="181"/>
      <c r="AA3" s="181"/>
      <c r="AB3" s="181"/>
      <c r="AC3" s="181"/>
      <c r="AD3" s="181"/>
      <c r="AE3" s="181"/>
      <c r="AF3" s="181"/>
    </row>
    <row r="4" ht="15.75" customHeight="1">
      <c r="A4" s="181"/>
      <c r="C4" s="24"/>
      <c r="D4" s="24"/>
      <c r="F4" s="188">
        <f>SUM(F2:F3)</f>
        <v>17496</v>
      </c>
      <c r="G4" s="181"/>
      <c r="H4" s="181"/>
      <c r="I4" s="181"/>
      <c r="J4" s="181"/>
      <c r="K4" s="181"/>
      <c r="L4" s="181"/>
      <c r="M4" s="181"/>
      <c r="N4" s="181"/>
      <c r="O4" s="181"/>
      <c r="P4" s="181"/>
      <c r="Q4" s="181"/>
      <c r="R4" s="181"/>
      <c r="S4" s="181"/>
      <c r="T4" s="181"/>
      <c r="U4" s="181"/>
      <c r="V4" s="181"/>
      <c r="W4" s="181"/>
      <c r="X4" s="181"/>
      <c r="Y4" s="181"/>
      <c r="Z4" s="181"/>
      <c r="AA4" s="181"/>
      <c r="AB4" s="181"/>
      <c r="AC4" s="181"/>
      <c r="AD4" s="181"/>
      <c r="AE4" s="181"/>
      <c r="AF4" s="181"/>
    </row>
    <row r="5" ht="15.75" customHeight="1">
      <c r="A5" s="181"/>
      <c r="C5" s="24"/>
      <c r="D5" s="24"/>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81"/>
      <c r="AF5" s="181"/>
    </row>
    <row r="6" ht="15.75" customHeight="1">
      <c r="A6" s="189" t="s">
        <v>50</v>
      </c>
      <c r="B6" s="190" t="s">
        <v>47</v>
      </c>
      <c r="C6" s="186"/>
      <c r="D6" s="186" t="s">
        <v>46</v>
      </c>
      <c r="E6" s="190"/>
      <c r="F6" s="191">
        <v>11400.0</v>
      </c>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row>
    <row r="7" ht="15.75" customHeight="1">
      <c r="A7" s="190"/>
      <c r="B7" s="190"/>
      <c r="C7" s="186"/>
      <c r="D7" s="186"/>
      <c r="E7" s="190"/>
      <c r="F7" s="192">
        <f>SUM(F6)</f>
        <v>11400</v>
      </c>
      <c r="G7" s="190"/>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row>
    <row r="8" ht="15.75" customHeight="1">
      <c r="A8" s="181"/>
      <c r="C8" s="24"/>
      <c r="D8" s="24"/>
      <c r="F8" s="181"/>
      <c r="G8" s="181"/>
      <c r="H8" s="181"/>
      <c r="I8" s="181"/>
      <c r="J8" s="181"/>
      <c r="K8" s="181"/>
      <c r="L8" s="181"/>
      <c r="M8" s="181"/>
      <c r="N8" s="181"/>
      <c r="O8" s="181"/>
      <c r="P8" s="181"/>
      <c r="Q8" s="181"/>
      <c r="R8" s="181"/>
      <c r="S8" s="181"/>
      <c r="T8" s="181"/>
      <c r="U8" s="181"/>
      <c r="V8" s="181"/>
      <c r="W8" s="181"/>
      <c r="X8" s="181"/>
      <c r="Y8" s="181"/>
      <c r="Z8" s="181"/>
      <c r="AA8" s="181"/>
      <c r="AB8" s="181"/>
      <c r="AC8" s="181"/>
      <c r="AD8" s="181"/>
      <c r="AE8" s="181"/>
      <c r="AF8" s="181"/>
    </row>
    <row r="9" ht="15.75" customHeight="1">
      <c r="A9" s="189" t="s">
        <v>63</v>
      </c>
      <c r="B9" s="190" t="s">
        <v>62</v>
      </c>
      <c r="C9" s="186"/>
      <c r="D9" s="186" t="s">
        <v>61</v>
      </c>
      <c r="E9" s="190"/>
      <c r="F9" s="191">
        <v>3600.0</v>
      </c>
      <c r="G9" s="190"/>
      <c r="H9" s="190"/>
      <c r="I9" s="190"/>
      <c r="J9" s="190"/>
      <c r="K9" s="190"/>
      <c r="L9" s="190"/>
      <c r="M9" s="190"/>
      <c r="N9" s="190"/>
      <c r="O9" s="190"/>
      <c r="P9" s="190"/>
      <c r="Q9" s="190"/>
      <c r="R9" s="190"/>
      <c r="S9" s="190"/>
      <c r="T9" s="190"/>
      <c r="U9" s="190"/>
      <c r="V9" s="190"/>
      <c r="W9" s="190"/>
      <c r="X9" s="190"/>
      <c r="Y9" s="190"/>
      <c r="Z9" s="190"/>
      <c r="AA9" s="190"/>
      <c r="AB9" s="190"/>
      <c r="AC9" s="190"/>
      <c r="AD9" s="190"/>
      <c r="AE9" s="190"/>
      <c r="AF9" s="190"/>
    </row>
    <row r="10" ht="15.75" customHeight="1">
      <c r="A10" s="190"/>
      <c r="B10" s="190"/>
      <c r="C10" s="186"/>
      <c r="D10" s="186"/>
      <c r="E10" s="190"/>
      <c r="F10" s="192">
        <f>SUM(F9)</f>
        <v>3600</v>
      </c>
      <c r="G10" s="190"/>
      <c r="H10" s="190"/>
      <c r="I10" s="190"/>
      <c r="J10" s="190"/>
      <c r="K10" s="190"/>
      <c r="L10" s="190"/>
      <c r="M10" s="190"/>
      <c r="N10" s="190"/>
      <c r="O10" s="190"/>
      <c r="P10" s="190"/>
      <c r="Q10" s="190"/>
      <c r="R10" s="190"/>
      <c r="S10" s="190"/>
      <c r="T10" s="190"/>
      <c r="U10" s="190"/>
      <c r="V10" s="190"/>
      <c r="W10" s="190"/>
      <c r="X10" s="190"/>
      <c r="Y10" s="190"/>
      <c r="Z10" s="190"/>
      <c r="AA10" s="190"/>
      <c r="AB10" s="190"/>
      <c r="AC10" s="190"/>
      <c r="AD10" s="190"/>
      <c r="AE10" s="190"/>
      <c r="AF10" s="190"/>
    </row>
    <row r="11" ht="15.75" customHeight="1">
      <c r="A11" s="181"/>
      <c r="C11" s="24"/>
      <c r="D11" s="24"/>
      <c r="F11" s="181"/>
      <c r="G11" s="181"/>
      <c r="H11" s="181"/>
      <c r="I11" s="181"/>
      <c r="J11" s="181"/>
      <c r="K11" s="181"/>
      <c r="L11" s="181"/>
      <c r="M11" s="181"/>
      <c r="N11" s="181"/>
      <c r="O11" s="181"/>
      <c r="P11" s="181"/>
      <c r="Q11" s="181"/>
      <c r="R11" s="181"/>
      <c r="S11" s="181"/>
      <c r="T11" s="181"/>
      <c r="U11" s="181"/>
      <c r="V11" s="181"/>
      <c r="W11" s="181"/>
      <c r="X11" s="181"/>
      <c r="Y11" s="181"/>
      <c r="Z11" s="181"/>
      <c r="AA11" s="181"/>
      <c r="AB11" s="181"/>
      <c r="AC11" s="181"/>
      <c r="AD11" s="181"/>
      <c r="AE11" s="181"/>
      <c r="AF11" s="181"/>
    </row>
    <row r="12" ht="15.75" customHeight="1">
      <c r="A12" s="189" t="s">
        <v>67</v>
      </c>
      <c r="B12" s="190" t="s">
        <v>66</v>
      </c>
      <c r="C12" s="186"/>
      <c r="D12" s="186" t="s">
        <v>65</v>
      </c>
      <c r="E12" s="190"/>
      <c r="F12" s="191">
        <v>364800.0</v>
      </c>
      <c r="G12" s="190"/>
      <c r="H12" s="190"/>
      <c r="I12" s="190"/>
      <c r="J12" s="190"/>
      <c r="K12" s="190"/>
      <c r="L12" s="190"/>
      <c r="M12" s="190"/>
      <c r="N12" s="190"/>
      <c r="O12" s="190"/>
      <c r="P12" s="190"/>
      <c r="Q12" s="190"/>
      <c r="R12" s="190"/>
      <c r="S12" s="190"/>
      <c r="T12" s="190"/>
      <c r="U12" s="190"/>
      <c r="V12" s="190"/>
      <c r="W12" s="190"/>
      <c r="X12" s="190"/>
      <c r="Y12" s="190"/>
      <c r="Z12" s="190"/>
      <c r="AA12" s="190"/>
      <c r="AB12" s="190"/>
      <c r="AC12" s="190"/>
      <c r="AD12" s="190"/>
      <c r="AE12" s="190"/>
      <c r="AF12" s="190"/>
    </row>
    <row r="13" ht="15.75" customHeight="1">
      <c r="A13" s="190"/>
      <c r="B13" s="190"/>
      <c r="C13" s="186"/>
      <c r="D13" s="186"/>
      <c r="E13" s="190"/>
      <c r="F13" s="192">
        <f>SUM(F12)</f>
        <v>364800</v>
      </c>
      <c r="G13" s="190"/>
      <c r="H13" s="190"/>
      <c r="I13" s="190"/>
      <c r="J13" s="190"/>
      <c r="K13" s="190"/>
      <c r="L13" s="190"/>
      <c r="M13" s="190"/>
      <c r="N13" s="190"/>
      <c r="O13" s="190"/>
      <c r="P13" s="190"/>
      <c r="Q13" s="190"/>
      <c r="R13" s="190"/>
      <c r="S13" s="190"/>
      <c r="T13" s="190"/>
      <c r="U13" s="190"/>
      <c r="V13" s="190"/>
      <c r="W13" s="190"/>
      <c r="X13" s="190"/>
      <c r="Y13" s="190"/>
      <c r="Z13" s="190"/>
      <c r="AA13" s="190"/>
      <c r="AB13" s="190"/>
      <c r="AC13" s="190"/>
      <c r="AD13" s="190"/>
      <c r="AE13" s="190"/>
      <c r="AF13" s="190"/>
    </row>
    <row r="14" ht="15.75" customHeight="1">
      <c r="A14" s="181"/>
      <c r="C14" s="24"/>
      <c r="D14" s="24"/>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row>
    <row r="15" ht="15.75" customHeight="1">
      <c r="A15" s="193" t="s">
        <v>76</v>
      </c>
      <c r="B15" s="194" t="s">
        <v>3097</v>
      </c>
      <c r="C15" s="195"/>
      <c r="D15" s="195" t="s">
        <v>72</v>
      </c>
      <c r="E15" s="194" t="s">
        <v>3098</v>
      </c>
      <c r="F15" s="196">
        <v>6156.0</v>
      </c>
      <c r="G15" s="190"/>
      <c r="H15" s="190"/>
      <c r="I15" s="190"/>
      <c r="J15" s="190"/>
      <c r="K15" s="190"/>
      <c r="L15" s="190"/>
      <c r="M15" s="190"/>
      <c r="N15" s="190"/>
      <c r="O15" s="190"/>
      <c r="P15" s="190"/>
      <c r="Q15" s="190"/>
      <c r="R15" s="190"/>
      <c r="S15" s="190"/>
      <c r="T15" s="190"/>
      <c r="U15" s="190"/>
      <c r="V15" s="190"/>
      <c r="W15" s="190"/>
      <c r="X15" s="190"/>
      <c r="Y15" s="190"/>
      <c r="Z15" s="190"/>
      <c r="AA15" s="190"/>
      <c r="AB15" s="190"/>
      <c r="AC15" s="190"/>
      <c r="AD15" s="190"/>
      <c r="AE15" s="190"/>
      <c r="AF15" s="190"/>
    </row>
    <row r="16" ht="15.75" customHeight="1">
      <c r="A16" s="197"/>
      <c r="B16" s="197"/>
      <c r="C16" s="198"/>
      <c r="D16" s="198"/>
      <c r="E16" s="197"/>
      <c r="F16" s="199">
        <f>SUM(F15)</f>
        <v>6156</v>
      </c>
      <c r="G16" s="190"/>
      <c r="H16" s="190"/>
      <c r="I16" s="190"/>
      <c r="J16" s="190"/>
      <c r="K16" s="190"/>
      <c r="L16" s="190"/>
      <c r="M16" s="190"/>
      <c r="N16" s="190"/>
      <c r="O16" s="190"/>
      <c r="P16" s="190"/>
      <c r="Q16" s="190"/>
      <c r="R16" s="190"/>
      <c r="S16" s="190"/>
      <c r="T16" s="190"/>
      <c r="U16" s="190"/>
      <c r="V16" s="190"/>
      <c r="W16" s="190"/>
      <c r="X16" s="190"/>
      <c r="Y16" s="190"/>
      <c r="Z16" s="190"/>
      <c r="AA16" s="190"/>
      <c r="AB16" s="190"/>
      <c r="AC16" s="190"/>
      <c r="AD16" s="190"/>
      <c r="AE16" s="190"/>
      <c r="AF16" s="190"/>
    </row>
    <row r="17" ht="15.75" customHeight="1">
      <c r="A17" s="181"/>
      <c r="C17" s="24"/>
      <c r="D17" s="24"/>
      <c r="F17" s="181"/>
      <c r="G17" s="181"/>
      <c r="H17" s="181"/>
      <c r="I17" s="181"/>
      <c r="J17" s="181"/>
      <c r="K17" s="181"/>
      <c r="L17" s="181"/>
      <c r="M17" s="181"/>
      <c r="N17" s="181"/>
      <c r="O17" s="181"/>
      <c r="P17" s="181"/>
      <c r="Q17" s="181"/>
      <c r="R17" s="181"/>
      <c r="S17" s="181"/>
      <c r="T17" s="181"/>
      <c r="U17" s="181"/>
      <c r="V17" s="181"/>
      <c r="W17" s="181"/>
      <c r="X17" s="181"/>
      <c r="Y17" s="181"/>
      <c r="Z17" s="181"/>
      <c r="AA17" s="181"/>
      <c r="AB17" s="181"/>
      <c r="AC17" s="181"/>
      <c r="AD17" s="181"/>
      <c r="AE17" s="181"/>
      <c r="AF17" s="181"/>
    </row>
    <row r="18" ht="15.75" customHeight="1">
      <c r="A18" s="189" t="s">
        <v>80</v>
      </c>
      <c r="B18" s="190" t="s">
        <v>79</v>
      </c>
      <c r="C18" s="186"/>
      <c r="D18" s="186" t="s">
        <v>78</v>
      </c>
      <c r="E18" s="190"/>
      <c r="F18" s="191">
        <v>1620.0</v>
      </c>
      <c r="G18" s="190"/>
      <c r="H18" s="190"/>
      <c r="I18" s="190"/>
      <c r="J18" s="190"/>
      <c r="K18" s="190"/>
      <c r="L18" s="190"/>
      <c r="M18" s="190"/>
      <c r="N18" s="190"/>
      <c r="O18" s="190"/>
      <c r="P18" s="190"/>
      <c r="Q18" s="190"/>
      <c r="R18" s="190"/>
      <c r="S18" s="190"/>
      <c r="T18" s="190"/>
      <c r="U18" s="190"/>
      <c r="V18" s="190"/>
      <c r="W18" s="190"/>
      <c r="X18" s="190"/>
      <c r="Y18" s="190"/>
      <c r="Z18" s="190"/>
      <c r="AA18" s="190"/>
      <c r="AB18" s="190"/>
      <c r="AC18" s="190"/>
      <c r="AD18" s="190"/>
      <c r="AE18" s="190"/>
      <c r="AF18" s="190"/>
    </row>
    <row r="19" ht="15.75" customHeight="1">
      <c r="A19" s="190"/>
      <c r="B19" s="190"/>
      <c r="C19" s="186"/>
      <c r="D19" s="186"/>
      <c r="E19" s="190"/>
      <c r="F19" s="192">
        <f>SUM(F18)</f>
        <v>1620</v>
      </c>
      <c r="G19" s="190"/>
      <c r="H19" s="190"/>
      <c r="I19" s="190"/>
      <c r="J19" s="190"/>
      <c r="K19" s="190"/>
      <c r="L19" s="190"/>
      <c r="M19" s="190"/>
      <c r="N19" s="190"/>
      <c r="O19" s="190"/>
      <c r="P19" s="190"/>
      <c r="Q19" s="190"/>
      <c r="R19" s="190"/>
      <c r="S19" s="190"/>
      <c r="T19" s="190"/>
      <c r="U19" s="190"/>
      <c r="V19" s="190"/>
      <c r="W19" s="190"/>
      <c r="X19" s="190"/>
      <c r="Y19" s="190"/>
      <c r="Z19" s="190"/>
      <c r="AA19" s="190"/>
      <c r="AB19" s="190"/>
      <c r="AC19" s="190"/>
      <c r="AD19" s="190"/>
      <c r="AE19" s="190"/>
      <c r="AF19" s="190"/>
    </row>
    <row r="20" ht="15.75" customHeight="1">
      <c r="C20" s="24"/>
      <c r="D20" s="24"/>
    </row>
    <row r="21" ht="15.75" customHeight="1">
      <c r="A21" s="189" t="s">
        <v>85</v>
      </c>
      <c r="B21" s="190" t="s">
        <v>83</v>
      </c>
      <c r="C21" s="186"/>
      <c r="D21" s="186" t="s">
        <v>82</v>
      </c>
      <c r="E21" s="190"/>
      <c r="F21" s="191">
        <v>1620.0</v>
      </c>
      <c r="G21" s="190"/>
      <c r="H21" s="190"/>
      <c r="I21" s="190"/>
      <c r="J21" s="190"/>
      <c r="K21" s="190"/>
      <c r="L21" s="190"/>
      <c r="M21" s="190"/>
      <c r="N21" s="190"/>
      <c r="O21" s="190"/>
      <c r="P21" s="190"/>
      <c r="Q21" s="190"/>
      <c r="R21" s="190"/>
      <c r="S21" s="190"/>
      <c r="T21" s="190"/>
      <c r="U21" s="190"/>
      <c r="V21" s="190"/>
      <c r="W21" s="190"/>
      <c r="X21" s="190"/>
      <c r="Y21" s="190"/>
      <c r="Z21" s="190"/>
      <c r="AA21" s="190"/>
      <c r="AB21" s="190"/>
      <c r="AC21" s="190"/>
      <c r="AD21" s="190"/>
      <c r="AE21" s="190"/>
      <c r="AF21" s="190"/>
    </row>
    <row r="22" ht="15.75" customHeight="1">
      <c r="A22" s="190"/>
      <c r="B22" s="190"/>
      <c r="C22" s="186"/>
      <c r="D22" s="186"/>
      <c r="E22" s="190"/>
      <c r="F22" s="192">
        <f>SUM(F21)</f>
        <v>1620</v>
      </c>
      <c r="G22" s="190"/>
      <c r="H22" s="190"/>
      <c r="I22" s="190"/>
      <c r="J22" s="190"/>
      <c r="K22" s="190"/>
      <c r="L22" s="190"/>
      <c r="M22" s="190"/>
      <c r="N22" s="190"/>
      <c r="O22" s="190"/>
      <c r="P22" s="190"/>
      <c r="Q22" s="190"/>
      <c r="R22" s="190"/>
      <c r="S22" s="190"/>
      <c r="T22" s="190"/>
      <c r="U22" s="190"/>
      <c r="V22" s="190"/>
      <c r="W22" s="190"/>
      <c r="X22" s="190"/>
      <c r="Y22" s="190"/>
      <c r="Z22" s="190"/>
      <c r="AA22" s="190"/>
      <c r="AB22" s="190"/>
      <c r="AC22" s="190"/>
      <c r="AD22" s="190"/>
      <c r="AE22" s="190"/>
      <c r="AF22" s="190"/>
    </row>
    <row r="23" ht="15.75" customHeight="1">
      <c r="C23" s="24"/>
      <c r="D23" s="24"/>
    </row>
    <row r="24" ht="15.75" customHeight="1">
      <c r="A24" s="189" t="s">
        <v>92</v>
      </c>
      <c r="B24" s="190" t="s">
        <v>91</v>
      </c>
      <c r="C24" s="186"/>
      <c r="D24" s="186" t="s">
        <v>90</v>
      </c>
      <c r="E24" s="190"/>
      <c r="F24" s="191">
        <v>3240.0</v>
      </c>
      <c r="G24" s="190"/>
      <c r="H24" s="190"/>
      <c r="I24" s="190"/>
      <c r="J24" s="190"/>
      <c r="K24" s="190"/>
      <c r="L24" s="190"/>
      <c r="M24" s="190"/>
      <c r="N24" s="190"/>
      <c r="O24" s="190"/>
      <c r="P24" s="190"/>
      <c r="Q24" s="190"/>
      <c r="R24" s="190"/>
      <c r="S24" s="190"/>
      <c r="T24" s="190"/>
      <c r="U24" s="190"/>
      <c r="V24" s="190"/>
      <c r="W24" s="190"/>
      <c r="X24" s="190"/>
      <c r="Y24" s="190"/>
      <c r="Z24" s="190"/>
      <c r="AA24" s="190"/>
      <c r="AB24" s="190"/>
      <c r="AC24" s="190"/>
      <c r="AD24" s="190"/>
      <c r="AE24" s="190"/>
      <c r="AF24" s="190"/>
    </row>
    <row r="25" ht="15.75" customHeight="1">
      <c r="A25" s="190"/>
      <c r="B25" s="190"/>
      <c r="C25" s="186"/>
      <c r="D25" s="186"/>
      <c r="E25" s="190"/>
      <c r="F25" s="192">
        <f>SUM(F24)</f>
        <v>3240</v>
      </c>
      <c r="G25" s="190"/>
      <c r="H25" s="190"/>
      <c r="I25" s="190"/>
      <c r="J25" s="190"/>
      <c r="K25" s="190"/>
      <c r="L25" s="190"/>
      <c r="M25" s="190"/>
      <c r="N25" s="190"/>
      <c r="O25" s="190"/>
      <c r="P25" s="190"/>
      <c r="Q25" s="190"/>
      <c r="R25" s="190"/>
      <c r="S25" s="190"/>
      <c r="T25" s="190"/>
      <c r="U25" s="190"/>
      <c r="V25" s="190"/>
      <c r="W25" s="190"/>
      <c r="X25" s="190"/>
      <c r="Y25" s="190"/>
      <c r="Z25" s="190"/>
      <c r="AA25" s="190"/>
      <c r="AB25" s="190"/>
      <c r="AC25" s="190"/>
      <c r="AD25" s="190"/>
      <c r="AE25" s="190"/>
      <c r="AF25" s="190"/>
    </row>
    <row r="26" ht="15.75" customHeight="1">
      <c r="C26" s="24"/>
      <c r="D26" s="24"/>
    </row>
    <row r="27" ht="15.75" customHeight="1">
      <c r="A27" s="189" t="s">
        <v>96</v>
      </c>
      <c r="B27" s="190" t="s">
        <v>94</v>
      </c>
      <c r="C27" s="186" t="s">
        <v>3099</v>
      </c>
      <c r="D27" s="186" t="s">
        <v>93</v>
      </c>
      <c r="E27" s="190" t="s">
        <v>3100</v>
      </c>
      <c r="F27" s="200">
        <v>1620.0</v>
      </c>
      <c r="G27" s="190"/>
      <c r="H27" s="190"/>
      <c r="I27" s="190"/>
      <c r="J27" s="190"/>
      <c r="K27" s="190"/>
      <c r="L27" s="190"/>
      <c r="M27" s="190"/>
      <c r="N27" s="190"/>
      <c r="O27" s="190"/>
      <c r="P27" s="190"/>
      <c r="Q27" s="190"/>
      <c r="R27" s="190"/>
      <c r="S27" s="190"/>
      <c r="T27" s="190"/>
      <c r="U27" s="190"/>
      <c r="V27" s="190"/>
      <c r="W27" s="190"/>
      <c r="X27" s="190"/>
      <c r="Y27" s="190"/>
      <c r="Z27" s="190"/>
      <c r="AA27" s="190"/>
      <c r="AB27" s="190"/>
      <c r="AC27" s="190"/>
      <c r="AD27" s="190"/>
      <c r="AE27" s="190"/>
      <c r="AF27" s="190"/>
    </row>
    <row r="28" ht="15.75" customHeight="1">
      <c r="A28" s="190"/>
      <c r="B28" s="190"/>
      <c r="C28" s="186"/>
      <c r="D28" s="186"/>
      <c r="E28" s="190"/>
      <c r="F28" s="192">
        <f>SUM(F27)</f>
        <v>1620</v>
      </c>
      <c r="G28" s="190"/>
      <c r="H28" s="190"/>
      <c r="I28" s="190"/>
      <c r="J28" s="190"/>
      <c r="K28" s="190"/>
      <c r="L28" s="190" t="s">
        <v>376</v>
      </c>
      <c r="M28" s="190"/>
      <c r="N28" s="190"/>
      <c r="O28" s="190"/>
      <c r="P28" s="190"/>
      <c r="Q28" s="190"/>
      <c r="R28" s="190"/>
      <c r="S28" s="190"/>
      <c r="T28" s="190"/>
      <c r="U28" s="190"/>
      <c r="V28" s="190"/>
      <c r="W28" s="190"/>
      <c r="X28" s="190"/>
      <c r="Y28" s="190"/>
      <c r="Z28" s="190"/>
      <c r="AA28" s="190"/>
      <c r="AB28" s="190"/>
      <c r="AC28" s="190"/>
      <c r="AD28" s="190"/>
      <c r="AE28" s="190"/>
      <c r="AF28" s="190"/>
    </row>
    <row r="29" ht="15.75" customHeight="1">
      <c r="C29" s="24"/>
      <c r="D29" s="24"/>
    </row>
    <row r="30" ht="15.75" customHeight="1">
      <c r="A30" s="189" t="s">
        <v>101</v>
      </c>
      <c r="B30" s="190" t="s">
        <v>100</v>
      </c>
      <c r="C30" s="186" t="s">
        <v>3099</v>
      </c>
      <c r="D30" s="186" t="s">
        <v>99</v>
      </c>
      <c r="E30" s="24" t="s">
        <v>3101</v>
      </c>
      <c r="F30" s="200">
        <v>1620.0</v>
      </c>
      <c r="G30" s="190"/>
      <c r="H30" s="190"/>
      <c r="I30" s="190"/>
      <c r="J30" s="190"/>
      <c r="K30" s="190"/>
      <c r="L30" s="190"/>
      <c r="M30" s="190"/>
      <c r="N30" s="190"/>
      <c r="O30" s="190"/>
      <c r="P30" s="190"/>
      <c r="Q30" s="190"/>
      <c r="R30" s="190"/>
      <c r="S30" s="190"/>
      <c r="T30" s="190"/>
      <c r="U30" s="190"/>
      <c r="V30" s="190"/>
      <c r="W30" s="190"/>
      <c r="X30" s="190"/>
      <c r="Y30" s="190"/>
      <c r="Z30" s="190"/>
      <c r="AA30" s="190"/>
      <c r="AB30" s="190"/>
      <c r="AC30" s="190"/>
      <c r="AD30" s="190"/>
      <c r="AE30" s="190"/>
      <c r="AF30" s="190"/>
    </row>
    <row r="31" ht="15.75" customHeight="1">
      <c r="A31" s="190"/>
      <c r="B31" s="190"/>
      <c r="C31" s="186"/>
      <c r="D31" s="186"/>
      <c r="E31" s="190"/>
      <c r="F31" s="192">
        <f>SUM(F30)</f>
        <v>1620</v>
      </c>
      <c r="G31" s="190"/>
      <c r="H31" s="190"/>
      <c r="I31" s="190"/>
      <c r="J31" s="190"/>
      <c r="K31" s="190"/>
      <c r="L31" s="190"/>
      <c r="M31" s="190"/>
      <c r="N31" s="190"/>
      <c r="O31" s="190"/>
      <c r="P31" s="190"/>
      <c r="Q31" s="190"/>
      <c r="R31" s="190"/>
      <c r="S31" s="190"/>
      <c r="T31" s="190"/>
      <c r="U31" s="190"/>
      <c r="V31" s="190"/>
      <c r="W31" s="190"/>
      <c r="X31" s="190"/>
      <c r="Y31" s="190"/>
      <c r="Z31" s="190"/>
      <c r="AA31" s="190"/>
      <c r="AB31" s="190"/>
      <c r="AC31" s="190"/>
      <c r="AD31" s="190"/>
      <c r="AE31" s="190"/>
      <c r="AF31" s="190"/>
    </row>
    <row r="32" ht="15.75" customHeight="1">
      <c r="C32" s="24"/>
      <c r="D32" s="24"/>
      <c r="G32" s="190"/>
      <c r="H32" s="190"/>
    </row>
    <row r="33" ht="15.75" customHeight="1">
      <c r="A33" s="189" t="s">
        <v>124</v>
      </c>
      <c r="B33" s="190" t="s">
        <v>123</v>
      </c>
      <c r="C33" s="186" t="s">
        <v>3099</v>
      </c>
      <c r="D33" s="186" t="s">
        <v>122</v>
      </c>
      <c r="E33" s="24" t="s">
        <v>97</v>
      </c>
      <c r="F33" s="200">
        <v>3240.0</v>
      </c>
      <c r="G33" s="190"/>
      <c r="J33" s="190"/>
      <c r="K33" s="190"/>
      <c r="L33" s="190"/>
      <c r="M33" s="190"/>
      <c r="N33" s="190"/>
      <c r="O33" s="190"/>
      <c r="P33" s="190"/>
      <c r="Q33" s="190"/>
      <c r="R33" s="190"/>
      <c r="S33" s="190"/>
      <c r="T33" s="190"/>
      <c r="U33" s="190"/>
      <c r="V33" s="190"/>
      <c r="W33" s="190"/>
      <c r="X33" s="190"/>
      <c r="Y33" s="190"/>
      <c r="Z33" s="190"/>
      <c r="AA33" s="190"/>
      <c r="AB33" s="190"/>
      <c r="AC33" s="190"/>
      <c r="AD33" s="190"/>
      <c r="AE33" s="190"/>
      <c r="AF33" s="190"/>
    </row>
    <row r="34" ht="15.75" customHeight="1">
      <c r="A34" s="190"/>
      <c r="B34" s="190"/>
      <c r="C34" s="186"/>
      <c r="D34" s="186"/>
      <c r="E34" s="190"/>
      <c r="F34" s="192">
        <f>SUM(F33)</f>
        <v>3240</v>
      </c>
      <c r="G34" s="190"/>
      <c r="H34" s="190"/>
      <c r="I34" s="190"/>
      <c r="J34" s="190"/>
      <c r="K34" s="190"/>
      <c r="L34" s="190"/>
      <c r="M34" s="190"/>
      <c r="N34" s="190"/>
      <c r="O34" s="190"/>
      <c r="P34" s="190"/>
      <c r="Q34" s="190"/>
      <c r="R34" s="190"/>
      <c r="S34" s="190"/>
      <c r="T34" s="190"/>
      <c r="U34" s="190"/>
      <c r="V34" s="190"/>
      <c r="W34" s="190"/>
      <c r="X34" s="190"/>
      <c r="Y34" s="190"/>
      <c r="Z34" s="190"/>
      <c r="AA34" s="190"/>
      <c r="AB34" s="190"/>
      <c r="AC34" s="190"/>
      <c r="AD34" s="190"/>
      <c r="AE34" s="190"/>
      <c r="AF34" s="190"/>
    </row>
    <row r="35" ht="15.75" customHeight="1">
      <c r="A35" s="189"/>
      <c r="B35" s="190"/>
      <c r="C35" s="186"/>
      <c r="D35" s="186"/>
      <c r="E35" s="190"/>
      <c r="F35" s="200"/>
      <c r="G35" s="190"/>
      <c r="H35" s="190" t="s">
        <v>376</v>
      </c>
      <c r="I35" s="190"/>
      <c r="J35" s="190"/>
      <c r="K35" s="190"/>
      <c r="L35" s="190"/>
      <c r="M35" s="190"/>
      <c r="N35" s="190"/>
      <c r="O35" s="190"/>
      <c r="P35" s="190"/>
      <c r="Q35" s="190"/>
      <c r="R35" s="190"/>
      <c r="S35" s="190"/>
      <c r="T35" s="190"/>
      <c r="U35" s="190"/>
      <c r="V35" s="190"/>
      <c r="W35" s="190"/>
      <c r="X35" s="190"/>
      <c r="Y35" s="190"/>
      <c r="Z35" s="190"/>
      <c r="AA35" s="190"/>
      <c r="AB35" s="190"/>
      <c r="AC35" s="190"/>
      <c r="AD35" s="190"/>
      <c r="AE35" s="190"/>
      <c r="AF35" s="190"/>
    </row>
    <row r="36" ht="15.75" customHeight="1">
      <c r="A36" s="189" t="s">
        <v>110</v>
      </c>
      <c r="B36" s="190" t="s">
        <v>109</v>
      </c>
      <c r="C36" s="186" t="s">
        <v>3102</v>
      </c>
      <c r="D36" s="186" t="s">
        <v>108</v>
      </c>
      <c r="E36" s="190"/>
      <c r="F36" s="200">
        <v>3078.0</v>
      </c>
      <c r="G36" s="190"/>
      <c r="H36" s="190"/>
      <c r="I36" s="190"/>
      <c r="J36" s="190"/>
      <c r="K36" s="190"/>
      <c r="L36" s="190"/>
      <c r="M36" s="190"/>
      <c r="N36" s="190"/>
      <c r="O36" s="190"/>
      <c r="P36" s="190"/>
      <c r="Q36" s="190"/>
      <c r="R36" s="190"/>
      <c r="S36" s="190"/>
      <c r="T36" s="190"/>
      <c r="U36" s="190"/>
      <c r="V36" s="190"/>
      <c r="W36" s="190"/>
      <c r="X36" s="190"/>
      <c r="Y36" s="190"/>
      <c r="Z36" s="190"/>
      <c r="AA36" s="190"/>
      <c r="AB36" s="190"/>
      <c r="AC36" s="190"/>
      <c r="AD36" s="190"/>
      <c r="AE36" s="190"/>
      <c r="AF36" s="190"/>
    </row>
    <row r="37" ht="15.75" customHeight="1">
      <c r="A37" s="190"/>
      <c r="B37" s="190"/>
      <c r="C37" s="186"/>
      <c r="D37" s="186"/>
      <c r="E37" s="190"/>
      <c r="F37" s="192">
        <f>SUM(F36)</f>
        <v>3078</v>
      </c>
      <c r="G37" s="190"/>
      <c r="H37" s="190"/>
      <c r="I37" s="190"/>
      <c r="J37" s="190"/>
      <c r="K37" s="190"/>
      <c r="L37" s="190"/>
      <c r="M37" s="190"/>
      <c r="N37" s="190"/>
      <c r="O37" s="190"/>
      <c r="P37" s="190"/>
      <c r="Q37" s="190"/>
      <c r="R37" s="190"/>
      <c r="S37" s="190"/>
      <c r="T37" s="190"/>
      <c r="U37" s="190"/>
      <c r="V37" s="190"/>
      <c r="W37" s="190"/>
      <c r="X37" s="190"/>
      <c r="Y37" s="190"/>
      <c r="Z37" s="190"/>
      <c r="AA37" s="190"/>
      <c r="AB37" s="190"/>
      <c r="AC37" s="190"/>
      <c r="AD37" s="190"/>
      <c r="AE37" s="190"/>
      <c r="AF37" s="190"/>
    </row>
    <row r="38" ht="15.75" customHeight="1">
      <c r="C38" s="24"/>
      <c r="D38" s="24"/>
    </row>
    <row r="39" ht="15.75" customHeight="1">
      <c r="A39" s="201" t="s">
        <v>114</v>
      </c>
      <c r="B39" s="43" t="s">
        <v>113</v>
      </c>
      <c r="C39" s="202"/>
      <c r="D39" s="202" t="s">
        <v>112</v>
      </c>
      <c r="E39" s="43" t="s">
        <v>3103</v>
      </c>
      <c r="F39" s="203">
        <v>1620.0</v>
      </c>
      <c r="G39" s="190"/>
      <c r="H39" s="190"/>
      <c r="I39" s="190"/>
      <c r="J39" s="190"/>
      <c r="K39" s="190"/>
      <c r="L39" s="190"/>
      <c r="M39" s="190"/>
      <c r="N39" s="190"/>
      <c r="O39" s="190"/>
      <c r="P39" s="190"/>
      <c r="Q39" s="190"/>
      <c r="R39" s="190"/>
      <c r="S39" s="190"/>
      <c r="T39" s="190"/>
      <c r="U39" s="190"/>
      <c r="V39" s="190"/>
      <c r="W39" s="190"/>
      <c r="X39" s="190"/>
      <c r="Y39" s="190"/>
      <c r="Z39" s="190"/>
      <c r="AA39" s="190"/>
      <c r="AB39" s="190"/>
      <c r="AC39" s="190"/>
      <c r="AD39" s="190"/>
      <c r="AE39" s="190"/>
      <c r="AF39" s="190"/>
    </row>
    <row r="40" ht="15.75" customHeight="1">
      <c r="A40" s="190"/>
      <c r="B40" s="190"/>
      <c r="C40" s="186"/>
      <c r="D40" s="186"/>
      <c r="E40" s="190"/>
      <c r="F40" s="192">
        <f>SUM(F39)</f>
        <v>1620</v>
      </c>
      <c r="G40" s="190"/>
      <c r="H40" s="190"/>
      <c r="I40" s="190"/>
      <c r="J40" s="190"/>
      <c r="K40" s="190"/>
      <c r="L40" s="190"/>
      <c r="M40" s="190"/>
      <c r="N40" s="190"/>
      <c r="O40" s="190"/>
      <c r="P40" s="190"/>
      <c r="Q40" s="190"/>
      <c r="R40" s="190"/>
      <c r="S40" s="190"/>
      <c r="T40" s="190"/>
      <c r="U40" s="190"/>
      <c r="V40" s="190"/>
      <c r="W40" s="190"/>
      <c r="X40" s="190"/>
      <c r="Y40" s="190"/>
      <c r="Z40" s="190"/>
      <c r="AA40" s="190"/>
      <c r="AB40" s="190"/>
      <c r="AC40" s="190"/>
      <c r="AD40" s="190"/>
      <c r="AE40" s="190"/>
      <c r="AF40" s="190"/>
    </row>
    <row r="41" ht="15.75" customHeight="1">
      <c r="C41" s="24"/>
      <c r="D41" s="24"/>
    </row>
    <row r="42" ht="15.75" customHeight="1">
      <c r="A42" s="189" t="s">
        <v>120</v>
      </c>
      <c r="B42" s="190" t="s">
        <v>119</v>
      </c>
      <c r="C42" s="186"/>
      <c r="D42" s="186" t="s">
        <v>118</v>
      </c>
      <c r="E42" s="190"/>
      <c r="F42" s="200">
        <v>5848.32</v>
      </c>
      <c r="G42" s="190"/>
      <c r="H42" s="190"/>
      <c r="I42" s="190"/>
      <c r="J42" s="190"/>
      <c r="K42" s="190"/>
      <c r="L42" s="190"/>
      <c r="M42" s="190"/>
      <c r="N42" s="190"/>
      <c r="O42" s="190"/>
      <c r="P42" s="190"/>
      <c r="Q42" s="190"/>
      <c r="R42" s="190"/>
      <c r="S42" s="190"/>
      <c r="T42" s="190"/>
      <c r="U42" s="190"/>
      <c r="V42" s="190"/>
      <c r="W42" s="190"/>
      <c r="X42" s="190"/>
      <c r="Y42" s="190"/>
      <c r="Z42" s="190"/>
      <c r="AA42" s="190"/>
      <c r="AB42" s="190"/>
      <c r="AC42" s="190"/>
      <c r="AD42" s="190"/>
      <c r="AE42" s="190"/>
      <c r="AF42" s="190"/>
    </row>
    <row r="43" ht="15.75" customHeight="1">
      <c r="A43" s="190"/>
      <c r="B43" s="190"/>
      <c r="C43" s="186"/>
      <c r="D43" s="186" t="s">
        <v>411</v>
      </c>
      <c r="E43" s="190"/>
      <c r="F43" s="204">
        <v>6480.0</v>
      </c>
      <c r="G43" s="190"/>
      <c r="H43" s="190"/>
      <c r="I43" s="190"/>
      <c r="J43" s="190"/>
      <c r="K43" s="190"/>
      <c r="L43" s="190"/>
      <c r="M43" s="190"/>
      <c r="N43" s="190"/>
      <c r="O43" s="190"/>
      <c r="P43" s="190"/>
      <c r="Q43" s="190"/>
      <c r="R43" s="190"/>
      <c r="S43" s="190"/>
      <c r="T43" s="190"/>
      <c r="U43" s="190"/>
      <c r="V43" s="190"/>
      <c r="W43" s="190"/>
      <c r="X43" s="190"/>
      <c r="Y43" s="190"/>
      <c r="Z43" s="190"/>
      <c r="AA43" s="190"/>
      <c r="AB43" s="190"/>
      <c r="AC43" s="190"/>
      <c r="AD43" s="190"/>
      <c r="AE43" s="190"/>
      <c r="AF43" s="190"/>
    </row>
    <row r="44" ht="15.75" customHeight="1">
      <c r="A44" s="190"/>
      <c r="B44" s="190"/>
      <c r="C44" s="186"/>
      <c r="D44" s="186"/>
      <c r="E44" s="190"/>
      <c r="F44" s="192">
        <f>SUM(F42:F43)</f>
        <v>12328.32</v>
      </c>
      <c r="G44" s="190"/>
      <c r="H44" s="190"/>
      <c r="I44" s="190"/>
      <c r="J44" s="190"/>
      <c r="K44" s="190"/>
      <c r="L44" s="190"/>
      <c r="M44" s="190"/>
      <c r="N44" s="190"/>
      <c r="O44" s="190"/>
      <c r="P44" s="190"/>
      <c r="Q44" s="190"/>
      <c r="R44" s="190"/>
      <c r="S44" s="190"/>
      <c r="T44" s="190"/>
      <c r="U44" s="190"/>
      <c r="V44" s="190"/>
      <c r="W44" s="190"/>
      <c r="X44" s="190"/>
      <c r="Y44" s="190"/>
      <c r="Z44" s="190"/>
      <c r="AA44" s="190"/>
      <c r="AB44" s="190"/>
      <c r="AC44" s="190"/>
      <c r="AD44" s="190"/>
      <c r="AE44" s="190"/>
      <c r="AF44" s="190"/>
    </row>
    <row r="45" ht="15.75" customHeight="1">
      <c r="C45" s="24"/>
      <c r="D45" s="24"/>
    </row>
    <row r="46" ht="15.75" customHeight="1">
      <c r="A46" s="189" t="s">
        <v>128</v>
      </c>
      <c r="B46" s="190" t="s">
        <v>127</v>
      </c>
      <c r="C46" s="186"/>
      <c r="D46" s="186" t="s">
        <v>126</v>
      </c>
      <c r="E46" s="190"/>
      <c r="F46" s="200">
        <v>1620.0</v>
      </c>
      <c r="G46" s="190"/>
      <c r="H46" s="190"/>
      <c r="I46" s="190"/>
      <c r="J46" s="190"/>
      <c r="K46" s="190"/>
      <c r="L46" s="190"/>
      <c r="M46" s="190"/>
      <c r="N46" s="190"/>
      <c r="O46" s="190"/>
      <c r="P46" s="190"/>
      <c r="Q46" s="190"/>
      <c r="R46" s="190"/>
      <c r="S46" s="190"/>
      <c r="T46" s="190"/>
      <c r="U46" s="190"/>
      <c r="V46" s="190"/>
      <c r="W46" s="190"/>
      <c r="X46" s="190"/>
      <c r="Y46" s="190"/>
      <c r="Z46" s="190"/>
      <c r="AA46" s="190"/>
      <c r="AB46" s="190"/>
      <c r="AC46" s="190"/>
      <c r="AD46" s="190"/>
      <c r="AE46" s="190"/>
      <c r="AF46" s="190"/>
    </row>
    <row r="47" ht="15.75" customHeight="1">
      <c r="A47" s="190"/>
      <c r="B47" s="190"/>
      <c r="C47" s="186"/>
      <c r="D47" s="186"/>
      <c r="E47" s="190"/>
      <c r="F47" s="192">
        <f>SUM(F46)</f>
        <v>1620</v>
      </c>
      <c r="G47" s="190"/>
      <c r="H47" s="190"/>
      <c r="I47" s="190"/>
      <c r="J47" s="190"/>
      <c r="K47" s="190"/>
      <c r="L47" s="190"/>
      <c r="M47" s="190"/>
      <c r="N47" s="190"/>
      <c r="O47" s="190"/>
      <c r="P47" s="190"/>
      <c r="Q47" s="190"/>
      <c r="R47" s="190"/>
      <c r="S47" s="190"/>
      <c r="T47" s="190"/>
      <c r="U47" s="190"/>
      <c r="V47" s="190"/>
      <c r="W47" s="190"/>
      <c r="X47" s="190"/>
      <c r="Y47" s="190"/>
      <c r="Z47" s="190"/>
      <c r="AA47" s="190"/>
      <c r="AB47" s="190"/>
      <c r="AC47" s="190"/>
      <c r="AD47" s="190"/>
      <c r="AE47" s="190"/>
      <c r="AF47" s="190"/>
    </row>
    <row r="48" ht="15.75" customHeight="1">
      <c r="C48" s="24"/>
      <c r="D48" s="24"/>
    </row>
    <row r="49" ht="15.75" customHeight="1">
      <c r="A49" s="189" t="s">
        <v>138</v>
      </c>
      <c r="B49" s="190" t="s">
        <v>136</v>
      </c>
      <c r="C49" s="186"/>
      <c r="D49" s="186" t="s">
        <v>135</v>
      </c>
      <c r="E49" s="190"/>
      <c r="F49" s="200">
        <v>1350.0</v>
      </c>
      <c r="G49" s="190"/>
      <c r="H49" s="190"/>
      <c r="I49" s="190"/>
      <c r="J49" s="190"/>
      <c r="K49" s="190"/>
      <c r="L49" s="190"/>
      <c r="M49" s="190"/>
      <c r="N49" s="190"/>
      <c r="O49" s="190"/>
      <c r="P49" s="190"/>
      <c r="Q49" s="190"/>
      <c r="R49" s="190"/>
      <c r="S49" s="190"/>
      <c r="T49" s="190"/>
      <c r="U49" s="190"/>
      <c r="V49" s="190"/>
      <c r="W49" s="190"/>
      <c r="X49" s="190"/>
      <c r="Y49" s="190"/>
      <c r="Z49" s="190"/>
      <c r="AA49" s="190"/>
      <c r="AB49" s="190"/>
      <c r="AC49" s="190"/>
      <c r="AD49" s="190"/>
      <c r="AE49" s="190"/>
      <c r="AF49" s="190"/>
    </row>
    <row r="50" ht="15.75" customHeight="1">
      <c r="A50" s="190"/>
      <c r="B50" s="190"/>
      <c r="C50" s="186"/>
      <c r="D50" s="186"/>
      <c r="E50" s="190"/>
      <c r="F50" s="192">
        <f>SUM(F49)</f>
        <v>1350</v>
      </c>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row>
    <row r="51" ht="15.75" customHeight="1">
      <c r="C51" s="24"/>
      <c r="D51" s="24"/>
    </row>
    <row r="52" ht="15.75" customHeight="1">
      <c r="A52" s="189" t="s">
        <v>149</v>
      </c>
      <c r="B52" s="190" t="s">
        <v>148</v>
      </c>
      <c r="C52" s="186"/>
      <c r="D52" s="186" t="s">
        <v>147</v>
      </c>
      <c r="E52" s="190"/>
      <c r="F52" s="200">
        <v>27000.0</v>
      </c>
      <c r="G52" s="190"/>
      <c r="H52" s="190"/>
      <c r="I52" s="190"/>
      <c r="J52" s="190"/>
      <c r="K52" s="190"/>
      <c r="L52" s="190"/>
      <c r="M52" s="190"/>
      <c r="N52" s="190"/>
      <c r="O52" s="190"/>
      <c r="P52" s="190"/>
      <c r="Q52" s="190"/>
      <c r="R52" s="190"/>
      <c r="S52" s="190"/>
      <c r="T52" s="190"/>
      <c r="U52" s="190"/>
      <c r="V52" s="190"/>
      <c r="W52" s="190"/>
      <c r="X52" s="190"/>
      <c r="Y52" s="190"/>
      <c r="Z52" s="190"/>
      <c r="AA52" s="190"/>
      <c r="AB52" s="190"/>
      <c r="AC52" s="190"/>
      <c r="AD52" s="190"/>
      <c r="AE52" s="190"/>
      <c r="AF52" s="190"/>
    </row>
    <row r="53" ht="15.75" customHeight="1">
      <c r="A53" s="190"/>
      <c r="B53" s="190"/>
      <c r="C53" s="186"/>
      <c r="D53" s="186"/>
      <c r="E53" s="190"/>
      <c r="F53" s="192">
        <f>SUM(F52)</f>
        <v>27000</v>
      </c>
      <c r="G53" s="190"/>
      <c r="H53" s="190"/>
      <c r="I53" s="190"/>
      <c r="J53" s="190"/>
      <c r="K53" s="190"/>
      <c r="L53" s="190"/>
      <c r="M53" s="190"/>
      <c r="N53" s="190"/>
      <c r="O53" s="190"/>
      <c r="P53" s="190"/>
      <c r="Q53" s="190"/>
      <c r="R53" s="190"/>
      <c r="S53" s="190"/>
      <c r="T53" s="190"/>
      <c r="U53" s="190"/>
      <c r="V53" s="190"/>
      <c r="W53" s="190"/>
      <c r="X53" s="190"/>
      <c r="Y53" s="190"/>
      <c r="Z53" s="190"/>
      <c r="AA53" s="190"/>
      <c r="AB53" s="190"/>
      <c r="AC53" s="190"/>
      <c r="AD53" s="190"/>
      <c r="AE53" s="190"/>
      <c r="AF53" s="190"/>
    </row>
    <row r="54" ht="15.75" customHeight="1">
      <c r="C54" s="24"/>
      <c r="D54" s="24"/>
    </row>
    <row r="55" ht="15.75" customHeight="1">
      <c r="A55" s="189" t="s">
        <v>155</v>
      </c>
      <c r="B55" s="205" t="s">
        <v>154</v>
      </c>
      <c r="C55" s="186"/>
      <c r="D55" s="186" t="s">
        <v>153</v>
      </c>
      <c r="E55" s="190"/>
      <c r="F55" s="200">
        <v>1620.0</v>
      </c>
      <c r="G55" s="190"/>
      <c r="H55" s="190"/>
      <c r="I55" s="190"/>
      <c r="J55" s="190"/>
      <c r="K55" s="190"/>
      <c r="L55" s="190"/>
      <c r="M55" s="190"/>
      <c r="N55" s="190"/>
      <c r="O55" s="190"/>
      <c r="P55" s="190"/>
      <c r="Q55" s="190"/>
      <c r="R55" s="190"/>
      <c r="S55" s="190"/>
      <c r="T55" s="190"/>
      <c r="U55" s="190"/>
      <c r="V55" s="190"/>
      <c r="W55" s="190"/>
      <c r="X55" s="190"/>
      <c r="Y55" s="190"/>
      <c r="Z55" s="190"/>
      <c r="AA55" s="190"/>
      <c r="AB55" s="190"/>
      <c r="AC55" s="190"/>
      <c r="AD55" s="190"/>
      <c r="AE55" s="190"/>
      <c r="AF55" s="190"/>
    </row>
    <row r="56" ht="15.75" customHeight="1">
      <c r="A56" s="190"/>
      <c r="B56" s="190"/>
      <c r="C56" s="186"/>
      <c r="D56" s="186"/>
      <c r="E56" s="190"/>
      <c r="F56" s="192">
        <f>SUM(F55)</f>
        <v>1620</v>
      </c>
      <c r="G56" s="190"/>
      <c r="H56" s="190"/>
      <c r="I56" s="190"/>
      <c r="J56" s="190"/>
      <c r="K56" s="190"/>
      <c r="L56" s="190"/>
      <c r="M56" s="190"/>
      <c r="N56" s="190"/>
      <c r="O56" s="190"/>
      <c r="P56" s="190"/>
      <c r="Q56" s="190"/>
      <c r="R56" s="190"/>
      <c r="S56" s="190"/>
      <c r="T56" s="190"/>
      <c r="U56" s="190"/>
      <c r="V56" s="190"/>
      <c r="W56" s="190"/>
      <c r="X56" s="190"/>
      <c r="Y56" s="190"/>
      <c r="Z56" s="190"/>
      <c r="AA56" s="190"/>
      <c r="AB56" s="190"/>
      <c r="AC56" s="190"/>
      <c r="AD56" s="190"/>
      <c r="AE56" s="190"/>
      <c r="AF56" s="190"/>
    </row>
    <row r="57" ht="15.75" customHeight="1">
      <c r="C57" s="24"/>
      <c r="D57" s="24"/>
    </row>
    <row r="58" ht="15.75" customHeight="1">
      <c r="A58" s="201" t="s">
        <v>159</v>
      </c>
      <c r="B58" s="43" t="s">
        <v>3104</v>
      </c>
      <c r="C58" s="202"/>
      <c r="D58" s="202" t="s">
        <v>158</v>
      </c>
      <c r="E58" s="43" t="s">
        <v>3105</v>
      </c>
      <c r="F58" s="203">
        <v>2308.5</v>
      </c>
      <c r="G58" s="190"/>
      <c r="H58" s="190"/>
      <c r="I58" s="190"/>
      <c r="J58" s="190"/>
      <c r="K58" s="190"/>
      <c r="L58" s="190"/>
      <c r="M58" s="190"/>
      <c r="N58" s="190"/>
      <c r="O58" s="190"/>
      <c r="P58" s="190"/>
      <c r="Q58" s="190"/>
      <c r="R58" s="190"/>
      <c r="S58" s="190"/>
      <c r="T58" s="190"/>
      <c r="U58" s="190"/>
      <c r="V58" s="190"/>
      <c r="W58" s="190"/>
      <c r="X58" s="190"/>
      <c r="Y58" s="190"/>
      <c r="Z58" s="190"/>
      <c r="AA58" s="190"/>
      <c r="AB58" s="190"/>
      <c r="AC58" s="190"/>
      <c r="AD58" s="190"/>
      <c r="AE58" s="190"/>
      <c r="AF58" s="190"/>
    </row>
    <row r="59" ht="15.75" customHeight="1">
      <c r="A59" s="205"/>
      <c r="B59" s="205"/>
      <c r="C59" s="206"/>
      <c r="D59" s="206"/>
      <c r="E59" s="205"/>
      <c r="F59" s="207">
        <f>SUM(F58)</f>
        <v>2308.5</v>
      </c>
      <c r="G59" s="190"/>
      <c r="H59" s="190"/>
      <c r="I59" s="190"/>
      <c r="J59" s="190"/>
      <c r="K59" s="190"/>
      <c r="L59" s="190"/>
      <c r="M59" s="190"/>
      <c r="N59" s="190"/>
      <c r="O59" s="190"/>
      <c r="P59" s="190"/>
      <c r="Q59" s="190"/>
      <c r="R59" s="190"/>
      <c r="S59" s="190"/>
      <c r="T59" s="190"/>
      <c r="U59" s="190"/>
      <c r="V59" s="190"/>
      <c r="W59" s="190"/>
      <c r="X59" s="190"/>
      <c r="Y59" s="190"/>
      <c r="Z59" s="190"/>
      <c r="AA59" s="190"/>
      <c r="AB59" s="190"/>
      <c r="AC59" s="190"/>
      <c r="AD59" s="190"/>
      <c r="AE59" s="190"/>
      <c r="AF59" s="190"/>
    </row>
    <row r="60" ht="15.75" customHeight="1">
      <c r="C60" s="24"/>
      <c r="D60" s="24"/>
    </row>
    <row r="61" ht="15.75" customHeight="1">
      <c r="A61" s="189" t="s">
        <v>162</v>
      </c>
      <c r="B61" s="190" t="s">
        <v>3106</v>
      </c>
      <c r="C61" s="186"/>
      <c r="D61" s="186" t="s">
        <v>161</v>
      </c>
      <c r="E61" s="190"/>
      <c r="F61" s="200">
        <v>29040.0</v>
      </c>
      <c r="G61" s="190"/>
      <c r="H61" s="190"/>
      <c r="I61" s="190"/>
      <c r="J61" s="190"/>
      <c r="K61" s="190"/>
      <c r="L61" s="190"/>
      <c r="M61" s="190"/>
      <c r="N61" s="190"/>
      <c r="O61" s="190"/>
      <c r="P61" s="190"/>
      <c r="Q61" s="190"/>
      <c r="R61" s="190"/>
      <c r="S61" s="190"/>
      <c r="T61" s="190"/>
      <c r="U61" s="190"/>
      <c r="V61" s="190"/>
      <c r="W61" s="190"/>
      <c r="X61" s="190"/>
      <c r="Y61" s="190"/>
      <c r="Z61" s="190"/>
      <c r="AA61" s="190"/>
      <c r="AB61" s="190"/>
      <c r="AC61" s="190"/>
      <c r="AD61" s="190"/>
      <c r="AE61" s="190"/>
      <c r="AF61" s="190"/>
    </row>
    <row r="62" ht="15.75" customHeight="1">
      <c r="A62" s="190"/>
      <c r="B62" s="190"/>
      <c r="C62" s="186"/>
      <c r="D62" s="186"/>
      <c r="E62" s="190"/>
      <c r="F62" s="192">
        <f>SUM(F61)</f>
        <v>29040</v>
      </c>
      <c r="G62" s="190"/>
      <c r="H62" s="190"/>
      <c r="I62" s="190"/>
      <c r="J62" s="190"/>
      <c r="K62" s="190"/>
      <c r="L62" s="190"/>
      <c r="M62" s="190"/>
      <c r="N62" s="190"/>
      <c r="O62" s="190"/>
      <c r="P62" s="190"/>
      <c r="Q62" s="190"/>
      <c r="R62" s="190"/>
      <c r="S62" s="190"/>
      <c r="T62" s="190"/>
      <c r="U62" s="190"/>
      <c r="V62" s="190"/>
      <c r="W62" s="190"/>
      <c r="X62" s="190"/>
      <c r="Y62" s="190"/>
      <c r="Z62" s="190"/>
      <c r="AA62" s="190"/>
      <c r="AB62" s="190"/>
      <c r="AC62" s="190"/>
      <c r="AD62" s="190"/>
      <c r="AE62" s="190"/>
      <c r="AF62" s="190"/>
    </row>
    <row r="63" ht="15.75" customHeight="1">
      <c r="C63" s="24"/>
      <c r="D63" s="24"/>
    </row>
    <row r="64" ht="15.75" customHeight="1">
      <c r="A64" s="189" t="s">
        <v>166</v>
      </c>
      <c r="B64" s="190" t="s">
        <v>165</v>
      </c>
      <c r="C64" s="186"/>
      <c r="D64" s="186" t="s">
        <v>164</v>
      </c>
      <c r="E64" s="190"/>
      <c r="F64" s="200">
        <v>3000.0</v>
      </c>
      <c r="G64" s="190"/>
      <c r="H64" s="190"/>
      <c r="I64" s="190"/>
      <c r="J64" s="190"/>
      <c r="K64" s="190"/>
      <c r="L64" s="190"/>
      <c r="M64" s="190"/>
      <c r="N64" s="190"/>
      <c r="O64" s="190"/>
      <c r="P64" s="190"/>
      <c r="Q64" s="190"/>
      <c r="R64" s="190"/>
      <c r="S64" s="190"/>
      <c r="T64" s="190"/>
      <c r="U64" s="190"/>
      <c r="V64" s="190"/>
      <c r="W64" s="190"/>
      <c r="X64" s="190"/>
      <c r="Y64" s="190"/>
      <c r="Z64" s="190"/>
      <c r="AA64" s="190"/>
      <c r="AB64" s="190"/>
      <c r="AC64" s="190"/>
      <c r="AD64" s="190"/>
      <c r="AE64" s="190"/>
      <c r="AF64" s="190"/>
    </row>
    <row r="65" ht="15.75" customHeight="1">
      <c r="A65" s="190"/>
      <c r="B65" s="190"/>
      <c r="C65" s="186"/>
      <c r="D65" s="186"/>
      <c r="E65" s="190"/>
      <c r="F65" s="192">
        <f>SUM(F64)</f>
        <v>3000</v>
      </c>
      <c r="G65" s="190"/>
      <c r="H65" s="190"/>
      <c r="I65" s="190"/>
      <c r="J65" s="190"/>
      <c r="K65" s="190"/>
      <c r="L65" s="190"/>
      <c r="M65" s="190"/>
      <c r="N65" s="190"/>
      <c r="O65" s="190"/>
      <c r="P65" s="190"/>
      <c r="Q65" s="190"/>
      <c r="R65" s="190"/>
      <c r="S65" s="190"/>
      <c r="T65" s="190"/>
      <c r="U65" s="190"/>
      <c r="V65" s="190"/>
      <c r="W65" s="190"/>
      <c r="X65" s="190"/>
      <c r="Y65" s="190"/>
      <c r="Z65" s="190"/>
      <c r="AA65" s="190"/>
      <c r="AB65" s="190"/>
      <c r="AC65" s="190"/>
      <c r="AD65" s="190"/>
      <c r="AE65" s="190"/>
      <c r="AF65" s="190"/>
    </row>
    <row r="66" ht="15.75" customHeight="1">
      <c r="C66" s="24"/>
      <c r="D66" s="24"/>
    </row>
    <row r="67" ht="15.75" customHeight="1">
      <c r="A67" s="189" t="s">
        <v>173</v>
      </c>
      <c r="B67" s="190" t="s">
        <v>170</v>
      </c>
      <c r="C67" s="208">
        <v>45935.0</v>
      </c>
      <c r="D67" s="186" t="s">
        <v>169</v>
      </c>
      <c r="E67" s="190"/>
      <c r="F67" s="200">
        <v>5848.32</v>
      </c>
      <c r="G67" s="190"/>
      <c r="H67" s="190"/>
      <c r="I67" s="190"/>
      <c r="J67" s="190"/>
      <c r="K67" s="190"/>
      <c r="L67" s="190"/>
      <c r="M67" s="190"/>
      <c r="N67" s="190"/>
      <c r="O67" s="190"/>
      <c r="P67" s="190"/>
      <c r="Q67" s="190"/>
      <c r="R67" s="190"/>
      <c r="S67" s="190"/>
      <c r="T67" s="190"/>
      <c r="U67" s="190"/>
      <c r="V67" s="190"/>
      <c r="W67" s="190"/>
      <c r="X67" s="190"/>
      <c r="Y67" s="190"/>
      <c r="Z67" s="190"/>
      <c r="AA67" s="190"/>
      <c r="AB67" s="190"/>
      <c r="AC67" s="190"/>
      <c r="AD67" s="190"/>
      <c r="AE67" s="190"/>
      <c r="AF67" s="190"/>
    </row>
    <row r="68" ht="15.75" customHeight="1">
      <c r="A68" s="190"/>
      <c r="B68" s="190"/>
      <c r="C68" s="208">
        <v>45935.0</v>
      </c>
      <c r="D68" s="186" t="s">
        <v>406</v>
      </c>
      <c r="E68" s="190"/>
      <c r="F68" s="209">
        <v>14580.0</v>
      </c>
      <c r="G68" s="190"/>
      <c r="H68" s="190"/>
      <c r="I68" s="190"/>
      <c r="J68" s="190"/>
      <c r="K68" s="190"/>
      <c r="L68" s="190"/>
      <c r="M68" s="190"/>
      <c r="N68" s="190"/>
      <c r="O68" s="190"/>
      <c r="P68" s="190"/>
      <c r="Q68" s="190"/>
      <c r="R68" s="190"/>
      <c r="S68" s="190"/>
      <c r="T68" s="190"/>
      <c r="U68" s="190"/>
      <c r="V68" s="190"/>
      <c r="W68" s="190"/>
      <c r="X68" s="190"/>
      <c r="Y68" s="190"/>
      <c r="Z68" s="190"/>
      <c r="AA68" s="190"/>
      <c r="AB68" s="190"/>
      <c r="AC68" s="190"/>
      <c r="AD68" s="190"/>
      <c r="AE68" s="190"/>
      <c r="AF68" s="190"/>
    </row>
    <row r="69" ht="15.75" customHeight="1">
      <c r="C69" s="24"/>
      <c r="D69" s="24"/>
      <c r="F69" s="192">
        <f>SUM(F67:F68)</f>
        <v>20428.32</v>
      </c>
    </row>
    <row r="70" ht="15.75" customHeight="1">
      <c r="C70" s="24"/>
      <c r="D70" s="24"/>
    </row>
    <row r="71" ht="15.75" customHeight="1">
      <c r="A71" s="189" t="s">
        <v>178</v>
      </c>
      <c r="B71" s="190" t="s">
        <v>176</v>
      </c>
      <c r="C71" s="24" t="s">
        <v>3107</v>
      </c>
      <c r="D71" s="186" t="s">
        <v>175</v>
      </c>
      <c r="E71" s="190"/>
      <c r="F71" s="200">
        <v>3360.0</v>
      </c>
      <c r="G71" s="190"/>
      <c r="H71" s="190"/>
      <c r="I71" s="190"/>
      <c r="J71" s="190"/>
      <c r="K71" s="190"/>
      <c r="L71" s="190"/>
      <c r="M71" s="190"/>
      <c r="N71" s="190"/>
      <c r="O71" s="190"/>
      <c r="P71" s="190"/>
      <c r="Q71" s="190"/>
      <c r="R71" s="190"/>
      <c r="S71" s="190"/>
      <c r="T71" s="190"/>
      <c r="U71" s="190"/>
      <c r="V71" s="190"/>
      <c r="W71" s="190"/>
      <c r="X71" s="190"/>
      <c r="Y71" s="190"/>
      <c r="Z71" s="190"/>
      <c r="AA71" s="190"/>
      <c r="AB71" s="190"/>
      <c r="AC71" s="190"/>
      <c r="AD71" s="190"/>
      <c r="AE71" s="190"/>
      <c r="AF71" s="190"/>
    </row>
    <row r="72" ht="15.75" customHeight="1">
      <c r="A72" s="190"/>
      <c r="B72" s="190"/>
      <c r="C72" s="186"/>
      <c r="D72" s="186"/>
      <c r="E72" s="190"/>
      <c r="F72" s="192">
        <f>SUM(F71)</f>
        <v>3360</v>
      </c>
      <c r="G72" s="190"/>
      <c r="H72" s="190"/>
      <c r="I72" s="190"/>
      <c r="J72" s="190"/>
      <c r="K72" s="190"/>
      <c r="L72" s="190"/>
      <c r="M72" s="190"/>
      <c r="N72" s="190"/>
      <c r="O72" s="190"/>
      <c r="P72" s="190"/>
      <c r="Q72" s="190"/>
      <c r="R72" s="190"/>
      <c r="S72" s="190"/>
      <c r="T72" s="190"/>
      <c r="U72" s="190"/>
      <c r="V72" s="190"/>
      <c r="W72" s="190"/>
      <c r="X72" s="190"/>
      <c r="Y72" s="190"/>
      <c r="Z72" s="190"/>
      <c r="AA72" s="190"/>
      <c r="AB72" s="190"/>
      <c r="AC72" s="190"/>
      <c r="AD72" s="190"/>
      <c r="AE72" s="190"/>
      <c r="AF72" s="190"/>
    </row>
    <row r="73" ht="15.75" customHeight="1">
      <c r="C73" s="24"/>
      <c r="D73" s="24"/>
    </row>
    <row r="74" ht="15.75" customHeight="1">
      <c r="A74" s="189" t="s">
        <v>182</v>
      </c>
      <c r="B74" s="190" t="s">
        <v>181</v>
      </c>
      <c r="C74" s="208">
        <v>45935.0</v>
      </c>
      <c r="D74" s="186" t="s">
        <v>180</v>
      </c>
      <c r="E74" s="190"/>
      <c r="F74" s="200">
        <v>2924.16</v>
      </c>
      <c r="G74" s="190"/>
      <c r="H74" s="190"/>
      <c r="I74" s="190"/>
      <c r="J74" s="190"/>
      <c r="K74" s="190"/>
      <c r="L74" s="190"/>
      <c r="M74" s="190"/>
      <c r="N74" s="190"/>
      <c r="O74" s="190"/>
      <c r="P74" s="190"/>
      <c r="Q74" s="190"/>
      <c r="R74" s="190"/>
      <c r="S74" s="190"/>
      <c r="T74" s="190"/>
      <c r="U74" s="190"/>
      <c r="V74" s="190"/>
      <c r="W74" s="190"/>
      <c r="X74" s="190"/>
      <c r="Y74" s="190"/>
      <c r="Z74" s="190"/>
      <c r="AA74" s="190"/>
      <c r="AB74" s="190"/>
      <c r="AC74" s="190"/>
      <c r="AD74" s="190"/>
      <c r="AE74" s="190"/>
      <c r="AF74" s="190"/>
    </row>
    <row r="75" ht="15.75" customHeight="1">
      <c r="A75" s="190"/>
      <c r="B75" s="190"/>
      <c r="C75" s="186"/>
      <c r="D75" s="186"/>
      <c r="E75" s="190"/>
      <c r="F75" s="192">
        <f>SUM(F74)</f>
        <v>2924.16</v>
      </c>
      <c r="G75" s="190"/>
      <c r="H75" s="190"/>
      <c r="I75" s="190"/>
      <c r="J75" s="190"/>
      <c r="K75" s="190"/>
      <c r="L75" s="190"/>
      <c r="M75" s="190"/>
      <c r="N75" s="190"/>
      <c r="O75" s="190"/>
      <c r="P75" s="190"/>
      <c r="Q75" s="190"/>
      <c r="R75" s="190"/>
      <c r="S75" s="190"/>
      <c r="T75" s="190"/>
      <c r="U75" s="190"/>
      <c r="V75" s="190"/>
      <c r="W75" s="190"/>
      <c r="X75" s="190"/>
      <c r="Y75" s="190"/>
      <c r="Z75" s="190"/>
      <c r="AA75" s="190"/>
      <c r="AB75" s="190"/>
      <c r="AC75" s="190"/>
      <c r="AD75" s="190"/>
      <c r="AE75" s="190"/>
      <c r="AF75" s="190"/>
    </row>
    <row r="76" ht="15.75" customHeight="1">
      <c r="C76" s="24"/>
      <c r="D76" s="24"/>
    </row>
    <row r="77" ht="15.75" customHeight="1">
      <c r="A77" s="189" t="s">
        <v>186</v>
      </c>
      <c r="B77" s="190" t="s">
        <v>185</v>
      </c>
      <c r="C77" s="208">
        <v>45935.0</v>
      </c>
      <c r="D77" s="186" t="s">
        <v>184</v>
      </c>
      <c r="E77" s="190"/>
      <c r="F77" s="200">
        <v>2924.16</v>
      </c>
      <c r="G77" s="190"/>
      <c r="H77" s="190"/>
      <c r="I77" s="190"/>
      <c r="J77" s="190"/>
      <c r="K77" s="190"/>
      <c r="L77" s="190"/>
      <c r="M77" s="190"/>
      <c r="N77" s="190"/>
      <c r="O77" s="190"/>
      <c r="P77" s="190"/>
      <c r="Q77" s="190"/>
      <c r="R77" s="190"/>
      <c r="S77" s="190"/>
      <c r="T77" s="190"/>
      <c r="U77" s="190"/>
      <c r="V77" s="190"/>
      <c r="W77" s="190"/>
      <c r="X77" s="190"/>
      <c r="Y77" s="190"/>
      <c r="Z77" s="190"/>
      <c r="AA77" s="190"/>
      <c r="AB77" s="190"/>
      <c r="AC77" s="190"/>
      <c r="AD77" s="190"/>
      <c r="AE77" s="190"/>
      <c r="AF77" s="190"/>
    </row>
    <row r="78" ht="15.75" customHeight="1">
      <c r="A78" s="190"/>
      <c r="B78" s="190"/>
      <c r="C78" s="186"/>
      <c r="D78" s="186"/>
      <c r="E78" s="190"/>
      <c r="F78" s="192">
        <f>SUM(F77)</f>
        <v>2924.16</v>
      </c>
      <c r="G78" s="190"/>
      <c r="H78" s="190"/>
      <c r="I78" s="190"/>
      <c r="J78" s="190"/>
      <c r="K78" s="190"/>
      <c r="L78" s="190"/>
      <c r="M78" s="190"/>
      <c r="N78" s="190"/>
      <c r="O78" s="190"/>
      <c r="P78" s="190"/>
      <c r="Q78" s="190"/>
      <c r="R78" s="190"/>
      <c r="S78" s="190"/>
      <c r="T78" s="190"/>
      <c r="U78" s="190"/>
      <c r="V78" s="190"/>
      <c r="W78" s="190"/>
      <c r="X78" s="190"/>
      <c r="Y78" s="190"/>
      <c r="Z78" s="190"/>
      <c r="AA78" s="190"/>
      <c r="AB78" s="190"/>
      <c r="AC78" s="190"/>
      <c r="AD78" s="190"/>
      <c r="AE78" s="190"/>
      <c r="AF78" s="190"/>
    </row>
    <row r="79" ht="15.75" customHeight="1">
      <c r="C79" s="24"/>
      <c r="D79" s="24"/>
    </row>
    <row r="80" ht="15.75" customHeight="1">
      <c r="A80" s="189" t="s">
        <v>190</v>
      </c>
      <c r="B80" s="190" t="s">
        <v>189</v>
      </c>
      <c r="C80" s="24" t="s">
        <v>3107</v>
      </c>
      <c r="D80" s="186" t="s">
        <v>188</v>
      </c>
      <c r="E80" s="190"/>
      <c r="F80" s="200">
        <v>2856.0</v>
      </c>
      <c r="G80" s="190"/>
      <c r="H80" s="190"/>
      <c r="I80" s="190"/>
      <c r="J80" s="190"/>
      <c r="K80" s="190"/>
      <c r="L80" s="190"/>
      <c r="M80" s="190"/>
      <c r="N80" s="190"/>
      <c r="O80" s="190"/>
      <c r="P80" s="190"/>
      <c r="Q80" s="190"/>
      <c r="R80" s="190"/>
      <c r="S80" s="190"/>
      <c r="T80" s="190"/>
      <c r="U80" s="190"/>
      <c r="V80" s="190"/>
      <c r="W80" s="190"/>
      <c r="X80" s="190"/>
      <c r="Y80" s="190"/>
      <c r="Z80" s="190"/>
      <c r="AA80" s="190"/>
      <c r="AB80" s="190"/>
      <c r="AC80" s="190"/>
      <c r="AD80" s="190"/>
      <c r="AE80" s="190"/>
      <c r="AF80" s="190"/>
    </row>
    <row r="81" ht="15.75" customHeight="1">
      <c r="A81" s="190"/>
      <c r="B81" s="190"/>
      <c r="C81" s="186"/>
      <c r="D81" s="24" t="s">
        <v>565</v>
      </c>
      <c r="E81" s="190"/>
      <c r="F81" s="210">
        <v>5712.0</v>
      </c>
      <c r="G81" s="190"/>
      <c r="H81" s="190"/>
      <c r="I81" s="190"/>
      <c r="J81" s="190"/>
      <c r="K81" s="190"/>
      <c r="L81" s="190"/>
      <c r="M81" s="190"/>
      <c r="N81" s="190"/>
      <c r="O81" s="190"/>
      <c r="P81" s="190"/>
      <c r="Q81" s="190"/>
      <c r="R81" s="190"/>
      <c r="S81" s="190"/>
      <c r="T81" s="190"/>
      <c r="U81" s="190"/>
      <c r="V81" s="190"/>
      <c r="W81" s="190"/>
      <c r="X81" s="190"/>
      <c r="Y81" s="190"/>
      <c r="Z81" s="190"/>
      <c r="AA81" s="190"/>
      <c r="AB81" s="190"/>
      <c r="AC81" s="190"/>
      <c r="AD81" s="190"/>
      <c r="AE81" s="190"/>
      <c r="AF81" s="190"/>
    </row>
    <row r="82" ht="15.75" customHeight="1">
      <c r="C82" s="24"/>
      <c r="D82" s="24"/>
      <c r="F82" s="188">
        <f>SUM(F80:F81)</f>
        <v>8568</v>
      </c>
    </row>
    <row r="83" ht="15.75" customHeight="1">
      <c r="C83" s="24"/>
      <c r="D83" s="24"/>
    </row>
    <row r="84" ht="15.75" customHeight="1">
      <c r="A84" s="189" t="s">
        <v>195</v>
      </c>
      <c r="B84" s="190" t="s">
        <v>194</v>
      </c>
      <c r="C84" s="24" t="s">
        <v>3107</v>
      </c>
      <c r="D84" s="186" t="s">
        <v>193</v>
      </c>
      <c r="F84" s="200">
        <v>2856.0</v>
      </c>
    </row>
    <row r="85" ht="15.75" customHeight="1">
      <c r="A85" s="190"/>
      <c r="C85" s="24"/>
      <c r="D85" s="24"/>
      <c r="F85" s="192">
        <f>SUM(F84)</f>
        <v>2856</v>
      </c>
    </row>
    <row r="86" ht="15.75" customHeight="1">
      <c r="C86" s="24"/>
      <c r="D86" s="24"/>
    </row>
    <row r="87" ht="15.75" customHeight="1">
      <c r="A87" s="189" t="s">
        <v>199</v>
      </c>
      <c r="B87" s="190" t="s">
        <v>198</v>
      </c>
      <c r="C87" s="24" t="s">
        <v>3107</v>
      </c>
      <c r="D87" s="186" t="s">
        <v>197</v>
      </c>
      <c r="F87" s="200">
        <v>2856.0</v>
      </c>
    </row>
    <row r="88" ht="15.75" customHeight="1">
      <c r="A88" s="190"/>
      <c r="C88" s="24"/>
      <c r="D88" s="24"/>
      <c r="F88" s="192">
        <f>SUM(F87)</f>
        <v>2856</v>
      </c>
    </row>
    <row r="89" ht="15.75" customHeight="1">
      <c r="C89" s="24"/>
      <c r="D89" s="24"/>
    </row>
    <row r="90" ht="15.75" customHeight="1">
      <c r="A90" s="189" t="s">
        <v>203</v>
      </c>
      <c r="B90" s="190" t="s">
        <v>202</v>
      </c>
      <c r="C90" s="208">
        <v>45935.0</v>
      </c>
      <c r="D90" s="186" t="s">
        <v>201</v>
      </c>
      <c r="F90" s="200">
        <v>17280.0</v>
      </c>
    </row>
    <row r="91" ht="15.75" customHeight="1">
      <c r="A91" s="190"/>
      <c r="C91" s="24"/>
      <c r="D91" s="24"/>
      <c r="F91" s="192">
        <f>SUM(F90)</f>
        <v>17280</v>
      </c>
    </row>
    <row r="92" ht="15.75" customHeight="1">
      <c r="C92" s="24"/>
      <c r="D92" s="24"/>
    </row>
    <row r="93" ht="15.75" customHeight="1">
      <c r="A93" s="189" t="s">
        <v>207</v>
      </c>
      <c r="B93" s="190" t="s">
        <v>206</v>
      </c>
      <c r="C93" s="208">
        <v>45935.0</v>
      </c>
      <c r="D93" s="186" t="s">
        <v>205</v>
      </c>
      <c r="F93" s="200">
        <v>29040.0</v>
      </c>
    </row>
    <row r="94" ht="15.75" customHeight="1">
      <c r="A94" s="190"/>
      <c r="B94" s="190"/>
      <c r="C94" s="186"/>
      <c r="D94" s="186"/>
      <c r="E94" s="190"/>
      <c r="F94" s="192">
        <f>SUM(F93)</f>
        <v>29040</v>
      </c>
      <c r="G94" s="190"/>
      <c r="H94" s="190"/>
      <c r="I94" s="190"/>
      <c r="J94" s="190"/>
      <c r="K94" s="190"/>
      <c r="L94" s="190"/>
      <c r="M94" s="190"/>
      <c r="N94" s="190"/>
      <c r="O94" s="190"/>
      <c r="P94" s="190"/>
      <c r="Q94" s="190"/>
      <c r="R94" s="190"/>
      <c r="S94" s="190"/>
      <c r="T94" s="190"/>
      <c r="U94" s="190"/>
      <c r="V94" s="190"/>
      <c r="W94" s="190"/>
      <c r="X94" s="190"/>
      <c r="Y94" s="190"/>
      <c r="Z94" s="190"/>
      <c r="AA94" s="190"/>
      <c r="AB94" s="190"/>
      <c r="AC94" s="190"/>
      <c r="AD94" s="190"/>
      <c r="AE94" s="190"/>
      <c r="AF94" s="190"/>
    </row>
    <row r="95" ht="15.75" customHeight="1">
      <c r="B95" s="190"/>
      <c r="C95" s="211"/>
      <c r="D95" s="186"/>
      <c r="E95" s="190"/>
      <c r="G95" s="190"/>
      <c r="H95" s="190"/>
      <c r="I95" s="190"/>
      <c r="J95" s="190"/>
      <c r="K95" s="190"/>
      <c r="L95" s="190"/>
      <c r="M95" s="190"/>
      <c r="N95" s="190"/>
      <c r="O95" s="190"/>
      <c r="P95" s="190"/>
      <c r="Q95" s="190"/>
      <c r="R95" s="190"/>
      <c r="S95" s="190"/>
      <c r="T95" s="190"/>
      <c r="U95" s="190"/>
      <c r="V95" s="190"/>
      <c r="W95" s="190"/>
      <c r="X95" s="190"/>
      <c r="Y95" s="190"/>
      <c r="Z95" s="190"/>
      <c r="AA95" s="190"/>
      <c r="AB95" s="190"/>
      <c r="AC95" s="190"/>
      <c r="AD95" s="190"/>
      <c r="AE95" s="190"/>
      <c r="AF95" s="190"/>
    </row>
    <row r="96" ht="15.75" customHeight="1">
      <c r="A96" s="189" t="s">
        <v>211</v>
      </c>
      <c r="B96" s="190" t="s">
        <v>210</v>
      </c>
      <c r="C96" s="208">
        <v>45935.0</v>
      </c>
      <c r="D96" s="186" t="s">
        <v>209</v>
      </c>
      <c r="F96" s="200">
        <v>2916.0</v>
      </c>
    </row>
    <row r="97" ht="15.75" customHeight="1">
      <c r="A97" s="190"/>
      <c r="C97" s="24"/>
      <c r="D97" s="24"/>
      <c r="F97" s="192">
        <f>SUM(F96)</f>
        <v>2916</v>
      </c>
    </row>
    <row r="98" ht="15.75" customHeight="1">
      <c r="C98" s="24"/>
      <c r="D98" s="24"/>
    </row>
    <row r="99" ht="15.75" customHeight="1">
      <c r="A99" s="189" t="s">
        <v>225</v>
      </c>
      <c r="B99" s="190" t="s">
        <v>3108</v>
      </c>
      <c r="C99" s="24" t="s">
        <v>3107</v>
      </c>
      <c r="D99" s="186" t="s">
        <v>223</v>
      </c>
      <c r="F99" s="200">
        <v>2904.0</v>
      </c>
    </row>
    <row r="100" ht="15.75" customHeight="1">
      <c r="A100" s="190"/>
      <c r="C100" s="24"/>
      <c r="D100" s="24"/>
      <c r="F100" s="192">
        <f>SUM(F99)</f>
        <v>2904</v>
      </c>
    </row>
    <row r="101" ht="15.75" customHeight="1">
      <c r="C101" s="24"/>
      <c r="D101" s="24"/>
    </row>
    <row r="102" ht="15.75" customHeight="1">
      <c r="A102" s="189" t="s">
        <v>237</v>
      </c>
      <c r="B102" s="190" t="s">
        <v>236</v>
      </c>
      <c r="C102" s="24"/>
      <c r="D102" s="186" t="s">
        <v>235</v>
      </c>
      <c r="F102" s="200">
        <v>1620.0</v>
      </c>
      <c r="G102" s="181"/>
      <c r="H102" s="181"/>
      <c r="I102" s="181"/>
      <c r="J102" s="181"/>
      <c r="K102" s="181"/>
      <c r="L102" s="181"/>
      <c r="M102" s="181"/>
      <c r="N102" s="181"/>
      <c r="O102" s="181"/>
      <c r="P102" s="181"/>
      <c r="Q102" s="181"/>
      <c r="R102" s="181"/>
      <c r="S102" s="181"/>
      <c r="T102" s="181"/>
      <c r="U102" s="181"/>
      <c r="V102" s="181"/>
      <c r="W102" s="181"/>
      <c r="X102" s="181"/>
      <c r="Y102" s="181"/>
      <c r="Z102" s="181"/>
      <c r="AA102" s="181"/>
      <c r="AB102" s="181"/>
      <c r="AC102" s="181"/>
      <c r="AD102" s="181"/>
      <c r="AE102" s="181"/>
      <c r="AF102" s="181"/>
    </row>
    <row r="103" ht="15.75" customHeight="1">
      <c r="A103" s="190"/>
      <c r="C103" s="24"/>
      <c r="D103" s="24"/>
      <c r="F103" s="192">
        <f>SUM(F102)</f>
        <v>1620</v>
      </c>
      <c r="G103" s="181"/>
      <c r="H103" s="181"/>
      <c r="I103" s="181"/>
      <c r="J103" s="181"/>
      <c r="K103" s="181"/>
      <c r="L103" s="181"/>
      <c r="M103" s="181"/>
      <c r="N103" s="181"/>
      <c r="O103" s="181"/>
      <c r="P103" s="181"/>
      <c r="Q103" s="181"/>
      <c r="R103" s="181"/>
      <c r="S103" s="181"/>
      <c r="T103" s="181"/>
      <c r="U103" s="181"/>
      <c r="V103" s="181"/>
      <c r="W103" s="181"/>
      <c r="X103" s="181"/>
      <c r="Y103" s="181"/>
      <c r="Z103" s="181"/>
      <c r="AA103" s="181"/>
      <c r="AB103" s="181"/>
      <c r="AC103" s="181"/>
      <c r="AD103" s="181"/>
      <c r="AE103" s="181"/>
      <c r="AF103" s="181"/>
    </row>
    <row r="104" ht="15.75" customHeight="1">
      <c r="C104" s="24"/>
      <c r="D104" s="24"/>
      <c r="G104" s="181"/>
      <c r="H104" s="181"/>
      <c r="I104" s="181"/>
      <c r="J104" s="181"/>
      <c r="K104" s="181"/>
      <c r="L104" s="181"/>
      <c r="M104" s="181"/>
      <c r="N104" s="181"/>
      <c r="O104" s="181"/>
      <c r="P104" s="181"/>
      <c r="Q104" s="181"/>
      <c r="R104" s="181"/>
      <c r="S104" s="181"/>
      <c r="T104" s="181"/>
      <c r="U104" s="181"/>
      <c r="V104" s="181"/>
      <c r="W104" s="181"/>
      <c r="X104" s="181"/>
      <c r="Y104" s="181"/>
      <c r="Z104" s="181"/>
      <c r="AA104" s="181"/>
      <c r="AB104" s="181"/>
      <c r="AC104" s="181"/>
      <c r="AD104" s="181"/>
      <c r="AE104" s="181"/>
      <c r="AF104" s="181"/>
    </row>
    <row r="105" ht="15.75" customHeight="1">
      <c r="A105" s="189" t="s">
        <v>242</v>
      </c>
      <c r="B105" s="190" t="s">
        <v>132</v>
      </c>
      <c r="C105" s="183">
        <v>45995.0</v>
      </c>
      <c r="D105" s="186" t="s">
        <v>241</v>
      </c>
      <c r="F105" s="200">
        <v>3240.0</v>
      </c>
      <c r="G105" s="181"/>
      <c r="H105" s="181"/>
      <c r="I105" s="181"/>
      <c r="J105" s="181"/>
      <c r="K105" s="181"/>
      <c r="L105" s="181"/>
      <c r="M105" s="181"/>
      <c r="N105" s="181"/>
      <c r="O105" s="181"/>
      <c r="P105" s="181"/>
      <c r="Q105" s="181"/>
      <c r="R105" s="181"/>
      <c r="S105" s="181"/>
      <c r="T105" s="181"/>
      <c r="U105" s="181"/>
      <c r="V105" s="181"/>
      <c r="W105" s="181"/>
      <c r="X105" s="181"/>
      <c r="Y105" s="181"/>
      <c r="Z105" s="181"/>
      <c r="AA105" s="181"/>
      <c r="AB105" s="181"/>
      <c r="AC105" s="181"/>
      <c r="AD105" s="181"/>
      <c r="AE105" s="181"/>
      <c r="AF105" s="181"/>
    </row>
    <row r="106" ht="15.75" customHeight="1">
      <c r="A106" s="190"/>
      <c r="C106" s="24"/>
      <c r="D106" s="24"/>
      <c r="F106" s="192">
        <f>SUM(F105)</f>
        <v>3240</v>
      </c>
      <c r="G106" s="181"/>
      <c r="H106" s="181"/>
      <c r="I106" s="181"/>
      <c r="J106" s="181"/>
      <c r="K106" s="181"/>
      <c r="L106" s="181"/>
      <c r="M106" s="181"/>
      <c r="N106" s="181"/>
      <c r="O106" s="181"/>
      <c r="P106" s="181"/>
      <c r="Q106" s="181"/>
      <c r="R106" s="181"/>
      <c r="S106" s="181"/>
      <c r="T106" s="181"/>
      <c r="U106" s="181"/>
      <c r="V106" s="181"/>
      <c r="W106" s="181"/>
      <c r="X106" s="181"/>
      <c r="Y106" s="181"/>
      <c r="Z106" s="181"/>
      <c r="AA106" s="181"/>
      <c r="AB106" s="181"/>
      <c r="AC106" s="181"/>
      <c r="AD106" s="181"/>
      <c r="AE106" s="181"/>
      <c r="AF106" s="181"/>
    </row>
    <row r="107" ht="15.75" customHeight="1">
      <c r="C107" s="24"/>
      <c r="D107" s="24"/>
      <c r="G107" s="181"/>
      <c r="H107" s="181"/>
      <c r="I107" s="181"/>
      <c r="J107" s="181"/>
      <c r="K107" s="181"/>
      <c r="L107" s="181"/>
      <c r="M107" s="181"/>
      <c r="N107" s="181"/>
      <c r="O107" s="181"/>
      <c r="P107" s="181"/>
      <c r="Q107" s="181"/>
      <c r="R107" s="181"/>
      <c r="S107" s="181"/>
      <c r="T107" s="181"/>
      <c r="U107" s="181"/>
      <c r="V107" s="181"/>
      <c r="W107" s="181"/>
      <c r="X107" s="181"/>
      <c r="Y107" s="181"/>
      <c r="Z107" s="181"/>
      <c r="AA107" s="181"/>
      <c r="AB107" s="181"/>
      <c r="AC107" s="181"/>
      <c r="AD107" s="181"/>
      <c r="AE107" s="181"/>
      <c r="AF107" s="181"/>
    </row>
    <row r="108" ht="15.75" customHeight="1">
      <c r="A108" s="189" t="s">
        <v>246</v>
      </c>
      <c r="B108" s="190" t="s">
        <v>245</v>
      </c>
      <c r="C108" s="208">
        <v>45935.0</v>
      </c>
      <c r="D108" s="186" t="s">
        <v>244</v>
      </c>
      <c r="F108" s="200">
        <v>5832.0</v>
      </c>
      <c r="G108" s="181"/>
      <c r="H108" s="181"/>
      <c r="I108" s="181"/>
      <c r="J108" s="181"/>
      <c r="K108" s="181"/>
      <c r="L108" s="181"/>
      <c r="M108" s="181"/>
      <c r="N108" s="181"/>
      <c r="O108" s="181"/>
      <c r="P108" s="181"/>
      <c r="Q108" s="181"/>
      <c r="R108" s="181"/>
      <c r="S108" s="181"/>
      <c r="T108" s="181"/>
      <c r="U108" s="181"/>
      <c r="V108" s="181"/>
      <c r="W108" s="181"/>
      <c r="X108" s="181"/>
      <c r="Y108" s="181"/>
      <c r="Z108" s="181"/>
      <c r="AA108" s="181"/>
      <c r="AB108" s="181"/>
      <c r="AC108" s="181"/>
      <c r="AD108" s="181"/>
      <c r="AE108" s="181"/>
      <c r="AF108" s="181"/>
    </row>
    <row r="109" ht="15.75" customHeight="1">
      <c r="A109" s="190"/>
      <c r="C109" s="24"/>
      <c r="D109" s="24"/>
      <c r="F109" s="192">
        <f>SUM(F108)</f>
        <v>5832</v>
      </c>
      <c r="G109" s="181"/>
      <c r="H109" s="181"/>
      <c r="I109" s="181"/>
      <c r="J109" s="181"/>
      <c r="K109" s="181"/>
      <c r="L109" s="181"/>
      <c r="M109" s="181"/>
      <c r="N109" s="181"/>
      <c r="O109" s="181"/>
      <c r="P109" s="181"/>
      <c r="Q109" s="181"/>
      <c r="R109" s="181"/>
      <c r="S109" s="181"/>
      <c r="T109" s="181"/>
      <c r="U109" s="181"/>
      <c r="V109" s="181"/>
      <c r="W109" s="181"/>
      <c r="X109" s="181"/>
      <c r="Y109" s="181"/>
      <c r="Z109" s="181"/>
      <c r="AA109" s="181"/>
      <c r="AB109" s="181"/>
      <c r="AC109" s="181"/>
      <c r="AD109" s="181"/>
      <c r="AE109" s="181"/>
      <c r="AF109" s="181"/>
    </row>
    <row r="110" ht="15.75" customHeight="1">
      <c r="C110" s="24"/>
      <c r="D110" s="24"/>
      <c r="G110" s="181"/>
      <c r="H110" s="181"/>
      <c r="I110" s="181"/>
      <c r="J110" s="181"/>
      <c r="K110" s="181"/>
      <c r="L110" s="181"/>
      <c r="M110" s="181"/>
      <c r="N110" s="181"/>
      <c r="O110" s="181"/>
      <c r="P110" s="181"/>
      <c r="Q110" s="181"/>
      <c r="R110" s="181"/>
      <c r="S110" s="181"/>
      <c r="T110" s="181"/>
      <c r="U110" s="181"/>
      <c r="V110" s="181"/>
      <c r="W110" s="181"/>
      <c r="X110" s="181"/>
      <c r="Y110" s="181"/>
      <c r="Z110" s="181"/>
      <c r="AA110" s="181"/>
      <c r="AB110" s="181"/>
      <c r="AC110" s="181"/>
      <c r="AD110" s="181"/>
      <c r="AE110" s="181"/>
      <c r="AF110" s="181"/>
    </row>
    <row r="111" ht="15.75" customHeight="1">
      <c r="A111" s="201" t="s">
        <v>250</v>
      </c>
      <c r="B111" s="43" t="s">
        <v>249</v>
      </c>
      <c r="C111" s="212">
        <v>45935.0</v>
      </c>
      <c r="D111" s="202" t="s">
        <v>248</v>
      </c>
      <c r="E111" s="16"/>
      <c r="F111" s="203">
        <v>2916.0</v>
      </c>
      <c r="G111" s="213"/>
      <c r="H111" s="213"/>
      <c r="I111" s="213"/>
      <c r="J111" s="213"/>
      <c r="K111" s="213"/>
      <c r="L111" s="213"/>
      <c r="M111" s="213"/>
      <c r="N111" s="213"/>
      <c r="O111" s="213"/>
      <c r="P111" s="213"/>
      <c r="Q111" s="213"/>
      <c r="R111" s="213"/>
      <c r="S111" s="213"/>
      <c r="T111" s="213"/>
      <c r="U111" s="213"/>
      <c r="V111" s="213"/>
      <c r="W111" s="213"/>
      <c r="X111" s="213"/>
      <c r="Y111" s="213"/>
      <c r="Z111" s="213"/>
      <c r="AA111" s="213"/>
      <c r="AB111" s="213"/>
      <c r="AC111" s="213"/>
      <c r="AD111" s="213"/>
      <c r="AE111" s="213"/>
      <c r="AF111" s="213"/>
    </row>
    <row r="112" ht="15.75" customHeight="1">
      <c r="A112" s="190"/>
      <c r="C112" s="24"/>
      <c r="D112" s="24"/>
      <c r="F112" s="192">
        <f>SUM(F111)</f>
        <v>2916</v>
      </c>
      <c r="G112" s="181"/>
      <c r="H112" s="181"/>
      <c r="I112" s="181"/>
      <c r="J112" s="181"/>
      <c r="K112" s="181"/>
      <c r="L112" s="181"/>
      <c r="M112" s="181"/>
      <c r="N112" s="181"/>
      <c r="O112" s="181"/>
      <c r="P112" s="181"/>
      <c r="Q112" s="181"/>
      <c r="R112" s="181"/>
      <c r="S112" s="181"/>
      <c r="T112" s="181"/>
      <c r="U112" s="181"/>
      <c r="V112" s="181"/>
      <c r="W112" s="181"/>
      <c r="X112" s="181"/>
      <c r="Y112" s="181"/>
      <c r="Z112" s="181"/>
      <c r="AA112" s="181"/>
      <c r="AB112" s="181"/>
      <c r="AC112" s="181"/>
      <c r="AD112" s="181"/>
      <c r="AE112" s="181"/>
      <c r="AF112" s="181"/>
    </row>
    <row r="113" ht="15.75" customHeight="1">
      <c r="C113" s="24"/>
      <c r="D113" s="24"/>
      <c r="G113" s="181"/>
      <c r="H113" s="181"/>
      <c r="I113" s="181"/>
      <c r="J113" s="181"/>
      <c r="K113" s="181"/>
      <c r="L113" s="181"/>
      <c r="M113" s="181"/>
      <c r="N113" s="181"/>
      <c r="O113" s="181"/>
      <c r="P113" s="181"/>
      <c r="Q113" s="181"/>
      <c r="R113" s="181"/>
      <c r="S113" s="181"/>
      <c r="T113" s="181"/>
      <c r="U113" s="181"/>
      <c r="V113" s="181"/>
      <c r="W113" s="181"/>
      <c r="X113" s="181"/>
      <c r="Y113" s="181"/>
      <c r="Z113" s="181"/>
      <c r="AA113" s="181"/>
      <c r="AB113" s="181"/>
      <c r="AC113" s="181"/>
      <c r="AD113" s="181"/>
      <c r="AE113" s="181"/>
      <c r="AF113" s="181"/>
    </row>
    <row r="114" ht="15.75" customHeight="1">
      <c r="A114" s="189" t="s">
        <v>255</v>
      </c>
      <c r="B114" s="190" t="s">
        <v>253</v>
      </c>
      <c r="C114" s="24" t="s">
        <v>3107</v>
      </c>
      <c r="D114" s="186" t="s">
        <v>252</v>
      </c>
      <c r="F114" s="200">
        <v>3078.0</v>
      </c>
      <c r="G114" s="181"/>
      <c r="H114" s="181"/>
      <c r="I114" s="181"/>
      <c r="J114" s="181"/>
      <c r="K114" s="181"/>
      <c r="L114" s="181"/>
      <c r="M114" s="181"/>
      <c r="N114" s="181"/>
      <c r="O114" s="181"/>
      <c r="P114" s="181"/>
      <c r="Q114" s="181"/>
      <c r="R114" s="181"/>
      <c r="S114" s="181"/>
      <c r="T114" s="181"/>
      <c r="U114" s="181"/>
      <c r="V114" s="181"/>
      <c r="W114" s="181"/>
      <c r="X114" s="181"/>
      <c r="Y114" s="181"/>
      <c r="Z114" s="181"/>
      <c r="AA114" s="181"/>
      <c r="AB114" s="181"/>
      <c r="AC114" s="181"/>
      <c r="AD114" s="181"/>
      <c r="AE114" s="181"/>
      <c r="AF114" s="181"/>
    </row>
    <row r="115" ht="15.75" customHeight="1">
      <c r="A115" s="190"/>
      <c r="C115" s="24"/>
      <c r="D115" s="24"/>
      <c r="F115" s="192">
        <f>SUM(F114)</f>
        <v>3078</v>
      </c>
      <c r="G115" s="181"/>
      <c r="H115" s="181"/>
      <c r="I115" s="181"/>
      <c r="J115" s="181"/>
      <c r="K115" s="181"/>
      <c r="L115" s="181"/>
      <c r="M115" s="181"/>
      <c r="N115" s="181"/>
      <c r="O115" s="181"/>
      <c r="P115" s="181"/>
      <c r="Q115" s="181"/>
      <c r="R115" s="181"/>
      <c r="S115" s="181"/>
      <c r="T115" s="181"/>
      <c r="U115" s="181"/>
      <c r="V115" s="181"/>
      <c r="W115" s="181"/>
      <c r="X115" s="181"/>
      <c r="Y115" s="181"/>
      <c r="Z115" s="181"/>
      <c r="AA115" s="181"/>
      <c r="AB115" s="181"/>
      <c r="AC115" s="181"/>
      <c r="AD115" s="181"/>
      <c r="AE115" s="181"/>
      <c r="AF115" s="181"/>
    </row>
    <row r="116" ht="15.75" customHeight="1">
      <c r="C116" s="24"/>
      <c r="D116" s="24"/>
      <c r="G116" s="181"/>
      <c r="H116" s="181"/>
      <c r="I116" s="181"/>
      <c r="J116" s="181"/>
      <c r="K116" s="181"/>
      <c r="L116" s="181"/>
      <c r="M116" s="181"/>
      <c r="N116" s="181"/>
      <c r="O116" s="181"/>
      <c r="P116" s="181"/>
      <c r="Q116" s="181"/>
      <c r="R116" s="181"/>
      <c r="S116" s="181"/>
      <c r="T116" s="181"/>
      <c r="U116" s="181"/>
      <c r="V116" s="181"/>
      <c r="W116" s="181"/>
      <c r="X116" s="181"/>
      <c r="Y116" s="181"/>
      <c r="Z116" s="181"/>
      <c r="AA116" s="181"/>
      <c r="AB116" s="181"/>
      <c r="AC116" s="181"/>
      <c r="AD116" s="181"/>
      <c r="AE116" s="181"/>
      <c r="AF116" s="181"/>
    </row>
    <row r="117" ht="15.75" customHeight="1">
      <c r="A117" s="189" t="s">
        <v>259</v>
      </c>
      <c r="B117" s="190" t="s">
        <v>258</v>
      </c>
      <c r="C117" s="24" t="s">
        <v>3107</v>
      </c>
      <c r="D117" s="186" t="s">
        <v>257</v>
      </c>
      <c r="F117" s="200">
        <v>1620.0</v>
      </c>
      <c r="G117" s="181"/>
      <c r="H117" s="181"/>
      <c r="I117" s="181"/>
      <c r="J117" s="181"/>
      <c r="K117" s="181"/>
      <c r="L117" s="181"/>
      <c r="M117" s="181"/>
      <c r="N117" s="181"/>
      <c r="O117" s="181"/>
      <c r="P117" s="181"/>
      <c r="Q117" s="181"/>
      <c r="R117" s="181"/>
      <c r="S117" s="181"/>
      <c r="T117" s="181"/>
      <c r="U117" s="181"/>
      <c r="V117" s="181"/>
      <c r="W117" s="181"/>
      <c r="X117" s="181"/>
      <c r="Y117" s="181"/>
      <c r="Z117" s="181"/>
      <c r="AA117" s="181"/>
      <c r="AB117" s="181"/>
      <c r="AC117" s="181"/>
      <c r="AD117" s="181"/>
      <c r="AE117" s="181"/>
      <c r="AF117" s="181"/>
    </row>
    <row r="118" ht="15.75" customHeight="1">
      <c r="A118" s="190"/>
      <c r="C118" s="24"/>
      <c r="D118" s="24"/>
      <c r="F118" s="192">
        <f>SUM(F117)</f>
        <v>1620</v>
      </c>
      <c r="G118" s="181"/>
      <c r="H118" s="181"/>
      <c r="I118" s="181"/>
      <c r="J118" s="181"/>
      <c r="K118" s="181"/>
      <c r="L118" s="181"/>
      <c r="M118" s="181"/>
      <c r="N118" s="181"/>
      <c r="O118" s="181"/>
      <c r="P118" s="181"/>
      <c r="Q118" s="181"/>
      <c r="R118" s="181"/>
      <c r="S118" s="181"/>
      <c r="T118" s="181"/>
      <c r="U118" s="181"/>
      <c r="V118" s="181"/>
      <c r="W118" s="181"/>
      <c r="X118" s="181"/>
      <c r="Y118" s="181"/>
      <c r="Z118" s="181"/>
      <c r="AA118" s="181"/>
      <c r="AB118" s="181"/>
      <c r="AC118" s="181"/>
      <c r="AD118" s="181"/>
      <c r="AE118" s="181"/>
      <c r="AF118" s="181"/>
    </row>
    <row r="119" ht="15.75" customHeight="1">
      <c r="C119" s="24"/>
      <c r="D119" s="24"/>
      <c r="G119" s="181"/>
      <c r="H119" s="181"/>
      <c r="I119" s="181"/>
      <c r="J119" s="181"/>
      <c r="K119" s="181"/>
      <c r="L119" s="181"/>
      <c r="M119" s="181"/>
      <c r="N119" s="181"/>
      <c r="O119" s="181"/>
      <c r="P119" s="181"/>
      <c r="Q119" s="181"/>
      <c r="R119" s="181"/>
      <c r="S119" s="181"/>
      <c r="T119" s="181"/>
      <c r="U119" s="181"/>
      <c r="V119" s="181"/>
      <c r="W119" s="181"/>
      <c r="X119" s="181"/>
      <c r="Y119" s="181"/>
      <c r="Z119" s="181"/>
      <c r="AA119" s="181"/>
      <c r="AB119" s="181"/>
      <c r="AC119" s="181"/>
      <c r="AD119" s="181"/>
      <c r="AE119" s="181"/>
      <c r="AF119" s="181"/>
    </row>
    <row r="120" ht="15.75" customHeight="1">
      <c r="A120" s="189" t="s">
        <v>263</v>
      </c>
      <c r="B120" s="190" t="s">
        <v>262</v>
      </c>
      <c r="C120" s="24" t="s">
        <v>3107</v>
      </c>
      <c r="D120" s="186" t="s">
        <v>261</v>
      </c>
      <c r="F120" s="200">
        <v>810.0</v>
      </c>
      <c r="G120" s="181"/>
      <c r="H120" s="181"/>
      <c r="I120" s="181"/>
      <c r="J120" s="181"/>
      <c r="K120" s="181"/>
      <c r="L120" s="181"/>
      <c r="M120" s="181"/>
      <c r="N120" s="181"/>
      <c r="O120" s="181"/>
      <c r="P120" s="181"/>
      <c r="Q120" s="181"/>
      <c r="R120" s="181"/>
      <c r="S120" s="181"/>
      <c r="T120" s="181"/>
      <c r="U120" s="181"/>
      <c r="V120" s="181"/>
      <c r="W120" s="181"/>
      <c r="X120" s="181"/>
      <c r="Y120" s="181"/>
      <c r="Z120" s="181"/>
      <c r="AA120" s="181"/>
      <c r="AB120" s="181"/>
      <c r="AC120" s="181"/>
      <c r="AD120" s="181"/>
      <c r="AE120" s="181"/>
      <c r="AF120" s="181"/>
    </row>
    <row r="121" ht="15.75" customHeight="1">
      <c r="A121" s="190"/>
      <c r="C121" s="24"/>
      <c r="D121" s="24"/>
      <c r="F121" s="192">
        <f>SUM(F120)</f>
        <v>810</v>
      </c>
      <c r="G121" s="181"/>
      <c r="H121" s="181"/>
      <c r="I121" s="181"/>
      <c r="J121" s="181"/>
      <c r="K121" s="181"/>
      <c r="L121" s="181"/>
      <c r="M121" s="181"/>
      <c r="N121" s="181"/>
      <c r="O121" s="181"/>
      <c r="P121" s="181"/>
      <c r="Q121" s="181"/>
      <c r="R121" s="181"/>
      <c r="S121" s="181"/>
      <c r="T121" s="181"/>
      <c r="U121" s="181"/>
      <c r="V121" s="181"/>
      <c r="W121" s="181"/>
      <c r="X121" s="181"/>
      <c r="Y121" s="181"/>
      <c r="Z121" s="181"/>
      <c r="AA121" s="181"/>
      <c r="AB121" s="181"/>
      <c r="AC121" s="181"/>
      <c r="AD121" s="181"/>
      <c r="AE121" s="181"/>
      <c r="AF121" s="181"/>
    </row>
    <row r="122" ht="15.75" customHeight="1">
      <c r="C122" s="24"/>
      <c r="D122" s="24"/>
    </row>
    <row r="123" ht="15.75" customHeight="1">
      <c r="A123" s="189" t="s">
        <v>269</v>
      </c>
      <c r="B123" s="190" t="s">
        <v>268</v>
      </c>
      <c r="C123" s="208">
        <v>45935.0</v>
      </c>
      <c r="D123" s="186" t="s">
        <v>267</v>
      </c>
      <c r="F123" s="200">
        <v>2916.0</v>
      </c>
    </row>
    <row r="124" ht="15.75" customHeight="1">
      <c r="A124" s="190"/>
      <c r="C124" s="24"/>
      <c r="D124" s="24"/>
      <c r="F124" s="192">
        <f>SUM(F123)</f>
        <v>2916</v>
      </c>
    </row>
    <row r="125" ht="15.75" customHeight="1">
      <c r="C125" s="24"/>
      <c r="D125" s="24"/>
    </row>
    <row r="126" ht="15.75" customHeight="1">
      <c r="A126" s="189" t="s">
        <v>273</v>
      </c>
      <c r="B126" s="190" t="s">
        <v>272</v>
      </c>
      <c r="C126" s="208">
        <v>45935.0</v>
      </c>
      <c r="D126" s="186" t="s">
        <v>271</v>
      </c>
      <c r="F126" s="200">
        <v>2916.0</v>
      </c>
    </row>
    <row r="127" ht="15.75" customHeight="1">
      <c r="A127" s="190"/>
      <c r="C127" s="24"/>
      <c r="D127" s="24"/>
      <c r="F127" s="192">
        <f>SUM(F126)</f>
        <v>2916</v>
      </c>
    </row>
    <row r="128" ht="15.75" customHeight="1">
      <c r="C128" s="24"/>
      <c r="D128" s="24"/>
    </row>
    <row r="129" ht="15.75" customHeight="1">
      <c r="A129" s="189" t="s">
        <v>277</v>
      </c>
      <c r="B129" s="190" t="s">
        <v>3109</v>
      </c>
      <c r="C129" s="24" t="s">
        <v>3107</v>
      </c>
      <c r="D129" s="186" t="s">
        <v>275</v>
      </c>
      <c r="F129" s="200">
        <v>5712.0</v>
      </c>
    </row>
    <row r="130" ht="15.75" customHeight="1">
      <c r="A130" s="190"/>
      <c r="C130" s="24"/>
      <c r="D130" s="24"/>
      <c r="F130" s="192">
        <f>SUM(F129)</f>
        <v>5712</v>
      </c>
    </row>
    <row r="131" ht="15.75" customHeight="1">
      <c r="C131" s="24"/>
      <c r="D131" s="24"/>
    </row>
    <row r="132" ht="15.75" customHeight="1">
      <c r="A132" s="189" t="s">
        <v>285</v>
      </c>
      <c r="B132" s="190" t="s">
        <v>280</v>
      </c>
      <c r="C132" s="24" t="s">
        <v>3107</v>
      </c>
      <c r="D132" s="186" t="s">
        <v>279</v>
      </c>
      <c r="F132" s="200">
        <v>5712.0</v>
      </c>
    </row>
    <row r="133" ht="15.75" customHeight="1">
      <c r="A133" s="190"/>
      <c r="C133" s="24"/>
      <c r="D133" s="24"/>
      <c r="F133" s="192">
        <f>SUM(F132)</f>
        <v>5712</v>
      </c>
    </row>
    <row r="134" ht="15.75" customHeight="1">
      <c r="C134" s="24"/>
      <c r="D134" s="24"/>
    </row>
    <row r="135" ht="15.75" customHeight="1">
      <c r="A135" s="189" t="s">
        <v>281</v>
      </c>
      <c r="B135" s="190" t="s">
        <v>284</v>
      </c>
      <c r="C135" s="24" t="s">
        <v>3107</v>
      </c>
      <c r="D135" s="186" t="s">
        <v>283</v>
      </c>
      <c r="F135" s="200">
        <v>5712.0</v>
      </c>
    </row>
    <row r="136" ht="15.75" customHeight="1">
      <c r="A136" s="190"/>
      <c r="C136" s="24"/>
      <c r="D136" s="24"/>
      <c r="F136" s="192">
        <f>SUM(F135)</f>
        <v>5712</v>
      </c>
    </row>
    <row r="137" ht="15.75" customHeight="1">
      <c r="C137" s="24"/>
      <c r="D137" s="24"/>
    </row>
    <row r="138" ht="15.75" customHeight="1">
      <c r="A138" s="189" t="s">
        <v>289</v>
      </c>
      <c r="B138" s="190" t="s">
        <v>288</v>
      </c>
      <c r="C138" s="24" t="s">
        <v>3110</v>
      </c>
      <c r="D138" s="186" t="s">
        <v>287</v>
      </c>
      <c r="F138" s="200">
        <v>3072.0</v>
      </c>
    </row>
    <row r="139" ht="15.75" customHeight="1">
      <c r="A139" s="190"/>
      <c r="C139" s="24"/>
      <c r="D139" s="24"/>
      <c r="F139" s="192">
        <f>SUM(F138)</f>
        <v>3072</v>
      </c>
    </row>
    <row r="140" ht="15.75" customHeight="1">
      <c r="C140" s="24"/>
      <c r="D140" s="24"/>
    </row>
    <row r="141" ht="15.75" customHeight="1">
      <c r="A141" s="189" t="s">
        <v>295</v>
      </c>
      <c r="B141" s="190" t="s">
        <v>294</v>
      </c>
      <c r="C141" s="24" t="s">
        <v>3107</v>
      </c>
      <c r="D141" s="186" t="s">
        <v>293</v>
      </c>
      <c r="F141" s="200">
        <v>3084.0</v>
      </c>
    </row>
    <row r="142" ht="15.75" customHeight="1">
      <c r="A142" s="190"/>
      <c r="C142" s="24"/>
      <c r="D142" s="24"/>
      <c r="F142" s="192">
        <f>SUM(F141)</f>
        <v>3084</v>
      </c>
    </row>
    <row r="143" ht="15.75" customHeight="1">
      <c r="C143" s="24"/>
      <c r="D143" s="24"/>
    </row>
    <row r="144" ht="15.75" customHeight="1">
      <c r="A144" s="189" t="s">
        <v>299</v>
      </c>
      <c r="B144" s="190" t="s">
        <v>298</v>
      </c>
      <c r="C144" s="24" t="s">
        <v>3107</v>
      </c>
      <c r="D144" s="186" t="s">
        <v>297</v>
      </c>
      <c r="F144" s="200">
        <v>3084.0</v>
      </c>
    </row>
    <row r="145" ht="15.75" customHeight="1">
      <c r="A145" s="190"/>
      <c r="C145" s="24"/>
      <c r="D145" s="24"/>
      <c r="F145" s="192">
        <f>SUM(F144)</f>
        <v>3084</v>
      </c>
    </row>
    <row r="146" ht="15.75" customHeight="1">
      <c r="C146" s="24"/>
      <c r="D146" s="24"/>
    </row>
    <row r="147" ht="15.75" customHeight="1">
      <c r="A147" s="189" t="s">
        <v>303</v>
      </c>
      <c r="B147" s="190" t="s">
        <v>3111</v>
      </c>
      <c r="C147" s="24" t="s">
        <v>3107</v>
      </c>
      <c r="D147" s="186" t="s">
        <v>301</v>
      </c>
      <c r="F147" s="200">
        <v>5712.0</v>
      </c>
    </row>
    <row r="148" ht="15.75" customHeight="1">
      <c r="A148" s="190"/>
      <c r="C148" s="24"/>
      <c r="D148" s="24"/>
      <c r="F148" s="192">
        <f>SUM(F147)</f>
        <v>5712</v>
      </c>
    </row>
    <row r="149" ht="15.75" customHeight="1">
      <c r="C149" s="24"/>
      <c r="D149" s="24"/>
    </row>
    <row r="150" ht="15.75" customHeight="1">
      <c r="A150" s="189" t="s">
        <v>307</v>
      </c>
      <c r="B150" s="190" t="s">
        <v>306</v>
      </c>
      <c r="C150" s="24" t="s">
        <v>3110</v>
      </c>
      <c r="D150" s="186" t="s">
        <v>305</v>
      </c>
      <c r="F150" s="200">
        <v>3240.0</v>
      </c>
    </row>
    <row r="151" ht="15.75" customHeight="1">
      <c r="A151" s="190"/>
      <c r="C151" s="24"/>
      <c r="D151" s="24"/>
      <c r="F151" s="192">
        <f>SUM(F150)</f>
        <v>3240</v>
      </c>
    </row>
    <row r="152" ht="15.75" customHeight="1">
      <c r="C152" s="24"/>
      <c r="D152" s="24"/>
    </row>
    <row r="153" ht="15.75" customHeight="1">
      <c r="A153" s="189" t="s">
        <v>311</v>
      </c>
      <c r="B153" s="190" t="s">
        <v>310</v>
      </c>
      <c r="C153" s="208">
        <v>45935.0</v>
      </c>
      <c r="D153" s="186" t="s">
        <v>309</v>
      </c>
      <c r="F153" s="200">
        <v>2916.0</v>
      </c>
    </row>
    <row r="154" ht="15.75" customHeight="1">
      <c r="A154" s="190"/>
      <c r="C154" s="24"/>
      <c r="D154" s="24"/>
      <c r="F154" s="192">
        <f>SUM(F153)</f>
        <v>2916</v>
      </c>
    </row>
    <row r="155" ht="15.75" customHeight="1">
      <c r="C155" s="24"/>
      <c r="D155" s="24"/>
    </row>
    <row r="156" ht="15.75" customHeight="1">
      <c r="A156" s="189" t="s">
        <v>315</v>
      </c>
      <c r="B156" s="190" t="s">
        <v>314</v>
      </c>
      <c r="C156" s="208">
        <v>45935.0</v>
      </c>
      <c r="D156" s="186" t="s">
        <v>313</v>
      </c>
      <c r="F156" s="200">
        <v>2916.0</v>
      </c>
    </row>
    <row r="157" ht="15.75" customHeight="1">
      <c r="A157" s="190"/>
      <c r="C157" s="24"/>
      <c r="D157" s="24"/>
      <c r="F157" s="192">
        <f>SUM(F156)</f>
        <v>2916</v>
      </c>
    </row>
    <row r="158" ht="15.75" customHeight="1">
      <c r="C158" s="24"/>
      <c r="D158" s="24"/>
    </row>
    <row r="159" ht="15.75" customHeight="1">
      <c r="A159" s="189" t="s">
        <v>320</v>
      </c>
      <c r="B159" s="190" t="s">
        <v>319</v>
      </c>
      <c r="C159" s="208">
        <v>45935.0</v>
      </c>
      <c r="D159" s="186" t="s">
        <v>318</v>
      </c>
      <c r="F159" s="200">
        <v>2916.0</v>
      </c>
    </row>
    <row r="160" ht="15.75" customHeight="1">
      <c r="A160" s="190"/>
      <c r="C160" s="24"/>
      <c r="D160" s="24"/>
      <c r="F160" s="192">
        <f>SUM(F159)</f>
        <v>2916</v>
      </c>
    </row>
    <row r="161" ht="15.75" customHeight="1">
      <c r="C161" s="24"/>
      <c r="D161" s="24"/>
    </row>
    <row r="162" ht="15.75" customHeight="1">
      <c r="A162" s="189" t="s">
        <v>324</v>
      </c>
      <c r="B162" s="190" t="s">
        <v>323</v>
      </c>
      <c r="C162" s="24" t="s">
        <v>3110</v>
      </c>
      <c r="D162" s="186" t="s">
        <v>322</v>
      </c>
      <c r="F162" s="200">
        <v>3078.0</v>
      </c>
    </row>
    <row r="163" ht="15.75" customHeight="1">
      <c r="A163" s="190"/>
      <c r="C163" s="24"/>
      <c r="D163" s="24"/>
      <c r="F163" s="192">
        <f>SUM(F162)</f>
        <v>3078</v>
      </c>
    </row>
    <row r="164" ht="15.75" customHeight="1">
      <c r="C164" s="24"/>
      <c r="D164" s="24"/>
    </row>
    <row r="165" ht="15.75" customHeight="1">
      <c r="A165" s="189" t="s">
        <v>328</v>
      </c>
      <c r="B165" s="190" t="s">
        <v>3112</v>
      </c>
      <c r="C165" s="24"/>
      <c r="D165" s="186" t="s">
        <v>326</v>
      </c>
      <c r="F165" s="200">
        <v>3078.0</v>
      </c>
    </row>
    <row r="166" ht="15.75" customHeight="1">
      <c r="A166" s="190"/>
      <c r="C166" s="24"/>
      <c r="D166" s="24"/>
      <c r="F166" s="192">
        <f>SUM(F165)</f>
        <v>3078</v>
      </c>
    </row>
    <row r="167" ht="15.75" customHeight="1">
      <c r="C167" s="24"/>
      <c r="D167" s="24"/>
    </row>
    <row r="168" ht="15.75" customHeight="1">
      <c r="A168" s="189" t="s">
        <v>331</v>
      </c>
      <c r="B168" s="205" t="s">
        <v>330</v>
      </c>
      <c r="C168" s="24" t="s">
        <v>3107</v>
      </c>
      <c r="D168" s="206" t="s">
        <v>329</v>
      </c>
      <c r="F168" s="200">
        <v>14280.0</v>
      </c>
    </row>
    <row r="169" ht="15.75" customHeight="1">
      <c r="A169" s="190"/>
      <c r="C169" s="24"/>
      <c r="D169" s="24"/>
      <c r="F169" s="192">
        <f>SUM(F168)</f>
        <v>14280</v>
      </c>
    </row>
    <row r="170" ht="15.75" customHeight="1">
      <c r="C170" s="24"/>
      <c r="D170" s="24"/>
    </row>
    <row r="171" ht="15.75" customHeight="1">
      <c r="A171" s="189" t="s">
        <v>339</v>
      </c>
      <c r="B171" s="190" t="s">
        <v>338</v>
      </c>
      <c r="C171" s="24" t="s">
        <v>3107</v>
      </c>
      <c r="D171" s="186" t="s">
        <v>337</v>
      </c>
      <c r="F171" s="200">
        <v>3240.0</v>
      </c>
    </row>
    <row r="172" ht="15.75" customHeight="1">
      <c r="A172" s="190"/>
      <c r="C172" s="24"/>
      <c r="D172" s="24"/>
      <c r="F172" s="192">
        <f>SUM(F171)</f>
        <v>3240</v>
      </c>
    </row>
    <row r="173" ht="15.75" customHeight="1">
      <c r="C173" s="24"/>
      <c r="D173" s="24"/>
    </row>
    <row r="174" ht="15.75" customHeight="1">
      <c r="A174" s="189" t="s">
        <v>343</v>
      </c>
      <c r="B174" s="190" t="s">
        <v>342</v>
      </c>
      <c r="C174" s="208">
        <v>45935.0</v>
      </c>
      <c r="D174" s="186" t="s">
        <v>3113</v>
      </c>
      <c r="F174" s="200">
        <v>2916.0</v>
      </c>
    </row>
    <row r="175" ht="15.75" customHeight="1">
      <c r="A175" s="190"/>
      <c r="C175" s="24"/>
      <c r="D175" s="24"/>
      <c r="F175" s="192">
        <f>SUM(F174)</f>
        <v>2916</v>
      </c>
    </row>
    <row r="176" ht="15.75" customHeight="1">
      <c r="C176" s="24"/>
      <c r="D176" s="24"/>
    </row>
    <row r="177" ht="15.75" customHeight="1">
      <c r="A177" s="189" t="s">
        <v>346</v>
      </c>
      <c r="B177" s="190" t="s">
        <v>345</v>
      </c>
      <c r="C177" s="208">
        <v>45935.0</v>
      </c>
      <c r="D177" s="186" t="s">
        <v>344</v>
      </c>
      <c r="F177" s="200">
        <v>2916.0</v>
      </c>
    </row>
    <row r="178" ht="15.75" customHeight="1">
      <c r="A178" s="190"/>
      <c r="C178" s="24"/>
      <c r="D178" s="24"/>
      <c r="F178" s="192">
        <f>SUM(F177)</f>
        <v>2916</v>
      </c>
    </row>
    <row r="179" ht="15.75" customHeight="1">
      <c r="C179" s="24"/>
      <c r="D179" s="24"/>
    </row>
    <row r="180" ht="15.75" customHeight="1">
      <c r="A180" s="189" t="s">
        <v>350</v>
      </c>
      <c r="B180" s="190" t="s">
        <v>349</v>
      </c>
      <c r="C180" s="24" t="s">
        <v>3107</v>
      </c>
      <c r="D180" s="186" t="s">
        <v>348</v>
      </c>
      <c r="F180" s="200">
        <v>3084.0</v>
      </c>
    </row>
    <row r="181" ht="15.75" customHeight="1">
      <c r="A181" s="190"/>
      <c r="C181" s="24"/>
      <c r="D181" s="24"/>
      <c r="F181" s="192">
        <f>SUM(F180)</f>
        <v>3084</v>
      </c>
    </row>
    <row r="182" ht="15.75" customHeight="1">
      <c r="C182" s="24"/>
      <c r="D182" s="24"/>
    </row>
    <row r="183" ht="15.75" customHeight="1">
      <c r="A183" s="189" t="s">
        <v>354</v>
      </c>
      <c r="B183" s="190" t="s">
        <v>353</v>
      </c>
      <c r="C183" s="24" t="s">
        <v>3107</v>
      </c>
      <c r="D183" s="186" t="s">
        <v>352</v>
      </c>
      <c r="F183" s="200">
        <v>6480.0</v>
      </c>
    </row>
    <row r="184" ht="15.75" customHeight="1">
      <c r="A184" s="190"/>
      <c r="C184" s="24"/>
      <c r="D184" s="24"/>
      <c r="F184" s="192">
        <f>SUM(F183)</f>
        <v>6480</v>
      </c>
    </row>
    <row r="185" ht="15.75" customHeight="1">
      <c r="C185" s="24"/>
      <c r="D185" s="24"/>
    </row>
    <row r="186" ht="15.75" customHeight="1">
      <c r="A186" s="189" t="s">
        <v>358</v>
      </c>
      <c r="B186" s="190" t="s">
        <v>357</v>
      </c>
      <c r="C186" s="24" t="s">
        <v>3110</v>
      </c>
      <c r="D186" s="186" t="s">
        <v>356</v>
      </c>
      <c r="F186" s="200">
        <v>3240.0</v>
      </c>
    </row>
    <row r="187" ht="15.75" customHeight="1">
      <c r="A187" s="190"/>
      <c r="C187" s="24"/>
      <c r="D187" s="24"/>
      <c r="F187" s="192">
        <f>SUM(F186)</f>
        <v>3240</v>
      </c>
    </row>
    <row r="188" ht="15.75" customHeight="1">
      <c r="C188" s="24"/>
      <c r="D188" s="24"/>
    </row>
    <row r="189" ht="15.75" customHeight="1">
      <c r="A189" s="189" t="s">
        <v>362</v>
      </c>
      <c r="B189" s="190" t="s">
        <v>3114</v>
      </c>
      <c r="C189" s="24" t="s">
        <v>3107</v>
      </c>
      <c r="D189" s="186" t="s">
        <v>360</v>
      </c>
      <c r="F189" s="200">
        <v>2856.0</v>
      </c>
    </row>
    <row r="190" ht="15.75" customHeight="1">
      <c r="A190" s="190"/>
      <c r="C190" s="24"/>
      <c r="D190" s="24"/>
      <c r="F190" s="192">
        <f>SUM(F189)</f>
        <v>2856</v>
      </c>
    </row>
    <row r="191" ht="15.75" customHeight="1">
      <c r="C191" s="24"/>
      <c r="D191" s="24"/>
      <c r="G191" s="181"/>
      <c r="H191" s="181"/>
      <c r="I191" s="181"/>
      <c r="J191" s="181"/>
      <c r="K191" s="181"/>
      <c r="L191" s="181"/>
      <c r="M191" s="181"/>
      <c r="N191" s="181"/>
      <c r="O191" s="181"/>
      <c r="P191" s="181"/>
      <c r="Q191" s="181"/>
      <c r="R191" s="181"/>
      <c r="S191" s="181"/>
      <c r="T191" s="181"/>
      <c r="U191" s="181"/>
      <c r="V191" s="181"/>
      <c r="W191" s="181"/>
      <c r="X191" s="181"/>
      <c r="Y191" s="181"/>
      <c r="Z191" s="181"/>
      <c r="AA191" s="181"/>
      <c r="AB191" s="181"/>
      <c r="AC191" s="181"/>
      <c r="AD191" s="181"/>
      <c r="AE191" s="181"/>
      <c r="AF191" s="181"/>
    </row>
    <row r="192" ht="15.75" customHeight="1">
      <c r="A192" s="189" t="s">
        <v>366</v>
      </c>
      <c r="B192" s="190" t="s">
        <v>365</v>
      </c>
      <c r="C192" s="208">
        <v>45935.0</v>
      </c>
      <c r="D192" s="186" t="s">
        <v>364</v>
      </c>
      <c r="F192" s="200">
        <v>14580.0</v>
      </c>
      <c r="G192" s="181"/>
      <c r="H192" s="181"/>
      <c r="I192" s="181"/>
      <c r="J192" s="181"/>
      <c r="K192" s="181"/>
      <c r="L192" s="181"/>
      <c r="M192" s="181"/>
      <c r="N192" s="181"/>
      <c r="O192" s="181"/>
      <c r="P192" s="181"/>
      <c r="Q192" s="181"/>
      <c r="R192" s="181"/>
      <c r="S192" s="181"/>
      <c r="T192" s="181"/>
      <c r="U192" s="181"/>
      <c r="V192" s="181"/>
      <c r="W192" s="181"/>
      <c r="X192" s="181"/>
      <c r="Y192" s="181"/>
      <c r="Z192" s="181"/>
      <c r="AA192" s="181"/>
      <c r="AB192" s="181"/>
      <c r="AC192" s="181"/>
      <c r="AD192" s="181"/>
      <c r="AE192" s="181"/>
      <c r="AF192" s="181"/>
    </row>
    <row r="193" ht="15.75" customHeight="1">
      <c r="A193" s="190"/>
      <c r="C193" s="24"/>
      <c r="D193" s="24"/>
      <c r="F193" s="192">
        <f>SUM(F192)</f>
        <v>14580</v>
      </c>
      <c r="G193" s="181"/>
      <c r="H193" s="181"/>
      <c r="I193" s="181"/>
      <c r="J193" s="181"/>
      <c r="K193" s="181"/>
      <c r="L193" s="181"/>
      <c r="M193" s="181"/>
      <c r="N193" s="181"/>
      <c r="O193" s="181"/>
      <c r="P193" s="181"/>
      <c r="Q193" s="181"/>
      <c r="R193" s="181"/>
      <c r="S193" s="181"/>
      <c r="T193" s="181"/>
      <c r="U193" s="181"/>
      <c r="V193" s="181"/>
      <c r="W193" s="181"/>
      <c r="X193" s="181"/>
      <c r="Y193" s="181"/>
      <c r="Z193" s="181"/>
      <c r="AA193" s="181"/>
      <c r="AB193" s="181"/>
      <c r="AC193" s="181"/>
      <c r="AD193" s="181"/>
      <c r="AE193" s="181"/>
      <c r="AF193" s="181"/>
    </row>
    <row r="194" ht="15.75" customHeight="1">
      <c r="C194" s="24"/>
      <c r="D194" s="24"/>
      <c r="G194" s="181"/>
      <c r="H194" s="181"/>
      <c r="I194" s="181"/>
      <c r="J194" s="181"/>
      <c r="K194" s="181"/>
      <c r="L194" s="181"/>
      <c r="M194" s="181"/>
      <c r="N194" s="181"/>
      <c r="O194" s="181"/>
      <c r="P194" s="181"/>
      <c r="Q194" s="181"/>
      <c r="R194" s="181"/>
      <c r="S194" s="181"/>
      <c r="T194" s="181"/>
      <c r="U194" s="181"/>
      <c r="V194" s="181"/>
      <c r="W194" s="181"/>
      <c r="X194" s="181"/>
      <c r="Y194" s="181"/>
      <c r="Z194" s="181"/>
      <c r="AA194" s="181"/>
      <c r="AB194" s="181"/>
      <c r="AC194" s="181"/>
      <c r="AD194" s="181"/>
      <c r="AE194" s="181"/>
      <c r="AF194" s="181"/>
    </row>
    <row r="195" ht="15.75" customHeight="1">
      <c r="A195" s="189" t="s">
        <v>370</v>
      </c>
      <c r="B195" s="190" t="s">
        <v>369</v>
      </c>
      <c r="C195" s="24" t="s">
        <v>3107</v>
      </c>
      <c r="D195" s="186" t="s">
        <v>368</v>
      </c>
      <c r="F195" s="200">
        <v>5712.0</v>
      </c>
      <c r="G195" s="181"/>
      <c r="H195" s="181"/>
      <c r="I195" s="181"/>
      <c r="J195" s="181"/>
      <c r="K195" s="181"/>
      <c r="L195" s="181"/>
      <c r="M195" s="181"/>
      <c r="N195" s="181"/>
      <c r="O195" s="181"/>
      <c r="P195" s="181"/>
      <c r="Q195" s="181"/>
      <c r="R195" s="181"/>
      <c r="S195" s="181"/>
      <c r="T195" s="181"/>
      <c r="U195" s="181"/>
      <c r="V195" s="181"/>
      <c r="W195" s="181"/>
      <c r="X195" s="181"/>
      <c r="Y195" s="181"/>
      <c r="Z195" s="181"/>
      <c r="AA195" s="181"/>
      <c r="AB195" s="181"/>
      <c r="AC195" s="181"/>
      <c r="AD195" s="181"/>
      <c r="AE195" s="181"/>
      <c r="AF195" s="181"/>
    </row>
    <row r="196" ht="15.75" customHeight="1">
      <c r="A196" s="190"/>
      <c r="C196" s="24"/>
      <c r="D196" s="24"/>
      <c r="F196" s="192">
        <f>SUM(F195)</f>
        <v>5712</v>
      </c>
      <c r="G196" s="181"/>
      <c r="H196" s="181"/>
      <c r="I196" s="181"/>
      <c r="J196" s="181"/>
      <c r="K196" s="181"/>
      <c r="L196" s="181"/>
      <c r="M196" s="181"/>
      <c r="N196" s="181"/>
      <c r="O196" s="181"/>
      <c r="P196" s="181"/>
      <c r="Q196" s="181"/>
      <c r="R196" s="181"/>
      <c r="S196" s="181"/>
      <c r="T196" s="181"/>
      <c r="U196" s="181"/>
      <c r="V196" s="181"/>
      <c r="W196" s="181"/>
      <c r="X196" s="181"/>
      <c r="Y196" s="181"/>
      <c r="Z196" s="181"/>
      <c r="AA196" s="181"/>
      <c r="AB196" s="181"/>
      <c r="AC196" s="181"/>
      <c r="AD196" s="181"/>
      <c r="AE196" s="181"/>
      <c r="AF196" s="181"/>
    </row>
    <row r="197" ht="15.75" customHeight="1">
      <c r="C197" s="24"/>
      <c r="D197" s="24"/>
      <c r="G197" s="181"/>
      <c r="H197" s="181"/>
      <c r="I197" s="181"/>
      <c r="J197" s="181"/>
      <c r="K197" s="181"/>
      <c r="L197" s="181"/>
      <c r="M197" s="181"/>
      <c r="N197" s="181"/>
      <c r="O197" s="181"/>
      <c r="P197" s="181"/>
      <c r="Q197" s="181"/>
      <c r="R197" s="181"/>
      <c r="S197" s="181"/>
      <c r="T197" s="181"/>
      <c r="U197" s="181"/>
      <c r="V197" s="181"/>
      <c r="W197" s="181"/>
      <c r="X197" s="181"/>
      <c r="Y197" s="181"/>
      <c r="Z197" s="181"/>
      <c r="AA197" s="181"/>
      <c r="AB197" s="181"/>
      <c r="AC197" s="181"/>
      <c r="AD197" s="181"/>
      <c r="AE197" s="181"/>
      <c r="AF197" s="181"/>
    </row>
    <row r="198" ht="15.75" customHeight="1">
      <c r="A198" s="189" t="s">
        <v>374</v>
      </c>
      <c r="B198" s="190" t="s">
        <v>373</v>
      </c>
      <c r="C198" s="24" t="s">
        <v>3110</v>
      </c>
      <c r="D198" s="186" t="s">
        <v>372</v>
      </c>
      <c r="F198" s="200">
        <v>3078.0</v>
      </c>
      <c r="G198" s="181"/>
      <c r="H198" s="181"/>
      <c r="I198" s="181"/>
      <c r="J198" s="181"/>
      <c r="K198" s="181"/>
      <c r="L198" s="181"/>
      <c r="M198" s="181"/>
      <c r="N198" s="181"/>
      <c r="O198" s="181"/>
      <c r="P198" s="181"/>
      <c r="Q198" s="181"/>
      <c r="R198" s="181"/>
      <c r="S198" s="181"/>
      <c r="T198" s="181"/>
      <c r="U198" s="181"/>
      <c r="V198" s="181"/>
      <c r="W198" s="181"/>
      <c r="X198" s="181"/>
      <c r="Y198" s="181"/>
      <c r="Z198" s="181"/>
      <c r="AA198" s="181"/>
      <c r="AB198" s="181"/>
      <c r="AC198" s="181"/>
      <c r="AD198" s="181"/>
      <c r="AE198" s="181"/>
      <c r="AF198" s="181"/>
    </row>
    <row r="199" ht="15.75" customHeight="1">
      <c r="A199" s="190"/>
      <c r="C199" s="24"/>
      <c r="D199" s="24"/>
      <c r="F199" s="192">
        <f>SUM(F198)</f>
        <v>3078</v>
      </c>
      <c r="G199" s="181"/>
      <c r="H199" s="181"/>
      <c r="I199" s="181"/>
      <c r="J199" s="181"/>
      <c r="K199" s="181"/>
      <c r="L199" s="181"/>
      <c r="M199" s="181"/>
      <c r="N199" s="181"/>
      <c r="O199" s="181"/>
      <c r="P199" s="181"/>
      <c r="Q199" s="181"/>
      <c r="R199" s="181"/>
      <c r="S199" s="181"/>
      <c r="T199" s="181"/>
      <c r="U199" s="181"/>
      <c r="V199" s="181"/>
      <c r="W199" s="181"/>
      <c r="X199" s="181"/>
      <c r="Y199" s="181"/>
      <c r="Z199" s="181"/>
      <c r="AA199" s="181"/>
      <c r="AB199" s="181"/>
      <c r="AC199" s="181"/>
      <c r="AD199" s="181"/>
      <c r="AE199" s="181"/>
      <c r="AF199" s="181"/>
    </row>
    <row r="200" ht="15.75" customHeight="1">
      <c r="C200" s="24"/>
      <c r="D200" s="24"/>
      <c r="G200" s="181"/>
      <c r="H200" s="181"/>
      <c r="I200" s="181"/>
      <c r="J200" s="181"/>
      <c r="K200" s="181"/>
      <c r="L200" s="181"/>
      <c r="M200" s="181"/>
      <c r="N200" s="181"/>
      <c r="O200" s="181"/>
      <c r="P200" s="181"/>
      <c r="Q200" s="181"/>
      <c r="R200" s="181"/>
      <c r="S200" s="181"/>
      <c r="T200" s="181"/>
      <c r="U200" s="181"/>
      <c r="V200" s="181"/>
      <c r="W200" s="181"/>
      <c r="X200" s="181"/>
      <c r="Y200" s="181"/>
      <c r="Z200" s="181"/>
      <c r="AA200" s="181"/>
      <c r="AB200" s="181"/>
      <c r="AC200" s="181"/>
      <c r="AD200" s="181"/>
      <c r="AE200" s="181"/>
      <c r="AF200" s="181"/>
    </row>
    <row r="201" ht="15.75" customHeight="1">
      <c r="A201" s="189" t="s">
        <v>379</v>
      </c>
      <c r="B201" s="190" t="s">
        <v>3115</v>
      </c>
      <c r="C201" s="24" t="s">
        <v>3107</v>
      </c>
      <c r="D201" s="186" t="s">
        <v>377</v>
      </c>
      <c r="F201" s="200">
        <v>5712.0</v>
      </c>
      <c r="G201" s="181"/>
      <c r="H201" s="181"/>
      <c r="I201" s="181"/>
      <c r="J201" s="181"/>
      <c r="K201" s="181"/>
      <c r="L201" s="181"/>
      <c r="M201" s="181"/>
      <c r="N201" s="181"/>
      <c r="O201" s="181"/>
      <c r="P201" s="181"/>
      <c r="Q201" s="181"/>
      <c r="R201" s="181"/>
      <c r="S201" s="181"/>
      <c r="T201" s="181"/>
      <c r="U201" s="181"/>
      <c r="V201" s="181"/>
      <c r="W201" s="181"/>
      <c r="X201" s="181"/>
      <c r="Y201" s="181"/>
      <c r="Z201" s="181"/>
      <c r="AA201" s="181"/>
      <c r="AB201" s="181"/>
      <c r="AC201" s="181"/>
      <c r="AD201" s="181"/>
      <c r="AE201" s="181"/>
      <c r="AF201" s="181"/>
    </row>
    <row r="202" ht="15.75" customHeight="1">
      <c r="A202" s="190"/>
      <c r="C202" s="24"/>
      <c r="D202" s="24"/>
      <c r="F202" s="192">
        <f>SUM(F201)</f>
        <v>5712</v>
      </c>
      <c r="G202" s="181"/>
      <c r="H202" s="181"/>
      <c r="I202" s="181"/>
      <c r="J202" s="181"/>
      <c r="K202" s="181"/>
      <c r="L202" s="181"/>
      <c r="M202" s="181"/>
      <c r="N202" s="181"/>
      <c r="O202" s="181"/>
      <c r="P202" s="181"/>
      <c r="Q202" s="181"/>
      <c r="R202" s="181"/>
      <c r="S202" s="181"/>
      <c r="T202" s="181"/>
      <c r="U202" s="181"/>
      <c r="V202" s="181"/>
      <c r="W202" s="181"/>
      <c r="X202" s="181"/>
      <c r="Y202" s="181"/>
      <c r="Z202" s="181"/>
      <c r="AA202" s="181"/>
      <c r="AB202" s="181"/>
      <c r="AC202" s="181"/>
      <c r="AD202" s="181"/>
      <c r="AE202" s="181"/>
      <c r="AF202" s="181"/>
    </row>
    <row r="203" ht="15.75" customHeight="1">
      <c r="C203" s="24"/>
      <c r="D203" s="24"/>
      <c r="G203" s="181"/>
      <c r="H203" s="181"/>
      <c r="I203" s="181"/>
      <c r="J203" s="181"/>
      <c r="K203" s="181"/>
      <c r="L203" s="181"/>
      <c r="M203" s="181"/>
      <c r="N203" s="181"/>
      <c r="O203" s="181"/>
      <c r="P203" s="181"/>
      <c r="Q203" s="181"/>
      <c r="R203" s="181"/>
      <c r="S203" s="181"/>
      <c r="T203" s="181"/>
      <c r="U203" s="181"/>
      <c r="V203" s="181"/>
      <c r="W203" s="181"/>
      <c r="X203" s="181"/>
      <c r="Y203" s="181"/>
      <c r="Z203" s="181"/>
      <c r="AA203" s="181"/>
      <c r="AB203" s="181"/>
      <c r="AC203" s="181"/>
      <c r="AD203" s="181"/>
      <c r="AE203" s="181"/>
      <c r="AF203" s="181"/>
    </row>
    <row r="204" ht="15.75" customHeight="1">
      <c r="A204" s="189" t="s">
        <v>382</v>
      </c>
      <c r="B204" s="190" t="s">
        <v>381</v>
      </c>
      <c r="C204" s="24" t="s">
        <v>3107</v>
      </c>
      <c r="D204" s="186" t="s">
        <v>380</v>
      </c>
      <c r="F204" s="200">
        <v>2856.0</v>
      </c>
      <c r="G204" s="181"/>
      <c r="H204" s="181"/>
      <c r="I204" s="181"/>
      <c r="J204" s="181"/>
      <c r="K204" s="181"/>
      <c r="L204" s="181"/>
      <c r="M204" s="181"/>
      <c r="N204" s="181"/>
      <c r="O204" s="181"/>
      <c r="P204" s="181"/>
      <c r="Q204" s="181"/>
      <c r="R204" s="181"/>
      <c r="S204" s="181"/>
      <c r="T204" s="181"/>
      <c r="U204" s="181"/>
      <c r="V204" s="181"/>
      <c r="W204" s="181"/>
      <c r="X204" s="181"/>
      <c r="Y204" s="181"/>
      <c r="Z204" s="181"/>
      <c r="AA204" s="181"/>
      <c r="AB204" s="181"/>
      <c r="AC204" s="181"/>
      <c r="AD204" s="181"/>
      <c r="AE204" s="181"/>
      <c r="AF204" s="181"/>
    </row>
    <row r="205" ht="15.75" customHeight="1">
      <c r="A205" s="190"/>
      <c r="C205" s="24"/>
      <c r="D205" s="24"/>
      <c r="F205" s="192">
        <f>SUM(F204)</f>
        <v>2856</v>
      </c>
      <c r="G205" s="181"/>
      <c r="H205" s="181"/>
      <c r="I205" s="181"/>
      <c r="J205" s="181"/>
      <c r="K205" s="181"/>
      <c r="L205" s="181"/>
      <c r="M205" s="181"/>
      <c r="N205" s="181"/>
      <c r="O205" s="181"/>
      <c r="P205" s="181"/>
      <c r="Q205" s="181"/>
      <c r="R205" s="181"/>
      <c r="S205" s="181"/>
      <c r="T205" s="181"/>
      <c r="U205" s="181"/>
      <c r="V205" s="181"/>
      <c r="W205" s="181"/>
      <c r="X205" s="181"/>
      <c r="Y205" s="181"/>
      <c r="Z205" s="181"/>
      <c r="AA205" s="181"/>
      <c r="AB205" s="181"/>
      <c r="AC205" s="181"/>
      <c r="AD205" s="181"/>
      <c r="AE205" s="181"/>
      <c r="AF205" s="181"/>
    </row>
    <row r="206" ht="15.75" customHeight="1">
      <c r="C206" s="24"/>
      <c r="D206" s="24"/>
      <c r="G206" s="181"/>
      <c r="H206" s="181"/>
      <c r="I206" s="181"/>
      <c r="J206" s="181"/>
      <c r="K206" s="181"/>
      <c r="L206" s="181"/>
      <c r="M206" s="181"/>
      <c r="N206" s="181"/>
      <c r="O206" s="181"/>
      <c r="P206" s="181"/>
      <c r="Q206" s="181"/>
      <c r="R206" s="181"/>
      <c r="S206" s="181"/>
      <c r="T206" s="181"/>
      <c r="U206" s="181"/>
      <c r="V206" s="181"/>
      <c r="W206" s="181"/>
      <c r="X206" s="181"/>
      <c r="Y206" s="181"/>
      <c r="Z206" s="181"/>
      <c r="AA206" s="181"/>
      <c r="AB206" s="181"/>
      <c r="AC206" s="181"/>
      <c r="AD206" s="181"/>
      <c r="AE206" s="181"/>
      <c r="AF206" s="181"/>
    </row>
    <row r="207" ht="15.75" customHeight="1">
      <c r="A207" s="189" t="s">
        <v>385</v>
      </c>
      <c r="B207" s="190" t="s">
        <v>384</v>
      </c>
      <c r="C207" s="24" t="s">
        <v>3107</v>
      </c>
      <c r="D207" s="186" t="s">
        <v>383</v>
      </c>
      <c r="F207" s="200">
        <v>3240.0</v>
      </c>
      <c r="G207" s="181"/>
      <c r="H207" s="181"/>
      <c r="I207" s="181"/>
      <c r="J207" s="181"/>
      <c r="K207" s="181"/>
      <c r="L207" s="181"/>
      <c r="M207" s="181"/>
      <c r="N207" s="181"/>
      <c r="O207" s="181"/>
      <c r="P207" s="181"/>
      <c r="Q207" s="181"/>
      <c r="R207" s="181"/>
      <c r="S207" s="181"/>
      <c r="T207" s="181"/>
      <c r="U207" s="181"/>
      <c r="V207" s="181"/>
      <c r="W207" s="181"/>
      <c r="X207" s="181"/>
      <c r="Y207" s="181"/>
      <c r="Z207" s="181"/>
      <c r="AA207" s="181"/>
      <c r="AB207" s="181"/>
      <c r="AC207" s="181"/>
      <c r="AD207" s="181"/>
      <c r="AE207" s="181"/>
      <c r="AF207" s="181"/>
    </row>
    <row r="208" ht="15.75" customHeight="1">
      <c r="A208" s="190"/>
      <c r="C208" s="24"/>
      <c r="D208" s="24"/>
      <c r="F208" s="192">
        <f>SUM(F207)</f>
        <v>3240</v>
      </c>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row>
    <row r="209" ht="15.75" customHeight="1">
      <c r="C209" s="24"/>
      <c r="D209" s="24"/>
      <c r="G209" s="181"/>
      <c r="H209" s="181"/>
      <c r="I209" s="181"/>
      <c r="J209" s="181"/>
      <c r="K209" s="181"/>
      <c r="L209" s="181"/>
      <c r="M209" s="181"/>
      <c r="N209" s="181"/>
      <c r="O209" s="181"/>
      <c r="P209" s="181"/>
      <c r="Q209" s="181"/>
      <c r="R209" s="181"/>
      <c r="S209" s="181"/>
      <c r="T209" s="181"/>
      <c r="U209" s="181"/>
      <c r="V209" s="181"/>
      <c r="W209" s="181"/>
      <c r="X209" s="181"/>
      <c r="Y209" s="181"/>
      <c r="Z209" s="181"/>
      <c r="AA209" s="181"/>
      <c r="AB209" s="181"/>
      <c r="AC209" s="181"/>
      <c r="AD209" s="181"/>
      <c r="AE209" s="181"/>
      <c r="AF209" s="181"/>
    </row>
    <row r="210" ht="15.75" customHeight="1">
      <c r="A210" s="189" t="s">
        <v>388</v>
      </c>
      <c r="B210" s="190" t="s">
        <v>387</v>
      </c>
      <c r="C210" s="24" t="s">
        <v>3110</v>
      </c>
      <c r="D210" s="186" t="s">
        <v>386</v>
      </c>
      <c r="F210" s="200">
        <v>3078.0</v>
      </c>
      <c r="G210" s="181"/>
      <c r="H210" s="181"/>
      <c r="I210" s="181"/>
      <c r="J210" s="181"/>
      <c r="K210" s="181"/>
      <c r="L210" s="181"/>
      <c r="M210" s="181"/>
      <c r="N210" s="181"/>
      <c r="O210" s="181"/>
      <c r="P210" s="181"/>
      <c r="Q210" s="181"/>
      <c r="R210" s="181"/>
      <c r="S210" s="181"/>
      <c r="T210" s="181"/>
      <c r="U210" s="181"/>
      <c r="V210" s="181"/>
      <c r="W210" s="181"/>
      <c r="X210" s="181"/>
      <c r="Y210" s="181"/>
      <c r="Z210" s="181"/>
      <c r="AA210" s="181"/>
      <c r="AB210" s="181"/>
      <c r="AC210" s="181"/>
      <c r="AD210" s="181"/>
      <c r="AE210" s="181"/>
      <c r="AF210" s="181"/>
    </row>
    <row r="211" ht="15.75" customHeight="1">
      <c r="A211" s="190"/>
      <c r="C211" s="24"/>
      <c r="D211" s="24"/>
      <c r="F211" s="192">
        <f>SUM(F210)</f>
        <v>3078</v>
      </c>
      <c r="G211" s="181"/>
      <c r="H211" s="181"/>
      <c r="I211" s="181"/>
      <c r="J211" s="181"/>
      <c r="K211" s="181"/>
      <c r="L211" s="181"/>
      <c r="M211" s="181"/>
      <c r="N211" s="181"/>
      <c r="O211" s="181"/>
      <c r="P211" s="181"/>
      <c r="Q211" s="181"/>
      <c r="R211" s="181"/>
      <c r="S211" s="181"/>
      <c r="T211" s="181"/>
      <c r="U211" s="181"/>
      <c r="V211" s="181"/>
      <c r="W211" s="181"/>
      <c r="X211" s="181"/>
      <c r="Y211" s="181"/>
      <c r="Z211" s="181"/>
      <c r="AA211" s="181"/>
      <c r="AB211" s="181"/>
      <c r="AC211" s="181"/>
      <c r="AD211" s="181"/>
      <c r="AE211" s="181"/>
      <c r="AF211" s="181"/>
    </row>
    <row r="212" ht="15.75" customHeight="1">
      <c r="C212" s="24"/>
      <c r="D212" s="24"/>
      <c r="G212" s="181"/>
      <c r="H212" s="181"/>
      <c r="I212" s="181"/>
      <c r="J212" s="181"/>
      <c r="K212" s="181"/>
      <c r="L212" s="181"/>
      <c r="M212" s="181"/>
      <c r="N212" s="181"/>
      <c r="O212" s="181"/>
      <c r="P212" s="181"/>
      <c r="Q212" s="181"/>
      <c r="R212" s="181"/>
      <c r="S212" s="181"/>
      <c r="T212" s="181"/>
      <c r="U212" s="181"/>
      <c r="V212" s="181"/>
      <c r="W212" s="181"/>
      <c r="X212" s="181"/>
      <c r="Y212" s="181"/>
      <c r="Z212" s="181"/>
      <c r="AA212" s="181"/>
      <c r="AB212" s="181"/>
      <c r="AC212" s="181"/>
      <c r="AD212" s="181"/>
      <c r="AE212" s="181"/>
      <c r="AF212" s="181"/>
    </row>
    <row r="213" ht="15.75" customHeight="1">
      <c r="A213" s="201" t="s">
        <v>392</v>
      </c>
      <c r="B213" s="43" t="s">
        <v>391</v>
      </c>
      <c r="C213" s="7"/>
      <c r="D213" s="202" t="s">
        <v>390</v>
      </c>
      <c r="E213" s="16" t="s">
        <v>3116</v>
      </c>
      <c r="F213" s="203">
        <v>726.0</v>
      </c>
      <c r="G213" s="213"/>
      <c r="H213" s="213"/>
      <c r="I213" s="213"/>
      <c r="J213" s="213"/>
      <c r="K213" s="213"/>
      <c r="L213" s="213"/>
      <c r="M213" s="213"/>
      <c r="N213" s="213"/>
      <c r="O213" s="213"/>
      <c r="P213" s="213"/>
      <c r="Q213" s="213"/>
      <c r="R213" s="213"/>
      <c r="S213" s="213"/>
      <c r="T213" s="213"/>
      <c r="U213" s="213"/>
      <c r="V213" s="213"/>
      <c r="W213" s="213"/>
      <c r="X213" s="213"/>
      <c r="Y213" s="213"/>
      <c r="Z213" s="213"/>
      <c r="AA213" s="213"/>
      <c r="AB213" s="213"/>
      <c r="AC213" s="213"/>
      <c r="AD213" s="213"/>
      <c r="AE213" s="213"/>
      <c r="AF213" s="213"/>
    </row>
    <row r="214" ht="15.75" customHeight="1">
      <c r="A214" s="190"/>
      <c r="C214" s="24"/>
      <c r="D214" s="24"/>
      <c r="F214" s="192">
        <f>SUM(F213)</f>
        <v>726</v>
      </c>
      <c r="G214" s="181"/>
      <c r="H214" s="181"/>
      <c r="I214" s="181"/>
      <c r="J214" s="181"/>
      <c r="K214" s="181"/>
      <c r="L214" s="181"/>
      <c r="M214" s="181"/>
      <c r="N214" s="181"/>
      <c r="O214" s="181"/>
      <c r="P214" s="181"/>
      <c r="Q214" s="181"/>
      <c r="R214" s="181"/>
      <c r="S214" s="181"/>
      <c r="T214" s="181"/>
      <c r="U214" s="181"/>
      <c r="V214" s="181"/>
      <c r="W214" s="181"/>
      <c r="X214" s="181"/>
      <c r="Y214" s="181"/>
      <c r="Z214" s="181"/>
      <c r="AA214" s="181"/>
      <c r="AB214" s="181"/>
      <c r="AC214" s="181"/>
      <c r="AD214" s="181"/>
      <c r="AE214" s="181"/>
      <c r="AF214" s="181"/>
    </row>
    <row r="215" ht="15.75" customHeight="1">
      <c r="C215" s="24"/>
      <c r="D215" s="24"/>
      <c r="G215" s="181"/>
      <c r="H215" s="181"/>
      <c r="I215" s="181"/>
      <c r="J215" s="181"/>
      <c r="K215" s="181"/>
      <c r="L215" s="181"/>
      <c r="M215" s="181"/>
      <c r="N215" s="181"/>
      <c r="O215" s="181"/>
      <c r="P215" s="181"/>
      <c r="Q215" s="181"/>
      <c r="R215" s="181"/>
      <c r="S215" s="181"/>
      <c r="T215" s="181"/>
      <c r="U215" s="181"/>
      <c r="V215" s="181"/>
      <c r="W215" s="181"/>
      <c r="X215" s="181"/>
      <c r="Y215" s="181"/>
      <c r="Z215" s="181"/>
      <c r="AA215" s="181"/>
      <c r="AB215" s="181"/>
      <c r="AC215" s="181"/>
      <c r="AD215" s="181"/>
      <c r="AE215" s="181"/>
      <c r="AF215" s="181"/>
    </row>
    <row r="216" ht="15.75" customHeight="1">
      <c r="A216" s="189" t="s">
        <v>3117</v>
      </c>
      <c r="B216" s="190" t="s">
        <v>394</v>
      </c>
      <c r="C216" s="183">
        <v>45813.0</v>
      </c>
      <c r="D216" s="186" t="s">
        <v>393</v>
      </c>
      <c r="F216" s="200">
        <v>3000.0</v>
      </c>
      <c r="G216" s="181"/>
      <c r="H216" s="181"/>
      <c r="I216" s="181"/>
      <c r="J216" s="181"/>
      <c r="K216" s="181"/>
      <c r="L216" s="181"/>
      <c r="M216" s="181"/>
      <c r="N216" s="181"/>
      <c r="O216" s="181"/>
      <c r="P216" s="181"/>
      <c r="Q216" s="181"/>
      <c r="R216" s="181"/>
      <c r="S216" s="181"/>
      <c r="T216" s="181"/>
      <c r="U216" s="181"/>
      <c r="V216" s="181"/>
      <c r="W216" s="181"/>
      <c r="X216" s="181"/>
      <c r="Y216" s="181"/>
      <c r="Z216" s="181"/>
      <c r="AA216" s="181"/>
      <c r="AB216" s="181"/>
      <c r="AC216" s="181"/>
      <c r="AD216" s="181"/>
      <c r="AE216" s="181"/>
      <c r="AF216" s="181"/>
    </row>
    <row r="217" ht="15.75" customHeight="1">
      <c r="A217" s="190"/>
      <c r="C217" s="24"/>
      <c r="D217" s="24"/>
      <c r="F217" s="192">
        <f>SUM(F216)</f>
        <v>3000</v>
      </c>
      <c r="G217" s="181"/>
      <c r="H217" s="181"/>
      <c r="I217" s="181"/>
      <c r="J217" s="181"/>
      <c r="K217" s="181"/>
      <c r="L217" s="181"/>
      <c r="M217" s="181"/>
      <c r="N217" s="181"/>
      <c r="O217" s="181"/>
      <c r="P217" s="181"/>
      <c r="Q217" s="181"/>
      <c r="R217" s="181"/>
      <c r="S217" s="181"/>
      <c r="T217" s="181"/>
      <c r="U217" s="181"/>
      <c r="V217" s="181"/>
      <c r="W217" s="181"/>
      <c r="X217" s="181"/>
      <c r="Y217" s="181"/>
      <c r="Z217" s="181"/>
      <c r="AA217" s="181"/>
      <c r="AB217" s="181"/>
      <c r="AC217" s="181"/>
      <c r="AD217" s="181"/>
      <c r="AE217" s="181"/>
      <c r="AF217" s="181"/>
    </row>
    <row r="218" ht="15.75" customHeight="1">
      <c r="C218" s="24"/>
      <c r="D218" s="24"/>
      <c r="G218" s="181"/>
      <c r="H218" s="181"/>
      <c r="I218" s="181"/>
      <c r="J218" s="181"/>
      <c r="K218" s="181"/>
      <c r="L218" s="181"/>
      <c r="M218" s="181"/>
      <c r="N218" s="181"/>
      <c r="O218" s="181"/>
      <c r="P218" s="181"/>
      <c r="Q218" s="181"/>
      <c r="R218" s="181"/>
      <c r="S218" s="181"/>
      <c r="T218" s="181"/>
      <c r="U218" s="181"/>
      <c r="V218" s="181"/>
      <c r="W218" s="181"/>
      <c r="X218" s="181"/>
      <c r="Y218" s="181"/>
      <c r="Z218" s="181"/>
      <c r="AA218" s="181"/>
      <c r="AB218" s="181"/>
      <c r="AC218" s="181"/>
      <c r="AD218" s="181"/>
      <c r="AE218" s="181"/>
      <c r="AF218" s="181"/>
    </row>
    <row r="219" ht="15.75" customHeight="1">
      <c r="A219" s="189" t="s">
        <v>3118</v>
      </c>
      <c r="B219" s="190" t="s">
        <v>398</v>
      </c>
      <c r="C219" s="24" t="s">
        <v>3110</v>
      </c>
      <c r="D219" s="186" t="s">
        <v>397</v>
      </c>
      <c r="F219" s="200">
        <v>2916.0</v>
      </c>
      <c r="G219" s="181"/>
      <c r="H219" s="181"/>
      <c r="I219" s="181"/>
      <c r="J219" s="181"/>
      <c r="K219" s="181"/>
      <c r="L219" s="181"/>
      <c r="M219" s="181"/>
      <c r="N219" s="181"/>
      <c r="O219" s="181"/>
      <c r="P219" s="181"/>
      <c r="Q219" s="181"/>
      <c r="R219" s="181"/>
      <c r="S219" s="181"/>
      <c r="T219" s="181"/>
      <c r="U219" s="181"/>
      <c r="V219" s="181"/>
      <c r="W219" s="181"/>
      <c r="X219" s="181"/>
      <c r="Y219" s="181"/>
      <c r="Z219" s="181"/>
      <c r="AA219" s="181"/>
      <c r="AB219" s="181"/>
      <c r="AC219" s="181"/>
      <c r="AD219" s="181"/>
      <c r="AE219" s="181"/>
      <c r="AF219" s="181"/>
    </row>
    <row r="220" ht="15.75" customHeight="1">
      <c r="A220" s="190"/>
      <c r="C220" s="24"/>
      <c r="D220" s="24"/>
      <c r="F220" s="192">
        <f>SUM(F219)</f>
        <v>2916</v>
      </c>
      <c r="G220" s="181"/>
      <c r="H220" s="181"/>
      <c r="I220" s="181"/>
      <c r="J220" s="181"/>
      <c r="K220" s="181"/>
      <c r="L220" s="181"/>
      <c r="M220" s="181"/>
      <c r="N220" s="181"/>
      <c r="O220" s="181"/>
      <c r="P220" s="181"/>
      <c r="Q220" s="181"/>
      <c r="R220" s="181"/>
      <c r="S220" s="181"/>
      <c r="T220" s="181"/>
      <c r="U220" s="181"/>
      <c r="V220" s="181"/>
      <c r="W220" s="181"/>
      <c r="X220" s="181"/>
      <c r="Y220" s="181"/>
      <c r="Z220" s="181"/>
      <c r="AA220" s="181"/>
      <c r="AB220" s="181"/>
      <c r="AC220" s="181"/>
      <c r="AD220" s="181"/>
      <c r="AE220" s="181"/>
      <c r="AF220" s="181"/>
    </row>
    <row r="221" ht="15.75" customHeight="1">
      <c r="C221" s="24"/>
      <c r="D221" s="24"/>
      <c r="G221" s="181"/>
      <c r="H221" s="181"/>
      <c r="I221" s="181"/>
      <c r="J221" s="181"/>
      <c r="K221" s="181"/>
      <c r="L221" s="181"/>
      <c r="M221" s="181"/>
      <c r="N221" s="181"/>
      <c r="O221" s="181"/>
      <c r="P221" s="181"/>
      <c r="Q221" s="181"/>
      <c r="R221" s="181"/>
      <c r="S221" s="181"/>
      <c r="T221" s="181"/>
      <c r="U221" s="181"/>
      <c r="V221" s="181"/>
      <c r="W221" s="181"/>
      <c r="X221" s="181"/>
      <c r="Y221" s="181"/>
      <c r="Z221" s="181"/>
      <c r="AA221" s="181"/>
      <c r="AB221" s="181"/>
      <c r="AC221" s="181"/>
      <c r="AD221" s="181"/>
      <c r="AE221" s="181"/>
      <c r="AF221" s="181"/>
    </row>
    <row r="222" ht="15.75" customHeight="1">
      <c r="A222" s="189" t="s">
        <v>3119</v>
      </c>
      <c r="B222" s="96" t="s">
        <v>403</v>
      </c>
      <c r="C222" s="24" t="s">
        <v>3110</v>
      </c>
      <c r="D222" s="24" t="s">
        <v>402</v>
      </c>
      <c r="F222" s="200">
        <v>3078.0</v>
      </c>
      <c r="G222" s="181"/>
      <c r="H222" s="181"/>
      <c r="I222" s="181"/>
      <c r="J222" s="181"/>
      <c r="K222" s="181"/>
      <c r="L222" s="181"/>
      <c r="M222" s="181"/>
      <c r="N222" s="181"/>
      <c r="O222" s="181"/>
      <c r="P222" s="181"/>
      <c r="Q222" s="181"/>
      <c r="R222" s="181"/>
      <c r="S222" s="181"/>
      <c r="T222" s="181"/>
      <c r="U222" s="181"/>
      <c r="V222" s="181"/>
      <c r="W222" s="181"/>
      <c r="X222" s="181"/>
      <c r="Y222" s="181"/>
      <c r="Z222" s="181"/>
      <c r="AA222" s="181"/>
      <c r="AB222" s="181"/>
      <c r="AC222" s="181"/>
      <c r="AD222" s="181"/>
      <c r="AE222" s="181"/>
      <c r="AF222" s="181"/>
    </row>
    <row r="223" ht="15.75" customHeight="1">
      <c r="A223" s="181"/>
      <c r="C223" s="24"/>
      <c r="D223" s="24"/>
      <c r="F223" s="192">
        <f>SUM(F222)</f>
        <v>3078</v>
      </c>
      <c r="G223" s="181"/>
      <c r="H223" s="181"/>
      <c r="I223" s="181"/>
      <c r="J223" s="181"/>
      <c r="K223" s="181"/>
      <c r="L223" s="181"/>
      <c r="M223" s="181"/>
      <c r="N223" s="181"/>
      <c r="O223" s="181"/>
      <c r="P223" s="181"/>
      <c r="Q223" s="181"/>
      <c r="R223" s="181"/>
      <c r="S223" s="181"/>
      <c r="T223" s="181"/>
      <c r="U223" s="181"/>
      <c r="V223" s="181"/>
      <c r="W223" s="181"/>
      <c r="X223" s="181"/>
      <c r="Y223" s="181"/>
      <c r="Z223" s="181"/>
      <c r="AA223" s="181"/>
      <c r="AB223" s="181"/>
      <c r="AC223" s="181"/>
      <c r="AD223" s="181"/>
      <c r="AE223" s="181"/>
      <c r="AF223" s="181"/>
    </row>
    <row r="224" ht="15.75" customHeight="1">
      <c r="A224" s="181"/>
      <c r="C224" s="24"/>
      <c r="D224" s="24"/>
      <c r="G224" s="181"/>
      <c r="H224" s="181"/>
      <c r="I224" s="181"/>
      <c r="J224" s="181"/>
      <c r="K224" s="181"/>
      <c r="L224" s="181"/>
      <c r="M224" s="181"/>
      <c r="N224" s="181"/>
      <c r="O224" s="181"/>
      <c r="P224" s="181"/>
      <c r="Q224" s="181"/>
      <c r="R224" s="181"/>
      <c r="S224" s="181"/>
      <c r="T224" s="181"/>
      <c r="U224" s="181"/>
      <c r="V224" s="181"/>
      <c r="W224" s="181"/>
      <c r="X224" s="181"/>
      <c r="Y224" s="181"/>
      <c r="Z224" s="181"/>
      <c r="AA224" s="181"/>
      <c r="AB224" s="181"/>
      <c r="AC224" s="181"/>
      <c r="AD224" s="181"/>
      <c r="AE224" s="181"/>
      <c r="AF224" s="181"/>
    </row>
    <row r="225" ht="15.75" customHeight="1">
      <c r="A225" s="213" t="s">
        <v>3120</v>
      </c>
      <c r="B225" s="7" t="s">
        <v>419</v>
      </c>
      <c r="C225" s="212"/>
      <c r="D225" s="7" t="s">
        <v>418</v>
      </c>
      <c r="E225" s="16" t="s">
        <v>3121</v>
      </c>
      <c r="F225" s="214">
        <v>22800.0</v>
      </c>
      <c r="G225" s="213"/>
      <c r="H225" s="213"/>
      <c r="I225" s="213"/>
      <c r="J225" s="213"/>
      <c r="K225" s="213"/>
      <c r="L225" s="213"/>
      <c r="M225" s="213"/>
      <c r="N225" s="213"/>
      <c r="O225" s="213"/>
      <c r="P225" s="213"/>
      <c r="Q225" s="213"/>
      <c r="R225" s="213"/>
      <c r="S225" s="213"/>
      <c r="T225" s="213"/>
      <c r="U225" s="213"/>
      <c r="V225" s="213"/>
      <c r="W225" s="213"/>
      <c r="X225" s="213"/>
      <c r="Y225" s="213"/>
      <c r="Z225" s="213"/>
      <c r="AA225" s="213"/>
      <c r="AB225" s="213"/>
      <c r="AC225" s="213"/>
      <c r="AD225" s="213"/>
      <c r="AE225" s="213"/>
      <c r="AF225" s="213"/>
    </row>
    <row r="226" ht="15.75" customHeight="1">
      <c r="A226" s="181"/>
      <c r="C226" s="24"/>
      <c r="D226" s="24"/>
      <c r="F226" s="192">
        <f>SUM(F225)</f>
        <v>22800</v>
      </c>
      <c r="G226" s="181"/>
      <c r="H226" s="181"/>
      <c r="I226" s="181"/>
      <c r="J226" s="181"/>
      <c r="K226" s="181"/>
      <c r="L226" s="181"/>
      <c r="M226" s="181"/>
      <c r="N226" s="181"/>
      <c r="O226" s="181"/>
      <c r="P226" s="181"/>
      <c r="Q226" s="181"/>
      <c r="R226" s="181"/>
      <c r="S226" s="181"/>
      <c r="T226" s="181"/>
      <c r="U226" s="181"/>
      <c r="V226" s="181"/>
      <c r="W226" s="181"/>
      <c r="X226" s="181"/>
      <c r="Y226" s="181"/>
      <c r="Z226" s="181"/>
      <c r="AA226" s="181"/>
      <c r="AB226" s="181"/>
      <c r="AC226" s="181"/>
      <c r="AD226" s="181"/>
      <c r="AE226" s="181"/>
      <c r="AF226" s="181"/>
    </row>
    <row r="227" ht="15.75" customHeight="1">
      <c r="A227" s="181"/>
      <c r="C227" s="24"/>
      <c r="D227" s="24"/>
      <c r="F227" s="181"/>
      <c r="G227" s="181"/>
      <c r="H227" s="181"/>
      <c r="I227" s="181"/>
      <c r="J227" s="181"/>
      <c r="K227" s="181"/>
      <c r="L227" s="181"/>
      <c r="M227" s="181"/>
      <c r="N227" s="181"/>
      <c r="O227" s="181"/>
      <c r="P227" s="181"/>
      <c r="Q227" s="181"/>
      <c r="R227" s="181"/>
      <c r="S227" s="181"/>
      <c r="T227" s="181"/>
      <c r="U227" s="181"/>
      <c r="V227" s="181"/>
      <c r="W227" s="181"/>
      <c r="X227" s="181"/>
      <c r="Y227" s="181"/>
      <c r="Z227" s="181"/>
      <c r="AA227" s="181"/>
      <c r="AB227" s="181"/>
      <c r="AC227" s="181"/>
      <c r="AD227" s="181"/>
      <c r="AE227" s="181"/>
      <c r="AF227" s="181"/>
    </row>
    <row r="228" ht="15.75" customHeight="1">
      <c r="A228" s="181" t="s">
        <v>3122</v>
      </c>
      <c r="B228" s="96" t="s">
        <v>422</v>
      </c>
      <c r="C228" s="208"/>
      <c r="D228" s="24" t="s">
        <v>421</v>
      </c>
      <c r="F228" s="210">
        <v>2916.0</v>
      </c>
      <c r="G228" s="181"/>
      <c r="H228" s="181"/>
      <c r="I228" s="181"/>
      <c r="J228" s="181"/>
      <c r="K228" s="181"/>
      <c r="L228" s="181"/>
      <c r="M228" s="181"/>
      <c r="N228" s="181"/>
      <c r="O228" s="181"/>
      <c r="P228" s="181"/>
      <c r="Q228" s="181"/>
      <c r="R228" s="181"/>
      <c r="S228" s="181"/>
      <c r="T228" s="181"/>
      <c r="U228" s="181"/>
      <c r="V228" s="181"/>
      <c r="W228" s="181"/>
      <c r="X228" s="181"/>
      <c r="Y228" s="181"/>
      <c r="Z228" s="181"/>
      <c r="AA228" s="181"/>
      <c r="AB228" s="181"/>
      <c r="AC228" s="181"/>
      <c r="AD228" s="181"/>
      <c r="AE228" s="181"/>
      <c r="AF228" s="181"/>
    </row>
    <row r="229" ht="15.75" customHeight="1">
      <c r="A229" s="181"/>
      <c r="C229" s="24"/>
      <c r="D229" s="24"/>
      <c r="F229" s="192">
        <f>SUM(F228)</f>
        <v>2916</v>
      </c>
      <c r="G229" s="181"/>
      <c r="H229" s="181"/>
      <c r="I229" s="181"/>
      <c r="J229" s="181"/>
      <c r="K229" s="181"/>
      <c r="L229" s="181"/>
      <c r="M229" s="181"/>
      <c r="N229" s="181"/>
      <c r="O229" s="181"/>
      <c r="P229" s="181"/>
      <c r="Q229" s="181"/>
      <c r="R229" s="181"/>
      <c r="S229" s="181"/>
      <c r="T229" s="181"/>
      <c r="U229" s="181"/>
      <c r="V229" s="181"/>
      <c r="W229" s="181"/>
      <c r="X229" s="181"/>
      <c r="Y229" s="181"/>
      <c r="Z229" s="181"/>
      <c r="AA229" s="181"/>
      <c r="AB229" s="181"/>
      <c r="AC229" s="181"/>
      <c r="AD229" s="181"/>
      <c r="AE229" s="181"/>
      <c r="AF229" s="181"/>
    </row>
    <row r="230" ht="15.75" customHeight="1">
      <c r="A230" s="181"/>
      <c r="C230" s="24"/>
      <c r="D230" s="24"/>
      <c r="F230" s="181"/>
      <c r="G230" s="181"/>
      <c r="H230" s="181"/>
      <c r="I230" s="181"/>
      <c r="J230" s="181"/>
      <c r="K230" s="181"/>
      <c r="L230" s="181"/>
      <c r="M230" s="181"/>
      <c r="N230" s="181"/>
      <c r="O230" s="181"/>
      <c r="P230" s="181"/>
      <c r="Q230" s="181"/>
      <c r="R230" s="181"/>
      <c r="S230" s="181"/>
      <c r="T230" s="181"/>
      <c r="U230" s="181"/>
      <c r="V230" s="181"/>
      <c r="W230" s="181"/>
      <c r="X230" s="181"/>
      <c r="Y230" s="181"/>
      <c r="Z230" s="181"/>
      <c r="AA230" s="181"/>
      <c r="AB230" s="181"/>
      <c r="AC230" s="181"/>
      <c r="AD230" s="181"/>
      <c r="AE230" s="181"/>
      <c r="AF230" s="181"/>
    </row>
    <row r="231" ht="15.75" customHeight="1">
      <c r="A231" s="181" t="s">
        <v>3123</v>
      </c>
      <c r="B231" s="96" t="s">
        <v>426</v>
      </c>
      <c r="C231" s="208"/>
      <c r="D231" s="24" t="s">
        <v>425</v>
      </c>
      <c r="F231" s="210">
        <v>2916.0</v>
      </c>
      <c r="G231" s="181"/>
      <c r="H231" s="181"/>
      <c r="I231" s="181"/>
      <c r="J231" s="181"/>
      <c r="K231" s="181"/>
      <c r="L231" s="181"/>
      <c r="M231" s="181"/>
      <c r="N231" s="181"/>
      <c r="O231" s="181"/>
      <c r="P231" s="181"/>
      <c r="Q231" s="181"/>
      <c r="R231" s="181"/>
      <c r="S231" s="181"/>
      <c r="T231" s="181"/>
      <c r="U231" s="181"/>
      <c r="V231" s="181"/>
      <c r="W231" s="181"/>
      <c r="X231" s="181"/>
      <c r="Y231" s="181"/>
      <c r="Z231" s="181"/>
      <c r="AA231" s="181"/>
      <c r="AB231" s="181"/>
      <c r="AC231" s="181"/>
      <c r="AD231" s="181"/>
      <c r="AE231" s="181"/>
      <c r="AF231" s="181"/>
    </row>
    <row r="232" ht="15.75" customHeight="1">
      <c r="A232" s="181"/>
      <c r="C232" s="24"/>
      <c r="D232" s="24"/>
      <c r="F232" s="192">
        <f>SUM(F231)</f>
        <v>2916</v>
      </c>
      <c r="G232" s="181"/>
      <c r="H232" s="181"/>
      <c r="I232" s="181"/>
      <c r="J232" s="181"/>
      <c r="K232" s="181"/>
      <c r="L232" s="181"/>
      <c r="M232" s="181"/>
      <c r="N232" s="181"/>
      <c r="O232" s="181"/>
      <c r="P232" s="181"/>
      <c r="Q232" s="181"/>
      <c r="R232" s="181"/>
      <c r="S232" s="181"/>
      <c r="T232" s="181"/>
      <c r="U232" s="181"/>
      <c r="V232" s="181"/>
      <c r="W232" s="181"/>
      <c r="X232" s="181"/>
      <c r="Y232" s="181"/>
      <c r="Z232" s="181"/>
      <c r="AA232" s="181"/>
      <c r="AB232" s="181"/>
      <c r="AC232" s="181"/>
      <c r="AD232" s="181"/>
      <c r="AE232" s="181"/>
      <c r="AF232" s="181"/>
    </row>
    <row r="233" ht="15.75" customHeight="1">
      <c r="A233" s="181"/>
      <c r="C233" s="24"/>
      <c r="D233" s="24"/>
      <c r="F233" s="181"/>
      <c r="G233" s="181"/>
      <c r="H233" s="181"/>
      <c r="I233" s="181"/>
      <c r="J233" s="181"/>
      <c r="K233" s="181"/>
      <c r="L233" s="181"/>
      <c r="M233" s="181"/>
      <c r="N233" s="181"/>
      <c r="O233" s="181"/>
      <c r="P233" s="181"/>
      <c r="Q233" s="181"/>
      <c r="R233" s="181"/>
      <c r="S233" s="181"/>
      <c r="T233" s="181"/>
      <c r="U233" s="181"/>
      <c r="V233" s="181"/>
      <c r="W233" s="181"/>
      <c r="X233" s="181"/>
      <c r="Y233" s="181"/>
      <c r="Z233" s="181"/>
      <c r="AA233" s="181"/>
      <c r="AB233" s="181"/>
      <c r="AC233" s="181"/>
      <c r="AD233" s="181"/>
      <c r="AE233" s="181"/>
      <c r="AF233" s="181"/>
    </row>
    <row r="234" ht="15.75" customHeight="1">
      <c r="A234" s="181" t="s">
        <v>3124</v>
      </c>
      <c r="B234" s="96" t="s">
        <v>430</v>
      </c>
      <c r="C234" s="24"/>
      <c r="D234" s="24" t="s">
        <v>429</v>
      </c>
      <c r="F234" s="210">
        <v>2916.0</v>
      </c>
      <c r="G234" s="181"/>
      <c r="H234" s="181"/>
      <c r="I234" s="181"/>
      <c r="J234" s="181"/>
      <c r="K234" s="181"/>
      <c r="L234" s="181"/>
      <c r="M234" s="181"/>
      <c r="N234" s="181"/>
      <c r="O234" s="181"/>
      <c r="P234" s="181"/>
      <c r="Q234" s="181"/>
      <c r="R234" s="181"/>
      <c r="S234" s="181"/>
      <c r="T234" s="181"/>
      <c r="U234" s="181"/>
      <c r="V234" s="181"/>
      <c r="W234" s="181"/>
      <c r="X234" s="181"/>
      <c r="Y234" s="181"/>
      <c r="Z234" s="181"/>
      <c r="AA234" s="181"/>
      <c r="AB234" s="181"/>
      <c r="AC234" s="181"/>
      <c r="AD234" s="181"/>
      <c r="AE234" s="181"/>
      <c r="AF234" s="181"/>
    </row>
    <row r="235" ht="15.75" customHeight="1">
      <c r="A235" s="181"/>
      <c r="C235" s="24"/>
      <c r="D235" s="24"/>
      <c r="F235" s="192">
        <f>SUM(F234)</f>
        <v>2916</v>
      </c>
      <c r="G235" s="181"/>
      <c r="H235" s="181"/>
      <c r="I235" s="181"/>
      <c r="J235" s="181"/>
      <c r="K235" s="181"/>
      <c r="L235" s="181"/>
      <c r="M235" s="181"/>
      <c r="N235" s="181"/>
      <c r="O235" s="181"/>
      <c r="P235" s="181"/>
      <c r="Q235" s="181"/>
      <c r="R235" s="181"/>
      <c r="S235" s="181"/>
      <c r="T235" s="181"/>
      <c r="U235" s="181"/>
      <c r="V235" s="181"/>
      <c r="W235" s="181"/>
      <c r="X235" s="181"/>
      <c r="Y235" s="181"/>
      <c r="Z235" s="181"/>
      <c r="AA235" s="181"/>
      <c r="AB235" s="181"/>
      <c r="AC235" s="181"/>
      <c r="AD235" s="181"/>
      <c r="AE235" s="181"/>
      <c r="AF235" s="181"/>
    </row>
    <row r="236" ht="15.75" customHeight="1">
      <c r="A236" s="181"/>
      <c r="C236" s="24"/>
      <c r="D236" s="24"/>
      <c r="F236" s="181"/>
      <c r="G236" s="181"/>
      <c r="H236" s="181"/>
      <c r="I236" s="181"/>
      <c r="J236" s="181"/>
      <c r="K236" s="181"/>
      <c r="L236" s="181"/>
      <c r="M236" s="181"/>
      <c r="N236" s="181"/>
      <c r="O236" s="181"/>
      <c r="P236" s="181"/>
      <c r="Q236" s="181"/>
      <c r="R236" s="181"/>
      <c r="S236" s="181"/>
      <c r="T236" s="181"/>
      <c r="U236" s="181"/>
      <c r="V236" s="181"/>
      <c r="W236" s="181"/>
      <c r="X236" s="181"/>
      <c r="Y236" s="181"/>
      <c r="Z236" s="181"/>
      <c r="AA236" s="181"/>
      <c r="AB236" s="181"/>
      <c r="AC236" s="181"/>
      <c r="AD236" s="181"/>
      <c r="AE236" s="181"/>
      <c r="AF236" s="181"/>
    </row>
    <row r="237" ht="15.75" customHeight="1">
      <c r="A237" s="181" t="s">
        <v>3125</v>
      </c>
      <c r="B237" s="96" t="s">
        <v>434</v>
      </c>
      <c r="C237" s="24"/>
      <c r="D237" s="24" t="s">
        <v>433</v>
      </c>
      <c r="F237" s="210">
        <v>2916.0</v>
      </c>
      <c r="G237" s="181"/>
      <c r="H237" s="181"/>
      <c r="I237" s="181"/>
      <c r="J237" s="181"/>
      <c r="K237" s="181"/>
      <c r="L237" s="181"/>
      <c r="M237" s="181"/>
      <c r="N237" s="181"/>
      <c r="O237" s="181"/>
      <c r="P237" s="181"/>
      <c r="Q237" s="181"/>
      <c r="R237" s="181"/>
      <c r="S237" s="181"/>
      <c r="T237" s="181"/>
      <c r="U237" s="181"/>
      <c r="V237" s="181"/>
      <c r="W237" s="181"/>
      <c r="X237" s="181"/>
      <c r="Y237" s="181"/>
      <c r="Z237" s="181"/>
      <c r="AA237" s="181"/>
      <c r="AB237" s="181"/>
      <c r="AC237" s="181"/>
      <c r="AD237" s="181"/>
      <c r="AE237" s="181"/>
      <c r="AF237" s="181"/>
    </row>
    <row r="238" ht="15.75" customHeight="1">
      <c r="A238" s="181"/>
      <c r="C238" s="24"/>
      <c r="D238" s="24"/>
      <c r="F238" s="192">
        <f>SUM(F237)</f>
        <v>2916</v>
      </c>
      <c r="G238" s="181"/>
      <c r="H238" s="181"/>
      <c r="I238" s="181"/>
      <c r="J238" s="181"/>
      <c r="K238" s="181"/>
      <c r="L238" s="181"/>
      <c r="M238" s="181"/>
      <c r="N238" s="181"/>
      <c r="O238" s="181"/>
      <c r="P238" s="181"/>
      <c r="Q238" s="181"/>
      <c r="R238" s="181"/>
      <c r="S238" s="181"/>
      <c r="T238" s="181"/>
      <c r="U238" s="181"/>
      <c r="V238" s="181"/>
      <c r="W238" s="181"/>
      <c r="X238" s="181"/>
      <c r="Y238" s="181"/>
      <c r="Z238" s="181"/>
      <c r="AA238" s="181"/>
      <c r="AB238" s="181"/>
      <c r="AC238" s="181"/>
      <c r="AD238" s="181"/>
      <c r="AE238" s="181"/>
      <c r="AF238" s="181"/>
    </row>
    <row r="239" ht="15.75" customHeight="1">
      <c r="A239" s="181"/>
      <c r="C239" s="24"/>
      <c r="D239" s="24"/>
      <c r="F239" s="181"/>
      <c r="G239" s="181"/>
      <c r="H239" s="181"/>
      <c r="I239" s="181"/>
      <c r="J239" s="181"/>
      <c r="K239" s="181"/>
      <c r="L239" s="181"/>
      <c r="M239" s="181"/>
      <c r="N239" s="181"/>
      <c r="O239" s="181"/>
      <c r="P239" s="181"/>
      <c r="Q239" s="181"/>
      <c r="R239" s="181"/>
      <c r="S239" s="181"/>
      <c r="T239" s="181"/>
      <c r="U239" s="181"/>
      <c r="V239" s="181"/>
      <c r="W239" s="181"/>
      <c r="X239" s="181"/>
      <c r="Y239" s="181"/>
      <c r="Z239" s="181"/>
      <c r="AA239" s="181"/>
      <c r="AB239" s="181"/>
      <c r="AC239" s="181"/>
      <c r="AD239" s="181"/>
      <c r="AE239" s="181"/>
      <c r="AF239" s="181"/>
    </row>
    <row r="240" ht="15.75" customHeight="1">
      <c r="A240" s="181" t="s">
        <v>3126</v>
      </c>
      <c r="B240" s="24" t="s">
        <v>134</v>
      </c>
      <c r="C240" s="24"/>
      <c r="D240" s="96" t="s">
        <v>436</v>
      </c>
      <c r="F240" s="210">
        <v>2904.0</v>
      </c>
      <c r="G240" s="24"/>
      <c r="H240" s="27"/>
      <c r="I240" s="24"/>
      <c r="J240" s="215"/>
      <c r="K240" s="24"/>
      <c r="L240" s="24"/>
      <c r="M240" s="27"/>
      <c r="N240" s="24"/>
      <c r="O240" s="24"/>
      <c r="Q240" s="98"/>
      <c r="R240" s="24"/>
      <c r="S240" s="24"/>
      <c r="T240" s="24"/>
      <c r="U240" s="24"/>
      <c r="V240" s="24"/>
      <c r="W240" s="24"/>
      <c r="X240" s="24"/>
      <c r="Y240" s="181"/>
      <c r="Z240" s="181"/>
      <c r="AA240" s="181"/>
      <c r="AB240" s="181"/>
      <c r="AC240" s="181"/>
      <c r="AD240" s="181"/>
      <c r="AE240" s="181"/>
      <c r="AF240" s="181"/>
    </row>
    <row r="241" ht="15.75" customHeight="1">
      <c r="A241" s="181"/>
      <c r="C241" s="24"/>
      <c r="D241" s="24"/>
      <c r="F241" s="192">
        <f>SUM(F240)</f>
        <v>2904</v>
      </c>
      <c r="G241" s="181"/>
      <c r="H241" s="181"/>
      <c r="I241" s="181"/>
      <c r="J241" s="181"/>
      <c r="K241" s="181"/>
      <c r="L241" s="181"/>
      <c r="M241" s="181"/>
      <c r="N241" s="181"/>
      <c r="O241" s="181"/>
      <c r="P241" s="181"/>
      <c r="Q241" s="181"/>
      <c r="R241" s="181"/>
      <c r="S241" s="181"/>
      <c r="T241" s="181"/>
      <c r="U241" s="181"/>
      <c r="V241" s="181"/>
      <c r="W241" s="181"/>
      <c r="X241" s="181"/>
      <c r="Y241" s="181"/>
      <c r="Z241" s="181"/>
      <c r="AA241" s="181"/>
      <c r="AB241" s="181"/>
      <c r="AC241" s="181"/>
      <c r="AD241" s="181"/>
      <c r="AE241" s="181"/>
      <c r="AF241" s="181"/>
    </row>
    <row r="242" ht="15.75" customHeight="1">
      <c r="A242" s="181"/>
      <c r="C242" s="24"/>
      <c r="D242" s="24"/>
      <c r="F242" s="181"/>
      <c r="G242" s="181"/>
      <c r="H242" s="181"/>
      <c r="I242" s="181"/>
      <c r="J242" s="181"/>
      <c r="K242" s="181"/>
      <c r="L242" s="181"/>
      <c r="M242" s="181"/>
      <c r="N242" s="181"/>
      <c r="O242" s="181"/>
      <c r="P242" s="181"/>
      <c r="Q242" s="181"/>
      <c r="R242" s="181"/>
      <c r="S242" s="181"/>
      <c r="T242" s="181"/>
      <c r="U242" s="181"/>
      <c r="V242" s="181"/>
      <c r="W242" s="181"/>
      <c r="X242" s="181"/>
      <c r="Y242" s="181"/>
      <c r="Z242" s="181"/>
      <c r="AA242" s="181"/>
      <c r="AB242" s="181"/>
      <c r="AC242" s="181"/>
      <c r="AD242" s="181"/>
      <c r="AE242" s="181"/>
      <c r="AF242" s="181"/>
    </row>
    <row r="243" ht="15.75" customHeight="1">
      <c r="A243" s="181" t="s">
        <v>3127</v>
      </c>
      <c r="B243" s="24" t="s">
        <v>3128</v>
      </c>
      <c r="C243" s="24"/>
      <c r="D243" s="24" t="s">
        <v>456</v>
      </c>
      <c r="F243" s="210">
        <v>2856.0</v>
      </c>
      <c r="G243" s="181"/>
      <c r="H243" s="181"/>
      <c r="I243" s="181"/>
      <c r="J243" s="181"/>
      <c r="K243" s="181"/>
      <c r="L243" s="181"/>
      <c r="M243" s="181"/>
      <c r="N243" s="181"/>
      <c r="O243" s="181"/>
      <c r="P243" s="181"/>
      <c r="Q243" s="181"/>
      <c r="R243" s="181"/>
      <c r="S243" s="181"/>
      <c r="T243" s="181"/>
      <c r="U243" s="181"/>
      <c r="V243" s="181"/>
      <c r="W243" s="181"/>
      <c r="X243" s="181"/>
      <c r="Y243" s="181"/>
      <c r="Z243" s="181"/>
      <c r="AA243" s="181"/>
      <c r="AB243" s="181"/>
      <c r="AC243" s="181"/>
      <c r="AD243" s="181"/>
      <c r="AE243" s="181"/>
      <c r="AF243" s="181"/>
    </row>
    <row r="244" ht="15.75" customHeight="1">
      <c r="A244" s="181"/>
      <c r="C244" s="24"/>
      <c r="D244" s="24"/>
      <c r="F244" s="192">
        <f>SUM(F243)</f>
        <v>2856</v>
      </c>
      <c r="G244" s="181"/>
      <c r="H244" s="181"/>
      <c r="I244" s="181"/>
      <c r="J244" s="181"/>
      <c r="K244" s="181"/>
      <c r="L244" s="181"/>
      <c r="M244" s="181"/>
      <c r="N244" s="181"/>
      <c r="O244" s="181"/>
      <c r="P244" s="181"/>
      <c r="Q244" s="181"/>
      <c r="R244" s="181"/>
      <c r="S244" s="181"/>
      <c r="T244" s="181"/>
      <c r="U244" s="181"/>
      <c r="V244" s="181"/>
      <c r="W244" s="181"/>
      <c r="X244" s="181"/>
      <c r="Y244" s="181"/>
      <c r="Z244" s="181"/>
      <c r="AA244" s="181"/>
      <c r="AB244" s="181"/>
      <c r="AC244" s="181"/>
      <c r="AD244" s="181"/>
      <c r="AE244" s="181"/>
      <c r="AF244" s="181"/>
    </row>
    <row r="245" ht="15.75" customHeight="1">
      <c r="A245" s="181"/>
      <c r="C245" s="24"/>
      <c r="D245" s="24"/>
      <c r="F245" s="192"/>
      <c r="G245" s="181"/>
      <c r="H245" s="181"/>
      <c r="I245" s="181"/>
      <c r="J245" s="181"/>
      <c r="K245" s="181"/>
      <c r="L245" s="181"/>
      <c r="M245" s="181"/>
      <c r="N245" s="181"/>
      <c r="O245" s="181"/>
      <c r="P245" s="181"/>
      <c r="Q245" s="181"/>
      <c r="R245" s="181"/>
      <c r="S245" s="181"/>
      <c r="T245" s="181"/>
      <c r="U245" s="181"/>
      <c r="V245" s="181"/>
      <c r="W245" s="181"/>
      <c r="X245" s="181"/>
      <c r="Y245" s="181"/>
      <c r="Z245" s="181"/>
      <c r="AA245" s="181"/>
      <c r="AB245" s="181"/>
      <c r="AC245" s="181"/>
      <c r="AD245" s="181"/>
      <c r="AE245" s="181"/>
      <c r="AF245" s="181"/>
    </row>
    <row r="246" ht="15.75" customHeight="1">
      <c r="A246" s="181" t="s">
        <v>3129</v>
      </c>
      <c r="B246" s="24" t="s">
        <v>3130</v>
      </c>
      <c r="C246" s="24"/>
      <c r="D246" s="24" t="s">
        <v>460</v>
      </c>
      <c r="F246" s="210">
        <v>2856.0</v>
      </c>
      <c r="G246" s="181"/>
      <c r="H246" s="181"/>
      <c r="I246" s="181"/>
      <c r="J246" s="181"/>
      <c r="K246" s="181"/>
      <c r="L246" s="181"/>
      <c r="M246" s="181"/>
      <c r="N246" s="181"/>
      <c r="O246" s="181"/>
      <c r="P246" s="181"/>
      <c r="Q246" s="181"/>
      <c r="R246" s="181"/>
      <c r="S246" s="181"/>
      <c r="T246" s="181"/>
      <c r="U246" s="181"/>
      <c r="V246" s="181"/>
      <c r="W246" s="181"/>
      <c r="X246" s="181"/>
      <c r="Y246" s="181"/>
      <c r="Z246" s="181"/>
      <c r="AA246" s="181"/>
      <c r="AB246" s="181"/>
      <c r="AC246" s="181"/>
      <c r="AD246" s="181"/>
      <c r="AE246" s="181"/>
      <c r="AF246" s="181"/>
    </row>
    <row r="247" ht="15.75" customHeight="1">
      <c r="A247" s="181"/>
      <c r="C247" s="24"/>
      <c r="D247" s="24"/>
      <c r="F247" s="192">
        <f>SUM(F246)</f>
        <v>2856</v>
      </c>
      <c r="G247" s="181"/>
      <c r="H247" s="181"/>
      <c r="I247" s="181"/>
      <c r="J247" s="181"/>
      <c r="K247" s="181"/>
      <c r="L247" s="181"/>
      <c r="M247" s="181"/>
      <c r="N247" s="181"/>
      <c r="O247" s="181"/>
      <c r="P247" s="181"/>
      <c r="Q247" s="181"/>
      <c r="R247" s="181"/>
      <c r="S247" s="181"/>
      <c r="T247" s="181"/>
      <c r="U247" s="181"/>
      <c r="V247" s="181"/>
      <c r="W247" s="181"/>
      <c r="X247" s="181"/>
      <c r="Y247" s="181"/>
      <c r="Z247" s="181"/>
      <c r="AA247" s="181"/>
      <c r="AB247" s="181"/>
      <c r="AC247" s="181"/>
      <c r="AD247" s="181"/>
      <c r="AE247" s="181"/>
      <c r="AF247" s="181"/>
    </row>
    <row r="248" ht="15.75" customHeight="1">
      <c r="A248" s="181"/>
      <c r="C248" s="24"/>
      <c r="D248" s="24"/>
      <c r="F248" s="192"/>
      <c r="G248" s="181"/>
      <c r="H248" s="181"/>
      <c r="I248" s="181"/>
      <c r="J248" s="181"/>
      <c r="K248" s="181"/>
      <c r="L248" s="181"/>
      <c r="M248" s="181"/>
      <c r="N248" s="181"/>
      <c r="O248" s="181"/>
      <c r="P248" s="181"/>
      <c r="Q248" s="181"/>
      <c r="R248" s="181"/>
      <c r="S248" s="181"/>
      <c r="T248" s="181"/>
      <c r="U248" s="181"/>
      <c r="V248" s="181"/>
      <c r="W248" s="181"/>
      <c r="X248" s="181"/>
      <c r="Y248" s="181"/>
      <c r="Z248" s="181"/>
      <c r="AA248" s="181"/>
      <c r="AB248" s="181"/>
      <c r="AC248" s="181"/>
      <c r="AD248" s="181"/>
      <c r="AE248" s="181"/>
      <c r="AF248" s="181"/>
    </row>
    <row r="249" ht="15.75" customHeight="1">
      <c r="A249" s="181" t="s">
        <v>3131</v>
      </c>
      <c r="B249" s="24" t="s">
        <v>465</v>
      </c>
      <c r="C249" s="24"/>
      <c r="D249" s="24" t="s">
        <v>464</v>
      </c>
      <c r="F249" s="210">
        <v>2904.0</v>
      </c>
      <c r="G249" s="181"/>
      <c r="H249" s="181"/>
      <c r="I249" s="181"/>
      <c r="J249" s="181"/>
      <c r="K249" s="181"/>
      <c r="L249" s="181"/>
      <c r="M249" s="181"/>
      <c r="N249" s="181"/>
      <c r="O249" s="181"/>
      <c r="P249" s="181"/>
      <c r="Q249" s="181"/>
      <c r="R249" s="181"/>
      <c r="S249" s="181"/>
      <c r="T249" s="181"/>
      <c r="U249" s="181"/>
      <c r="V249" s="181"/>
      <c r="W249" s="181"/>
      <c r="X249" s="181"/>
      <c r="Y249" s="181"/>
      <c r="Z249" s="181"/>
      <c r="AA249" s="181"/>
      <c r="AB249" s="181"/>
      <c r="AC249" s="181"/>
      <c r="AD249" s="181"/>
      <c r="AE249" s="181"/>
      <c r="AF249" s="181"/>
    </row>
    <row r="250" ht="15.75" customHeight="1">
      <c r="A250" s="181"/>
      <c r="C250" s="24"/>
      <c r="D250" s="24"/>
      <c r="F250" s="192">
        <f>SUM(F249)</f>
        <v>2904</v>
      </c>
      <c r="G250" s="181"/>
      <c r="H250" s="181"/>
      <c r="I250" s="181"/>
      <c r="J250" s="181"/>
      <c r="K250" s="181"/>
      <c r="L250" s="181"/>
      <c r="M250" s="181"/>
      <c r="N250" s="181"/>
      <c r="O250" s="181"/>
      <c r="P250" s="181"/>
      <c r="Q250" s="181"/>
      <c r="R250" s="181"/>
      <c r="S250" s="181"/>
      <c r="T250" s="181"/>
      <c r="U250" s="181"/>
      <c r="V250" s="181"/>
      <c r="W250" s="181"/>
      <c r="X250" s="181"/>
      <c r="Y250" s="181"/>
      <c r="Z250" s="181"/>
      <c r="AA250" s="181"/>
      <c r="AB250" s="181"/>
      <c r="AC250" s="181"/>
      <c r="AD250" s="181"/>
      <c r="AE250" s="181"/>
      <c r="AF250" s="181"/>
    </row>
    <row r="251" ht="15.75" customHeight="1">
      <c r="A251" s="181"/>
      <c r="C251" s="24"/>
      <c r="D251" s="24"/>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row>
    <row r="252" ht="15.75" customHeight="1">
      <c r="A252" s="181" t="s">
        <v>3132</v>
      </c>
      <c r="B252" s="24" t="s">
        <v>469</v>
      </c>
      <c r="C252" s="24"/>
      <c r="D252" s="24" t="s">
        <v>468</v>
      </c>
      <c r="F252" s="210">
        <v>2904.0</v>
      </c>
      <c r="G252" s="181"/>
      <c r="H252" s="181"/>
      <c r="I252" s="181"/>
      <c r="J252" s="181"/>
      <c r="K252" s="181"/>
      <c r="L252" s="181"/>
      <c r="M252" s="181"/>
      <c r="N252" s="181"/>
      <c r="O252" s="181"/>
      <c r="P252" s="181"/>
      <c r="Q252" s="181"/>
      <c r="R252" s="181"/>
      <c r="S252" s="181"/>
      <c r="T252" s="181"/>
      <c r="U252" s="181"/>
      <c r="V252" s="181"/>
      <c r="W252" s="181"/>
      <c r="X252" s="181"/>
      <c r="Y252" s="181"/>
      <c r="Z252" s="181"/>
      <c r="AA252" s="181"/>
      <c r="AB252" s="181"/>
      <c r="AC252" s="181"/>
      <c r="AD252" s="181"/>
      <c r="AE252" s="181"/>
      <c r="AF252" s="181"/>
    </row>
    <row r="253" ht="15.75" customHeight="1">
      <c r="A253" s="181"/>
      <c r="C253" s="24"/>
      <c r="D253" s="24"/>
      <c r="F253" s="192">
        <f>SUM(F252)</f>
        <v>2904</v>
      </c>
      <c r="G253" s="181"/>
      <c r="H253" s="181"/>
      <c r="I253" s="181"/>
      <c r="J253" s="181"/>
      <c r="K253" s="181"/>
      <c r="L253" s="181"/>
      <c r="M253" s="181"/>
      <c r="N253" s="181"/>
      <c r="O253" s="181"/>
      <c r="P253" s="181"/>
      <c r="Q253" s="181"/>
      <c r="R253" s="181"/>
      <c r="S253" s="181"/>
      <c r="T253" s="181"/>
      <c r="U253" s="181"/>
      <c r="V253" s="181"/>
      <c r="W253" s="181"/>
      <c r="X253" s="181"/>
      <c r="Y253" s="181"/>
      <c r="Z253" s="181"/>
      <c r="AA253" s="181"/>
      <c r="AB253" s="181"/>
      <c r="AC253" s="181"/>
      <c r="AD253" s="181"/>
      <c r="AE253" s="181"/>
      <c r="AF253" s="181"/>
    </row>
    <row r="254" ht="15.75" customHeight="1">
      <c r="A254" s="181"/>
      <c r="C254" s="24"/>
      <c r="D254" s="24"/>
      <c r="F254" s="181"/>
      <c r="G254" s="181"/>
      <c r="H254" s="181"/>
      <c r="I254" s="181"/>
      <c r="J254" s="181"/>
      <c r="K254" s="181"/>
      <c r="L254" s="181"/>
      <c r="M254" s="181"/>
      <c r="N254" s="181"/>
      <c r="O254" s="181"/>
      <c r="P254" s="181"/>
      <c r="Q254" s="181"/>
      <c r="R254" s="181"/>
      <c r="S254" s="181"/>
      <c r="T254" s="181"/>
      <c r="U254" s="181"/>
      <c r="V254" s="181"/>
      <c r="W254" s="181"/>
      <c r="X254" s="181"/>
      <c r="Y254" s="181"/>
      <c r="Z254" s="181"/>
      <c r="AA254" s="181"/>
      <c r="AB254" s="181"/>
      <c r="AC254" s="181"/>
      <c r="AD254" s="181"/>
      <c r="AE254" s="181"/>
      <c r="AF254" s="181"/>
    </row>
    <row r="255" ht="15.75" customHeight="1">
      <c r="A255" s="181" t="s">
        <v>3133</v>
      </c>
      <c r="B255" s="24" t="s">
        <v>473</v>
      </c>
      <c r="C255" s="24"/>
      <c r="D255" s="24" t="s">
        <v>472</v>
      </c>
      <c r="F255" s="210">
        <v>2856.0</v>
      </c>
      <c r="G255" s="181"/>
      <c r="H255" s="181"/>
      <c r="I255" s="181"/>
      <c r="J255" s="181"/>
      <c r="K255" s="181"/>
      <c r="L255" s="181"/>
      <c r="M255" s="181"/>
      <c r="N255" s="181"/>
      <c r="O255" s="181"/>
      <c r="P255" s="181"/>
      <c r="Q255" s="181"/>
      <c r="R255" s="181"/>
      <c r="S255" s="181"/>
      <c r="T255" s="181"/>
      <c r="U255" s="181"/>
      <c r="V255" s="181"/>
      <c r="W255" s="181"/>
      <c r="X255" s="181"/>
      <c r="Y255" s="181"/>
      <c r="Z255" s="181"/>
      <c r="AA255" s="181"/>
      <c r="AB255" s="181"/>
      <c r="AC255" s="181"/>
      <c r="AD255" s="181"/>
      <c r="AE255" s="181"/>
      <c r="AF255" s="181"/>
    </row>
    <row r="256" ht="15.75" customHeight="1">
      <c r="A256" s="181"/>
      <c r="C256" s="24"/>
      <c r="D256" s="24"/>
      <c r="F256" s="192">
        <f>SUM(F255)</f>
        <v>2856</v>
      </c>
      <c r="G256" s="181"/>
      <c r="H256" s="181"/>
      <c r="I256" s="181"/>
      <c r="J256" s="181"/>
      <c r="K256" s="181"/>
      <c r="L256" s="181"/>
      <c r="M256" s="181"/>
      <c r="N256" s="181"/>
      <c r="O256" s="181"/>
      <c r="P256" s="181"/>
      <c r="Q256" s="181"/>
      <c r="R256" s="181"/>
      <c r="S256" s="181"/>
      <c r="T256" s="181"/>
      <c r="U256" s="181"/>
      <c r="V256" s="181"/>
      <c r="W256" s="181"/>
      <c r="X256" s="181"/>
      <c r="Y256" s="181"/>
      <c r="Z256" s="181"/>
      <c r="AA256" s="181"/>
      <c r="AB256" s="181"/>
      <c r="AC256" s="181"/>
      <c r="AD256" s="181"/>
      <c r="AE256" s="181"/>
      <c r="AF256" s="181"/>
    </row>
    <row r="257" ht="15.75" customHeight="1">
      <c r="A257" s="181"/>
      <c r="C257" s="24"/>
      <c r="D257" s="24"/>
      <c r="F257" s="181"/>
      <c r="G257" s="181"/>
      <c r="H257" s="181"/>
      <c r="I257" s="181"/>
      <c r="J257" s="181"/>
      <c r="K257" s="181"/>
      <c r="L257" s="181"/>
      <c r="M257" s="181"/>
      <c r="N257" s="181"/>
      <c r="O257" s="181"/>
      <c r="P257" s="181"/>
      <c r="Q257" s="181"/>
      <c r="R257" s="181"/>
      <c r="S257" s="181"/>
      <c r="T257" s="181"/>
      <c r="U257" s="181"/>
      <c r="V257" s="181"/>
      <c r="W257" s="181"/>
      <c r="X257" s="181"/>
      <c r="Y257" s="181"/>
      <c r="Z257" s="181"/>
      <c r="AA257" s="181"/>
      <c r="AB257" s="181"/>
      <c r="AC257" s="181"/>
      <c r="AD257" s="181"/>
      <c r="AE257" s="181"/>
      <c r="AF257" s="181"/>
    </row>
    <row r="258" ht="15.75" customHeight="1">
      <c r="A258" s="181" t="s">
        <v>3134</v>
      </c>
      <c r="B258" s="95" t="s">
        <v>477</v>
      </c>
      <c r="C258" s="24"/>
      <c r="D258" s="24" t="s">
        <v>476</v>
      </c>
      <c r="F258" s="210">
        <v>5712.0</v>
      </c>
      <c r="G258" s="181"/>
      <c r="H258" s="181"/>
      <c r="I258" s="181"/>
      <c r="J258" s="181"/>
      <c r="K258" s="181"/>
      <c r="L258" s="181"/>
      <c r="M258" s="181"/>
      <c r="N258" s="181"/>
      <c r="O258" s="181"/>
      <c r="P258" s="181"/>
      <c r="Q258" s="181"/>
      <c r="R258" s="181"/>
      <c r="S258" s="181"/>
      <c r="T258" s="181"/>
      <c r="U258" s="181"/>
      <c r="V258" s="181"/>
      <c r="W258" s="181"/>
      <c r="X258" s="181"/>
      <c r="Y258" s="181"/>
      <c r="Z258" s="181"/>
      <c r="AA258" s="181"/>
      <c r="AB258" s="181"/>
      <c r="AC258" s="181"/>
      <c r="AD258" s="181"/>
      <c r="AE258" s="181"/>
      <c r="AF258" s="181"/>
    </row>
    <row r="259" ht="15.75" customHeight="1">
      <c r="A259" s="181"/>
      <c r="C259" s="24"/>
      <c r="D259" s="24"/>
      <c r="F259" s="192">
        <f>SUM(F258)</f>
        <v>5712</v>
      </c>
      <c r="G259" s="181"/>
      <c r="H259" s="181"/>
      <c r="I259" s="181"/>
      <c r="J259" s="181"/>
      <c r="K259" s="181"/>
      <c r="L259" s="181"/>
      <c r="M259" s="181"/>
      <c r="N259" s="181"/>
      <c r="O259" s="181"/>
      <c r="P259" s="181"/>
      <c r="Q259" s="181"/>
      <c r="R259" s="181"/>
      <c r="S259" s="181"/>
      <c r="T259" s="181"/>
      <c r="U259" s="181"/>
      <c r="V259" s="181"/>
      <c r="W259" s="181"/>
      <c r="X259" s="181"/>
      <c r="Y259" s="181"/>
      <c r="Z259" s="181"/>
      <c r="AA259" s="181"/>
      <c r="AB259" s="181"/>
      <c r="AC259" s="181"/>
      <c r="AD259" s="181"/>
      <c r="AE259" s="181"/>
      <c r="AF259" s="181"/>
    </row>
    <row r="260" ht="15.75" customHeight="1">
      <c r="A260" s="181"/>
      <c r="C260" s="24"/>
      <c r="D260" s="24"/>
      <c r="F260" s="181"/>
      <c r="G260" s="181"/>
      <c r="H260" s="181"/>
      <c r="I260" s="181"/>
      <c r="J260" s="181"/>
      <c r="K260" s="181"/>
      <c r="L260" s="181"/>
      <c r="M260" s="181"/>
      <c r="N260" s="181"/>
      <c r="O260" s="181"/>
      <c r="P260" s="181"/>
      <c r="Q260" s="181"/>
      <c r="R260" s="181"/>
      <c r="S260" s="181"/>
      <c r="T260" s="181"/>
      <c r="U260" s="181"/>
      <c r="V260" s="181"/>
      <c r="W260" s="181"/>
      <c r="X260" s="181"/>
      <c r="Y260" s="181"/>
      <c r="Z260" s="181"/>
      <c r="AA260" s="181"/>
      <c r="AB260" s="181"/>
      <c r="AC260" s="181"/>
      <c r="AD260" s="181"/>
      <c r="AE260" s="181"/>
      <c r="AF260" s="181"/>
    </row>
    <row r="261" ht="15.75" customHeight="1">
      <c r="A261" s="181" t="s">
        <v>3135</v>
      </c>
      <c r="B261" s="95" t="s">
        <v>3136</v>
      </c>
      <c r="C261" s="24"/>
      <c r="D261" s="24" t="s">
        <v>480</v>
      </c>
      <c r="F261" s="210">
        <v>2856.0</v>
      </c>
      <c r="G261" s="181"/>
      <c r="H261" s="181"/>
      <c r="I261" s="181"/>
      <c r="J261" s="181"/>
      <c r="K261" s="181"/>
      <c r="L261" s="181"/>
      <c r="M261" s="181"/>
      <c r="N261" s="181"/>
      <c r="O261" s="181"/>
      <c r="P261" s="181"/>
      <c r="Q261" s="181"/>
      <c r="R261" s="181"/>
      <c r="S261" s="181"/>
      <c r="T261" s="181"/>
      <c r="U261" s="181"/>
      <c r="V261" s="181"/>
      <c r="W261" s="181"/>
      <c r="X261" s="181"/>
      <c r="Y261" s="181"/>
      <c r="Z261" s="181"/>
      <c r="AA261" s="181"/>
      <c r="AB261" s="181"/>
      <c r="AC261" s="181"/>
      <c r="AD261" s="181"/>
      <c r="AE261" s="181"/>
      <c r="AF261" s="181"/>
    </row>
    <row r="262" ht="15.75" customHeight="1">
      <c r="A262" s="181"/>
      <c r="C262" s="24"/>
      <c r="D262" s="24"/>
      <c r="F262" s="192">
        <f>SUM(F261)</f>
        <v>2856</v>
      </c>
      <c r="G262" s="181"/>
      <c r="H262" s="181"/>
      <c r="I262" s="181"/>
      <c r="J262" s="181"/>
      <c r="K262" s="181"/>
      <c r="L262" s="181"/>
      <c r="M262" s="181"/>
      <c r="N262" s="181"/>
      <c r="O262" s="181"/>
      <c r="P262" s="181"/>
      <c r="Q262" s="181"/>
      <c r="R262" s="181"/>
      <c r="S262" s="181"/>
      <c r="T262" s="181"/>
      <c r="U262" s="181"/>
      <c r="V262" s="181"/>
      <c r="W262" s="181"/>
      <c r="X262" s="181"/>
      <c r="Y262" s="181"/>
      <c r="Z262" s="181"/>
      <c r="AA262" s="181"/>
      <c r="AB262" s="181"/>
      <c r="AC262" s="181"/>
      <c r="AD262" s="181"/>
      <c r="AE262" s="181"/>
      <c r="AF262" s="181"/>
    </row>
    <row r="263" ht="15.75" customHeight="1">
      <c r="A263" s="181"/>
      <c r="C263" s="24"/>
      <c r="D263" s="24"/>
      <c r="F263" s="181"/>
      <c r="G263" s="181"/>
      <c r="H263" s="181"/>
      <c r="I263" s="181"/>
      <c r="J263" s="181"/>
      <c r="K263" s="181"/>
      <c r="L263" s="181"/>
      <c r="M263" s="181"/>
      <c r="N263" s="181"/>
      <c r="O263" s="181"/>
      <c r="P263" s="181"/>
      <c r="Q263" s="181"/>
      <c r="R263" s="181"/>
      <c r="S263" s="181"/>
      <c r="T263" s="181"/>
      <c r="U263" s="181"/>
      <c r="V263" s="181"/>
      <c r="W263" s="181"/>
      <c r="X263" s="181"/>
      <c r="Y263" s="181"/>
      <c r="Z263" s="181"/>
      <c r="AA263" s="181"/>
      <c r="AB263" s="181"/>
      <c r="AC263" s="181"/>
      <c r="AD263" s="181"/>
      <c r="AE263" s="181"/>
      <c r="AF263" s="181"/>
    </row>
    <row r="264" ht="15.75" customHeight="1">
      <c r="A264" s="181" t="s">
        <v>3137</v>
      </c>
      <c r="B264" s="95" t="s">
        <v>486</v>
      </c>
      <c r="C264" s="24"/>
      <c r="D264" s="24" t="s">
        <v>485</v>
      </c>
      <c r="F264" s="210">
        <v>2856.0</v>
      </c>
      <c r="G264" s="181"/>
      <c r="H264" s="181"/>
      <c r="I264" s="181"/>
      <c r="J264" s="181"/>
      <c r="K264" s="181"/>
      <c r="L264" s="181"/>
      <c r="M264" s="181"/>
      <c r="N264" s="181"/>
      <c r="O264" s="181"/>
      <c r="P264" s="181"/>
      <c r="Q264" s="181"/>
      <c r="R264" s="181"/>
      <c r="S264" s="181"/>
      <c r="T264" s="181"/>
      <c r="U264" s="181"/>
      <c r="V264" s="181"/>
      <c r="W264" s="181"/>
      <c r="X264" s="181"/>
      <c r="Y264" s="181"/>
      <c r="Z264" s="181"/>
      <c r="AA264" s="181"/>
      <c r="AB264" s="181"/>
      <c r="AC264" s="181"/>
      <c r="AD264" s="181"/>
      <c r="AE264" s="181"/>
      <c r="AF264" s="181"/>
    </row>
    <row r="265" ht="15.75" customHeight="1">
      <c r="A265" s="181"/>
      <c r="C265" s="24"/>
      <c r="D265" s="24"/>
      <c r="F265" s="192">
        <f>SUM(F264)</f>
        <v>2856</v>
      </c>
      <c r="G265" s="181"/>
      <c r="H265" s="181"/>
      <c r="I265" s="181"/>
      <c r="J265" s="181"/>
      <c r="K265" s="181"/>
      <c r="L265" s="181"/>
      <c r="M265" s="181"/>
      <c r="N265" s="181"/>
      <c r="O265" s="181"/>
      <c r="P265" s="181"/>
      <c r="Q265" s="181"/>
      <c r="R265" s="181"/>
      <c r="S265" s="181"/>
      <c r="T265" s="181"/>
      <c r="U265" s="181"/>
      <c r="V265" s="181"/>
      <c r="W265" s="181"/>
      <c r="X265" s="181"/>
      <c r="Y265" s="181"/>
      <c r="Z265" s="181"/>
      <c r="AA265" s="181"/>
      <c r="AB265" s="181"/>
      <c r="AC265" s="181"/>
      <c r="AD265" s="181"/>
      <c r="AE265" s="181"/>
      <c r="AF265" s="181"/>
    </row>
    <row r="266" ht="15.75" customHeight="1">
      <c r="A266" s="181"/>
      <c r="C266" s="24"/>
      <c r="D266" s="24"/>
      <c r="F266" s="181"/>
      <c r="G266" s="181"/>
      <c r="H266" s="181"/>
      <c r="I266" s="181"/>
      <c r="J266" s="181"/>
      <c r="K266" s="181"/>
      <c r="L266" s="181"/>
      <c r="M266" s="181"/>
      <c r="N266" s="181"/>
      <c r="O266" s="181"/>
      <c r="P266" s="181"/>
      <c r="Q266" s="181"/>
      <c r="R266" s="181"/>
      <c r="S266" s="181"/>
      <c r="T266" s="181"/>
      <c r="U266" s="181"/>
      <c r="V266" s="181"/>
      <c r="W266" s="181"/>
      <c r="X266" s="181"/>
      <c r="Y266" s="181"/>
      <c r="Z266" s="181"/>
      <c r="AA266" s="181"/>
      <c r="AB266" s="181"/>
      <c r="AC266" s="181"/>
      <c r="AD266" s="181"/>
      <c r="AE266" s="181"/>
      <c r="AF266" s="181"/>
    </row>
    <row r="267" ht="15.75" customHeight="1">
      <c r="A267" s="181" t="s">
        <v>3138</v>
      </c>
      <c r="B267" s="24" t="s">
        <v>491</v>
      </c>
      <c r="C267" s="24"/>
      <c r="D267" s="24" t="s">
        <v>490</v>
      </c>
      <c r="F267" s="210">
        <v>16200.0</v>
      </c>
      <c r="G267" s="181"/>
      <c r="H267" s="181"/>
      <c r="I267" s="181"/>
      <c r="J267" s="181"/>
      <c r="K267" s="181"/>
      <c r="L267" s="181"/>
      <c r="M267" s="181"/>
      <c r="N267" s="181"/>
      <c r="O267" s="181"/>
      <c r="P267" s="181"/>
      <c r="Q267" s="181"/>
      <c r="R267" s="181"/>
      <c r="S267" s="181"/>
      <c r="T267" s="181"/>
      <c r="U267" s="181"/>
      <c r="V267" s="181"/>
      <c r="W267" s="181"/>
      <c r="X267" s="181"/>
      <c r="Y267" s="181"/>
      <c r="Z267" s="181"/>
      <c r="AA267" s="181"/>
      <c r="AB267" s="181"/>
      <c r="AC267" s="181"/>
      <c r="AD267" s="181"/>
      <c r="AE267" s="181"/>
      <c r="AF267" s="181"/>
    </row>
    <row r="268" ht="15.75" customHeight="1">
      <c r="A268" s="181"/>
      <c r="C268" s="24"/>
      <c r="D268" s="24"/>
      <c r="F268" s="192">
        <f>SUM(F267)</f>
        <v>16200</v>
      </c>
      <c r="G268" s="181"/>
      <c r="H268" s="181"/>
      <c r="I268" s="181"/>
      <c r="J268" s="181"/>
      <c r="K268" s="181"/>
      <c r="L268" s="181"/>
      <c r="M268" s="181"/>
      <c r="N268" s="181"/>
      <c r="O268" s="181"/>
      <c r="P268" s="181"/>
      <c r="Q268" s="181"/>
      <c r="R268" s="181"/>
      <c r="S268" s="181"/>
      <c r="T268" s="181"/>
      <c r="U268" s="181"/>
      <c r="V268" s="181"/>
      <c r="W268" s="181"/>
      <c r="X268" s="181"/>
      <c r="Y268" s="181"/>
      <c r="Z268" s="181"/>
      <c r="AA268" s="181"/>
      <c r="AB268" s="181"/>
      <c r="AC268" s="181"/>
      <c r="AD268" s="181"/>
      <c r="AE268" s="181"/>
      <c r="AF268" s="181"/>
    </row>
    <row r="269" ht="15.75" customHeight="1">
      <c r="A269" s="181"/>
      <c r="C269" s="24"/>
      <c r="D269" s="24"/>
      <c r="F269" s="181"/>
      <c r="G269" s="181"/>
      <c r="H269" s="181"/>
      <c r="I269" s="181"/>
      <c r="J269" s="181"/>
      <c r="K269" s="181"/>
      <c r="L269" s="181"/>
      <c r="M269" s="181"/>
      <c r="N269" s="181"/>
      <c r="O269" s="181"/>
      <c r="P269" s="181"/>
      <c r="Q269" s="181"/>
      <c r="R269" s="181"/>
      <c r="S269" s="181"/>
      <c r="T269" s="181"/>
      <c r="U269" s="181"/>
      <c r="V269" s="181"/>
      <c r="W269" s="181"/>
      <c r="X269" s="181"/>
      <c r="Y269" s="181"/>
      <c r="Z269" s="181"/>
      <c r="AA269" s="181"/>
      <c r="AB269" s="181"/>
      <c r="AC269" s="181"/>
      <c r="AD269" s="181"/>
      <c r="AE269" s="181"/>
      <c r="AF269" s="181"/>
    </row>
    <row r="270" ht="15.75" customHeight="1">
      <c r="A270" s="181" t="s">
        <v>3139</v>
      </c>
      <c r="B270" s="24" t="s">
        <v>495</v>
      </c>
      <c r="C270" s="24"/>
      <c r="D270" s="24" t="s">
        <v>494</v>
      </c>
      <c r="F270" s="210">
        <v>2856.0</v>
      </c>
      <c r="G270" s="181"/>
      <c r="H270" s="181"/>
      <c r="I270" s="181"/>
      <c r="J270" s="181"/>
      <c r="K270" s="181"/>
      <c r="L270" s="181"/>
      <c r="M270" s="181"/>
      <c r="N270" s="181"/>
      <c r="O270" s="181"/>
      <c r="P270" s="181"/>
      <c r="Q270" s="181"/>
      <c r="R270" s="181"/>
      <c r="S270" s="181"/>
      <c r="T270" s="181"/>
      <c r="U270" s="181"/>
      <c r="V270" s="181"/>
      <c r="W270" s="181"/>
      <c r="X270" s="181"/>
      <c r="Y270" s="181"/>
      <c r="Z270" s="181"/>
      <c r="AA270" s="181"/>
      <c r="AB270" s="181"/>
      <c r="AC270" s="181"/>
      <c r="AD270" s="181"/>
      <c r="AE270" s="181"/>
      <c r="AF270" s="181"/>
    </row>
    <row r="271" ht="15.75" customHeight="1">
      <c r="A271" s="181"/>
      <c r="C271" s="24"/>
      <c r="D271" s="24"/>
      <c r="F271" s="192">
        <f>SUM(F270)</f>
        <v>2856</v>
      </c>
      <c r="G271" s="181"/>
      <c r="H271" s="181"/>
      <c r="I271" s="181"/>
      <c r="J271" s="181"/>
      <c r="K271" s="181"/>
      <c r="L271" s="181"/>
      <c r="M271" s="181"/>
      <c r="N271" s="181"/>
      <c r="O271" s="181"/>
      <c r="P271" s="181"/>
      <c r="Q271" s="181"/>
      <c r="R271" s="181"/>
      <c r="S271" s="181"/>
      <c r="T271" s="181"/>
      <c r="U271" s="181"/>
      <c r="V271" s="181"/>
      <c r="W271" s="181"/>
      <c r="X271" s="181"/>
      <c r="Y271" s="181"/>
      <c r="Z271" s="181"/>
      <c r="AA271" s="181"/>
      <c r="AB271" s="181"/>
      <c r="AC271" s="181"/>
      <c r="AD271" s="181"/>
      <c r="AE271" s="181"/>
      <c r="AF271" s="181"/>
    </row>
    <row r="272" ht="15.75" customHeight="1">
      <c r="A272" s="181"/>
      <c r="C272" s="24"/>
      <c r="D272" s="24"/>
      <c r="F272" s="181"/>
      <c r="G272" s="181"/>
      <c r="H272" s="181"/>
      <c r="I272" s="181"/>
      <c r="J272" s="181"/>
      <c r="K272" s="181"/>
      <c r="L272" s="181"/>
      <c r="M272" s="181"/>
      <c r="N272" s="181"/>
      <c r="O272" s="181"/>
      <c r="P272" s="181"/>
      <c r="Q272" s="181"/>
      <c r="R272" s="181"/>
      <c r="S272" s="181"/>
      <c r="T272" s="181"/>
      <c r="U272" s="181"/>
      <c r="V272" s="181"/>
      <c r="W272" s="181"/>
      <c r="X272" s="181"/>
      <c r="Y272" s="181"/>
      <c r="Z272" s="181"/>
      <c r="AA272" s="181"/>
      <c r="AB272" s="181"/>
      <c r="AC272" s="181"/>
      <c r="AD272" s="181"/>
      <c r="AE272" s="181"/>
      <c r="AF272" s="181"/>
    </row>
    <row r="273" ht="15.75" customHeight="1">
      <c r="A273" s="181" t="s">
        <v>3140</v>
      </c>
      <c r="B273" s="24" t="s">
        <v>3141</v>
      </c>
      <c r="C273" s="24"/>
      <c r="D273" s="24" t="s">
        <v>498</v>
      </c>
      <c r="F273" s="210">
        <v>8748.0</v>
      </c>
      <c r="G273" s="181"/>
      <c r="H273" s="181"/>
      <c r="I273" s="181"/>
      <c r="J273" s="181"/>
      <c r="K273" s="181"/>
      <c r="L273" s="181"/>
      <c r="M273" s="181"/>
      <c r="N273" s="181"/>
      <c r="O273" s="181"/>
      <c r="P273" s="181"/>
      <c r="Q273" s="181"/>
      <c r="R273" s="181"/>
      <c r="S273" s="181"/>
      <c r="T273" s="181"/>
      <c r="U273" s="181"/>
      <c r="V273" s="181"/>
      <c r="W273" s="181"/>
      <c r="X273" s="181"/>
      <c r="Y273" s="181"/>
      <c r="Z273" s="181"/>
      <c r="AA273" s="181"/>
      <c r="AB273" s="181"/>
      <c r="AC273" s="181"/>
      <c r="AD273" s="181"/>
      <c r="AE273" s="181"/>
      <c r="AF273" s="181"/>
    </row>
    <row r="274" ht="15.75" customHeight="1">
      <c r="A274" s="181"/>
      <c r="C274" s="24"/>
      <c r="D274" s="24"/>
      <c r="F274" s="192">
        <f>SUM(F273)</f>
        <v>8748</v>
      </c>
      <c r="G274" s="181"/>
      <c r="H274" s="181"/>
      <c r="I274" s="181"/>
      <c r="J274" s="181"/>
      <c r="K274" s="181"/>
      <c r="L274" s="181"/>
      <c r="M274" s="181"/>
      <c r="N274" s="181"/>
      <c r="O274" s="181"/>
      <c r="P274" s="181"/>
      <c r="Q274" s="181"/>
      <c r="R274" s="181"/>
      <c r="S274" s="181"/>
      <c r="T274" s="181"/>
      <c r="U274" s="181"/>
      <c r="V274" s="181"/>
      <c r="W274" s="181"/>
      <c r="X274" s="181"/>
      <c r="Y274" s="181"/>
      <c r="Z274" s="181"/>
      <c r="AA274" s="181"/>
      <c r="AB274" s="181"/>
      <c r="AC274" s="181"/>
      <c r="AD274" s="181"/>
      <c r="AE274" s="181"/>
      <c r="AF274" s="181"/>
    </row>
    <row r="275" ht="15.75" customHeight="1">
      <c r="A275" s="181"/>
      <c r="C275" s="24"/>
      <c r="D275" s="24"/>
      <c r="F275" s="181"/>
      <c r="G275" s="181"/>
      <c r="H275" s="181"/>
      <c r="I275" s="181"/>
      <c r="J275" s="181"/>
      <c r="K275" s="181"/>
      <c r="L275" s="181"/>
      <c r="M275" s="181"/>
      <c r="N275" s="181"/>
      <c r="O275" s="181"/>
      <c r="P275" s="181"/>
      <c r="Q275" s="181"/>
      <c r="R275" s="181"/>
      <c r="S275" s="181"/>
      <c r="T275" s="181"/>
      <c r="U275" s="181"/>
      <c r="V275" s="181"/>
      <c r="W275" s="181"/>
      <c r="X275" s="181"/>
      <c r="Y275" s="181"/>
      <c r="Z275" s="181"/>
      <c r="AA275" s="181"/>
      <c r="AB275" s="181"/>
      <c r="AC275" s="181"/>
      <c r="AD275" s="181"/>
      <c r="AE275" s="181"/>
      <c r="AF275" s="181"/>
    </row>
    <row r="276" ht="15.75" customHeight="1">
      <c r="A276" s="181" t="s">
        <v>3142</v>
      </c>
      <c r="B276" s="24" t="s">
        <v>504</v>
      </c>
      <c r="C276" s="24"/>
      <c r="D276" s="24" t="s">
        <v>503</v>
      </c>
      <c r="F276" s="210">
        <v>8748.0</v>
      </c>
      <c r="G276" s="181"/>
      <c r="H276" s="181"/>
      <c r="I276" s="181"/>
      <c r="J276" s="181"/>
      <c r="K276" s="181"/>
      <c r="L276" s="181"/>
      <c r="M276" s="181"/>
      <c r="N276" s="181"/>
      <c r="O276" s="181"/>
      <c r="P276" s="181"/>
      <c r="Q276" s="181"/>
      <c r="R276" s="181"/>
      <c r="S276" s="181"/>
      <c r="T276" s="181"/>
      <c r="U276" s="181"/>
      <c r="V276" s="181"/>
      <c r="W276" s="181"/>
      <c r="X276" s="181"/>
      <c r="Y276" s="181"/>
      <c r="Z276" s="181"/>
      <c r="AA276" s="181"/>
      <c r="AB276" s="181"/>
      <c r="AC276" s="181"/>
      <c r="AD276" s="181"/>
      <c r="AE276" s="181"/>
      <c r="AF276" s="181"/>
    </row>
    <row r="277" ht="15.75" customHeight="1">
      <c r="A277" s="181"/>
      <c r="C277" s="24"/>
      <c r="F277" s="192">
        <f>SUM(F276)</f>
        <v>8748</v>
      </c>
      <c r="G277" s="181"/>
      <c r="H277" s="181"/>
      <c r="I277" s="181"/>
      <c r="J277" s="181"/>
      <c r="K277" s="181"/>
      <c r="L277" s="181"/>
      <c r="M277" s="181"/>
      <c r="N277" s="181"/>
      <c r="O277" s="181"/>
      <c r="P277" s="181"/>
      <c r="Q277" s="181"/>
      <c r="R277" s="181"/>
      <c r="S277" s="181"/>
      <c r="T277" s="181"/>
      <c r="U277" s="181"/>
      <c r="V277" s="181"/>
      <c r="W277" s="181"/>
      <c r="X277" s="181"/>
      <c r="Y277" s="181"/>
      <c r="Z277" s="181"/>
      <c r="AA277" s="181"/>
      <c r="AB277" s="181"/>
      <c r="AC277" s="181"/>
      <c r="AD277" s="181"/>
      <c r="AE277" s="181"/>
      <c r="AF277" s="181"/>
    </row>
    <row r="278" ht="15.75" customHeight="1">
      <c r="A278" s="181"/>
      <c r="C278" s="24"/>
      <c r="D278" s="24"/>
      <c r="G278" s="181"/>
      <c r="H278" s="181"/>
      <c r="I278" s="181"/>
      <c r="J278" s="181"/>
      <c r="K278" s="181"/>
      <c r="L278" s="181"/>
      <c r="M278" s="181"/>
      <c r="N278" s="181"/>
      <c r="O278" s="181"/>
      <c r="P278" s="181"/>
      <c r="Q278" s="181"/>
      <c r="R278" s="181"/>
      <c r="S278" s="181"/>
      <c r="T278" s="181"/>
      <c r="U278" s="181"/>
      <c r="V278" s="181"/>
      <c r="W278" s="181"/>
      <c r="X278" s="181"/>
      <c r="Y278" s="181"/>
      <c r="Z278" s="181"/>
      <c r="AA278" s="181"/>
      <c r="AB278" s="181"/>
      <c r="AC278" s="181"/>
      <c r="AD278" s="181"/>
      <c r="AE278" s="181"/>
      <c r="AF278" s="181"/>
    </row>
    <row r="279" ht="15.75" customHeight="1">
      <c r="A279" s="181" t="s">
        <v>3143</v>
      </c>
      <c r="B279" s="24" t="s">
        <v>3144</v>
      </c>
      <c r="C279" s="24"/>
      <c r="D279" s="24" t="s">
        <v>507</v>
      </c>
      <c r="F279" s="210">
        <v>8748.0</v>
      </c>
      <c r="G279" s="181"/>
      <c r="H279" s="181"/>
      <c r="I279" s="181"/>
      <c r="J279" s="181"/>
      <c r="K279" s="181"/>
      <c r="L279" s="181"/>
      <c r="M279" s="181"/>
      <c r="N279" s="181"/>
      <c r="O279" s="181"/>
      <c r="P279" s="181"/>
      <c r="Q279" s="181"/>
      <c r="R279" s="181"/>
      <c r="S279" s="181"/>
      <c r="T279" s="181"/>
      <c r="U279" s="181"/>
      <c r="V279" s="181"/>
      <c r="W279" s="181"/>
      <c r="X279" s="181"/>
      <c r="Y279" s="181"/>
      <c r="Z279" s="181"/>
      <c r="AA279" s="181"/>
      <c r="AB279" s="181"/>
      <c r="AC279" s="181"/>
      <c r="AD279" s="181"/>
      <c r="AE279" s="181"/>
      <c r="AF279" s="181"/>
    </row>
    <row r="280" ht="15.75" customHeight="1">
      <c r="A280" s="181"/>
      <c r="C280" s="24"/>
      <c r="D280" s="24"/>
      <c r="F280" s="192">
        <f>SUM(F279)</f>
        <v>8748</v>
      </c>
      <c r="G280" s="181"/>
      <c r="H280" s="181"/>
      <c r="I280" s="181"/>
      <c r="J280" s="181"/>
      <c r="K280" s="181"/>
      <c r="L280" s="181"/>
      <c r="M280" s="181"/>
      <c r="N280" s="181"/>
      <c r="O280" s="181"/>
      <c r="P280" s="181"/>
      <c r="Q280" s="181"/>
      <c r="R280" s="181"/>
      <c r="S280" s="181"/>
      <c r="T280" s="181"/>
      <c r="U280" s="181"/>
      <c r="V280" s="181"/>
      <c r="W280" s="181"/>
      <c r="X280" s="181"/>
      <c r="Y280" s="181"/>
      <c r="Z280" s="181"/>
      <c r="AA280" s="181"/>
      <c r="AB280" s="181"/>
      <c r="AC280" s="181"/>
      <c r="AD280" s="181"/>
      <c r="AE280" s="181"/>
      <c r="AF280" s="181"/>
    </row>
    <row r="281" ht="15.75" customHeight="1">
      <c r="A281" s="181"/>
      <c r="C281" s="24"/>
      <c r="D281" s="24"/>
      <c r="F281" s="181"/>
      <c r="G281" s="181"/>
      <c r="H281" s="181"/>
      <c r="I281" s="181"/>
      <c r="J281" s="181"/>
      <c r="K281" s="181"/>
      <c r="L281" s="181"/>
      <c r="M281" s="181"/>
      <c r="N281" s="181"/>
      <c r="O281" s="181"/>
      <c r="P281" s="181"/>
      <c r="Q281" s="181"/>
      <c r="R281" s="181"/>
      <c r="S281" s="181"/>
      <c r="T281" s="181"/>
      <c r="U281" s="181"/>
      <c r="V281" s="181"/>
      <c r="W281" s="181"/>
      <c r="X281" s="181"/>
      <c r="Y281" s="181"/>
      <c r="Z281" s="181"/>
      <c r="AA281" s="181"/>
      <c r="AB281" s="181"/>
      <c r="AC281" s="181"/>
      <c r="AD281" s="181"/>
      <c r="AE281" s="181"/>
      <c r="AF281" s="181"/>
    </row>
    <row r="282" ht="15.75" customHeight="1">
      <c r="A282" s="181" t="s">
        <v>3145</v>
      </c>
      <c r="B282" s="24" t="s">
        <v>511</v>
      </c>
      <c r="C282" s="24"/>
      <c r="D282" s="24" t="s">
        <v>3146</v>
      </c>
      <c r="F282" s="210">
        <v>8748.0</v>
      </c>
      <c r="G282" s="181"/>
      <c r="H282" s="181"/>
      <c r="I282" s="181"/>
      <c r="J282" s="181"/>
      <c r="K282" s="181"/>
      <c r="L282" s="181"/>
      <c r="M282" s="181"/>
      <c r="N282" s="181"/>
      <c r="O282" s="181"/>
      <c r="P282" s="181"/>
      <c r="Q282" s="181"/>
      <c r="R282" s="181"/>
      <c r="S282" s="181"/>
      <c r="T282" s="181"/>
      <c r="U282" s="181"/>
      <c r="V282" s="181"/>
      <c r="W282" s="181"/>
      <c r="X282" s="181"/>
      <c r="Y282" s="181"/>
      <c r="Z282" s="181"/>
      <c r="AA282" s="181"/>
      <c r="AB282" s="181"/>
      <c r="AC282" s="181"/>
      <c r="AD282" s="181"/>
      <c r="AE282" s="181"/>
      <c r="AF282" s="181"/>
    </row>
    <row r="283" ht="15.75" customHeight="1">
      <c r="A283" s="181"/>
      <c r="C283" s="24"/>
      <c r="D283" s="24"/>
      <c r="F283" s="192">
        <f>SUM(F282)</f>
        <v>8748</v>
      </c>
      <c r="G283" s="181"/>
      <c r="H283" s="181"/>
      <c r="I283" s="181"/>
      <c r="J283" s="181"/>
      <c r="K283" s="181"/>
      <c r="L283" s="181"/>
      <c r="M283" s="181"/>
      <c r="N283" s="181"/>
      <c r="O283" s="181"/>
      <c r="P283" s="181"/>
      <c r="Q283" s="181"/>
      <c r="R283" s="181"/>
      <c r="S283" s="181"/>
      <c r="T283" s="181"/>
      <c r="U283" s="181"/>
      <c r="V283" s="181"/>
      <c r="W283" s="181"/>
      <c r="X283" s="181"/>
      <c r="Y283" s="181"/>
      <c r="Z283" s="181"/>
      <c r="AA283" s="181"/>
      <c r="AB283" s="181"/>
      <c r="AC283" s="181"/>
      <c r="AD283" s="181"/>
      <c r="AE283" s="181"/>
      <c r="AF283" s="181"/>
    </row>
    <row r="284" ht="15.75" customHeight="1">
      <c r="A284" s="181"/>
      <c r="C284" s="24"/>
      <c r="D284" s="24"/>
      <c r="F284" s="181"/>
      <c r="G284" s="181"/>
      <c r="H284" s="181"/>
      <c r="I284" s="181"/>
      <c r="J284" s="181"/>
      <c r="K284" s="181"/>
      <c r="L284" s="181"/>
      <c r="M284" s="181"/>
      <c r="N284" s="181"/>
      <c r="O284" s="181"/>
      <c r="P284" s="181"/>
      <c r="Q284" s="181"/>
      <c r="R284" s="181"/>
      <c r="S284" s="181"/>
      <c r="T284" s="181"/>
      <c r="U284" s="181"/>
      <c r="V284" s="181"/>
      <c r="W284" s="181"/>
      <c r="X284" s="181"/>
      <c r="Y284" s="181"/>
      <c r="Z284" s="181"/>
      <c r="AA284" s="181"/>
      <c r="AB284" s="181"/>
      <c r="AC284" s="181"/>
      <c r="AD284" s="181"/>
      <c r="AE284" s="181"/>
      <c r="AF284" s="181"/>
    </row>
    <row r="285" ht="15.75" customHeight="1">
      <c r="A285" s="181" t="s">
        <v>3147</v>
      </c>
      <c r="B285" s="24" t="s">
        <v>515</v>
      </c>
      <c r="C285" s="24"/>
      <c r="D285" s="24" t="s">
        <v>514</v>
      </c>
      <c r="F285" s="210">
        <v>2856.0</v>
      </c>
      <c r="G285" s="181"/>
      <c r="H285" s="181"/>
      <c r="I285" s="181"/>
      <c r="J285" s="181"/>
      <c r="K285" s="181"/>
      <c r="L285" s="181"/>
      <c r="M285" s="181"/>
      <c r="N285" s="181"/>
      <c r="O285" s="181"/>
      <c r="P285" s="181"/>
      <c r="Q285" s="181"/>
      <c r="R285" s="181"/>
      <c r="S285" s="181"/>
      <c r="T285" s="181"/>
      <c r="U285" s="181"/>
      <c r="V285" s="181"/>
      <c r="W285" s="181"/>
      <c r="X285" s="181"/>
      <c r="Y285" s="181"/>
      <c r="Z285" s="181"/>
      <c r="AA285" s="181"/>
      <c r="AB285" s="181"/>
      <c r="AC285" s="181"/>
      <c r="AD285" s="181"/>
      <c r="AE285" s="181"/>
      <c r="AF285" s="181"/>
    </row>
    <row r="286" ht="15.75" customHeight="1">
      <c r="A286" s="181"/>
      <c r="C286" s="24"/>
      <c r="D286" s="24"/>
      <c r="F286" s="192">
        <f>SUM(F285)</f>
        <v>2856</v>
      </c>
      <c r="G286" s="181"/>
      <c r="H286" s="181"/>
      <c r="I286" s="181"/>
      <c r="J286" s="181"/>
      <c r="K286" s="181"/>
      <c r="L286" s="181"/>
      <c r="M286" s="181"/>
      <c r="N286" s="181"/>
      <c r="O286" s="181"/>
      <c r="P286" s="181"/>
      <c r="Q286" s="181"/>
      <c r="R286" s="181"/>
      <c r="S286" s="181"/>
      <c r="T286" s="181"/>
      <c r="U286" s="181"/>
      <c r="V286" s="181"/>
      <c r="W286" s="181"/>
      <c r="X286" s="181"/>
      <c r="Y286" s="181"/>
      <c r="Z286" s="181"/>
      <c r="AA286" s="181"/>
      <c r="AB286" s="181"/>
      <c r="AC286" s="181"/>
      <c r="AD286" s="181"/>
      <c r="AE286" s="181"/>
      <c r="AF286" s="181"/>
    </row>
    <row r="287" ht="15.75" customHeight="1">
      <c r="A287" s="181"/>
      <c r="C287" s="24"/>
      <c r="D287" s="24"/>
      <c r="F287" s="181"/>
      <c r="G287" s="181"/>
      <c r="H287" s="181"/>
      <c r="I287" s="181"/>
      <c r="J287" s="181"/>
      <c r="K287" s="181"/>
      <c r="L287" s="181"/>
      <c r="M287" s="181"/>
      <c r="N287" s="181"/>
      <c r="O287" s="181"/>
      <c r="P287" s="181"/>
      <c r="Q287" s="181"/>
      <c r="R287" s="181"/>
      <c r="S287" s="181"/>
      <c r="T287" s="181"/>
      <c r="U287" s="181"/>
      <c r="V287" s="181"/>
      <c r="W287" s="181"/>
      <c r="X287" s="181"/>
      <c r="Y287" s="181"/>
      <c r="Z287" s="181"/>
      <c r="AA287" s="181"/>
      <c r="AB287" s="181"/>
      <c r="AC287" s="181"/>
      <c r="AD287" s="181"/>
      <c r="AE287" s="181"/>
      <c r="AF287" s="181"/>
    </row>
    <row r="288" ht="15.75" customHeight="1">
      <c r="A288" s="181" t="s">
        <v>3148</v>
      </c>
      <c r="B288" s="24" t="s">
        <v>519</v>
      </c>
      <c r="C288" s="24"/>
      <c r="D288" s="24" t="s">
        <v>518</v>
      </c>
      <c r="F288" s="210">
        <v>2856.0</v>
      </c>
      <c r="G288" s="181"/>
      <c r="H288" s="181"/>
      <c r="I288" s="181"/>
      <c r="J288" s="181"/>
      <c r="K288" s="181"/>
      <c r="L288" s="181"/>
      <c r="M288" s="181"/>
      <c r="N288" s="181"/>
      <c r="O288" s="181"/>
      <c r="P288" s="181"/>
      <c r="Q288" s="181"/>
      <c r="R288" s="181"/>
      <c r="S288" s="181"/>
      <c r="T288" s="181"/>
      <c r="U288" s="181"/>
      <c r="V288" s="181"/>
      <c r="W288" s="181"/>
      <c r="X288" s="181"/>
      <c r="Y288" s="181"/>
      <c r="Z288" s="181"/>
      <c r="AA288" s="181"/>
      <c r="AB288" s="181"/>
      <c r="AC288" s="181"/>
      <c r="AD288" s="181"/>
      <c r="AE288" s="181"/>
      <c r="AF288" s="181"/>
    </row>
    <row r="289" ht="15.75" customHeight="1">
      <c r="A289" s="181"/>
      <c r="C289" s="24"/>
      <c r="D289" s="24"/>
      <c r="F289" s="192">
        <f>SUM(F288)</f>
        <v>2856</v>
      </c>
      <c r="G289" s="181"/>
      <c r="H289" s="181"/>
      <c r="I289" s="181"/>
      <c r="J289" s="181"/>
      <c r="K289" s="181"/>
      <c r="L289" s="181"/>
      <c r="M289" s="181"/>
      <c r="N289" s="181"/>
      <c r="O289" s="181"/>
      <c r="P289" s="181"/>
      <c r="Q289" s="181"/>
      <c r="R289" s="181"/>
      <c r="S289" s="181"/>
      <c r="T289" s="181"/>
      <c r="U289" s="181"/>
      <c r="V289" s="181"/>
      <c r="W289" s="181"/>
      <c r="X289" s="181"/>
      <c r="Y289" s="181"/>
      <c r="Z289" s="181"/>
      <c r="AA289" s="181"/>
      <c r="AB289" s="181"/>
      <c r="AC289" s="181"/>
      <c r="AD289" s="181"/>
      <c r="AE289" s="181"/>
      <c r="AF289" s="181"/>
    </row>
    <row r="290" ht="15.75" customHeight="1">
      <c r="A290" s="181"/>
      <c r="C290" s="24"/>
      <c r="D290" s="24"/>
      <c r="F290" s="181"/>
      <c r="G290" s="181"/>
      <c r="H290" s="181"/>
      <c r="I290" s="181"/>
      <c r="J290" s="181"/>
      <c r="K290" s="181"/>
      <c r="L290" s="181"/>
      <c r="M290" s="181"/>
      <c r="N290" s="181"/>
      <c r="O290" s="181"/>
      <c r="P290" s="181"/>
      <c r="Q290" s="181"/>
      <c r="R290" s="181"/>
      <c r="S290" s="181"/>
      <c r="T290" s="181"/>
      <c r="U290" s="181"/>
      <c r="V290" s="181"/>
      <c r="W290" s="181"/>
      <c r="X290" s="181"/>
      <c r="Y290" s="181"/>
      <c r="Z290" s="181"/>
      <c r="AA290" s="181"/>
      <c r="AB290" s="181"/>
      <c r="AC290" s="181"/>
      <c r="AD290" s="181"/>
      <c r="AE290" s="181"/>
      <c r="AF290" s="181"/>
    </row>
    <row r="291" ht="15.75" customHeight="1">
      <c r="A291" s="181" t="s">
        <v>3149</v>
      </c>
      <c r="B291" s="24" t="s">
        <v>535</v>
      </c>
      <c r="C291" s="24"/>
      <c r="D291" s="24" t="s">
        <v>534</v>
      </c>
      <c r="F291" s="210">
        <v>3084.0</v>
      </c>
      <c r="G291" s="181"/>
      <c r="H291" s="181"/>
      <c r="I291" s="181"/>
      <c r="J291" s="181"/>
      <c r="K291" s="181"/>
      <c r="L291" s="181"/>
      <c r="M291" s="181"/>
      <c r="N291" s="181"/>
      <c r="O291" s="181"/>
      <c r="P291" s="181"/>
      <c r="Q291" s="181"/>
      <c r="R291" s="181"/>
      <c r="S291" s="181"/>
      <c r="T291" s="181"/>
      <c r="U291" s="181"/>
      <c r="V291" s="181"/>
      <c r="W291" s="181"/>
      <c r="X291" s="181"/>
      <c r="Y291" s="181"/>
      <c r="Z291" s="181"/>
      <c r="AA291" s="181"/>
      <c r="AB291" s="181"/>
      <c r="AC291" s="181"/>
      <c r="AD291" s="181"/>
      <c r="AE291" s="181"/>
      <c r="AF291" s="181"/>
    </row>
    <row r="292" ht="15.75" customHeight="1">
      <c r="A292" s="181"/>
      <c r="C292" s="24"/>
      <c r="D292" s="24"/>
      <c r="F292" s="192">
        <f>SUM(F291)</f>
        <v>3084</v>
      </c>
      <c r="G292" s="181"/>
      <c r="H292" s="181"/>
      <c r="I292" s="181"/>
      <c r="J292" s="181"/>
      <c r="K292" s="181"/>
      <c r="L292" s="181"/>
      <c r="M292" s="181"/>
      <c r="N292" s="181"/>
      <c r="O292" s="181"/>
      <c r="P292" s="181"/>
      <c r="Q292" s="181"/>
      <c r="R292" s="181"/>
      <c r="S292" s="181"/>
      <c r="T292" s="181"/>
      <c r="U292" s="181"/>
      <c r="V292" s="181"/>
      <c r="W292" s="181"/>
      <c r="X292" s="181"/>
      <c r="Y292" s="181"/>
      <c r="Z292" s="181"/>
      <c r="AA292" s="181"/>
      <c r="AB292" s="181"/>
      <c r="AC292" s="181"/>
      <c r="AD292" s="181"/>
      <c r="AE292" s="181"/>
      <c r="AF292" s="181"/>
    </row>
    <row r="293" ht="15.75" customHeight="1">
      <c r="A293" s="181"/>
      <c r="C293" s="24"/>
      <c r="D293" s="24"/>
      <c r="F293" s="181"/>
      <c r="G293" s="181"/>
      <c r="H293" s="181"/>
      <c r="I293" s="181"/>
      <c r="J293" s="181"/>
      <c r="K293" s="181"/>
      <c r="L293" s="181"/>
      <c r="M293" s="181"/>
      <c r="N293" s="181"/>
      <c r="O293" s="181"/>
      <c r="P293" s="181"/>
      <c r="Q293" s="181"/>
      <c r="R293" s="181"/>
      <c r="S293" s="181"/>
      <c r="T293" s="181"/>
      <c r="U293" s="181"/>
      <c r="V293" s="181"/>
      <c r="W293" s="181"/>
      <c r="X293" s="181"/>
      <c r="Y293" s="181"/>
      <c r="Z293" s="181"/>
      <c r="AA293" s="181"/>
      <c r="AB293" s="181"/>
      <c r="AC293" s="181"/>
      <c r="AD293" s="181"/>
      <c r="AE293" s="181"/>
      <c r="AF293" s="181"/>
    </row>
    <row r="294" ht="15.75" customHeight="1">
      <c r="A294" s="181" t="s">
        <v>3150</v>
      </c>
      <c r="B294" s="24" t="s">
        <v>539</v>
      </c>
      <c r="C294" s="24"/>
      <c r="D294" s="24" t="s">
        <v>538</v>
      </c>
      <c r="F294" s="210">
        <v>3240.0</v>
      </c>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row>
    <row r="295" ht="15.75" customHeight="1">
      <c r="A295" s="181"/>
      <c r="C295" s="24"/>
      <c r="D295" s="24"/>
      <c r="F295" s="192">
        <f>SUM(F294)</f>
        <v>3240</v>
      </c>
      <c r="G295" s="181"/>
      <c r="H295" s="181"/>
      <c r="I295" s="181"/>
      <c r="J295" s="181"/>
      <c r="K295" s="181"/>
      <c r="L295" s="181"/>
      <c r="M295" s="181"/>
      <c r="N295" s="181"/>
      <c r="O295" s="181"/>
      <c r="P295" s="181"/>
      <c r="Q295" s="181"/>
      <c r="R295" s="181"/>
      <c r="S295" s="181"/>
      <c r="T295" s="181"/>
      <c r="U295" s="181"/>
      <c r="V295" s="181"/>
      <c r="W295" s="181"/>
      <c r="X295" s="181"/>
      <c r="Y295" s="181"/>
      <c r="Z295" s="181"/>
      <c r="AA295" s="181"/>
      <c r="AB295" s="181"/>
      <c r="AC295" s="181"/>
      <c r="AD295" s="181"/>
      <c r="AE295" s="181"/>
      <c r="AF295" s="181"/>
    </row>
    <row r="296" ht="15.75" customHeight="1">
      <c r="A296" s="181"/>
      <c r="C296" s="24"/>
      <c r="D296" s="24"/>
      <c r="F296" s="181"/>
      <c r="G296" s="181"/>
      <c r="H296" s="181"/>
      <c r="I296" s="181"/>
      <c r="J296" s="181"/>
      <c r="K296" s="181"/>
      <c r="L296" s="181"/>
      <c r="M296" s="181"/>
      <c r="N296" s="181"/>
      <c r="O296" s="181"/>
      <c r="P296" s="181"/>
      <c r="Q296" s="181"/>
      <c r="R296" s="181"/>
      <c r="S296" s="181"/>
      <c r="T296" s="181"/>
      <c r="U296" s="181"/>
      <c r="V296" s="181"/>
      <c r="W296" s="181"/>
      <c r="X296" s="181"/>
      <c r="Y296" s="181"/>
      <c r="Z296" s="181"/>
      <c r="AA296" s="181"/>
      <c r="AB296" s="181"/>
      <c r="AC296" s="181"/>
      <c r="AD296" s="181"/>
      <c r="AE296" s="181"/>
      <c r="AF296" s="181"/>
    </row>
    <row r="297" ht="15.75" customHeight="1">
      <c r="A297" s="181" t="s">
        <v>3151</v>
      </c>
      <c r="B297" s="24" t="s">
        <v>3152</v>
      </c>
      <c r="C297" s="24"/>
      <c r="D297" s="24" t="s">
        <v>542</v>
      </c>
      <c r="F297" s="210">
        <v>3240.0</v>
      </c>
      <c r="G297" s="181"/>
      <c r="H297" s="181"/>
      <c r="I297" s="181"/>
      <c r="J297" s="181"/>
      <c r="K297" s="181"/>
      <c r="L297" s="181"/>
      <c r="M297" s="181"/>
      <c r="N297" s="181"/>
      <c r="O297" s="181"/>
      <c r="P297" s="181"/>
      <c r="Q297" s="181"/>
      <c r="R297" s="181"/>
      <c r="S297" s="181"/>
      <c r="T297" s="181"/>
      <c r="U297" s="181"/>
      <c r="V297" s="181"/>
      <c r="W297" s="181"/>
      <c r="X297" s="181"/>
      <c r="Y297" s="181"/>
      <c r="Z297" s="181"/>
      <c r="AA297" s="181"/>
      <c r="AB297" s="181"/>
      <c r="AC297" s="181"/>
      <c r="AD297" s="181"/>
      <c r="AE297" s="181"/>
      <c r="AF297" s="181"/>
    </row>
    <row r="298" ht="15.75" customHeight="1">
      <c r="A298" s="181"/>
      <c r="C298" s="24"/>
      <c r="D298" s="24"/>
      <c r="F298" s="192">
        <f>SUM(F297)</f>
        <v>3240</v>
      </c>
      <c r="G298" s="181"/>
      <c r="H298" s="181"/>
      <c r="I298" s="181"/>
      <c r="J298" s="181"/>
      <c r="K298" s="181"/>
      <c r="L298" s="181"/>
      <c r="M298" s="181"/>
      <c r="N298" s="181"/>
      <c r="O298" s="181"/>
      <c r="P298" s="181"/>
      <c r="Q298" s="181"/>
      <c r="R298" s="181"/>
      <c r="S298" s="181"/>
      <c r="T298" s="181"/>
      <c r="U298" s="181"/>
      <c r="V298" s="181"/>
      <c r="W298" s="181"/>
      <c r="X298" s="181"/>
      <c r="Y298" s="181"/>
      <c r="Z298" s="181"/>
      <c r="AA298" s="181"/>
      <c r="AB298" s="181"/>
      <c r="AC298" s="181"/>
      <c r="AD298" s="181"/>
      <c r="AE298" s="181"/>
      <c r="AF298" s="181"/>
    </row>
    <row r="299" ht="15.75" customHeight="1">
      <c r="A299" s="181"/>
      <c r="C299" s="24"/>
      <c r="D299" s="24"/>
      <c r="F299" s="181"/>
      <c r="G299" s="181"/>
      <c r="H299" s="181"/>
      <c r="I299" s="181"/>
      <c r="J299" s="181"/>
      <c r="K299" s="181"/>
      <c r="L299" s="181"/>
      <c r="M299" s="181"/>
      <c r="N299" s="181"/>
      <c r="O299" s="181"/>
      <c r="P299" s="181"/>
      <c r="Q299" s="181"/>
      <c r="R299" s="181"/>
      <c r="S299" s="181"/>
      <c r="T299" s="181"/>
      <c r="U299" s="181"/>
      <c r="V299" s="181"/>
      <c r="W299" s="181"/>
      <c r="X299" s="181"/>
      <c r="Y299" s="181"/>
      <c r="Z299" s="181"/>
      <c r="AA299" s="181"/>
      <c r="AB299" s="181"/>
      <c r="AC299" s="181"/>
      <c r="AD299" s="181"/>
      <c r="AE299" s="181"/>
      <c r="AF299" s="181"/>
    </row>
    <row r="300" ht="15.75" customHeight="1">
      <c r="A300" s="181" t="s">
        <v>3153</v>
      </c>
      <c r="B300" s="24" t="s">
        <v>3154</v>
      </c>
      <c r="C300" s="24"/>
      <c r="D300" s="24" t="s">
        <v>546</v>
      </c>
      <c r="F300" s="210">
        <v>2856.0</v>
      </c>
      <c r="G300" s="181"/>
      <c r="H300" s="181"/>
      <c r="I300" s="181"/>
      <c r="J300" s="181"/>
      <c r="K300" s="181"/>
      <c r="L300" s="181"/>
      <c r="M300" s="181"/>
      <c r="N300" s="181"/>
      <c r="O300" s="181"/>
      <c r="P300" s="181"/>
      <c r="Q300" s="181"/>
      <c r="R300" s="181"/>
      <c r="S300" s="181"/>
      <c r="T300" s="181"/>
      <c r="U300" s="181"/>
      <c r="V300" s="181"/>
      <c r="W300" s="181"/>
      <c r="X300" s="181"/>
      <c r="Y300" s="181"/>
      <c r="Z300" s="181"/>
      <c r="AA300" s="181"/>
      <c r="AB300" s="181"/>
      <c r="AC300" s="181"/>
      <c r="AD300" s="181"/>
      <c r="AE300" s="181"/>
      <c r="AF300" s="181"/>
    </row>
    <row r="301" ht="15.75" customHeight="1">
      <c r="A301" s="181"/>
      <c r="C301" s="24"/>
      <c r="D301" s="24"/>
      <c r="F301" s="192">
        <f>SUM(F300)</f>
        <v>2856</v>
      </c>
      <c r="G301" s="181"/>
      <c r="H301" s="181"/>
      <c r="I301" s="181"/>
      <c r="J301" s="181"/>
      <c r="K301" s="181"/>
      <c r="L301" s="181"/>
      <c r="M301" s="181"/>
      <c r="N301" s="181"/>
      <c r="O301" s="181"/>
      <c r="P301" s="181"/>
      <c r="Q301" s="181"/>
      <c r="R301" s="181"/>
      <c r="S301" s="181"/>
      <c r="T301" s="181"/>
      <c r="U301" s="181"/>
      <c r="V301" s="181"/>
      <c r="W301" s="181"/>
      <c r="X301" s="181"/>
      <c r="Y301" s="181"/>
      <c r="Z301" s="181"/>
      <c r="AA301" s="181"/>
      <c r="AB301" s="181"/>
      <c r="AC301" s="181"/>
      <c r="AD301" s="181"/>
      <c r="AE301" s="181"/>
      <c r="AF301" s="181"/>
    </row>
    <row r="302" ht="15.75" customHeight="1">
      <c r="A302" s="181"/>
      <c r="C302" s="24"/>
      <c r="D302" s="24"/>
      <c r="F302" s="192"/>
      <c r="G302" s="181"/>
      <c r="H302" s="181"/>
      <c r="I302" s="181"/>
      <c r="J302" s="181"/>
      <c r="K302" s="181"/>
      <c r="L302" s="181"/>
      <c r="M302" s="181"/>
      <c r="N302" s="181"/>
      <c r="O302" s="181"/>
      <c r="P302" s="181"/>
      <c r="Q302" s="181"/>
      <c r="R302" s="181"/>
      <c r="S302" s="181"/>
      <c r="T302" s="181"/>
      <c r="U302" s="181"/>
      <c r="V302" s="181"/>
      <c r="W302" s="181"/>
      <c r="X302" s="181"/>
      <c r="Y302" s="181"/>
      <c r="Z302" s="181"/>
      <c r="AA302" s="181"/>
      <c r="AB302" s="181"/>
      <c r="AC302" s="181"/>
      <c r="AD302" s="181"/>
      <c r="AE302" s="181"/>
      <c r="AF302" s="181"/>
    </row>
    <row r="303" ht="15.75" customHeight="1">
      <c r="A303" s="181" t="s">
        <v>3155</v>
      </c>
      <c r="B303" s="24" t="s">
        <v>3156</v>
      </c>
      <c r="C303" s="24"/>
      <c r="D303" s="24" t="s">
        <v>550</v>
      </c>
      <c r="F303" s="210">
        <v>2856.0</v>
      </c>
      <c r="G303" s="181"/>
      <c r="H303" s="181"/>
      <c r="I303" s="181"/>
      <c r="J303" s="181"/>
      <c r="K303" s="181"/>
      <c r="L303" s="181"/>
      <c r="M303" s="181"/>
      <c r="N303" s="181"/>
      <c r="O303" s="181"/>
      <c r="P303" s="181"/>
      <c r="Q303" s="181"/>
      <c r="R303" s="181"/>
      <c r="S303" s="181"/>
      <c r="T303" s="181"/>
      <c r="U303" s="181"/>
      <c r="V303" s="181"/>
      <c r="W303" s="181"/>
      <c r="X303" s="181"/>
      <c r="Y303" s="181"/>
      <c r="Z303" s="181"/>
      <c r="AA303" s="181"/>
      <c r="AB303" s="181"/>
      <c r="AC303" s="181"/>
      <c r="AD303" s="181"/>
      <c r="AE303" s="181"/>
      <c r="AF303" s="181"/>
    </row>
    <row r="304" ht="15.75" customHeight="1">
      <c r="A304" s="181"/>
      <c r="C304" s="24"/>
      <c r="D304" s="24"/>
      <c r="F304" s="192">
        <f>SUM(F303)</f>
        <v>2856</v>
      </c>
      <c r="G304" s="181"/>
      <c r="H304" s="181"/>
      <c r="I304" s="181"/>
      <c r="J304" s="181"/>
      <c r="K304" s="181"/>
      <c r="L304" s="181"/>
      <c r="M304" s="181"/>
      <c r="N304" s="181"/>
      <c r="O304" s="181"/>
      <c r="P304" s="181"/>
      <c r="Q304" s="181"/>
      <c r="R304" s="181"/>
      <c r="S304" s="181"/>
      <c r="T304" s="181"/>
      <c r="U304" s="181"/>
      <c r="V304" s="181"/>
      <c r="W304" s="181"/>
      <c r="X304" s="181"/>
      <c r="Y304" s="181"/>
      <c r="Z304" s="181"/>
      <c r="AA304" s="181"/>
      <c r="AB304" s="181"/>
      <c r="AC304" s="181"/>
      <c r="AD304" s="181"/>
      <c r="AE304" s="181"/>
      <c r="AF304" s="181"/>
    </row>
    <row r="305" ht="15.75" customHeight="1">
      <c r="A305" s="181"/>
      <c r="C305" s="24"/>
      <c r="D305" s="24"/>
      <c r="F305" s="192"/>
      <c r="G305" s="181"/>
      <c r="H305" s="181"/>
      <c r="I305" s="181"/>
      <c r="J305" s="181"/>
      <c r="K305" s="181"/>
      <c r="L305" s="181"/>
      <c r="M305" s="181"/>
      <c r="N305" s="181"/>
      <c r="O305" s="181"/>
      <c r="P305" s="181"/>
      <c r="Q305" s="181"/>
      <c r="R305" s="181"/>
      <c r="S305" s="181"/>
      <c r="T305" s="181"/>
      <c r="U305" s="181"/>
      <c r="V305" s="181"/>
      <c r="W305" s="181"/>
      <c r="X305" s="181"/>
      <c r="Y305" s="181"/>
      <c r="Z305" s="181"/>
      <c r="AA305" s="181"/>
      <c r="AB305" s="181"/>
      <c r="AC305" s="181"/>
      <c r="AD305" s="181"/>
      <c r="AE305" s="181"/>
      <c r="AF305" s="181"/>
    </row>
    <row r="306" ht="15.75" customHeight="1">
      <c r="A306" s="181" t="s">
        <v>3157</v>
      </c>
      <c r="B306" s="24" t="s">
        <v>554</v>
      </c>
      <c r="C306" s="24"/>
      <c r="D306" s="24" t="s">
        <v>553</v>
      </c>
      <c r="F306" s="210">
        <v>5712.0</v>
      </c>
      <c r="G306" s="181"/>
      <c r="H306" s="181"/>
      <c r="I306" s="181"/>
      <c r="J306" s="181"/>
      <c r="K306" s="181"/>
      <c r="L306" s="181"/>
      <c r="M306" s="181"/>
      <c r="N306" s="181"/>
      <c r="O306" s="181"/>
      <c r="P306" s="181"/>
      <c r="Q306" s="181"/>
      <c r="R306" s="181"/>
      <c r="S306" s="181"/>
      <c r="T306" s="181"/>
      <c r="U306" s="181"/>
      <c r="V306" s="181"/>
      <c r="W306" s="181"/>
      <c r="X306" s="181"/>
      <c r="Y306" s="181"/>
      <c r="Z306" s="181"/>
      <c r="AA306" s="181"/>
      <c r="AB306" s="181"/>
      <c r="AC306" s="181"/>
      <c r="AD306" s="181"/>
      <c r="AE306" s="181"/>
      <c r="AF306" s="181"/>
    </row>
    <row r="307" ht="15.75" customHeight="1">
      <c r="A307" s="181"/>
      <c r="C307" s="24"/>
      <c r="D307" s="24"/>
      <c r="F307" s="192">
        <f>SUM(F306)</f>
        <v>5712</v>
      </c>
      <c r="G307" s="181"/>
      <c r="H307" s="181"/>
      <c r="I307" s="181"/>
      <c r="J307" s="181"/>
      <c r="K307" s="181"/>
      <c r="L307" s="181"/>
      <c r="M307" s="181"/>
      <c r="N307" s="181"/>
      <c r="O307" s="181"/>
      <c r="P307" s="181"/>
      <c r="Q307" s="181"/>
      <c r="R307" s="181"/>
      <c r="S307" s="181"/>
      <c r="T307" s="181"/>
      <c r="U307" s="181"/>
      <c r="V307" s="181"/>
      <c r="W307" s="181"/>
      <c r="X307" s="181"/>
      <c r="Y307" s="181"/>
      <c r="Z307" s="181"/>
      <c r="AA307" s="181"/>
      <c r="AB307" s="181"/>
      <c r="AC307" s="181"/>
      <c r="AD307" s="181"/>
      <c r="AE307" s="181"/>
      <c r="AF307" s="181"/>
    </row>
    <row r="308" ht="15.75" customHeight="1">
      <c r="A308" s="181"/>
      <c r="C308" s="24"/>
      <c r="D308" s="24"/>
      <c r="F308" s="181"/>
      <c r="G308" s="181"/>
      <c r="H308" s="181"/>
      <c r="I308" s="181"/>
      <c r="J308" s="181"/>
      <c r="K308" s="181"/>
      <c r="L308" s="181"/>
      <c r="M308" s="181"/>
      <c r="N308" s="181"/>
      <c r="O308" s="181"/>
      <c r="P308" s="181"/>
      <c r="Q308" s="181"/>
      <c r="R308" s="181"/>
      <c r="S308" s="181"/>
      <c r="T308" s="181"/>
      <c r="U308" s="181"/>
      <c r="V308" s="181"/>
      <c r="W308" s="181"/>
      <c r="X308" s="181"/>
      <c r="Y308" s="181"/>
      <c r="Z308" s="181"/>
      <c r="AA308" s="181"/>
      <c r="AB308" s="181"/>
      <c r="AC308" s="181"/>
      <c r="AD308" s="181"/>
      <c r="AE308" s="181"/>
      <c r="AF308" s="181"/>
    </row>
    <row r="309" ht="15.75" customHeight="1">
      <c r="A309" s="181" t="s">
        <v>3158</v>
      </c>
      <c r="B309" s="24" t="s">
        <v>558</v>
      </c>
      <c r="C309" s="24"/>
      <c r="D309" s="24" t="s">
        <v>557</v>
      </c>
      <c r="F309" s="210">
        <v>3240.0</v>
      </c>
      <c r="G309" s="181"/>
      <c r="H309" s="181"/>
      <c r="I309" s="181"/>
      <c r="J309" s="181"/>
      <c r="K309" s="181"/>
      <c r="L309" s="181"/>
      <c r="M309" s="181"/>
      <c r="N309" s="181"/>
      <c r="O309" s="181"/>
      <c r="P309" s="181"/>
      <c r="Q309" s="181"/>
      <c r="R309" s="181"/>
      <c r="S309" s="181"/>
      <c r="T309" s="181"/>
      <c r="U309" s="181"/>
      <c r="V309" s="181"/>
      <c r="W309" s="181"/>
      <c r="X309" s="181"/>
      <c r="Y309" s="181"/>
      <c r="Z309" s="181"/>
      <c r="AA309" s="181"/>
      <c r="AB309" s="181"/>
      <c r="AC309" s="181"/>
      <c r="AD309" s="181"/>
      <c r="AE309" s="181"/>
      <c r="AF309" s="181"/>
    </row>
    <row r="310" ht="15.75" customHeight="1">
      <c r="A310" s="181"/>
      <c r="C310" s="24"/>
      <c r="D310" s="24"/>
      <c r="F310" s="192">
        <f>SUM(F309)</f>
        <v>3240</v>
      </c>
      <c r="G310" s="181"/>
      <c r="H310" s="181"/>
      <c r="I310" s="181"/>
      <c r="J310" s="181"/>
      <c r="K310" s="181"/>
      <c r="L310" s="181"/>
      <c r="M310" s="181"/>
      <c r="N310" s="181"/>
      <c r="O310" s="181"/>
      <c r="P310" s="181"/>
      <c r="Q310" s="181"/>
      <c r="R310" s="181"/>
      <c r="S310" s="181"/>
      <c r="T310" s="181"/>
      <c r="U310" s="181"/>
      <c r="V310" s="181"/>
      <c r="W310" s="181"/>
      <c r="X310" s="181"/>
      <c r="Y310" s="181"/>
      <c r="Z310" s="181"/>
      <c r="AA310" s="181"/>
      <c r="AB310" s="181"/>
      <c r="AC310" s="181"/>
      <c r="AD310" s="181"/>
      <c r="AE310" s="181"/>
      <c r="AF310" s="181"/>
    </row>
    <row r="311" ht="15.75" customHeight="1">
      <c r="A311" s="181"/>
      <c r="C311" s="24"/>
      <c r="D311" s="24"/>
      <c r="F311" s="181"/>
      <c r="G311" s="181"/>
      <c r="H311" s="181"/>
      <c r="I311" s="181"/>
      <c r="J311" s="181"/>
      <c r="K311" s="181"/>
      <c r="L311" s="181"/>
      <c r="M311" s="181"/>
      <c r="N311" s="181"/>
      <c r="O311" s="181"/>
      <c r="P311" s="181"/>
      <c r="Q311" s="181"/>
      <c r="R311" s="181"/>
      <c r="S311" s="181"/>
      <c r="T311" s="181"/>
      <c r="U311" s="181"/>
      <c r="V311" s="181"/>
      <c r="W311" s="181"/>
      <c r="X311" s="181"/>
      <c r="Y311" s="181"/>
      <c r="Z311" s="181"/>
      <c r="AA311" s="181"/>
      <c r="AB311" s="181"/>
      <c r="AC311" s="181"/>
      <c r="AD311" s="181"/>
      <c r="AE311" s="181"/>
      <c r="AF311" s="181"/>
    </row>
    <row r="312" ht="15.75" customHeight="1">
      <c r="A312" s="181" t="s">
        <v>3159</v>
      </c>
      <c r="B312" s="24" t="s">
        <v>562</v>
      </c>
      <c r="C312" s="24"/>
      <c r="D312" s="24" t="s">
        <v>561</v>
      </c>
      <c r="F312" s="210">
        <v>3240.0</v>
      </c>
      <c r="G312" s="181"/>
      <c r="H312" s="181"/>
      <c r="I312" s="181"/>
      <c r="J312" s="181"/>
      <c r="K312" s="181"/>
      <c r="L312" s="181"/>
      <c r="M312" s="181"/>
      <c r="N312" s="181"/>
      <c r="O312" s="181"/>
      <c r="P312" s="181"/>
      <c r="Q312" s="181"/>
      <c r="R312" s="181"/>
      <c r="S312" s="181"/>
      <c r="T312" s="181"/>
      <c r="U312" s="181"/>
      <c r="V312" s="181"/>
      <c r="W312" s="181"/>
      <c r="X312" s="181"/>
      <c r="Y312" s="181"/>
      <c r="Z312" s="181"/>
      <c r="AA312" s="181"/>
      <c r="AB312" s="181"/>
      <c r="AC312" s="181"/>
      <c r="AD312" s="181"/>
      <c r="AE312" s="181"/>
      <c r="AF312" s="181"/>
    </row>
    <row r="313" ht="15.75" customHeight="1">
      <c r="A313" s="181"/>
      <c r="C313" s="24"/>
      <c r="D313" s="24"/>
      <c r="F313" s="192">
        <f>SUM(F312)</f>
        <v>3240</v>
      </c>
      <c r="G313" s="181"/>
      <c r="H313" s="181"/>
      <c r="I313" s="181"/>
      <c r="J313" s="181"/>
      <c r="K313" s="181"/>
      <c r="L313" s="181"/>
      <c r="M313" s="181"/>
      <c r="N313" s="181"/>
      <c r="O313" s="181"/>
      <c r="P313" s="181"/>
      <c r="Q313" s="181"/>
      <c r="R313" s="181"/>
      <c r="S313" s="181"/>
      <c r="T313" s="181"/>
      <c r="U313" s="181"/>
      <c r="V313" s="181"/>
      <c r="W313" s="181"/>
      <c r="X313" s="181"/>
      <c r="Y313" s="181"/>
      <c r="Z313" s="181"/>
      <c r="AA313" s="181"/>
      <c r="AB313" s="181"/>
      <c r="AC313" s="181"/>
      <c r="AD313" s="181"/>
      <c r="AE313" s="181"/>
      <c r="AF313" s="181"/>
    </row>
    <row r="314" ht="15.75" customHeight="1">
      <c r="A314" s="181"/>
      <c r="C314" s="24"/>
      <c r="D314" s="24"/>
      <c r="F314" s="181"/>
      <c r="G314" s="181"/>
      <c r="H314" s="181"/>
      <c r="I314" s="181"/>
      <c r="J314" s="181"/>
      <c r="K314" s="181"/>
      <c r="L314" s="181"/>
      <c r="M314" s="181"/>
      <c r="N314" s="181"/>
      <c r="O314" s="181"/>
      <c r="P314" s="181"/>
      <c r="Q314" s="181"/>
      <c r="R314" s="181"/>
      <c r="S314" s="181"/>
      <c r="T314" s="181"/>
      <c r="U314" s="181"/>
      <c r="V314" s="181"/>
      <c r="W314" s="181"/>
      <c r="X314" s="181"/>
      <c r="Y314" s="181"/>
      <c r="Z314" s="181"/>
      <c r="AA314" s="181"/>
      <c r="AB314" s="181"/>
      <c r="AC314" s="181"/>
      <c r="AD314" s="181"/>
      <c r="AE314" s="181"/>
      <c r="AF314" s="181"/>
    </row>
    <row r="315" ht="15.75" customHeight="1">
      <c r="A315" s="181" t="s">
        <v>3160</v>
      </c>
      <c r="B315" s="24" t="s">
        <v>577</v>
      </c>
      <c r="C315" s="24"/>
      <c r="D315" s="24" t="s">
        <v>576</v>
      </c>
      <c r="F315" s="210">
        <v>6480.0</v>
      </c>
      <c r="G315" s="181"/>
      <c r="H315" s="181"/>
      <c r="I315" s="181"/>
      <c r="J315" s="181"/>
      <c r="K315" s="181"/>
      <c r="L315" s="181"/>
      <c r="M315" s="181"/>
      <c r="N315" s="181"/>
      <c r="O315" s="181"/>
      <c r="P315" s="181"/>
      <c r="Q315" s="181"/>
      <c r="R315" s="181"/>
      <c r="S315" s="181"/>
      <c r="T315" s="181"/>
      <c r="U315" s="181"/>
      <c r="V315" s="181"/>
      <c r="W315" s="181"/>
      <c r="X315" s="181"/>
      <c r="Y315" s="181"/>
      <c r="Z315" s="181"/>
      <c r="AA315" s="181"/>
      <c r="AB315" s="181"/>
      <c r="AC315" s="181"/>
      <c r="AD315" s="181"/>
      <c r="AE315" s="181"/>
      <c r="AF315" s="181"/>
    </row>
    <row r="316" ht="15.75" customHeight="1">
      <c r="A316" s="181"/>
      <c r="C316" s="24"/>
      <c r="D316" s="24"/>
      <c r="F316" s="192">
        <f>SUM(F315)</f>
        <v>6480</v>
      </c>
      <c r="G316" s="181"/>
      <c r="H316" s="181"/>
      <c r="I316" s="181"/>
      <c r="J316" s="181"/>
      <c r="K316" s="181"/>
      <c r="L316" s="181"/>
      <c r="M316" s="181"/>
      <c r="N316" s="181"/>
      <c r="O316" s="181"/>
      <c r="P316" s="181"/>
      <c r="Q316" s="181"/>
      <c r="R316" s="181"/>
      <c r="S316" s="181"/>
      <c r="T316" s="181"/>
      <c r="U316" s="181"/>
      <c r="V316" s="181"/>
      <c r="W316" s="181"/>
      <c r="X316" s="181"/>
      <c r="Y316" s="181"/>
      <c r="Z316" s="181"/>
      <c r="AA316" s="181"/>
      <c r="AB316" s="181"/>
      <c r="AC316" s="181"/>
      <c r="AD316" s="181"/>
      <c r="AE316" s="181"/>
      <c r="AF316" s="181"/>
    </row>
    <row r="317" ht="15.75" customHeight="1">
      <c r="A317" s="181"/>
      <c r="C317" s="24"/>
      <c r="D317" s="24"/>
      <c r="F317" s="181"/>
      <c r="G317" s="181"/>
      <c r="H317" s="181"/>
      <c r="I317" s="181"/>
      <c r="J317" s="181"/>
      <c r="K317" s="181"/>
      <c r="L317" s="181"/>
      <c r="M317" s="181"/>
      <c r="N317" s="181"/>
      <c r="O317" s="181"/>
      <c r="P317" s="181"/>
      <c r="Q317" s="181"/>
      <c r="R317" s="181"/>
      <c r="S317" s="181"/>
      <c r="T317" s="181"/>
      <c r="U317" s="181"/>
      <c r="V317" s="181"/>
      <c r="W317" s="181"/>
      <c r="X317" s="181"/>
      <c r="Y317" s="181"/>
      <c r="Z317" s="181"/>
      <c r="AA317" s="181"/>
      <c r="AB317" s="181"/>
      <c r="AC317" s="181"/>
      <c r="AD317" s="181"/>
      <c r="AE317" s="181"/>
      <c r="AF317" s="181"/>
    </row>
    <row r="318" ht="15.75" customHeight="1">
      <c r="A318" s="181" t="s">
        <v>3161</v>
      </c>
      <c r="B318" s="24" t="s">
        <v>581</v>
      </c>
      <c r="C318" s="24"/>
      <c r="D318" s="24" t="s">
        <v>580</v>
      </c>
      <c r="F318" s="210">
        <v>3240.0</v>
      </c>
      <c r="G318" s="181"/>
      <c r="H318" s="181"/>
      <c r="I318" s="181"/>
      <c r="J318" s="181"/>
      <c r="K318" s="181"/>
      <c r="L318" s="181"/>
      <c r="M318" s="181"/>
      <c r="N318" s="181"/>
      <c r="O318" s="181"/>
      <c r="P318" s="181"/>
      <c r="Q318" s="181"/>
      <c r="R318" s="181"/>
      <c r="S318" s="181"/>
      <c r="T318" s="181"/>
      <c r="U318" s="181"/>
      <c r="V318" s="181"/>
      <c r="W318" s="181"/>
      <c r="X318" s="181"/>
      <c r="Y318" s="181"/>
      <c r="Z318" s="181"/>
      <c r="AA318" s="181"/>
      <c r="AB318" s="181"/>
      <c r="AC318" s="181"/>
      <c r="AD318" s="181"/>
      <c r="AE318" s="181"/>
      <c r="AF318" s="181"/>
    </row>
    <row r="319" ht="15.75" customHeight="1">
      <c r="A319" s="181"/>
      <c r="C319" s="24"/>
      <c r="D319" s="24"/>
      <c r="F319" s="192">
        <f>SUM(F318)</f>
        <v>3240</v>
      </c>
      <c r="G319" s="181"/>
      <c r="H319" s="181"/>
      <c r="I319" s="181"/>
      <c r="J319" s="181"/>
      <c r="K319" s="181"/>
      <c r="L319" s="181"/>
      <c r="M319" s="181"/>
      <c r="N319" s="181"/>
      <c r="O319" s="181"/>
      <c r="P319" s="181"/>
      <c r="Q319" s="181"/>
      <c r="R319" s="181"/>
      <c r="S319" s="181"/>
      <c r="T319" s="181"/>
      <c r="U319" s="181"/>
      <c r="V319" s="181"/>
      <c r="W319" s="181"/>
      <c r="X319" s="181"/>
      <c r="Y319" s="181"/>
      <c r="Z319" s="181"/>
      <c r="AA319" s="181"/>
      <c r="AB319" s="181"/>
      <c r="AC319" s="181"/>
      <c r="AD319" s="181"/>
      <c r="AE319" s="181"/>
      <c r="AF319" s="181"/>
    </row>
    <row r="320" ht="15.75" customHeight="1">
      <c r="A320" s="181"/>
      <c r="C320" s="24"/>
      <c r="D320" s="24"/>
      <c r="F320" s="181"/>
      <c r="G320" s="181"/>
      <c r="H320" s="181"/>
      <c r="I320" s="181"/>
      <c r="J320" s="181"/>
      <c r="K320" s="181"/>
      <c r="L320" s="181"/>
      <c r="M320" s="181"/>
      <c r="N320" s="181"/>
      <c r="O320" s="181"/>
      <c r="P320" s="181"/>
      <c r="Q320" s="181"/>
      <c r="R320" s="181"/>
      <c r="S320" s="181"/>
      <c r="T320" s="181"/>
      <c r="U320" s="181"/>
      <c r="V320" s="181"/>
      <c r="W320" s="181"/>
      <c r="X320" s="181"/>
      <c r="Y320" s="181"/>
      <c r="Z320" s="181"/>
      <c r="AA320" s="181"/>
      <c r="AB320" s="181"/>
      <c r="AC320" s="181"/>
      <c r="AD320" s="181"/>
      <c r="AE320" s="181"/>
      <c r="AF320" s="181"/>
    </row>
    <row r="321" ht="15.75" customHeight="1">
      <c r="A321" s="181" t="s">
        <v>3162</v>
      </c>
      <c r="B321" s="24" t="s">
        <v>585</v>
      </c>
      <c r="C321" s="24"/>
      <c r="D321" s="24" t="s">
        <v>584</v>
      </c>
      <c r="F321" s="216">
        <v>3240.0</v>
      </c>
      <c r="G321" s="181"/>
      <c r="H321" s="181"/>
      <c r="I321" s="181"/>
      <c r="J321" s="181"/>
      <c r="K321" s="181"/>
      <c r="L321" s="181"/>
      <c r="M321" s="181"/>
      <c r="N321" s="181"/>
      <c r="O321" s="181"/>
      <c r="P321" s="181"/>
      <c r="Q321" s="181"/>
      <c r="R321" s="181"/>
      <c r="S321" s="181"/>
      <c r="T321" s="181"/>
      <c r="U321" s="181"/>
      <c r="V321" s="181"/>
      <c r="W321" s="181"/>
      <c r="X321" s="181"/>
      <c r="Y321" s="181"/>
      <c r="Z321" s="181"/>
      <c r="AA321" s="181"/>
      <c r="AB321" s="181"/>
      <c r="AC321" s="181"/>
      <c r="AD321" s="181"/>
      <c r="AE321" s="181"/>
      <c r="AF321" s="181"/>
    </row>
    <row r="322" ht="15.75" customHeight="1">
      <c r="A322" s="181"/>
      <c r="C322" s="24"/>
      <c r="D322" s="24"/>
      <c r="F322" s="192">
        <f>SUM(F321)</f>
        <v>3240</v>
      </c>
      <c r="G322" s="181"/>
      <c r="H322" s="181"/>
      <c r="I322" s="181"/>
      <c r="J322" s="181"/>
      <c r="K322" s="181"/>
      <c r="L322" s="181"/>
      <c r="M322" s="181"/>
      <c r="N322" s="181"/>
      <c r="O322" s="181"/>
      <c r="P322" s="181"/>
      <c r="Q322" s="181"/>
      <c r="R322" s="181"/>
      <c r="S322" s="181"/>
      <c r="T322" s="181"/>
      <c r="U322" s="181"/>
      <c r="V322" s="181"/>
      <c r="W322" s="181"/>
      <c r="X322" s="181"/>
      <c r="Y322" s="181"/>
      <c r="Z322" s="181"/>
      <c r="AA322" s="181"/>
      <c r="AB322" s="181"/>
      <c r="AC322" s="181"/>
      <c r="AD322" s="181"/>
      <c r="AE322" s="181"/>
      <c r="AF322" s="181"/>
    </row>
    <row r="323" ht="15.75" customHeight="1">
      <c r="A323" s="181"/>
      <c r="C323" s="24"/>
      <c r="D323" s="24"/>
      <c r="F323" s="181"/>
      <c r="G323" s="181"/>
      <c r="H323" s="181"/>
      <c r="I323" s="181"/>
      <c r="J323" s="181"/>
      <c r="K323" s="181"/>
      <c r="L323" s="181"/>
      <c r="M323" s="181"/>
      <c r="N323" s="181"/>
      <c r="O323" s="181"/>
      <c r="P323" s="181"/>
      <c r="Q323" s="181"/>
      <c r="R323" s="181"/>
      <c r="S323" s="181"/>
      <c r="T323" s="181"/>
      <c r="U323" s="181"/>
      <c r="V323" s="181"/>
      <c r="W323" s="181"/>
      <c r="X323" s="181"/>
      <c r="Y323" s="181"/>
      <c r="Z323" s="181"/>
      <c r="AA323" s="181"/>
      <c r="AB323" s="181"/>
      <c r="AC323" s="181"/>
      <c r="AD323" s="181"/>
      <c r="AE323" s="181"/>
      <c r="AF323" s="181"/>
    </row>
    <row r="324" ht="15.75" customHeight="1">
      <c r="A324" s="181" t="s">
        <v>3163</v>
      </c>
      <c r="B324" s="24" t="s">
        <v>589</v>
      </c>
      <c r="C324" s="24"/>
      <c r="D324" s="24" t="s">
        <v>588</v>
      </c>
      <c r="F324" s="216">
        <v>3240.0</v>
      </c>
      <c r="G324" s="181"/>
      <c r="H324" s="181"/>
      <c r="I324" s="181"/>
      <c r="J324" s="181"/>
      <c r="K324" s="181"/>
      <c r="L324" s="181"/>
      <c r="M324" s="181"/>
      <c r="N324" s="181"/>
      <c r="O324" s="181"/>
      <c r="P324" s="181"/>
      <c r="Q324" s="181"/>
      <c r="R324" s="181"/>
      <c r="S324" s="181"/>
      <c r="T324" s="181"/>
      <c r="U324" s="181"/>
      <c r="V324" s="181"/>
      <c r="W324" s="181"/>
      <c r="X324" s="181"/>
      <c r="Y324" s="181"/>
      <c r="Z324" s="181"/>
      <c r="AA324" s="181"/>
      <c r="AB324" s="181"/>
      <c r="AC324" s="181"/>
      <c r="AD324" s="181"/>
      <c r="AE324" s="181"/>
      <c r="AF324" s="181"/>
    </row>
    <row r="325" ht="15.75" customHeight="1">
      <c r="A325" s="181"/>
      <c r="C325" s="24"/>
      <c r="D325" s="24"/>
      <c r="F325" s="192">
        <f>SUM(F324)</f>
        <v>3240</v>
      </c>
      <c r="G325" s="181"/>
      <c r="H325" s="181"/>
      <c r="I325" s="181"/>
      <c r="J325" s="181"/>
      <c r="K325" s="181"/>
      <c r="L325" s="181"/>
      <c r="M325" s="181"/>
      <c r="N325" s="181"/>
      <c r="O325" s="181"/>
      <c r="P325" s="181"/>
      <c r="Q325" s="181"/>
      <c r="R325" s="181"/>
      <c r="S325" s="181"/>
      <c r="T325" s="181"/>
      <c r="U325" s="181"/>
      <c r="V325" s="181"/>
      <c r="W325" s="181"/>
      <c r="X325" s="181"/>
      <c r="Y325" s="181"/>
      <c r="Z325" s="181"/>
      <c r="AA325" s="181"/>
      <c r="AB325" s="181"/>
      <c r="AC325" s="181"/>
      <c r="AD325" s="181"/>
      <c r="AE325" s="181"/>
      <c r="AF325" s="181"/>
    </row>
    <row r="326" ht="15.75" customHeight="1">
      <c r="A326" s="181"/>
      <c r="C326" s="24"/>
      <c r="D326" s="24"/>
      <c r="F326" s="181"/>
      <c r="G326" s="181"/>
      <c r="H326" s="181"/>
      <c r="I326" s="181"/>
      <c r="J326" s="181"/>
      <c r="K326" s="181"/>
      <c r="L326" s="181"/>
      <c r="M326" s="181"/>
      <c r="N326" s="181"/>
      <c r="O326" s="181"/>
      <c r="P326" s="181"/>
      <c r="Q326" s="181"/>
      <c r="R326" s="181"/>
      <c r="S326" s="181"/>
      <c r="T326" s="181"/>
      <c r="U326" s="181"/>
      <c r="V326" s="181"/>
      <c r="W326" s="181"/>
      <c r="X326" s="181"/>
      <c r="Y326" s="181"/>
      <c r="Z326" s="181"/>
      <c r="AA326" s="181"/>
      <c r="AB326" s="181"/>
      <c r="AC326" s="181"/>
      <c r="AD326" s="181"/>
      <c r="AE326" s="181"/>
      <c r="AF326" s="181"/>
    </row>
    <row r="327" ht="15.75" customHeight="1">
      <c r="A327" s="181" t="s">
        <v>3164</v>
      </c>
      <c r="B327" s="24" t="s">
        <v>595</v>
      </c>
      <c r="C327" s="24"/>
      <c r="D327" s="24" t="s">
        <v>594</v>
      </c>
      <c r="F327" s="216">
        <v>2924.0</v>
      </c>
      <c r="G327" s="181"/>
      <c r="H327" s="181"/>
      <c r="I327" s="181"/>
      <c r="J327" s="181"/>
      <c r="K327" s="181"/>
      <c r="L327" s="181"/>
      <c r="M327" s="181"/>
      <c r="N327" s="181"/>
      <c r="O327" s="181"/>
      <c r="P327" s="181"/>
      <c r="Q327" s="181"/>
      <c r="R327" s="181"/>
      <c r="S327" s="181"/>
      <c r="T327" s="181"/>
      <c r="U327" s="181"/>
      <c r="V327" s="181"/>
      <c r="W327" s="181"/>
      <c r="X327" s="181"/>
      <c r="Y327" s="181"/>
      <c r="Z327" s="181"/>
      <c r="AA327" s="181"/>
      <c r="AB327" s="181"/>
      <c r="AC327" s="181"/>
      <c r="AD327" s="181"/>
      <c r="AE327" s="181"/>
      <c r="AF327" s="181"/>
    </row>
    <row r="328" ht="15.75" customHeight="1">
      <c r="A328" s="181"/>
      <c r="C328" s="24"/>
      <c r="D328" s="24"/>
      <c r="F328" s="192">
        <f>SUM(F327)</f>
        <v>2924</v>
      </c>
      <c r="G328" s="181"/>
      <c r="H328" s="181"/>
      <c r="I328" s="181"/>
      <c r="J328" s="181"/>
      <c r="K328" s="181"/>
      <c r="L328" s="181"/>
      <c r="M328" s="181"/>
      <c r="N328" s="181"/>
      <c r="O328" s="181"/>
      <c r="P328" s="181"/>
      <c r="Q328" s="181"/>
      <c r="R328" s="181"/>
      <c r="S328" s="181"/>
      <c r="T328" s="181"/>
      <c r="U328" s="181"/>
      <c r="V328" s="181"/>
      <c r="W328" s="181"/>
      <c r="X328" s="181"/>
      <c r="Y328" s="181"/>
      <c r="Z328" s="181"/>
      <c r="AA328" s="181"/>
      <c r="AB328" s="181"/>
      <c r="AC328" s="181"/>
      <c r="AD328" s="181"/>
      <c r="AE328" s="181"/>
      <c r="AF328" s="181"/>
    </row>
    <row r="329" ht="15.75" customHeight="1">
      <c r="A329" s="181"/>
      <c r="C329" s="24"/>
      <c r="D329" s="24"/>
      <c r="F329" s="181"/>
      <c r="G329" s="181"/>
      <c r="H329" s="181"/>
      <c r="I329" s="181"/>
      <c r="J329" s="181"/>
      <c r="K329" s="181"/>
      <c r="L329" s="181"/>
      <c r="M329" s="181"/>
      <c r="N329" s="181"/>
      <c r="O329" s="181"/>
      <c r="P329" s="181"/>
      <c r="Q329" s="181"/>
      <c r="R329" s="181"/>
      <c r="S329" s="181"/>
      <c r="T329" s="181"/>
      <c r="U329" s="181"/>
      <c r="V329" s="181"/>
      <c r="W329" s="181"/>
      <c r="X329" s="181"/>
      <c r="Y329" s="181"/>
      <c r="Z329" s="181"/>
      <c r="AA329" s="181"/>
      <c r="AB329" s="181"/>
      <c r="AC329" s="181"/>
      <c r="AD329" s="181"/>
      <c r="AE329" s="181"/>
      <c r="AF329" s="181"/>
    </row>
    <row r="330" ht="15.75" customHeight="1">
      <c r="A330" s="181" t="s">
        <v>3165</v>
      </c>
      <c r="B330" s="24" t="s">
        <v>599</v>
      </c>
      <c r="C330" s="24"/>
      <c r="D330" s="24" t="s">
        <v>598</v>
      </c>
      <c r="F330" s="216">
        <v>2924.0</v>
      </c>
      <c r="G330" s="181"/>
      <c r="H330" s="181"/>
      <c r="I330" s="181"/>
      <c r="J330" s="181"/>
      <c r="K330" s="181"/>
      <c r="L330" s="181"/>
      <c r="M330" s="181"/>
      <c r="N330" s="181"/>
      <c r="O330" s="181"/>
      <c r="P330" s="181"/>
      <c r="Q330" s="181"/>
      <c r="R330" s="181"/>
      <c r="S330" s="181"/>
      <c r="T330" s="181"/>
      <c r="U330" s="181"/>
      <c r="V330" s="181"/>
      <c r="W330" s="181"/>
      <c r="X330" s="181"/>
      <c r="Y330" s="181"/>
      <c r="Z330" s="181"/>
      <c r="AA330" s="181"/>
      <c r="AB330" s="181"/>
      <c r="AC330" s="181"/>
      <c r="AD330" s="181"/>
      <c r="AE330" s="181"/>
      <c r="AF330" s="181"/>
    </row>
    <row r="331" ht="15.75" customHeight="1">
      <c r="A331" s="181"/>
      <c r="C331" s="24"/>
      <c r="D331" s="24"/>
      <c r="F331" s="192">
        <f>SUM(F330)</f>
        <v>2924</v>
      </c>
      <c r="G331" s="181"/>
      <c r="H331" s="181"/>
      <c r="I331" s="181"/>
      <c r="J331" s="181"/>
      <c r="K331" s="181"/>
      <c r="L331" s="181"/>
      <c r="M331" s="181"/>
      <c r="N331" s="181"/>
      <c r="O331" s="181"/>
      <c r="P331" s="181"/>
      <c r="Q331" s="181"/>
      <c r="R331" s="181"/>
      <c r="S331" s="181"/>
      <c r="T331" s="181"/>
      <c r="U331" s="181"/>
      <c r="V331" s="181"/>
      <c r="W331" s="181"/>
      <c r="X331" s="181"/>
      <c r="Y331" s="181"/>
      <c r="Z331" s="181"/>
      <c r="AA331" s="181"/>
      <c r="AB331" s="181"/>
      <c r="AC331" s="181"/>
      <c r="AD331" s="181"/>
      <c r="AE331" s="181"/>
      <c r="AF331" s="181"/>
    </row>
    <row r="332" ht="15.75" customHeight="1">
      <c r="A332" s="181"/>
      <c r="C332" s="24"/>
      <c r="D332" s="24"/>
      <c r="F332" s="181"/>
      <c r="G332" s="181"/>
      <c r="H332" s="181"/>
      <c r="I332" s="181"/>
      <c r="J332" s="181"/>
      <c r="K332" s="181"/>
      <c r="L332" s="181"/>
      <c r="M332" s="181"/>
      <c r="N332" s="181"/>
      <c r="O332" s="181"/>
      <c r="P332" s="181"/>
      <c r="Q332" s="181"/>
      <c r="R332" s="181"/>
      <c r="S332" s="181"/>
      <c r="T332" s="181"/>
      <c r="U332" s="181"/>
      <c r="V332" s="181"/>
      <c r="W332" s="181"/>
      <c r="X332" s="181"/>
      <c r="Y332" s="181"/>
      <c r="Z332" s="181"/>
      <c r="AA332" s="181"/>
      <c r="AB332" s="181"/>
      <c r="AC332" s="181"/>
      <c r="AD332" s="181"/>
      <c r="AE332" s="181"/>
      <c r="AF332" s="181"/>
    </row>
    <row r="333" ht="15.75" customHeight="1">
      <c r="A333" s="181" t="s">
        <v>3166</v>
      </c>
      <c r="B333" s="24" t="s">
        <v>602</v>
      </c>
      <c r="C333" s="24"/>
      <c r="D333" s="24" t="s">
        <v>601</v>
      </c>
      <c r="F333" s="216">
        <v>2924.0</v>
      </c>
      <c r="G333" s="181"/>
      <c r="H333" s="181"/>
      <c r="I333" s="181"/>
      <c r="J333" s="181"/>
      <c r="K333" s="181"/>
      <c r="L333" s="181"/>
      <c r="M333" s="181"/>
      <c r="N333" s="181"/>
      <c r="O333" s="181"/>
      <c r="P333" s="181"/>
      <c r="Q333" s="181"/>
      <c r="R333" s="181"/>
      <c r="S333" s="181"/>
      <c r="T333" s="181"/>
      <c r="U333" s="181"/>
      <c r="V333" s="181"/>
      <c r="W333" s="181"/>
      <c r="X333" s="181"/>
      <c r="Y333" s="181"/>
      <c r="Z333" s="181"/>
      <c r="AA333" s="181"/>
      <c r="AB333" s="181"/>
      <c r="AC333" s="181"/>
      <c r="AD333" s="181"/>
      <c r="AE333" s="181"/>
      <c r="AF333" s="181"/>
    </row>
    <row r="334" ht="15.75" customHeight="1">
      <c r="A334" s="181"/>
      <c r="C334" s="24"/>
      <c r="D334" s="24"/>
      <c r="F334" s="192">
        <f>SUM(F333)</f>
        <v>2924</v>
      </c>
      <c r="G334" s="181"/>
      <c r="H334" s="181"/>
      <c r="I334" s="181"/>
      <c r="J334" s="181"/>
      <c r="K334" s="181"/>
      <c r="L334" s="181"/>
      <c r="M334" s="181"/>
      <c r="N334" s="181"/>
      <c r="O334" s="181"/>
      <c r="P334" s="181"/>
      <c r="Q334" s="181"/>
      <c r="R334" s="181"/>
      <c r="S334" s="181"/>
      <c r="T334" s="181"/>
      <c r="U334" s="181"/>
      <c r="V334" s="181"/>
      <c r="W334" s="181"/>
      <c r="X334" s="181"/>
      <c r="Y334" s="181"/>
      <c r="Z334" s="181"/>
      <c r="AA334" s="181"/>
      <c r="AB334" s="181"/>
      <c r="AC334" s="181"/>
      <c r="AD334" s="181"/>
      <c r="AE334" s="181"/>
      <c r="AF334" s="181"/>
    </row>
    <row r="335" ht="15.75" customHeight="1">
      <c r="A335" s="181"/>
      <c r="C335" s="24"/>
      <c r="D335" s="24"/>
      <c r="F335" s="181"/>
      <c r="G335" s="181"/>
      <c r="H335" s="181"/>
      <c r="I335" s="181"/>
      <c r="J335" s="181"/>
      <c r="K335" s="181"/>
      <c r="L335" s="181"/>
      <c r="M335" s="181"/>
      <c r="N335" s="181"/>
      <c r="O335" s="181"/>
      <c r="P335" s="181"/>
      <c r="Q335" s="181"/>
      <c r="R335" s="181"/>
      <c r="S335" s="181"/>
      <c r="T335" s="181"/>
      <c r="U335" s="181"/>
      <c r="V335" s="181"/>
      <c r="W335" s="181"/>
      <c r="X335" s="181"/>
      <c r="Y335" s="181"/>
      <c r="Z335" s="181"/>
      <c r="AA335" s="181"/>
      <c r="AB335" s="181"/>
      <c r="AC335" s="181"/>
      <c r="AD335" s="181"/>
      <c r="AE335" s="181"/>
      <c r="AF335" s="181"/>
    </row>
    <row r="336" ht="15.75" customHeight="1">
      <c r="A336" s="181" t="s">
        <v>3167</v>
      </c>
      <c r="B336" s="24" t="s">
        <v>606</v>
      </c>
      <c r="C336" s="24"/>
      <c r="D336" s="24" t="s">
        <v>605</v>
      </c>
      <c r="E336" s="24"/>
      <c r="F336" s="216">
        <v>8772.3</v>
      </c>
      <c r="G336" s="181"/>
      <c r="H336" s="181"/>
      <c r="I336" s="181"/>
      <c r="J336" s="181"/>
      <c r="K336" s="181"/>
      <c r="L336" s="181"/>
      <c r="M336" s="181"/>
      <c r="N336" s="181"/>
      <c r="O336" s="181"/>
      <c r="P336" s="181"/>
      <c r="Q336" s="181"/>
      <c r="R336" s="181"/>
      <c r="S336" s="181"/>
      <c r="T336" s="181"/>
      <c r="U336" s="181"/>
      <c r="V336" s="181"/>
      <c r="W336" s="181"/>
      <c r="X336" s="181"/>
      <c r="Y336" s="181"/>
      <c r="Z336" s="181"/>
      <c r="AA336" s="181"/>
      <c r="AB336" s="181"/>
      <c r="AC336" s="181"/>
      <c r="AD336" s="181"/>
      <c r="AE336" s="181"/>
      <c r="AF336" s="181"/>
    </row>
    <row r="337" ht="15.75" customHeight="1">
      <c r="A337" s="181"/>
      <c r="C337" s="24"/>
      <c r="D337" s="24"/>
      <c r="F337" s="192">
        <f>SUM(F336)</f>
        <v>8772.3</v>
      </c>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row>
    <row r="338" ht="15.75" customHeight="1">
      <c r="A338" s="181"/>
      <c r="C338" s="24"/>
      <c r="D338" s="24"/>
      <c r="F338" s="181"/>
      <c r="G338" s="181"/>
      <c r="H338" s="181"/>
      <c r="I338" s="181"/>
      <c r="J338" s="181"/>
      <c r="K338" s="181"/>
      <c r="L338" s="181"/>
      <c r="M338" s="181"/>
      <c r="N338" s="181"/>
      <c r="O338" s="181"/>
      <c r="P338" s="181"/>
      <c r="Q338" s="181"/>
      <c r="R338" s="181"/>
      <c r="S338" s="181"/>
      <c r="T338" s="181"/>
      <c r="U338" s="181"/>
      <c r="V338" s="181"/>
      <c r="W338" s="181"/>
      <c r="X338" s="181"/>
      <c r="Y338" s="181"/>
      <c r="Z338" s="181"/>
      <c r="AA338" s="181"/>
      <c r="AB338" s="181"/>
      <c r="AC338" s="181"/>
      <c r="AD338" s="181"/>
      <c r="AE338" s="181"/>
      <c r="AF338" s="181"/>
    </row>
    <row r="339" ht="15.75" customHeight="1">
      <c r="A339" s="181" t="s">
        <v>3168</v>
      </c>
      <c r="B339" s="24" t="s">
        <v>610</v>
      </c>
      <c r="C339" s="24"/>
      <c r="D339" s="24" t="s">
        <v>609</v>
      </c>
      <c r="F339" s="210">
        <v>2924.1</v>
      </c>
      <c r="G339" s="24"/>
      <c r="H339" s="27"/>
      <c r="I339" s="24"/>
      <c r="J339" s="215"/>
      <c r="K339" s="24"/>
      <c r="L339" s="24"/>
      <c r="M339" s="27"/>
      <c r="N339" s="24"/>
      <c r="O339" s="24"/>
      <c r="Q339" s="98"/>
      <c r="R339" s="24"/>
      <c r="S339" s="24"/>
      <c r="T339" s="24"/>
      <c r="U339" s="24"/>
      <c r="V339" s="24"/>
      <c r="W339" s="24"/>
      <c r="X339" s="24"/>
      <c r="Y339" s="181"/>
      <c r="Z339" s="181"/>
      <c r="AA339" s="181"/>
      <c r="AB339" s="181"/>
      <c r="AC339" s="181"/>
      <c r="AD339" s="181"/>
      <c r="AE339" s="181"/>
      <c r="AF339" s="181"/>
    </row>
    <row r="340" ht="15.75" customHeight="1">
      <c r="A340" s="181"/>
      <c r="C340" s="24"/>
      <c r="D340" s="24"/>
      <c r="F340" s="192">
        <f>SUM(F339)</f>
        <v>2924.1</v>
      </c>
      <c r="G340" s="181"/>
      <c r="H340" s="181"/>
      <c r="I340" s="181"/>
      <c r="J340" s="181"/>
      <c r="K340" s="181"/>
      <c r="L340" s="181"/>
      <c r="M340" s="181"/>
      <c r="N340" s="181"/>
      <c r="O340" s="181"/>
      <c r="P340" s="181"/>
      <c r="Q340" s="181"/>
      <c r="R340" s="181"/>
      <c r="S340" s="181"/>
      <c r="T340" s="181"/>
      <c r="U340" s="181"/>
      <c r="V340" s="181"/>
      <c r="W340" s="181"/>
      <c r="X340" s="181"/>
      <c r="Y340" s="181"/>
      <c r="Z340" s="181"/>
      <c r="AA340" s="181"/>
      <c r="AB340" s="181"/>
      <c r="AC340" s="181"/>
      <c r="AD340" s="181"/>
      <c r="AE340" s="181"/>
      <c r="AF340" s="181"/>
    </row>
    <row r="341" ht="15.75" customHeight="1">
      <c r="A341" s="181"/>
      <c r="C341" s="24"/>
      <c r="D341" s="24"/>
      <c r="F341" s="181"/>
      <c r="G341" s="181"/>
      <c r="H341" s="181"/>
      <c r="I341" s="181"/>
      <c r="J341" s="181"/>
      <c r="K341" s="181"/>
      <c r="L341" s="181"/>
      <c r="M341" s="181"/>
      <c r="N341" s="181"/>
      <c r="O341" s="181"/>
      <c r="P341" s="181"/>
      <c r="Q341" s="181"/>
      <c r="R341" s="181"/>
      <c r="S341" s="181"/>
      <c r="T341" s="181"/>
      <c r="U341" s="181"/>
      <c r="V341" s="181"/>
      <c r="W341" s="181"/>
      <c r="X341" s="181"/>
      <c r="Y341" s="181"/>
      <c r="Z341" s="181"/>
      <c r="AA341" s="181"/>
      <c r="AB341" s="181"/>
      <c r="AC341" s="181"/>
      <c r="AD341" s="181"/>
      <c r="AE341" s="181"/>
      <c r="AF341" s="181"/>
    </row>
    <row r="342" ht="15.75" customHeight="1">
      <c r="A342" s="181" t="s">
        <v>3169</v>
      </c>
      <c r="B342" s="24" t="s">
        <v>614</v>
      </c>
      <c r="C342" s="24"/>
      <c r="D342" s="24" t="s">
        <v>613</v>
      </c>
      <c r="F342" s="210">
        <v>28560.0</v>
      </c>
      <c r="G342" s="181"/>
      <c r="H342" s="181"/>
      <c r="I342" s="181"/>
      <c r="J342" s="181"/>
      <c r="K342" s="181"/>
      <c r="L342" s="181"/>
      <c r="M342" s="181"/>
      <c r="N342" s="181"/>
      <c r="O342" s="181"/>
      <c r="P342" s="181"/>
      <c r="Q342" s="181"/>
      <c r="R342" s="181"/>
      <c r="S342" s="181"/>
      <c r="T342" s="181"/>
      <c r="U342" s="181"/>
      <c r="V342" s="181"/>
      <c r="W342" s="181"/>
      <c r="X342" s="181"/>
      <c r="Y342" s="181"/>
      <c r="Z342" s="181"/>
      <c r="AA342" s="181"/>
      <c r="AB342" s="181"/>
      <c r="AC342" s="181"/>
      <c r="AD342" s="181"/>
      <c r="AE342" s="181"/>
      <c r="AF342" s="181"/>
    </row>
    <row r="343" ht="15.75" customHeight="1">
      <c r="A343" s="181"/>
      <c r="C343" s="24"/>
      <c r="D343" s="24"/>
      <c r="F343" s="192">
        <f>SUM(F342)</f>
        <v>28560</v>
      </c>
      <c r="G343" s="181"/>
      <c r="H343" s="181"/>
      <c r="I343" s="181"/>
      <c r="J343" s="181"/>
      <c r="K343" s="181"/>
      <c r="L343" s="181"/>
      <c r="M343" s="181"/>
      <c r="N343" s="181"/>
      <c r="O343" s="181"/>
      <c r="P343" s="181"/>
      <c r="Q343" s="181"/>
      <c r="R343" s="181"/>
      <c r="S343" s="181"/>
      <c r="T343" s="181"/>
      <c r="U343" s="181"/>
      <c r="V343" s="181"/>
      <c r="W343" s="181"/>
      <c r="X343" s="181"/>
      <c r="Y343" s="181"/>
      <c r="Z343" s="181"/>
      <c r="AA343" s="181"/>
      <c r="AB343" s="181"/>
      <c r="AC343" s="181"/>
      <c r="AD343" s="181"/>
      <c r="AE343" s="181"/>
      <c r="AF343" s="181"/>
    </row>
    <row r="344" ht="15.75" customHeight="1">
      <c r="A344" s="181"/>
      <c r="C344" s="24"/>
      <c r="D344" s="24"/>
      <c r="F344" s="181"/>
      <c r="G344" s="181"/>
      <c r="H344" s="181"/>
      <c r="I344" s="181"/>
      <c r="J344" s="181"/>
      <c r="K344" s="181"/>
      <c r="L344" s="181"/>
      <c r="M344" s="181"/>
      <c r="N344" s="181"/>
      <c r="O344" s="181"/>
      <c r="P344" s="181"/>
      <c r="Q344" s="181"/>
      <c r="R344" s="181"/>
      <c r="S344" s="181"/>
      <c r="T344" s="181"/>
      <c r="U344" s="181"/>
      <c r="V344" s="181"/>
      <c r="W344" s="181"/>
      <c r="X344" s="181"/>
      <c r="Y344" s="181"/>
      <c r="Z344" s="181"/>
      <c r="AA344" s="181"/>
      <c r="AB344" s="181"/>
      <c r="AC344" s="181"/>
      <c r="AD344" s="181"/>
      <c r="AE344" s="181"/>
      <c r="AF344" s="181"/>
    </row>
    <row r="345" ht="15.75" customHeight="1">
      <c r="A345" s="181" t="s">
        <v>3170</v>
      </c>
      <c r="G345" s="181"/>
      <c r="H345" s="181"/>
      <c r="I345" s="181"/>
      <c r="J345" s="181"/>
      <c r="K345" s="181"/>
      <c r="L345" s="181"/>
      <c r="M345" s="181"/>
      <c r="N345" s="181"/>
      <c r="O345" s="181"/>
      <c r="P345" s="181"/>
      <c r="Q345" s="181"/>
      <c r="R345" s="181"/>
      <c r="S345" s="181"/>
      <c r="T345" s="181"/>
      <c r="U345" s="181"/>
      <c r="V345" s="181"/>
      <c r="W345" s="181"/>
      <c r="X345" s="181"/>
      <c r="Y345" s="181"/>
      <c r="Z345" s="181"/>
      <c r="AA345" s="181"/>
      <c r="AB345" s="181"/>
      <c r="AC345" s="181"/>
      <c r="AD345" s="181"/>
      <c r="AE345" s="181"/>
      <c r="AF345" s="181"/>
    </row>
    <row r="346" ht="15.75" customHeight="1">
      <c r="A346" s="181"/>
      <c r="G346" s="181"/>
      <c r="H346" s="181"/>
      <c r="I346" s="181"/>
      <c r="J346" s="181"/>
      <c r="K346" s="181"/>
      <c r="L346" s="181"/>
      <c r="M346" s="181"/>
      <c r="N346" s="181"/>
      <c r="O346" s="181"/>
      <c r="P346" s="181"/>
      <c r="Q346" s="181"/>
      <c r="R346" s="181"/>
      <c r="S346" s="181"/>
      <c r="T346" s="181"/>
      <c r="U346" s="181"/>
      <c r="V346" s="181"/>
      <c r="W346" s="181"/>
      <c r="X346" s="181"/>
      <c r="Y346" s="181"/>
      <c r="Z346" s="181"/>
      <c r="AA346" s="181"/>
      <c r="AB346" s="181"/>
      <c r="AC346" s="181"/>
      <c r="AD346" s="181"/>
      <c r="AE346" s="181"/>
      <c r="AF346" s="181"/>
    </row>
    <row r="347" ht="15.75" customHeight="1">
      <c r="A347" s="181"/>
      <c r="C347" s="24"/>
      <c r="D347" s="24"/>
      <c r="F347" s="181"/>
      <c r="G347" s="181"/>
      <c r="H347" s="181"/>
      <c r="I347" s="181"/>
      <c r="J347" s="181"/>
      <c r="K347" s="181"/>
      <c r="L347" s="181"/>
      <c r="M347" s="181"/>
      <c r="N347" s="181"/>
      <c r="O347" s="181"/>
      <c r="P347" s="181"/>
      <c r="Q347" s="181"/>
      <c r="R347" s="181"/>
      <c r="S347" s="181"/>
      <c r="T347" s="181"/>
      <c r="U347" s="181"/>
      <c r="V347" s="181"/>
      <c r="W347" s="181"/>
      <c r="X347" s="181"/>
      <c r="Y347" s="181"/>
      <c r="Z347" s="181"/>
      <c r="AA347" s="181"/>
      <c r="AB347" s="181"/>
      <c r="AC347" s="181"/>
      <c r="AD347" s="181"/>
      <c r="AE347" s="181"/>
      <c r="AF347" s="181"/>
    </row>
    <row r="348" ht="15.75" customHeight="1">
      <c r="A348" s="181"/>
      <c r="C348" s="24"/>
      <c r="D348" s="24"/>
      <c r="F348" s="181"/>
      <c r="G348" s="181"/>
      <c r="H348" s="181"/>
      <c r="I348" s="181"/>
      <c r="J348" s="181"/>
      <c r="K348" s="181"/>
      <c r="L348" s="181"/>
      <c r="M348" s="181"/>
      <c r="N348" s="181"/>
      <c r="O348" s="181"/>
      <c r="P348" s="181"/>
      <c r="Q348" s="181"/>
      <c r="R348" s="181"/>
      <c r="S348" s="181"/>
      <c r="T348" s="181"/>
      <c r="U348" s="181"/>
      <c r="V348" s="181"/>
      <c r="W348" s="181"/>
      <c r="X348" s="181"/>
      <c r="Y348" s="181"/>
      <c r="Z348" s="181"/>
      <c r="AA348" s="181"/>
      <c r="AB348" s="181"/>
      <c r="AC348" s="181"/>
      <c r="AD348" s="181"/>
      <c r="AE348" s="181"/>
      <c r="AF348" s="181"/>
    </row>
    <row r="349" ht="15.75" customHeight="1">
      <c r="A349" s="181"/>
      <c r="C349" s="24"/>
      <c r="D349" s="24"/>
      <c r="F349" s="181"/>
      <c r="G349" s="181"/>
      <c r="H349" s="181"/>
      <c r="I349" s="181"/>
      <c r="J349" s="181"/>
      <c r="K349" s="181"/>
      <c r="L349" s="181"/>
      <c r="M349" s="181"/>
      <c r="N349" s="181"/>
      <c r="O349" s="181"/>
      <c r="P349" s="181"/>
      <c r="Q349" s="181"/>
      <c r="R349" s="181"/>
      <c r="S349" s="181"/>
      <c r="T349" s="181"/>
      <c r="U349" s="181"/>
      <c r="V349" s="181"/>
      <c r="W349" s="181"/>
      <c r="X349" s="181"/>
      <c r="Y349" s="181"/>
      <c r="Z349" s="181"/>
      <c r="AA349" s="181"/>
      <c r="AB349" s="181"/>
      <c r="AC349" s="181"/>
      <c r="AD349" s="181"/>
      <c r="AE349" s="181"/>
      <c r="AF349" s="181"/>
    </row>
    <row r="350" ht="15.75" customHeight="1">
      <c r="A350" s="181"/>
      <c r="C350" s="24"/>
      <c r="D350" s="24"/>
      <c r="F350" s="181"/>
      <c r="G350" s="181"/>
      <c r="H350" s="181"/>
      <c r="I350" s="181"/>
      <c r="J350" s="181"/>
      <c r="K350" s="181"/>
      <c r="L350" s="181"/>
      <c r="M350" s="181"/>
      <c r="N350" s="181"/>
      <c r="O350" s="181"/>
      <c r="P350" s="181"/>
      <c r="Q350" s="181"/>
      <c r="R350" s="181"/>
      <c r="S350" s="181"/>
      <c r="T350" s="181"/>
      <c r="U350" s="181"/>
      <c r="V350" s="181"/>
      <c r="W350" s="181"/>
      <c r="X350" s="181"/>
      <c r="Y350" s="181"/>
      <c r="Z350" s="181"/>
      <c r="AA350" s="181"/>
      <c r="AB350" s="181"/>
      <c r="AC350" s="181"/>
      <c r="AD350" s="181"/>
      <c r="AE350" s="181"/>
      <c r="AF350" s="181"/>
    </row>
    <row r="351" ht="15.75" customHeight="1">
      <c r="A351" s="181"/>
      <c r="C351" s="24"/>
      <c r="D351" s="24"/>
      <c r="F351" s="181"/>
      <c r="G351" s="181"/>
      <c r="H351" s="181"/>
      <c r="I351" s="181"/>
      <c r="J351" s="181"/>
      <c r="K351" s="181"/>
      <c r="L351" s="181"/>
      <c r="M351" s="181"/>
      <c r="N351" s="181"/>
      <c r="O351" s="181"/>
      <c r="P351" s="181"/>
      <c r="Q351" s="181"/>
      <c r="R351" s="181"/>
      <c r="S351" s="181"/>
      <c r="T351" s="181"/>
      <c r="U351" s="181"/>
      <c r="V351" s="181"/>
      <c r="W351" s="181"/>
      <c r="X351" s="181"/>
      <c r="Y351" s="181"/>
      <c r="Z351" s="181"/>
      <c r="AA351" s="181"/>
      <c r="AB351" s="181"/>
      <c r="AC351" s="181"/>
      <c r="AD351" s="181"/>
      <c r="AE351" s="181"/>
      <c r="AF351" s="181"/>
    </row>
    <row r="352" ht="15.75" customHeight="1">
      <c r="A352" s="181"/>
      <c r="C352" s="24"/>
      <c r="D352" s="24"/>
      <c r="F352" s="181"/>
      <c r="G352" s="181"/>
      <c r="H352" s="181"/>
      <c r="I352" s="181"/>
      <c r="J352" s="181"/>
      <c r="K352" s="181"/>
      <c r="L352" s="181"/>
      <c r="M352" s="181"/>
      <c r="N352" s="181"/>
      <c r="O352" s="181"/>
      <c r="P352" s="181"/>
      <c r="Q352" s="181"/>
      <c r="R352" s="181"/>
      <c r="S352" s="181"/>
      <c r="T352" s="181"/>
      <c r="U352" s="181"/>
      <c r="V352" s="181"/>
      <c r="W352" s="181"/>
      <c r="X352" s="181"/>
      <c r="Y352" s="181"/>
      <c r="Z352" s="181"/>
      <c r="AA352" s="181"/>
      <c r="AB352" s="181"/>
      <c r="AC352" s="181"/>
      <c r="AD352" s="181"/>
      <c r="AE352" s="181"/>
      <c r="AF352" s="181"/>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O339">
      <formula1>"For Collection,For Deposit,Deposited,N/A"</formula1>
    </dataValidation>
    <dataValidation type="list" allowBlank="1" sqref="N339">
      <formula1>"Cash,15 Days,30 Days,60 Days,90 Days,120 Days,Consign,N/A"</formula1>
    </dataValidation>
    <dataValidation type="list" allowBlank="1" showErrorMessage="1" sqref="R339">
      <formula1>"For Delivery,Delivered,Cancelled"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5.63"/>
    <col customWidth="1" min="4" max="4" width="71.5"/>
    <col customWidth="1" min="5" max="5" width="13.0"/>
    <col customWidth="1" min="6" max="6" width="12.63"/>
    <col customWidth="1" min="7" max="7" width="14.63"/>
    <col customWidth="1" min="8" max="8" width="8.75"/>
    <col customWidth="1" min="9" max="9" width="16.5"/>
  </cols>
  <sheetData>
    <row r="1" ht="15.75" customHeight="1">
      <c r="A1" s="217"/>
      <c r="B1" s="217" t="s">
        <v>3066</v>
      </c>
      <c r="C1" s="217" t="s">
        <v>3171</v>
      </c>
      <c r="D1" s="217" t="s">
        <v>3172</v>
      </c>
      <c r="E1" s="217" t="s">
        <v>3173</v>
      </c>
      <c r="F1" s="217" t="s">
        <v>3174</v>
      </c>
      <c r="G1" s="217" t="s">
        <v>3175</v>
      </c>
      <c r="H1" s="217" t="s">
        <v>3176</v>
      </c>
      <c r="I1" s="217" t="s">
        <v>3177</v>
      </c>
      <c r="J1" s="217"/>
      <c r="K1" s="217"/>
      <c r="L1" s="217"/>
      <c r="M1" s="217"/>
      <c r="N1" s="217"/>
      <c r="O1" s="217"/>
      <c r="P1" s="217"/>
      <c r="Q1" s="217"/>
      <c r="R1" s="217"/>
      <c r="S1" s="217"/>
      <c r="T1" s="217"/>
      <c r="U1" s="217"/>
      <c r="V1" s="217"/>
      <c r="W1" s="217"/>
      <c r="X1" s="217"/>
      <c r="Y1" s="217"/>
      <c r="Z1" s="217"/>
      <c r="AA1" s="217"/>
      <c r="AB1" s="217"/>
    </row>
    <row r="2" ht="15.75" customHeight="1">
      <c r="A2" s="84" t="s">
        <v>3178</v>
      </c>
      <c r="B2" s="218">
        <v>45515.0</v>
      </c>
      <c r="C2" s="84" t="s">
        <v>3179</v>
      </c>
      <c r="D2" s="84" t="s">
        <v>3180</v>
      </c>
      <c r="E2" s="84" t="s">
        <v>3072</v>
      </c>
      <c r="F2" s="219">
        <v>50000.0</v>
      </c>
      <c r="G2" s="84" t="s">
        <v>3181</v>
      </c>
      <c r="H2" s="84" t="s">
        <v>3182</v>
      </c>
      <c r="I2" s="84"/>
      <c r="J2" s="84"/>
      <c r="K2" s="84"/>
      <c r="L2" s="84"/>
      <c r="M2" s="84"/>
      <c r="N2" s="84"/>
      <c r="O2" s="84"/>
      <c r="P2" s="84"/>
      <c r="Q2" s="84"/>
      <c r="R2" s="84"/>
      <c r="S2" s="84"/>
      <c r="T2" s="84"/>
      <c r="U2" s="84"/>
      <c r="V2" s="84"/>
      <c r="W2" s="84"/>
      <c r="X2" s="84"/>
      <c r="Y2" s="84"/>
      <c r="Z2" s="84"/>
      <c r="AA2" s="84"/>
      <c r="AB2" s="84"/>
    </row>
    <row r="3" ht="15.75" customHeight="1">
      <c r="A3" s="84" t="s">
        <v>3183</v>
      </c>
      <c r="B3" s="220">
        <v>45576.0</v>
      </c>
      <c r="C3" s="84" t="s">
        <v>3184</v>
      </c>
      <c r="D3" s="84" t="s">
        <v>3185</v>
      </c>
      <c r="E3" s="84" t="s">
        <v>3072</v>
      </c>
      <c r="F3" s="219">
        <v>6000.0</v>
      </c>
      <c r="G3" s="84" t="s">
        <v>3186</v>
      </c>
      <c r="H3" s="84" t="s">
        <v>3182</v>
      </c>
      <c r="I3" s="84"/>
      <c r="J3" s="84"/>
      <c r="K3" s="84"/>
      <c r="L3" s="84"/>
      <c r="M3" s="84"/>
      <c r="N3" s="84"/>
      <c r="O3" s="84"/>
      <c r="P3" s="84"/>
      <c r="Q3" s="84"/>
      <c r="R3" s="84"/>
      <c r="S3" s="84"/>
      <c r="T3" s="84"/>
      <c r="U3" s="84"/>
      <c r="V3" s="84"/>
      <c r="W3" s="84"/>
      <c r="X3" s="84"/>
      <c r="Y3" s="84"/>
      <c r="Z3" s="84"/>
      <c r="AA3" s="84"/>
      <c r="AB3" s="84"/>
    </row>
    <row r="4" ht="15.75" customHeight="1">
      <c r="A4" s="84" t="s">
        <v>3187</v>
      </c>
      <c r="B4" s="84"/>
      <c r="C4" s="84" t="s">
        <v>3188</v>
      </c>
      <c r="D4" s="84" t="s">
        <v>3189</v>
      </c>
      <c r="E4" s="84" t="s">
        <v>3072</v>
      </c>
      <c r="F4" s="219">
        <v>30000.0</v>
      </c>
      <c r="G4" s="84" t="s">
        <v>3186</v>
      </c>
      <c r="H4" s="84" t="s">
        <v>3182</v>
      </c>
      <c r="I4" s="84"/>
      <c r="J4" s="84"/>
      <c r="K4" s="84"/>
      <c r="L4" s="84"/>
      <c r="M4" s="84"/>
      <c r="N4" s="84"/>
      <c r="O4" s="84"/>
      <c r="P4" s="84"/>
      <c r="Q4" s="84"/>
      <c r="R4" s="84"/>
      <c r="S4" s="84"/>
      <c r="T4" s="84"/>
      <c r="U4" s="84"/>
      <c r="V4" s="84"/>
      <c r="W4" s="84"/>
      <c r="X4" s="84"/>
      <c r="Y4" s="84"/>
      <c r="Z4" s="84"/>
      <c r="AA4" s="84"/>
      <c r="AB4" s="84"/>
    </row>
    <row r="5" ht="15.75" customHeight="1">
      <c r="A5" s="84" t="s">
        <v>3190</v>
      </c>
      <c r="B5" s="218">
        <v>45547.0</v>
      </c>
      <c r="C5" s="84" t="s">
        <v>3191</v>
      </c>
      <c r="D5" s="84" t="s">
        <v>3192</v>
      </c>
      <c r="E5" s="84" t="s">
        <v>3072</v>
      </c>
      <c r="F5" s="219">
        <v>800000.0</v>
      </c>
      <c r="G5" s="84" t="s">
        <v>3181</v>
      </c>
      <c r="H5" s="84" t="s">
        <v>3182</v>
      </c>
      <c r="I5" s="84"/>
      <c r="J5" s="84"/>
      <c r="K5" s="84"/>
      <c r="L5" s="84"/>
      <c r="M5" s="84"/>
      <c r="N5" s="84"/>
      <c r="O5" s="84"/>
      <c r="P5" s="84"/>
      <c r="Q5" s="84"/>
      <c r="R5" s="84"/>
      <c r="S5" s="84"/>
      <c r="T5" s="84"/>
      <c r="U5" s="84"/>
      <c r="V5" s="84"/>
      <c r="W5" s="84"/>
      <c r="X5" s="84"/>
      <c r="Y5" s="84"/>
      <c r="Z5" s="84"/>
      <c r="AA5" s="84"/>
      <c r="AB5" s="84"/>
    </row>
    <row r="6" ht="15.75" customHeight="1">
      <c r="A6" s="84" t="s">
        <v>3193</v>
      </c>
      <c r="B6" s="218">
        <v>45659.0</v>
      </c>
      <c r="C6" s="84" t="s">
        <v>3188</v>
      </c>
      <c r="D6" s="84" t="s">
        <v>3194</v>
      </c>
      <c r="E6" s="84" t="s">
        <v>3072</v>
      </c>
      <c r="F6" s="219">
        <v>20000.0</v>
      </c>
      <c r="G6" s="84" t="s">
        <v>3186</v>
      </c>
      <c r="H6" s="84" t="s">
        <v>3182</v>
      </c>
      <c r="I6" s="84"/>
      <c r="J6" s="84"/>
      <c r="K6" s="84"/>
      <c r="L6" s="84"/>
      <c r="M6" s="84"/>
      <c r="N6" s="84"/>
      <c r="O6" s="84"/>
      <c r="P6" s="84"/>
      <c r="Q6" s="84"/>
      <c r="R6" s="84"/>
      <c r="S6" s="84"/>
      <c r="T6" s="84"/>
      <c r="U6" s="84"/>
      <c r="V6" s="84"/>
      <c r="W6" s="84"/>
      <c r="X6" s="84"/>
      <c r="Y6" s="84"/>
      <c r="Z6" s="84"/>
      <c r="AA6" s="84"/>
      <c r="AB6" s="84"/>
    </row>
    <row r="7" ht="15.75" customHeight="1">
      <c r="A7" s="84" t="s">
        <v>3195</v>
      </c>
      <c r="B7" s="218">
        <v>45659.0</v>
      </c>
      <c r="C7" s="84" t="s">
        <v>3184</v>
      </c>
      <c r="D7" s="84" t="s">
        <v>3185</v>
      </c>
      <c r="E7" s="84" t="s">
        <v>3072</v>
      </c>
      <c r="F7" s="219">
        <v>4000.0</v>
      </c>
      <c r="G7" s="84" t="s">
        <v>3186</v>
      </c>
      <c r="H7" s="84" t="s">
        <v>3182</v>
      </c>
      <c r="I7" s="84"/>
      <c r="J7" s="84"/>
      <c r="K7" s="84"/>
      <c r="L7" s="84"/>
      <c r="M7" s="84"/>
      <c r="N7" s="84"/>
      <c r="O7" s="84"/>
      <c r="P7" s="84"/>
      <c r="Q7" s="84"/>
      <c r="R7" s="84"/>
      <c r="S7" s="84"/>
      <c r="T7" s="84"/>
      <c r="U7" s="84"/>
      <c r="V7" s="84"/>
      <c r="W7" s="84"/>
      <c r="X7" s="84"/>
      <c r="Y7" s="84"/>
      <c r="Z7" s="84"/>
      <c r="AA7" s="84"/>
      <c r="AB7" s="84"/>
    </row>
    <row r="8" ht="15.75" customHeight="1">
      <c r="A8" s="84" t="s">
        <v>3196</v>
      </c>
      <c r="B8" s="218">
        <v>45779.0</v>
      </c>
      <c r="C8" s="84" t="s">
        <v>3197</v>
      </c>
      <c r="D8" s="84" t="s">
        <v>3198</v>
      </c>
      <c r="E8" s="84" t="s">
        <v>3072</v>
      </c>
      <c r="F8" s="219">
        <v>5000.0</v>
      </c>
      <c r="G8" s="84" t="s">
        <v>3186</v>
      </c>
      <c r="H8" s="84" t="s">
        <v>3182</v>
      </c>
      <c r="I8" s="84"/>
      <c r="J8" s="84"/>
      <c r="K8" s="84"/>
      <c r="L8" s="84"/>
      <c r="M8" s="84"/>
      <c r="N8" s="84"/>
      <c r="O8" s="84"/>
      <c r="P8" s="84"/>
      <c r="Q8" s="84"/>
      <c r="R8" s="84"/>
      <c r="S8" s="84"/>
      <c r="T8" s="84"/>
      <c r="U8" s="84"/>
      <c r="V8" s="84"/>
      <c r="W8" s="84"/>
      <c r="X8" s="84"/>
      <c r="Y8" s="84"/>
      <c r="Z8" s="84"/>
      <c r="AA8" s="84"/>
      <c r="AB8" s="84"/>
    </row>
    <row r="9" ht="15.75" customHeight="1">
      <c r="A9" s="84" t="s">
        <v>3199</v>
      </c>
      <c r="B9" s="84" t="s">
        <v>3200</v>
      </c>
      <c r="C9" s="84" t="s">
        <v>3201</v>
      </c>
      <c r="D9" s="84" t="s">
        <v>3202</v>
      </c>
      <c r="E9" s="84" t="s">
        <v>3072</v>
      </c>
      <c r="F9" s="219">
        <v>11100.0</v>
      </c>
      <c r="G9" s="84" t="s">
        <v>3186</v>
      </c>
      <c r="H9" s="84" t="s">
        <v>3182</v>
      </c>
      <c r="I9" s="84"/>
      <c r="J9" s="84"/>
      <c r="K9" s="84"/>
      <c r="L9" s="84"/>
      <c r="M9" s="84"/>
      <c r="N9" s="84"/>
      <c r="O9" s="84"/>
      <c r="P9" s="84"/>
      <c r="Q9" s="84"/>
      <c r="R9" s="84"/>
      <c r="S9" s="84"/>
      <c r="T9" s="84"/>
      <c r="U9" s="84"/>
      <c r="V9" s="84"/>
      <c r="W9" s="84"/>
      <c r="X9" s="84"/>
      <c r="Y9" s="84"/>
      <c r="Z9" s="84"/>
      <c r="AA9" s="84"/>
      <c r="AB9" s="84"/>
    </row>
    <row r="10" ht="15.75" customHeight="1">
      <c r="A10" s="84" t="s">
        <v>3203</v>
      </c>
      <c r="B10" s="84" t="s">
        <v>3204</v>
      </c>
      <c r="C10" s="84" t="s">
        <v>3205</v>
      </c>
      <c r="D10" s="84" t="s">
        <v>3206</v>
      </c>
      <c r="E10" s="84" t="s">
        <v>3207</v>
      </c>
      <c r="F10" s="219" t="s">
        <v>3208</v>
      </c>
      <c r="G10" s="84" t="s">
        <v>3209</v>
      </c>
      <c r="H10" s="84" t="s">
        <v>3182</v>
      </c>
      <c r="I10" s="84"/>
      <c r="J10" s="84"/>
      <c r="K10" s="84"/>
      <c r="L10" s="84"/>
      <c r="M10" s="84"/>
      <c r="N10" s="84"/>
      <c r="O10" s="84"/>
      <c r="P10" s="84"/>
      <c r="Q10" s="84"/>
      <c r="R10" s="84"/>
      <c r="S10" s="84"/>
      <c r="T10" s="84"/>
      <c r="U10" s="84"/>
      <c r="V10" s="84"/>
      <c r="W10" s="84"/>
      <c r="X10" s="84"/>
      <c r="Y10" s="84"/>
      <c r="Z10" s="84"/>
      <c r="AA10" s="84"/>
      <c r="AB10" s="84"/>
    </row>
    <row r="11" ht="15.75" customHeight="1">
      <c r="A11" s="84" t="s">
        <v>3210</v>
      </c>
      <c r="B11" s="84" t="s">
        <v>3211</v>
      </c>
      <c r="C11" s="84" t="s">
        <v>3197</v>
      </c>
      <c r="D11" s="84" t="s">
        <v>3212</v>
      </c>
      <c r="E11" s="84" t="s">
        <v>3072</v>
      </c>
      <c r="F11" s="219">
        <v>5000.0</v>
      </c>
      <c r="G11" s="84" t="s">
        <v>3186</v>
      </c>
      <c r="H11" s="84" t="s">
        <v>3182</v>
      </c>
      <c r="I11" s="84"/>
      <c r="J11" s="84"/>
      <c r="K11" s="84"/>
      <c r="L11" s="84"/>
      <c r="M11" s="84"/>
      <c r="N11" s="84"/>
      <c r="O11" s="84"/>
      <c r="P11" s="84"/>
      <c r="Q11" s="84"/>
      <c r="R11" s="84"/>
      <c r="S11" s="84"/>
      <c r="T11" s="84"/>
      <c r="U11" s="84"/>
      <c r="V11" s="84"/>
      <c r="W11" s="84"/>
      <c r="X11" s="84"/>
      <c r="Y11" s="84"/>
      <c r="Z11" s="84"/>
      <c r="AA11" s="84"/>
      <c r="AB11" s="84"/>
    </row>
    <row r="12" ht="15.75" customHeight="1">
      <c r="A12" s="84" t="s">
        <v>3213</v>
      </c>
      <c r="B12" s="84" t="s">
        <v>3214</v>
      </c>
      <c r="C12" s="84" t="s">
        <v>3215</v>
      </c>
      <c r="D12" s="84" t="s">
        <v>3216</v>
      </c>
      <c r="E12" s="84" t="s">
        <v>3217</v>
      </c>
      <c r="F12" s="219">
        <v>50000.0</v>
      </c>
      <c r="G12" s="84" t="s">
        <v>3186</v>
      </c>
      <c r="H12" s="84" t="s">
        <v>3182</v>
      </c>
      <c r="I12" s="84"/>
      <c r="J12" s="84"/>
      <c r="K12" s="84"/>
      <c r="L12" s="84"/>
      <c r="M12" s="84"/>
      <c r="N12" s="84"/>
      <c r="O12" s="84"/>
      <c r="P12" s="84"/>
      <c r="Q12" s="84"/>
      <c r="R12" s="84"/>
      <c r="S12" s="84"/>
      <c r="T12" s="84"/>
      <c r="U12" s="84"/>
      <c r="V12" s="84"/>
      <c r="W12" s="84"/>
      <c r="X12" s="84"/>
      <c r="Y12" s="84"/>
      <c r="Z12" s="84"/>
      <c r="AA12" s="84"/>
      <c r="AB12" s="84"/>
    </row>
    <row r="13" ht="15.75" customHeight="1">
      <c r="A13" s="84" t="s">
        <v>3218</v>
      </c>
      <c r="B13" s="218">
        <v>45780.0</v>
      </c>
      <c r="C13" s="84" t="s">
        <v>3219</v>
      </c>
      <c r="D13" s="84" t="s">
        <v>3220</v>
      </c>
      <c r="E13" s="84" t="s">
        <v>3072</v>
      </c>
      <c r="F13" s="219">
        <v>600.0</v>
      </c>
      <c r="G13" s="84"/>
      <c r="H13" s="84" t="s">
        <v>3182</v>
      </c>
      <c r="I13" s="84"/>
      <c r="J13" s="84"/>
      <c r="K13" s="84"/>
      <c r="L13" s="84"/>
      <c r="M13" s="84"/>
      <c r="N13" s="84"/>
      <c r="O13" s="84"/>
      <c r="P13" s="84"/>
      <c r="Q13" s="84"/>
      <c r="R13" s="84"/>
      <c r="S13" s="84"/>
      <c r="T13" s="84"/>
      <c r="U13" s="84"/>
      <c r="V13" s="84"/>
      <c r="W13" s="84"/>
      <c r="X13" s="84"/>
      <c r="Y13" s="84"/>
      <c r="Z13" s="84"/>
      <c r="AA13" s="84"/>
      <c r="AB13" s="84"/>
    </row>
    <row r="14" ht="15.75" customHeight="1">
      <c r="A14" s="84" t="s">
        <v>3221</v>
      </c>
      <c r="B14" s="218">
        <v>45780.0</v>
      </c>
      <c r="C14" s="84" t="s">
        <v>3188</v>
      </c>
      <c r="D14" s="84" t="s">
        <v>3222</v>
      </c>
      <c r="E14" s="84" t="s">
        <v>3072</v>
      </c>
      <c r="F14" s="219">
        <v>20000.0</v>
      </c>
      <c r="G14" s="84" t="s">
        <v>3223</v>
      </c>
      <c r="H14" s="84" t="s">
        <v>3182</v>
      </c>
      <c r="I14" s="84"/>
      <c r="J14" s="84"/>
      <c r="K14" s="84"/>
      <c r="L14" s="84"/>
      <c r="M14" s="84"/>
      <c r="N14" s="84"/>
      <c r="O14" s="84"/>
      <c r="P14" s="84"/>
      <c r="Q14" s="84"/>
      <c r="R14" s="84"/>
      <c r="S14" s="84"/>
      <c r="T14" s="84"/>
      <c r="U14" s="84"/>
      <c r="V14" s="84"/>
      <c r="W14" s="84"/>
      <c r="X14" s="84"/>
      <c r="Y14" s="84"/>
      <c r="Z14" s="84"/>
      <c r="AA14" s="84"/>
      <c r="AB14" s="84"/>
    </row>
    <row r="15" ht="15.75" customHeight="1">
      <c r="A15" s="84" t="s">
        <v>3224</v>
      </c>
      <c r="B15" s="218">
        <v>45780.0</v>
      </c>
      <c r="C15" s="84" t="s">
        <v>3225</v>
      </c>
      <c r="D15" s="84" t="s">
        <v>3226</v>
      </c>
      <c r="E15" s="84" t="s">
        <v>3217</v>
      </c>
      <c r="F15" s="219">
        <v>4000.0</v>
      </c>
      <c r="G15" s="84" t="s">
        <v>3227</v>
      </c>
      <c r="H15" s="84" t="s">
        <v>3182</v>
      </c>
      <c r="I15" s="84"/>
      <c r="J15" s="84"/>
      <c r="K15" s="84"/>
      <c r="L15" s="84"/>
      <c r="M15" s="84"/>
      <c r="N15" s="84"/>
      <c r="O15" s="84"/>
      <c r="P15" s="84"/>
      <c r="Q15" s="84"/>
      <c r="R15" s="84"/>
      <c r="S15" s="84"/>
      <c r="T15" s="84"/>
      <c r="U15" s="84"/>
      <c r="V15" s="84"/>
      <c r="W15" s="84"/>
      <c r="X15" s="84"/>
      <c r="Y15" s="84"/>
      <c r="Z15" s="84"/>
      <c r="AA15" s="84"/>
      <c r="AB15" s="84"/>
    </row>
    <row r="16" ht="15.75" customHeight="1">
      <c r="A16" s="84" t="s">
        <v>3228</v>
      </c>
      <c r="B16" s="84" t="s">
        <v>3229</v>
      </c>
      <c r="C16" s="84" t="s">
        <v>3230</v>
      </c>
      <c r="D16" s="84" t="s">
        <v>3231</v>
      </c>
      <c r="E16" s="84" t="s">
        <v>3217</v>
      </c>
      <c r="F16" s="219">
        <v>22750.0</v>
      </c>
      <c r="G16" s="84" t="s">
        <v>3223</v>
      </c>
      <c r="H16" s="84" t="s">
        <v>3182</v>
      </c>
      <c r="I16" s="84"/>
      <c r="J16" s="84"/>
      <c r="K16" s="84"/>
      <c r="L16" s="84"/>
      <c r="M16" s="84"/>
      <c r="N16" s="84"/>
      <c r="O16" s="84"/>
      <c r="P16" s="84"/>
      <c r="Q16" s="84"/>
      <c r="R16" s="84"/>
      <c r="S16" s="84"/>
      <c r="T16" s="84"/>
      <c r="U16" s="84"/>
      <c r="V16" s="84"/>
      <c r="W16" s="84"/>
      <c r="X16" s="84"/>
      <c r="Y16" s="84"/>
      <c r="Z16" s="84"/>
      <c r="AA16" s="84"/>
      <c r="AB16" s="84"/>
    </row>
    <row r="17" ht="15.75" customHeight="1">
      <c r="A17" s="84" t="s">
        <v>3232</v>
      </c>
      <c r="B17" s="84" t="s">
        <v>3229</v>
      </c>
      <c r="C17" s="84" t="s">
        <v>3188</v>
      </c>
      <c r="D17" s="84" t="s">
        <v>3233</v>
      </c>
      <c r="E17" s="84" t="s">
        <v>3217</v>
      </c>
      <c r="F17" s="219">
        <v>12750.0</v>
      </c>
      <c r="G17" s="84" t="s">
        <v>3223</v>
      </c>
      <c r="H17" s="84" t="s">
        <v>3182</v>
      </c>
      <c r="I17" s="84"/>
      <c r="J17" s="84"/>
      <c r="K17" s="84"/>
      <c r="L17" s="84"/>
      <c r="M17" s="84"/>
      <c r="N17" s="84"/>
      <c r="O17" s="84"/>
      <c r="P17" s="84"/>
      <c r="Q17" s="84"/>
      <c r="R17" s="84"/>
      <c r="S17" s="84"/>
      <c r="T17" s="84"/>
      <c r="U17" s="84"/>
      <c r="V17" s="84"/>
      <c r="W17" s="84"/>
      <c r="X17" s="84"/>
      <c r="Y17" s="84"/>
      <c r="Z17" s="84"/>
      <c r="AA17" s="84"/>
      <c r="AB17" s="84"/>
    </row>
    <row r="18" ht="15.75" customHeight="1">
      <c r="A18" s="84" t="s">
        <v>3234</v>
      </c>
      <c r="B18" s="218">
        <v>45781.0</v>
      </c>
      <c r="C18" s="84" t="s">
        <v>3225</v>
      </c>
      <c r="D18" s="84" t="s">
        <v>3235</v>
      </c>
      <c r="E18" s="84" t="s">
        <v>3217</v>
      </c>
      <c r="F18" s="219">
        <v>4370.0</v>
      </c>
      <c r="G18" s="84" t="s">
        <v>3227</v>
      </c>
      <c r="H18" s="84" t="s">
        <v>3182</v>
      </c>
      <c r="I18" s="84"/>
      <c r="J18" s="84"/>
      <c r="K18" s="84"/>
      <c r="L18" s="84"/>
      <c r="M18" s="84"/>
      <c r="N18" s="84"/>
      <c r="O18" s="84"/>
      <c r="P18" s="84"/>
      <c r="Q18" s="84"/>
      <c r="R18" s="84"/>
      <c r="S18" s="84"/>
      <c r="T18" s="84"/>
      <c r="U18" s="84"/>
      <c r="V18" s="84"/>
      <c r="W18" s="84"/>
      <c r="X18" s="84"/>
      <c r="Y18" s="84"/>
      <c r="Z18" s="84"/>
      <c r="AA18" s="84"/>
      <c r="AB18" s="84"/>
    </row>
    <row r="19" ht="15.75" customHeight="1">
      <c r="A19" s="84" t="s">
        <v>3236</v>
      </c>
      <c r="B19" s="218">
        <v>45842.0</v>
      </c>
      <c r="C19" s="84" t="s">
        <v>3230</v>
      </c>
      <c r="D19" s="84" t="s">
        <v>3237</v>
      </c>
      <c r="E19" s="84" t="s">
        <v>3217</v>
      </c>
      <c r="F19" s="219">
        <v>22750.0</v>
      </c>
      <c r="G19" s="84" t="s">
        <v>3223</v>
      </c>
      <c r="H19" s="84" t="s">
        <v>3182</v>
      </c>
      <c r="I19" s="84"/>
      <c r="J19" s="84"/>
      <c r="K19" s="84"/>
      <c r="L19" s="84"/>
      <c r="M19" s="84"/>
      <c r="N19" s="84"/>
      <c r="O19" s="84"/>
      <c r="P19" s="84"/>
      <c r="Q19" s="84"/>
      <c r="R19" s="84"/>
      <c r="S19" s="84"/>
      <c r="T19" s="84"/>
      <c r="U19" s="84"/>
      <c r="V19" s="84"/>
      <c r="W19" s="84"/>
      <c r="X19" s="84"/>
      <c r="Y19" s="84"/>
      <c r="Z19" s="84"/>
      <c r="AA19" s="84"/>
      <c r="AB19" s="84"/>
    </row>
    <row r="20" ht="15.75" customHeight="1">
      <c r="A20" s="84" t="s">
        <v>3238</v>
      </c>
      <c r="B20" s="218">
        <v>45873.0</v>
      </c>
      <c r="C20" s="84" t="s">
        <v>3188</v>
      </c>
      <c r="D20" s="84" t="s">
        <v>3239</v>
      </c>
      <c r="E20" s="84" t="s">
        <v>3217</v>
      </c>
      <c r="F20" s="219">
        <v>20000.0</v>
      </c>
      <c r="G20" s="84"/>
      <c r="H20" s="84" t="s">
        <v>3182</v>
      </c>
      <c r="I20" s="84"/>
      <c r="J20" s="84"/>
      <c r="K20" s="84"/>
      <c r="L20" s="84"/>
      <c r="M20" s="84"/>
      <c r="N20" s="84"/>
      <c r="O20" s="84"/>
      <c r="P20" s="84"/>
      <c r="Q20" s="84"/>
      <c r="R20" s="84"/>
      <c r="S20" s="84"/>
      <c r="T20" s="84"/>
      <c r="U20" s="84"/>
      <c r="V20" s="84"/>
      <c r="W20" s="84"/>
      <c r="X20" s="84"/>
      <c r="Y20" s="84"/>
      <c r="Z20" s="84"/>
      <c r="AA20" s="84"/>
      <c r="AB20" s="84"/>
    </row>
    <row r="21" ht="15.75" customHeight="1">
      <c r="A21" s="84" t="s">
        <v>3240</v>
      </c>
      <c r="B21" s="218">
        <v>45873.0</v>
      </c>
      <c r="C21" s="84" t="s">
        <v>3188</v>
      </c>
      <c r="D21" s="84" t="s">
        <v>3241</v>
      </c>
      <c r="E21" s="84" t="s">
        <v>3217</v>
      </c>
      <c r="F21" s="219">
        <v>15810.0</v>
      </c>
      <c r="G21" s="84"/>
      <c r="H21" s="84" t="s">
        <v>3182</v>
      </c>
      <c r="I21" s="84"/>
      <c r="J21" s="84"/>
      <c r="K21" s="84"/>
      <c r="L21" s="84"/>
      <c r="M21" s="84"/>
      <c r="N21" s="84"/>
      <c r="O21" s="84"/>
      <c r="P21" s="84"/>
      <c r="Q21" s="84"/>
      <c r="R21" s="84"/>
      <c r="S21" s="84"/>
      <c r="T21" s="84"/>
      <c r="U21" s="84"/>
      <c r="V21" s="84"/>
      <c r="W21" s="84"/>
      <c r="X21" s="84"/>
      <c r="Y21" s="84"/>
      <c r="Z21" s="84"/>
      <c r="AA21" s="84"/>
      <c r="AB21" s="84"/>
    </row>
    <row r="22" ht="15.75" customHeight="1">
      <c r="A22" s="84" t="s">
        <v>3242</v>
      </c>
      <c r="B22" s="84" t="s">
        <v>3243</v>
      </c>
      <c r="C22" s="84" t="s">
        <v>3179</v>
      </c>
      <c r="D22" s="84" t="s">
        <v>3244</v>
      </c>
      <c r="E22" s="84" t="s">
        <v>3217</v>
      </c>
      <c r="F22" s="219">
        <v>50000.0</v>
      </c>
      <c r="G22" s="84"/>
      <c r="H22" s="84" t="s">
        <v>3182</v>
      </c>
      <c r="I22" s="84"/>
      <c r="J22" s="84"/>
      <c r="K22" s="84"/>
      <c r="L22" s="84"/>
      <c r="M22" s="84"/>
      <c r="N22" s="84"/>
      <c r="O22" s="84"/>
      <c r="P22" s="84"/>
      <c r="Q22" s="84"/>
      <c r="R22" s="84"/>
      <c r="S22" s="84"/>
      <c r="T22" s="84"/>
      <c r="U22" s="84"/>
      <c r="V22" s="84"/>
      <c r="W22" s="84"/>
      <c r="X22" s="84"/>
      <c r="Y22" s="84"/>
      <c r="Z22" s="84"/>
      <c r="AA22" s="84"/>
      <c r="AB22" s="84"/>
    </row>
    <row r="23" ht="15.75" customHeight="1">
      <c r="A23" s="84" t="s">
        <v>3245</v>
      </c>
      <c r="B23" s="84" t="s">
        <v>3243</v>
      </c>
      <c r="C23" s="84" t="s">
        <v>3225</v>
      </c>
      <c r="D23" s="84" t="s">
        <v>3246</v>
      </c>
      <c r="E23" s="84" t="s">
        <v>3217</v>
      </c>
      <c r="F23" s="219">
        <v>26919.0</v>
      </c>
      <c r="G23" s="84"/>
      <c r="H23" s="84" t="s">
        <v>3182</v>
      </c>
      <c r="I23" s="84"/>
      <c r="J23" s="84"/>
      <c r="K23" s="84"/>
      <c r="L23" s="84"/>
      <c r="M23" s="84"/>
      <c r="N23" s="84"/>
      <c r="O23" s="84"/>
      <c r="P23" s="84"/>
      <c r="Q23" s="84"/>
      <c r="R23" s="84"/>
      <c r="S23" s="84"/>
      <c r="T23" s="84"/>
      <c r="U23" s="84"/>
      <c r="V23" s="84"/>
      <c r="W23" s="84"/>
      <c r="X23" s="84"/>
      <c r="Y23" s="84"/>
      <c r="Z23" s="84"/>
      <c r="AA23" s="84"/>
      <c r="AB23" s="84"/>
    </row>
    <row r="24" ht="15.75" customHeight="1">
      <c r="A24" s="84" t="s">
        <v>3247</v>
      </c>
      <c r="B24" s="84" t="s">
        <v>3243</v>
      </c>
      <c r="C24" s="84" t="s">
        <v>3248</v>
      </c>
      <c r="D24" s="84" t="s">
        <v>3246</v>
      </c>
      <c r="E24" s="84" t="s">
        <v>3217</v>
      </c>
      <c r="F24" s="219">
        <v>33000.0</v>
      </c>
      <c r="G24" s="84"/>
      <c r="H24" s="84" t="s">
        <v>3182</v>
      </c>
      <c r="I24" s="84"/>
      <c r="J24" s="84"/>
      <c r="K24" s="84"/>
      <c r="L24" s="84"/>
      <c r="M24" s="84"/>
      <c r="N24" s="84"/>
      <c r="O24" s="84"/>
      <c r="P24" s="84"/>
      <c r="Q24" s="84"/>
      <c r="R24" s="84"/>
      <c r="S24" s="84"/>
      <c r="T24" s="84"/>
      <c r="U24" s="84"/>
      <c r="V24" s="84"/>
      <c r="W24" s="84"/>
      <c r="X24" s="84"/>
      <c r="Y24" s="84"/>
      <c r="Z24" s="84"/>
      <c r="AA24" s="84"/>
      <c r="AB24" s="84"/>
    </row>
    <row r="25" ht="15.75" customHeight="1">
      <c r="A25" s="221" t="s">
        <v>3249</v>
      </c>
      <c r="B25" s="221" t="s">
        <v>3250</v>
      </c>
      <c r="C25" s="221" t="s">
        <v>3251</v>
      </c>
      <c r="D25" s="221" t="s">
        <v>3252</v>
      </c>
      <c r="E25" s="221" t="s">
        <v>3217</v>
      </c>
      <c r="F25" s="222">
        <v>9800.0</v>
      </c>
      <c r="G25" s="221"/>
      <c r="H25" s="221"/>
      <c r="I25" s="221"/>
      <c r="J25" s="221"/>
      <c r="K25" s="221"/>
      <c r="L25" s="221"/>
      <c r="M25" s="221"/>
      <c r="N25" s="221"/>
      <c r="O25" s="221"/>
      <c r="P25" s="221"/>
      <c r="Q25" s="221"/>
      <c r="R25" s="221"/>
      <c r="S25" s="221"/>
      <c r="T25" s="221"/>
      <c r="U25" s="221"/>
      <c r="V25" s="221"/>
      <c r="W25" s="221"/>
      <c r="X25" s="221"/>
      <c r="Y25" s="221"/>
      <c r="Z25" s="221"/>
      <c r="AA25" s="221"/>
      <c r="AB25" s="221"/>
    </row>
    <row r="26" ht="15.75" customHeight="1">
      <c r="A26" s="84" t="s">
        <v>3253</v>
      </c>
      <c r="B26" s="84" t="s">
        <v>3250</v>
      </c>
      <c r="C26" s="84" t="s">
        <v>3254</v>
      </c>
      <c r="D26" s="84" t="s">
        <v>3255</v>
      </c>
      <c r="E26" s="84" t="s">
        <v>3207</v>
      </c>
      <c r="F26" s="219">
        <v>18080.0</v>
      </c>
      <c r="G26" s="84"/>
      <c r="H26" s="84" t="s">
        <v>3182</v>
      </c>
      <c r="I26" s="84"/>
      <c r="J26" s="84"/>
      <c r="K26" s="84"/>
      <c r="L26" s="84"/>
      <c r="M26" s="84"/>
      <c r="N26" s="84"/>
      <c r="O26" s="84"/>
      <c r="P26" s="84"/>
      <c r="Q26" s="84"/>
      <c r="R26" s="84"/>
      <c r="S26" s="84"/>
      <c r="T26" s="84"/>
      <c r="U26" s="84"/>
      <c r="V26" s="84"/>
      <c r="W26" s="84"/>
      <c r="X26" s="84"/>
      <c r="Y26" s="84"/>
      <c r="Z26" s="84"/>
      <c r="AA26" s="84"/>
      <c r="AB26" s="84"/>
    </row>
    <row r="27" ht="15.75" customHeight="1">
      <c r="A27" s="95" t="s">
        <v>3256</v>
      </c>
      <c r="B27" s="95" t="s">
        <v>3257</v>
      </c>
      <c r="C27" s="95" t="s">
        <v>3179</v>
      </c>
      <c r="D27" s="95" t="s">
        <v>3258</v>
      </c>
      <c r="E27" s="95" t="s">
        <v>3217</v>
      </c>
      <c r="F27" s="130">
        <v>180000.0</v>
      </c>
      <c r="G27" s="95"/>
      <c r="H27" s="95"/>
      <c r="I27" s="95"/>
      <c r="J27" s="95"/>
      <c r="K27" s="95"/>
      <c r="L27" s="95"/>
      <c r="M27" s="95"/>
      <c r="N27" s="95"/>
      <c r="O27" s="95"/>
      <c r="P27" s="95"/>
      <c r="Q27" s="95"/>
      <c r="R27" s="95"/>
      <c r="S27" s="95"/>
      <c r="T27" s="95"/>
      <c r="U27" s="95"/>
      <c r="V27" s="95"/>
      <c r="W27" s="95"/>
      <c r="X27" s="95"/>
      <c r="Y27" s="95"/>
      <c r="Z27" s="95"/>
      <c r="AA27" s="95"/>
      <c r="AB27" s="95"/>
    </row>
    <row r="28" ht="15.75" customHeight="1">
      <c r="A28" s="84" t="s">
        <v>3259</v>
      </c>
      <c r="B28" s="84" t="s">
        <v>3257</v>
      </c>
      <c r="C28" s="84" t="s">
        <v>3219</v>
      </c>
      <c r="D28" s="84" t="s">
        <v>3260</v>
      </c>
      <c r="E28" s="84" t="s">
        <v>3207</v>
      </c>
      <c r="F28" s="219">
        <v>785.0</v>
      </c>
      <c r="G28" s="84" t="s">
        <v>89</v>
      </c>
      <c r="H28" s="84"/>
      <c r="I28" s="84"/>
      <c r="J28" s="84"/>
      <c r="K28" s="84"/>
      <c r="L28" s="84"/>
      <c r="M28" s="84"/>
      <c r="N28" s="84"/>
      <c r="O28" s="84"/>
      <c r="P28" s="84"/>
      <c r="Q28" s="84"/>
      <c r="R28" s="84"/>
      <c r="S28" s="84"/>
      <c r="T28" s="84"/>
      <c r="U28" s="84"/>
      <c r="V28" s="84"/>
      <c r="W28" s="84"/>
      <c r="X28" s="84"/>
      <c r="Y28" s="84"/>
      <c r="Z28" s="84"/>
      <c r="AA28" s="84"/>
      <c r="AB28" s="84"/>
    </row>
    <row r="29" ht="15.75" customHeight="1">
      <c r="A29" s="95" t="s">
        <v>3261</v>
      </c>
      <c r="B29" s="95" t="s">
        <v>3257</v>
      </c>
      <c r="C29" s="95" t="s">
        <v>3225</v>
      </c>
      <c r="D29" s="95" t="s">
        <v>3262</v>
      </c>
      <c r="E29" s="95" t="s">
        <v>3217</v>
      </c>
      <c r="F29" s="130">
        <v>14400.0</v>
      </c>
      <c r="G29" s="95" t="s">
        <v>3227</v>
      </c>
      <c r="H29" s="95"/>
      <c r="I29" s="95"/>
      <c r="J29" s="95"/>
      <c r="K29" s="95"/>
      <c r="L29" s="95"/>
      <c r="M29" s="95"/>
      <c r="N29" s="95"/>
      <c r="O29" s="95"/>
      <c r="P29" s="95"/>
      <c r="Q29" s="95"/>
      <c r="R29" s="95"/>
      <c r="S29" s="95"/>
      <c r="T29" s="95"/>
      <c r="U29" s="95"/>
      <c r="V29" s="95"/>
      <c r="W29" s="95"/>
      <c r="X29" s="95"/>
      <c r="Y29" s="95"/>
      <c r="Z29" s="95"/>
      <c r="AA29" s="95"/>
      <c r="AB29" s="95"/>
    </row>
    <row r="30" ht="15.75" customHeight="1">
      <c r="A30" s="95" t="s">
        <v>3263</v>
      </c>
      <c r="B30" s="95" t="s">
        <v>3257</v>
      </c>
      <c r="C30" s="95" t="s">
        <v>3264</v>
      </c>
      <c r="D30" s="95" t="s">
        <v>3265</v>
      </c>
      <c r="E30" s="95" t="s">
        <v>3217</v>
      </c>
      <c r="F30" s="130">
        <v>17000.0</v>
      </c>
      <c r="G30" s="95" t="s">
        <v>3266</v>
      </c>
      <c r="H30" s="95"/>
      <c r="I30" s="95"/>
      <c r="J30" s="95"/>
      <c r="K30" s="95"/>
      <c r="L30" s="95"/>
      <c r="M30" s="95"/>
      <c r="N30" s="95"/>
      <c r="O30" s="95"/>
      <c r="P30" s="95"/>
      <c r="Q30" s="95"/>
      <c r="R30" s="95"/>
      <c r="S30" s="95"/>
      <c r="T30" s="95"/>
      <c r="U30" s="95"/>
      <c r="V30" s="95"/>
      <c r="W30" s="95"/>
      <c r="X30" s="95"/>
      <c r="Y30" s="95"/>
      <c r="Z30" s="95"/>
      <c r="AA30" s="95"/>
      <c r="AB30" s="95"/>
    </row>
    <row r="31" ht="15.75" customHeight="1">
      <c r="A31" s="95" t="s">
        <v>3267</v>
      </c>
      <c r="B31" s="95" t="s">
        <v>3257</v>
      </c>
      <c r="C31" s="95" t="s">
        <v>3268</v>
      </c>
      <c r="D31" s="95" t="s">
        <v>3269</v>
      </c>
      <c r="E31" s="95" t="s">
        <v>3217</v>
      </c>
      <c r="F31" s="130">
        <v>2300.0</v>
      </c>
      <c r="G31" s="95"/>
      <c r="H31" s="95"/>
      <c r="I31" s="95"/>
      <c r="J31" s="95"/>
      <c r="K31" s="95"/>
      <c r="L31" s="95"/>
      <c r="M31" s="95"/>
      <c r="N31" s="95"/>
      <c r="O31" s="95"/>
      <c r="P31" s="95"/>
      <c r="Q31" s="95"/>
      <c r="R31" s="95"/>
      <c r="S31" s="95"/>
      <c r="T31" s="95"/>
      <c r="U31" s="95"/>
      <c r="V31" s="95"/>
      <c r="W31" s="95"/>
      <c r="X31" s="95"/>
      <c r="Y31" s="95"/>
      <c r="Z31" s="95"/>
      <c r="AA31" s="95"/>
      <c r="AB31" s="95"/>
    </row>
    <row r="32" ht="15.75" customHeight="1">
      <c r="A32" s="95" t="s">
        <v>3270</v>
      </c>
      <c r="B32" s="95" t="s">
        <v>3271</v>
      </c>
      <c r="C32" s="95" t="s">
        <v>3272</v>
      </c>
      <c r="D32" s="95" t="s">
        <v>3273</v>
      </c>
      <c r="E32" s="95" t="s">
        <v>3217</v>
      </c>
      <c r="F32" s="130">
        <v>7015.0</v>
      </c>
      <c r="G32" s="95" t="s">
        <v>3274</v>
      </c>
      <c r="H32" s="95"/>
      <c r="I32" s="95"/>
      <c r="J32" s="95"/>
      <c r="K32" s="95"/>
      <c r="L32" s="95"/>
      <c r="M32" s="95"/>
      <c r="N32" s="95"/>
      <c r="O32" s="95"/>
      <c r="P32" s="95"/>
      <c r="Q32" s="95"/>
      <c r="R32" s="95"/>
      <c r="S32" s="95"/>
      <c r="T32" s="95"/>
      <c r="U32" s="95"/>
      <c r="V32" s="95"/>
      <c r="W32" s="95"/>
      <c r="X32" s="95"/>
      <c r="Y32" s="95"/>
      <c r="Z32" s="95"/>
      <c r="AA32" s="95"/>
      <c r="AB32" s="95"/>
    </row>
    <row r="33" ht="15.75" customHeight="1">
      <c r="A33" s="84" t="s">
        <v>3275</v>
      </c>
      <c r="B33" s="84" t="s">
        <v>3276</v>
      </c>
      <c r="C33" s="84" t="s">
        <v>3225</v>
      </c>
      <c r="D33" s="84" t="s">
        <v>3277</v>
      </c>
      <c r="E33" s="84" t="s">
        <v>3207</v>
      </c>
      <c r="F33" s="219">
        <v>22806.0</v>
      </c>
      <c r="G33" s="84" t="s">
        <v>3274</v>
      </c>
      <c r="H33" s="84" t="s">
        <v>3182</v>
      </c>
      <c r="I33" s="84"/>
      <c r="J33" s="84"/>
      <c r="K33" s="84"/>
      <c r="L33" s="84"/>
      <c r="M33" s="84"/>
      <c r="N33" s="84"/>
      <c r="O33" s="84"/>
      <c r="P33" s="84"/>
      <c r="Q33" s="84"/>
      <c r="R33" s="84"/>
      <c r="S33" s="84"/>
      <c r="T33" s="84"/>
      <c r="U33" s="84"/>
      <c r="V33" s="84"/>
      <c r="W33" s="84"/>
      <c r="X33" s="84"/>
      <c r="Y33" s="84"/>
      <c r="Z33" s="84"/>
      <c r="AA33" s="84"/>
      <c r="AB33" s="84"/>
    </row>
    <row r="34" ht="15.75" customHeight="1">
      <c r="A34" s="221" t="s">
        <v>3278</v>
      </c>
      <c r="B34" s="221" t="s">
        <v>3279</v>
      </c>
      <c r="C34" s="221" t="s">
        <v>3280</v>
      </c>
      <c r="D34" s="221" t="s">
        <v>3281</v>
      </c>
      <c r="E34" s="221" t="s">
        <v>3207</v>
      </c>
      <c r="F34" s="222">
        <v>35000.0</v>
      </c>
      <c r="G34" s="221"/>
      <c r="H34" s="221"/>
      <c r="I34" s="221"/>
      <c r="J34" s="221"/>
      <c r="K34" s="221"/>
      <c r="L34" s="221"/>
      <c r="M34" s="221"/>
      <c r="N34" s="221"/>
      <c r="O34" s="221"/>
      <c r="P34" s="221"/>
      <c r="Q34" s="221"/>
      <c r="R34" s="221"/>
      <c r="S34" s="221"/>
      <c r="T34" s="221"/>
      <c r="U34" s="221"/>
      <c r="V34" s="221"/>
      <c r="W34" s="221"/>
      <c r="X34" s="221"/>
      <c r="Y34" s="221"/>
      <c r="Z34" s="221"/>
      <c r="AA34" s="221"/>
      <c r="AB34" s="221"/>
    </row>
    <row r="35" ht="15.75" customHeight="1">
      <c r="A35" s="95" t="s">
        <v>3282</v>
      </c>
      <c r="B35" s="95" t="s">
        <v>3283</v>
      </c>
      <c r="C35" s="95" t="s">
        <v>3248</v>
      </c>
      <c r="D35" s="95" t="s">
        <v>3284</v>
      </c>
      <c r="E35" s="95" t="s">
        <v>3207</v>
      </c>
      <c r="F35" s="130">
        <v>10000.0</v>
      </c>
      <c r="G35" s="95" t="s">
        <v>3227</v>
      </c>
      <c r="H35" s="95"/>
      <c r="I35" s="95"/>
      <c r="J35" s="95"/>
      <c r="K35" s="95"/>
      <c r="L35" s="95"/>
      <c r="M35" s="95"/>
      <c r="N35" s="95"/>
      <c r="O35" s="95"/>
      <c r="P35" s="95"/>
      <c r="Q35" s="95"/>
      <c r="R35" s="95"/>
      <c r="S35" s="95"/>
      <c r="T35" s="95"/>
      <c r="U35" s="95"/>
      <c r="V35" s="95"/>
      <c r="W35" s="95"/>
      <c r="X35" s="95"/>
      <c r="Y35" s="95"/>
      <c r="Z35" s="95"/>
      <c r="AA35" s="95"/>
      <c r="AB35" s="95"/>
    </row>
    <row r="36" ht="15.75" customHeight="1">
      <c r="A36" s="84" t="s">
        <v>3285</v>
      </c>
      <c r="B36" s="84" t="s">
        <v>3286</v>
      </c>
      <c r="C36" s="84" t="s">
        <v>3219</v>
      </c>
      <c r="D36" s="84" t="s">
        <v>3287</v>
      </c>
      <c r="E36" s="84" t="s">
        <v>3207</v>
      </c>
      <c r="F36" s="219">
        <v>850.0</v>
      </c>
      <c r="G36" s="84" t="s">
        <v>3227</v>
      </c>
      <c r="H36" s="84" t="s">
        <v>3182</v>
      </c>
      <c r="I36" s="84"/>
      <c r="J36" s="84"/>
      <c r="K36" s="84"/>
      <c r="L36" s="84"/>
      <c r="M36" s="84"/>
      <c r="N36" s="84"/>
      <c r="O36" s="84"/>
      <c r="P36" s="84"/>
      <c r="Q36" s="84"/>
      <c r="R36" s="84"/>
      <c r="S36" s="84"/>
      <c r="T36" s="84"/>
      <c r="U36" s="84"/>
      <c r="V36" s="84"/>
      <c r="W36" s="84"/>
      <c r="X36" s="84"/>
      <c r="Y36" s="84"/>
      <c r="Z36" s="84"/>
      <c r="AA36" s="84"/>
      <c r="AB36" s="84"/>
    </row>
    <row r="37" ht="15.75" customHeight="1">
      <c r="A37" s="84" t="s">
        <v>3288</v>
      </c>
      <c r="B37" s="82" t="s">
        <v>3286</v>
      </c>
      <c r="C37" s="82" t="s">
        <v>3184</v>
      </c>
      <c r="D37" s="82" t="s">
        <v>3289</v>
      </c>
      <c r="E37" s="82" t="s">
        <v>3207</v>
      </c>
      <c r="F37" s="219">
        <v>19000.0</v>
      </c>
      <c r="G37" s="82" t="s">
        <v>3186</v>
      </c>
      <c r="H37" s="84"/>
      <c r="I37" s="84"/>
      <c r="J37" s="84"/>
      <c r="K37" s="84"/>
      <c r="L37" s="84"/>
      <c r="M37" s="84"/>
      <c r="N37" s="84"/>
      <c r="O37" s="84"/>
      <c r="P37" s="84"/>
      <c r="Q37" s="84"/>
      <c r="R37" s="84"/>
      <c r="S37" s="84"/>
      <c r="T37" s="84"/>
      <c r="U37" s="84"/>
      <c r="V37" s="84"/>
      <c r="W37" s="84"/>
      <c r="X37" s="84"/>
      <c r="Y37" s="84"/>
      <c r="Z37" s="84"/>
      <c r="AA37" s="84"/>
      <c r="AB37" s="84"/>
    </row>
    <row r="38" ht="15.75" customHeight="1">
      <c r="A38" s="95" t="s">
        <v>3290</v>
      </c>
      <c r="B38" s="95" t="s">
        <v>3291</v>
      </c>
      <c r="C38" s="95" t="s">
        <v>3292</v>
      </c>
      <c r="D38" s="95" t="s">
        <v>3293</v>
      </c>
      <c r="E38" s="95" t="s">
        <v>3207</v>
      </c>
      <c r="F38" s="130">
        <v>360.0</v>
      </c>
      <c r="G38" s="95" t="s">
        <v>54</v>
      </c>
      <c r="H38" s="95"/>
      <c r="I38" s="95"/>
      <c r="J38" s="95"/>
      <c r="K38" s="95"/>
      <c r="L38" s="95"/>
      <c r="M38" s="95"/>
      <c r="N38" s="95"/>
      <c r="O38" s="95"/>
      <c r="P38" s="95"/>
      <c r="Q38" s="95"/>
      <c r="R38" s="95"/>
      <c r="S38" s="95"/>
      <c r="T38" s="95"/>
      <c r="U38" s="95"/>
      <c r="V38" s="95"/>
      <c r="W38" s="95"/>
      <c r="X38" s="95"/>
      <c r="Y38" s="95"/>
      <c r="Z38" s="95"/>
      <c r="AA38" s="95"/>
      <c r="AB38" s="95"/>
    </row>
    <row r="39" ht="15.75" customHeight="1">
      <c r="A39" s="221" t="s">
        <v>3294</v>
      </c>
      <c r="B39" s="221" t="s">
        <v>3295</v>
      </c>
      <c r="C39" s="221" t="s">
        <v>3296</v>
      </c>
      <c r="D39" s="221" t="s">
        <v>3297</v>
      </c>
      <c r="E39" s="221" t="s">
        <v>3207</v>
      </c>
      <c r="F39" s="222">
        <v>974.4</v>
      </c>
      <c r="G39" s="221"/>
      <c r="H39" s="221"/>
      <c r="I39" s="221"/>
      <c r="J39" s="221"/>
      <c r="K39" s="221"/>
      <c r="L39" s="221"/>
      <c r="M39" s="221"/>
      <c r="N39" s="221"/>
      <c r="O39" s="221"/>
      <c r="P39" s="221"/>
      <c r="Q39" s="221"/>
      <c r="R39" s="221"/>
      <c r="S39" s="221"/>
      <c r="T39" s="221"/>
      <c r="U39" s="221"/>
      <c r="V39" s="221"/>
      <c r="W39" s="221"/>
      <c r="X39" s="221"/>
      <c r="Y39" s="221"/>
      <c r="Z39" s="221"/>
      <c r="AA39" s="221"/>
      <c r="AB39" s="221"/>
    </row>
    <row r="40" ht="15.75" customHeight="1">
      <c r="A40" s="95" t="s">
        <v>3298</v>
      </c>
      <c r="B40" s="95" t="s">
        <v>3299</v>
      </c>
      <c r="C40" s="95" t="s">
        <v>3300</v>
      </c>
      <c r="D40" s="95" t="s">
        <v>3301</v>
      </c>
      <c r="E40" s="95" t="s">
        <v>3207</v>
      </c>
      <c r="F40" s="130">
        <v>5310.0</v>
      </c>
      <c r="G40" s="95" t="s">
        <v>3227</v>
      </c>
      <c r="H40" s="95"/>
      <c r="I40" s="95"/>
      <c r="J40" s="95"/>
      <c r="K40" s="95"/>
      <c r="L40" s="95"/>
      <c r="M40" s="95"/>
      <c r="N40" s="95"/>
      <c r="O40" s="95"/>
      <c r="P40" s="95"/>
      <c r="Q40" s="95"/>
      <c r="R40" s="95"/>
      <c r="S40" s="95"/>
      <c r="T40" s="95"/>
      <c r="U40" s="95"/>
      <c r="V40" s="95"/>
      <c r="W40" s="95"/>
      <c r="X40" s="95"/>
      <c r="Y40" s="95"/>
      <c r="Z40" s="95"/>
      <c r="AA40" s="95"/>
      <c r="AB40" s="95"/>
    </row>
    <row r="41" ht="15.75" customHeight="1">
      <c r="A41" s="95" t="s">
        <v>3302</v>
      </c>
      <c r="B41" s="95" t="s">
        <v>3303</v>
      </c>
      <c r="C41" s="95" t="s">
        <v>3300</v>
      </c>
      <c r="D41" s="95" t="s">
        <v>3304</v>
      </c>
      <c r="E41" s="95" t="s">
        <v>3207</v>
      </c>
      <c r="F41" s="130">
        <v>24590.81</v>
      </c>
      <c r="G41" s="95" t="s">
        <v>3227</v>
      </c>
      <c r="H41" s="95"/>
      <c r="I41" s="95"/>
      <c r="J41" s="95"/>
      <c r="K41" s="95"/>
      <c r="L41" s="95"/>
      <c r="M41" s="95"/>
      <c r="N41" s="95"/>
      <c r="O41" s="95"/>
      <c r="P41" s="95"/>
      <c r="Q41" s="95"/>
      <c r="R41" s="95"/>
      <c r="S41" s="95"/>
      <c r="T41" s="95"/>
      <c r="U41" s="95"/>
      <c r="V41" s="95"/>
      <c r="W41" s="95"/>
      <c r="X41" s="95"/>
      <c r="Y41" s="95"/>
      <c r="Z41" s="95"/>
      <c r="AA41" s="95"/>
      <c r="AB41" s="95"/>
    </row>
    <row r="42" ht="15.75" customHeight="1">
      <c r="A42" s="221" t="s">
        <v>3305</v>
      </c>
      <c r="B42" s="223">
        <v>45905.0</v>
      </c>
      <c r="C42" s="224" t="s">
        <v>3306</v>
      </c>
      <c r="D42" s="224" t="s">
        <v>3307</v>
      </c>
      <c r="E42" s="221" t="s">
        <v>3207</v>
      </c>
      <c r="F42" s="222">
        <v>126060.0</v>
      </c>
      <c r="G42" s="224"/>
      <c r="H42" s="221"/>
      <c r="I42" s="221"/>
      <c r="J42" s="221"/>
      <c r="K42" s="221"/>
      <c r="L42" s="221"/>
      <c r="M42" s="221"/>
      <c r="N42" s="221"/>
      <c r="O42" s="221"/>
      <c r="P42" s="221"/>
      <c r="Q42" s="221"/>
      <c r="R42" s="221"/>
      <c r="S42" s="221"/>
      <c r="T42" s="221"/>
      <c r="U42" s="221"/>
      <c r="V42" s="221"/>
      <c r="W42" s="221"/>
      <c r="X42" s="221"/>
      <c r="Y42" s="221"/>
      <c r="Z42" s="221"/>
      <c r="AA42" s="221"/>
      <c r="AB42" s="221"/>
    </row>
    <row r="43" ht="15.75" customHeight="1">
      <c r="A43" s="84" t="s">
        <v>3308</v>
      </c>
      <c r="B43" s="218">
        <v>45967.0</v>
      </c>
      <c r="C43" s="84" t="s">
        <v>3309</v>
      </c>
      <c r="D43" s="84" t="s">
        <v>3301</v>
      </c>
      <c r="E43" s="84" t="s">
        <v>3207</v>
      </c>
      <c r="F43" s="219">
        <v>5371.43</v>
      </c>
      <c r="G43" s="84" t="s">
        <v>3274</v>
      </c>
      <c r="H43" s="84" t="s">
        <v>3182</v>
      </c>
      <c r="I43" s="84"/>
      <c r="J43" s="84"/>
      <c r="K43" s="84"/>
      <c r="L43" s="84"/>
      <c r="M43" s="84"/>
      <c r="N43" s="84"/>
      <c r="O43" s="84"/>
      <c r="P43" s="84"/>
      <c r="Q43" s="84"/>
      <c r="R43" s="84"/>
      <c r="S43" s="84"/>
      <c r="T43" s="84"/>
      <c r="U43" s="84"/>
      <c r="V43" s="84"/>
      <c r="W43" s="84"/>
      <c r="X43" s="84"/>
      <c r="Y43" s="84"/>
      <c r="Z43" s="84"/>
      <c r="AA43" s="84"/>
      <c r="AB43" s="84"/>
    </row>
    <row r="44" ht="15.75" customHeight="1">
      <c r="A44" s="221" t="s">
        <v>3310</v>
      </c>
      <c r="B44" s="223">
        <v>45967.0</v>
      </c>
      <c r="C44" s="221" t="s">
        <v>3311</v>
      </c>
      <c r="D44" s="221" t="s">
        <v>3312</v>
      </c>
      <c r="E44" s="221" t="s">
        <v>3207</v>
      </c>
      <c r="F44" s="222">
        <v>20000.0</v>
      </c>
      <c r="G44" s="221" t="s">
        <v>3274</v>
      </c>
      <c r="H44" s="221"/>
      <c r="I44" s="221"/>
      <c r="J44" s="221"/>
      <c r="K44" s="221"/>
      <c r="L44" s="221"/>
      <c r="M44" s="221"/>
      <c r="N44" s="221"/>
      <c r="O44" s="221"/>
      <c r="P44" s="221"/>
      <c r="Q44" s="221"/>
      <c r="R44" s="221"/>
      <c r="S44" s="221"/>
      <c r="T44" s="221"/>
      <c r="U44" s="221"/>
      <c r="V44" s="221"/>
      <c r="W44" s="221"/>
      <c r="X44" s="221"/>
      <c r="Y44" s="221"/>
      <c r="Z44" s="221"/>
      <c r="AA44" s="221"/>
      <c r="AB44" s="221"/>
    </row>
    <row r="45" ht="15.75" customHeight="1">
      <c r="A45" s="84" t="s">
        <v>3313</v>
      </c>
      <c r="B45" s="84" t="s">
        <v>3314</v>
      </c>
      <c r="C45" s="82" t="s">
        <v>3225</v>
      </c>
      <c r="D45" s="82" t="s">
        <v>3315</v>
      </c>
      <c r="E45" s="84" t="s">
        <v>3207</v>
      </c>
      <c r="F45" s="219">
        <v>33590.79</v>
      </c>
      <c r="G45" s="84" t="s">
        <v>3274</v>
      </c>
      <c r="H45" s="84" t="s">
        <v>3182</v>
      </c>
      <c r="I45" s="84"/>
      <c r="J45" s="84"/>
      <c r="K45" s="84"/>
      <c r="L45" s="84"/>
      <c r="M45" s="84"/>
      <c r="N45" s="84"/>
      <c r="O45" s="84"/>
      <c r="P45" s="84"/>
      <c r="Q45" s="84"/>
      <c r="R45" s="84"/>
      <c r="S45" s="84"/>
      <c r="T45" s="84"/>
      <c r="U45" s="84"/>
      <c r="V45" s="84"/>
      <c r="W45" s="84"/>
      <c r="X45" s="84"/>
      <c r="Y45" s="84"/>
      <c r="Z45" s="84"/>
      <c r="AA45" s="84"/>
      <c r="AB45" s="84"/>
    </row>
    <row r="46" ht="15.75" customHeight="1">
      <c r="A46" s="84" t="s">
        <v>3316</v>
      </c>
      <c r="B46" s="84" t="s">
        <v>3317</v>
      </c>
      <c r="C46" s="84" t="s">
        <v>3318</v>
      </c>
      <c r="D46" s="84" t="s">
        <v>3319</v>
      </c>
      <c r="E46" s="84" t="s">
        <v>3207</v>
      </c>
      <c r="F46" s="219">
        <v>1638.0</v>
      </c>
      <c r="G46" s="84" t="s">
        <v>89</v>
      </c>
      <c r="H46" s="84" t="s">
        <v>3182</v>
      </c>
      <c r="I46" s="84"/>
      <c r="J46" s="84"/>
      <c r="K46" s="84"/>
      <c r="L46" s="84"/>
      <c r="M46" s="84"/>
      <c r="N46" s="84"/>
      <c r="O46" s="84"/>
      <c r="P46" s="84"/>
      <c r="Q46" s="84"/>
      <c r="R46" s="84"/>
      <c r="S46" s="84"/>
      <c r="T46" s="84"/>
      <c r="U46" s="84"/>
      <c r="V46" s="84"/>
      <c r="W46" s="84"/>
      <c r="X46" s="84"/>
      <c r="Y46" s="84"/>
      <c r="Z46" s="84"/>
      <c r="AA46" s="84"/>
      <c r="AB46" s="84"/>
    </row>
    <row r="47" ht="15.75" customHeight="1">
      <c r="A47" s="84" t="s">
        <v>3320</v>
      </c>
      <c r="B47" s="84" t="s">
        <v>3317</v>
      </c>
      <c r="C47" s="84" t="s">
        <v>3321</v>
      </c>
      <c r="D47" s="84" t="s">
        <v>3322</v>
      </c>
      <c r="E47" s="84" t="s">
        <v>3207</v>
      </c>
      <c r="F47" s="219">
        <v>17000.0</v>
      </c>
      <c r="G47" s="84" t="s">
        <v>3274</v>
      </c>
      <c r="H47" s="84" t="s">
        <v>3182</v>
      </c>
      <c r="I47" s="84"/>
      <c r="J47" s="84"/>
      <c r="K47" s="84"/>
      <c r="L47" s="84"/>
      <c r="M47" s="84"/>
      <c r="N47" s="84"/>
      <c r="O47" s="84"/>
      <c r="P47" s="84"/>
      <c r="Q47" s="84"/>
      <c r="R47" s="84"/>
      <c r="S47" s="84"/>
      <c r="T47" s="84"/>
      <c r="U47" s="84"/>
      <c r="V47" s="84"/>
      <c r="W47" s="84"/>
      <c r="X47" s="84"/>
      <c r="Y47" s="84"/>
      <c r="Z47" s="84"/>
      <c r="AA47" s="84"/>
      <c r="AB47" s="84"/>
    </row>
    <row r="48" ht="15.75" customHeight="1">
      <c r="A48" s="84" t="s">
        <v>3323</v>
      </c>
      <c r="B48" s="84" t="s">
        <v>3317</v>
      </c>
      <c r="C48" s="84" t="s">
        <v>3219</v>
      </c>
      <c r="D48" s="84" t="s">
        <v>3324</v>
      </c>
      <c r="E48" s="84" t="s">
        <v>3207</v>
      </c>
      <c r="F48" s="219">
        <v>264.0</v>
      </c>
      <c r="G48" s="84" t="s">
        <v>3274</v>
      </c>
      <c r="H48" s="84" t="s">
        <v>3182</v>
      </c>
      <c r="I48" s="84"/>
      <c r="J48" s="84"/>
      <c r="K48" s="84"/>
      <c r="L48" s="84"/>
      <c r="M48" s="84"/>
      <c r="N48" s="84"/>
      <c r="O48" s="84"/>
      <c r="P48" s="84"/>
      <c r="Q48" s="84"/>
      <c r="R48" s="84"/>
      <c r="S48" s="84"/>
      <c r="T48" s="84"/>
      <c r="U48" s="84"/>
      <c r="V48" s="84"/>
      <c r="W48" s="84"/>
      <c r="X48" s="84"/>
      <c r="Y48" s="84"/>
      <c r="Z48" s="84"/>
      <c r="AA48" s="84"/>
      <c r="AB48" s="84"/>
    </row>
    <row r="49" ht="15.75" customHeight="1">
      <c r="A49" s="84" t="s">
        <v>3325</v>
      </c>
      <c r="B49" s="16" t="s">
        <v>3326</v>
      </c>
      <c r="C49" s="16" t="s">
        <v>3327</v>
      </c>
      <c r="D49" s="16" t="s">
        <v>3328</v>
      </c>
      <c r="E49" s="84" t="s">
        <v>3207</v>
      </c>
      <c r="F49" s="219">
        <v>556.0</v>
      </c>
      <c r="G49" s="84" t="s">
        <v>89</v>
      </c>
      <c r="H49" s="84" t="s">
        <v>3182</v>
      </c>
      <c r="I49" s="84"/>
      <c r="J49" s="84"/>
      <c r="K49" s="84"/>
      <c r="L49" s="84"/>
      <c r="M49" s="84"/>
      <c r="N49" s="84"/>
      <c r="O49" s="84"/>
      <c r="P49" s="84"/>
      <c r="Q49" s="84"/>
      <c r="R49" s="84"/>
      <c r="S49" s="84"/>
      <c r="T49" s="84"/>
      <c r="U49" s="84"/>
      <c r="V49" s="84"/>
      <c r="W49" s="84"/>
      <c r="X49" s="84"/>
      <c r="Y49" s="84"/>
      <c r="Z49" s="84"/>
      <c r="AA49" s="84"/>
      <c r="AB49" s="84"/>
    </row>
    <row r="50" ht="15.75" customHeight="1">
      <c r="A50" s="84" t="s">
        <v>3329</v>
      </c>
      <c r="B50" s="84" t="s">
        <v>3330</v>
      </c>
      <c r="C50" s="16" t="s">
        <v>3327</v>
      </c>
      <c r="D50" s="82" t="s">
        <v>3331</v>
      </c>
      <c r="E50" s="84" t="s">
        <v>3207</v>
      </c>
      <c r="F50" s="219">
        <v>152.0</v>
      </c>
      <c r="G50" s="84" t="s">
        <v>89</v>
      </c>
      <c r="H50" s="84" t="s">
        <v>3182</v>
      </c>
      <c r="I50" s="84"/>
      <c r="J50" s="84"/>
      <c r="K50" s="84"/>
      <c r="L50" s="84"/>
      <c r="M50" s="84"/>
      <c r="N50" s="84"/>
      <c r="O50" s="84"/>
      <c r="P50" s="84"/>
      <c r="Q50" s="84"/>
      <c r="R50" s="84"/>
      <c r="S50" s="84"/>
      <c r="T50" s="84"/>
      <c r="U50" s="84"/>
      <c r="V50" s="84"/>
      <c r="W50" s="84"/>
      <c r="X50" s="84"/>
      <c r="Y50" s="84"/>
      <c r="Z50" s="84"/>
      <c r="AA50" s="84"/>
      <c r="AB50" s="84"/>
    </row>
    <row r="51" ht="15.75" customHeight="1">
      <c r="A51" s="84" t="s">
        <v>3332</v>
      </c>
      <c r="B51" s="84" t="s">
        <v>3333</v>
      </c>
      <c r="C51" s="16" t="s">
        <v>3327</v>
      </c>
      <c r="D51" s="84" t="s">
        <v>3334</v>
      </c>
      <c r="E51" s="84" t="s">
        <v>3207</v>
      </c>
      <c r="F51" s="219">
        <v>730.0</v>
      </c>
      <c r="G51" s="84" t="s">
        <v>89</v>
      </c>
      <c r="H51" s="84" t="s">
        <v>3182</v>
      </c>
      <c r="I51" s="84"/>
      <c r="J51" s="84"/>
      <c r="K51" s="84"/>
      <c r="L51" s="84"/>
      <c r="M51" s="84"/>
      <c r="N51" s="84"/>
      <c r="O51" s="84"/>
      <c r="P51" s="84"/>
      <c r="Q51" s="84"/>
      <c r="R51" s="84"/>
      <c r="S51" s="84"/>
      <c r="T51" s="84"/>
      <c r="U51" s="84"/>
      <c r="V51" s="84"/>
      <c r="W51" s="84"/>
      <c r="X51" s="84"/>
      <c r="Y51" s="84"/>
      <c r="Z51" s="84"/>
      <c r="AA51" s="84"/>
      <c r="AB51" s="84"/>
    </row>
    <row r="52" ht="15.75" customHeight="1">
      <c r="A52" s="84" t="s">
        <v>3335</v>
      </c>
      <c r="B52" s="84" t="s">
        <v>3333</v>
      </c>
      <c r="C52" s="16" t="s">
        <v>3327</v>
      </c>
      <c r="D52" s="84" t="s">
        <v>3336</v>
      </c>
      <c r="E52" s="84" t="s">
        <v>3207</v>
      </c>
      <c r="F52" s="219">
        <v>136.0</v>
      </c>
      <c r="G52" s="84" t="s">
        <v>89</v>
      </c>
      <c r="H52" s="84" t="s">
        <v>3182</v>
      </c>
      <c r="I52" s="84"/>
      <c r="J52" s="84"/>
      <c r="K52" s="84"/>
      <c r="L52" s="84"/>
      <c r="M52" s="84"/>
      <c r="N52" s="84"/>
      <c r="O52" s="84"/>
      <c r="P52" s="84"/>
      <c r="Q52" s="84"/>
      <c r="R52" s="84"/>
      <c r="S52" s="84"/>
      <c r="T52" s="84"/>
      <c r="U52" s="84"/>
      <c r="V52" s="84"/>
      <c r="W52" s="84"/>
      <c r="X52" s="84"/>
      <c r="Y52" s="84"/>
      <c r="Z52" s="84"/>
      <c r="AA52" s="84"/>
      <c r="AB52" s="84"/>
    </row>
    <row r="53" ht="15.75" customHeight="1">
      <c r="A53" s="84" t="s">
        <v>3337</v>
      </c>
      <c r="B53" s="84" t="s">
        <v>3333</v>
      </c>
      <c r="C53" s="84" t="s">
        <v>3300</v>
      </c>
      <c r="D53" s="84" t="s">
        <v>3338</v>
      </c>
      <c r="E53" s="84"/>
      <c r="F53" s="219">
        <v>37516.8</v>
      </c>
      <c r="G53" s="84" t="s">
        <v>3274</v>
      </c>
      <c r="H53" s="84" t="s">
        <v>3182</v>
      </c>
      <c r="I53" s="84"/>
      <c r="J53" s="84"/>
      <c r="K53" s="84"/>
      <c r="L53" s="84"/>
      <c r="M53" s="84"/>
      <c r="N53" s="84"/>
      <c r="O53" s="84"/>
      <c r="P53" s="84"/>
      <c r="Q53" s="84"/>
      <c r="R53" s="84"/>
      <c r="S53" s="84"/>
      <c r="T53" s="84"/>
      <c r="U53" s="84"/>
      <c r="V53" s="84"/>
      <c r="W53" s="84"/>
      <c r="X53" s="84"/>
      <c r="Y53" s="84"/>
      <c r="Z53" s="84"/>
      <c r="AA53" s="84"/>
      <c r="AB53" s="84"/>
    </row>
    <row r="54" ht="15.75" customHeight="1">
      <c r="A54" s="84" t="s">
        <v>3339</v>
      </c>
      <c r="B54" s="84" t="s">
        <v>3333</v>
      </c>
      <c r="C54" s="84" t="s">
        <v>3340</v>
      </c>
      <c r="D54" s="84" t="s">
        <v>3341</v>
      </c>
      <c r="E54" s="84" t="s">
        <v>3207</v>
      </c>
      <c r="F54" s="219">
        <v>35.0</v>
      </c>
      <c r="G54" s="84" t="s">
        <v>89</v>
      </c>
      <c r="H54" s="84" t="s">
        <v>3182</v>
      </c>
      <c r="I54" s="84"/>
      <c r="J54" s="84"/>
      <c r="K54" s="84"/>
      <c r="L54" s="84"/>
      <c r="M54" s="84"/>
      <c r="N54" s="84"/>
      <c r="O54" s="84"/>
      <c r="P54" s="84"/>
      <c r="Q54" s="84"/>
      <c r="R54" s="84"/>
      <c r="S54" s="84"/>
      <c r="T54" s="84"/>
      <c r="U54" s="84"/>
      <c r="V54" s="84"/>
      <c r="W54" s="84"/>
      <c r="X54" s="84"/>
      <c r="Y54" s="84"/>
      <c r="Z54" s="84"/>
      <c r="AA54" s="84"/>
      <c r="AB54" s="84"/>
    </row>
    <row r="55" ht="15.75" customHeight="1">
      <c r="A55" s="84" t="s">
        <v>3342</v>
      </c>
      <c r="B55" s="84" t="s">
        <v>3333</v>
      </c>
      <c r="C55" s="84" t="s">
        <v>3309</v>
      </c>
      <c r="D55" s="84" t="s">
        <v>3301</v>
      </c>
      <c r="E55" s="84" t="s">
        <v>3207</v>
      </c>
      <c r="F55" s="219">
        <v>4000.0</v>
      </c>
      <c r="G55" s="84" t="s">
        <v>3274</v>
      </c>
      <c r="H55" s="84" t="s">
        <v>3182</v>
      </c>
      <c r="I55" s="84"/>
      <c r="J55" s="84"/>
      <c r="K55" s="84"/>
      <c r="L55" s="84"/>
      <c r="M55" s="84"/>
      <c r="N55" s="84"/>
      <c r="O55" s="84"/>
      <c r="P55" s="84"/>
      <c r="Q55" s="84"/>
      <c r="R55" s="84"/>
      <c r="S55" s="84"/>
      <c r="T55" s="84"/>
      <c r="U55" s="84"/>
      <c r="V55" s="84"/>
      <c r="W55" s="84"/>
      <c r="X55" s="84"/>
      <c r="Y55" s="84"/>
      <c r="Z55" s="84"/>
      <c r="AA55" s="84"/>
      <c r="AB55" s="84"/>
    </row>
    <row r="56" ht="15.75" customHeight="1">
      <c r="A56" s="84" t="s">
        <v>3343</v>
      </c>
      <c r="B56" s="218">
        <v>45695.0</v>
      </c>
      <c r="C56" s="16" t="s">
        <v>3327</v>
      </c>
      <c r="D56" s="84" t="s">
        <v>3344</v>
      </c>
      <c r="E56" s="84" t="s">
        <v>3207</v>
      </c>
      <c r="F56" s="219">
        <v>354.0</v>
      </c>
      <c r="G56" s="84" t="s">
        <v>89</v>
      </c>
      <c r="H56" s="84" t="s">
        <v>3182</v>
      </c>
      <c r="I56" s="84"/>
      <c r="J56" s="84"/>
      <c r="K56" s="84"/>
      <c r="L56" s="84"/>
      <c r="M56" s="84"/>
      <c r="N56" s="84"/>
      <c r="O56" s="84"/>
      <c r="P56" s="84"/>
      <c r="Q56" s="84"/>
      <c r="R56" s="84"/>
      <c r="S56" s="84"/>
      <c r="T56" s="84"/>
      <c r="U56" s="84"/>
      <c r="V56" s="84"/>
      <c r="W56" s="84"/>
      <c r="X56" s="84"/>
      <c r="Y56" s="84"/>
      <c r="Z56" s="84"/>
      <c r="AA56" s="84"/>
      <c r="AB56" s="84"/>
    </row>
    <row r="57" ht="15.75" customHeight="1">
      <c r="A57" s="84" t="s">
        <v>3345</v>
      </c>
      <c r="B57" s="218">
        <v>45695.0</v>
      </c>
      <c r="C57" s="16" t="s">
        <v>3327</v>
      </c>
      <c r="D57" s="84" t="s">
        <v>3346</v>
      </c>
      <c r="E57" s="84" t="s">
        <v>3207</v>
      </c>
      <c r="F57" s="219">
        <v>231.0</v>
      </c>
      <c r="G57" s="84" t="s">
        <v>89</v>
      </c>
      <c r="H57" s="84" t="s">
        <v>3182</v>
      </c>
      <c r="I57" s="84"/>
      <c r="J57" s="84"/>
      <c r="K57" s="84"/>
      <c r="L57" s="84"/>
      <c r="M57" s="84"/>
      <c r="N57" s="84"/>
      <c r="O57" s="84"/>
      <c r="P57" s="84"/>
      <c r="Q57" s="84"/>
      <c r="R57" s="84"/>
      <c r="S57" s="84"/>
      <c r="T57" s="84"/>
      <c r="U57" s="84"/>
      <c r="V57" s="84"/>
      <c r="W57" s="84"/>
      <c r="X57" s="84"/>
      <c r="Y57" s="84"/>
      <c r="Z57" s="84"/>
      <c r="AA57" s="84"/>
      <c r="AB57" s="84"/>
    </row>
    <row r="58" ht="15.75" customHeight="1">
      <c r="A58" s="84" t="s">
        <v>3347</v>
      </c>
      <c r="B58" s="218">
        <v>45695.0</v>
      </c>
      <c r="C58" s="16" t="s">
        <v>3327</v>
      </c>
      <c r="D58" s="84" t="s">
        <v>3348</v>
      </c>
      <c r="E58" s="84" t="s">
        <v>3207</v>
      </c>
      <c r="F58" s="219">
        <v>312.0</v>
      </c>
      <c r="G58" s="84" t="s">
        <v>89</v>
      </c>
      <c r="H58" s="84" t="s">
        <v>3182</v>
      </c>
      <c r="I58" s="84"/>
      <c r="J58" s="84"/>
      <c r="K58" s="84"/>
      <c r="L58" s="84"/>
      <c r="M58" s="84"/>
      <c r="N58" s="84"/>
      <c r="O58" s="84"/>
      <c r="P58" s="84"/>
      <c r="Q58" s="84"/>
      <c r="R58" s="84"/>
      <c r="S58" s="84"/>
      <c r="T58" s="84"/>
      <c r="U58" s="84"/>
      <c r="V58" s="84"/>
      <c r="W58" s="84"/>
      <c r="X58" s="84"/>
      <c r="Y58" s="84"/>
      <c r="Z58" s="84"/>
      <c r="AA58" s="84"/>
      <c r="AB58" s="84"/>
    </row>
    <row r="59" ht="15.75" customHeight="1">
      <c r="A59" s="84" t="s">
        <v>3349</v>
      </c>
      <c r="B59" s="84" t="s">
        <v>3350</v>
      </c>
      <c r="C59" s="16" t="s">
        <v>3327</v>
      </c>
      <c r="D59" s="84" t="s">
        <v>3351</v>
      </c>
      <c r="E59" s="84" t="s">
        <v>3207</v>
      </c>
      <c r="F59" s="219">
        <v>312.0</v>
      </c>
      <c r="G59" s="84" t="s">
        <v>89</v>
      </c>
      <c r="H59" s="84" t="s">
        <v>3182</v>
      </c>
      <c r="I59" s="84"/>
      <c r="J59" s="84"/>
      <c r="K59" s="84"/>
      <c r="L59" s="84"/>
      <c r="M59" s="84"/>
      <c r="N59" s="84"/>
      <c r="O59" s="84"/>
      <c r="P59" s="84"/>
      <c r="Q59" s="84"/>
      <c r="R59" s="84"/>
      <c r="S59" s="84"/>
      <c r="T59" s="84"/>
      <c r="U59" s="84"/>
      <c r="V59" s="84"/>
      <c r="W59" s="84"/>
      <c r="X59" s="84"/>
      <c r="Y59" s="84"/>
      <c r="Z59" s="84"/>
      <c r="AA59" s="84"/>
      <c r="AB59" s="84"/>
    </row>
    <row r="60" ht="15.75" customHeight="1">
      <c r="A60" s="84" t="s">
        <v>3352</v>
      </c>
      <c r="B60" s="218">
        <v>45695.0</v>
      </c>
      <c r="C60" s="16" t="s">
        <v>3327</v>
      </c>
      <c r="D60" s="84" t="s">
        <v>3348</v>
      </c>
      <c r="E60" s="84" t="s">
        <v>3207</v>
      </c>
      <c r="F60" s="219">
        <v>298.0</v>
      </c>
      <c r="G60" s="84" t="s">
        <v>89</v>
      </c>
      <c r="H60" s="84" t="s">
        <v>3182</v>
      </c>
      <c r="I60" s="84"/>
      <c r="J60" s="84"/>
      <c r="K60" s="84"/>
      <c r="L60" s="84"/>
      <c r="M60" s="84"/>
      <c r="N60" s="84"/>
      <c r="O60" s="84"/>
      <c r="P60" s="84"/>
      <c r="Q60" s="84"/>
      <c r="R60" s="84"/>
      <c r="S60" s="84"/>
      <c r="T60" s="84"/>
      <c r="U60" s="84"/>
      <c r="V60" s="84"/>
      <c r="W60" s="84"/>
      <c r="X60" s="84"/>
      <c r="Y60" s="84"/>
      <c r="Z60" s="84"/>
      <c r="AA60" s="84"/>
      <c r="AB60" s="84"/>
    </row>
    <row r="61" ht="15.75" customHeight="1">
      <c r="A61" s="84" t="s">
        <v>3353</v>
      </c>
      <c r="B61" s="218">
        <v>45754.0</v>
      </c>
      <c r="C61" s="84" t="s">
        <v>3272</v>
      </c>
      <c r="D61" s="84" t="s">
        <v>3354</v>
      </c>
      <c r="E61" s="84" t="s">
        <v>3207</v>
      </c>
      <c r="F61" s="219">
        <v>31000.0</v>
      </c>
      <c r="G61" s="84" t="s">
        <v>3274</v>
      </c>
      <c r="H61" s="84" t="s">
        <v>3182</v>
      </c>
      <c r="I61" s="84"/>
      <c r="J61" s="84"/>
      <c r="K61" s="84"/>
      <c r="L61" s="84"/>
      <c r="M61" s="84"/>
      <c r="N61" s="84"/>
      <c r="O61" s="84"/>
      <c r="P61" s="84"/>
      <c r="Q61" s="84"/>
      <c r="R61" s="84"/>
      <c r="S61" s="84"/>
      <c r="T61" s="84"/>
      <c r="U61" s="84"/>
      <c r="V61" s="84"/>
      <c r="W61" s="84"/>
      <c r="X61" s="84"/>
      <c r="Y61" s="84"/>
      <c r="Z61" s="84"/>
      <c r="AA61" s="84"/>
      <c r="AB61" s="84"/>
    </row>
    <row r="62" ht="15.75" customHeight="1">
      <c r="A62" s="84" t="s">
        <v>3355</v>
      </c>
      <c r="B62" s="218">
        <v>45876.0</v>
      </c>
      <c r="C62" s="84" t="s">
        <v>3327</v>
      </c>
      <c r="D62" s="84" t="s">
        <v>3356</v>
      </c>
      <c r="E62" s="84" t="s">
        <v>3207</v>
      </c>
      <c r="F62" s="219">
        <v>456.0</v>
      </c>
      <c r="G62" s="84" t="s">
        <v>89</v>
      </c>
      <c r="H62" s="84" t="s">
        <v>3182</v>
      </c>
      <c r="I62" s="84"/>
      <c r="J62" s="84"/>
      <c r="K62" s="84"/>
      <c r="L62" s="84"/>
      <c r="M62" s="84"/>
      <c r="N62" s="84"/>
      <c r="O62" s="84"/>
      <c r="P62" s="84"/>
      <c r="Q62" s="84"/>
      <c r="R62" s="84"/>
      <c r="S62" s="84"/>
      <c r="T62" s="84"/>
      <c r="U62" s="84"/>
      <c r="V62" s="84"/>
      <c r="W62" s="84"/>
      <c r="X62" s="84"/>
      <c r="Y62" s="84"/>
      <c r="Z62" s="84"/>
      <c r="AA62" s="84"/>
      <c r="AB62" s="84"/>
    </row>
    <row r="63" ht="15.75" customHeight="1">
      <c r="A63" s="84" t="s">
        <v>3357</v>
      </c>
      <c r="B63" s="218">
        <v>45907.0</v>
      </c>
      <c r="C63" s="84" t="s">
        <v>3358</v>
      </c>
      <c r="D63" s="84" t="s">
        <v>3359</v>
      </c>
      <c r="E63" s="84" t="s">
        <v>3207</v>
      </c>
      <c r="F63" s="219">
        <v>133.0</v>
      </c>
      <c r="G63" s="84" t="s">
        <v>89</v>
      </c>
      <c r="H63" s="84" t="s">
        <v>3182</v>
      </c>
      <c r="I63" s="84"/>
      <c r="J63" s="84"/>
      <c r="K63" s="84"/>
      <c r="L63" s="84"/>
      <c r="M63" s="84"/>
      <c r="N63" s="84"/>
      <c r="O63" s="84"/>
      <c r="P63" s="84"/>
      <c r="Q63" s="84"/>
      <c r="R63" s="84"/>
      <c r="S63" s="84"/>
      <c r="T63" s="84"/>
      <c r="U63" s="84"/>
      <c r="V63" s="84"/>
      <c r="W63" s="84"/>
      <c r="X63" s="84"/>
      <c r="Y63" s="84"/>
      <c r="Z63" s="84"/>
      <c r="AA63" s="84"/>
      <c r="AB63" s="84"/>
    </row>
    <row r="64" ht="15.75" customHeight="1">
      <c r="A64" s="84" t="s">
        <v>3360</v>
      </c>
      <c r="B64" s="218">
        <v>45907.0</v>
      </c>
      <c r="C64" s="84" t="s">
        <v>3340</v>
      </c>
      <c r="D64" s="84" t="s">
        <v>3341</v>
      </c>
      <c r="E64" s="84" t="s">
        <v>3207</v>
      </c>
      <c r="F64" s="219">
        <v>35.0</v>
      </c>
      <c r="G64" s="84" t="s">
        <v>89</v>
      </c>
      <c r="H64" s="84" t="s">
        <v>3182</v>
      </c>
      <c r="I64" s="84"/>
      <c r="J64" s="84"/>
      <c r="K64" s="84"/>
      <c r="L64" s="84"/>
      <c r="M64" s="84"/>
      <c r="N64" s="84"/>
      <c r="O64" s="84"/>
      <c r="P64" s="84"/>
      <c r="Q64" s="84"/>
      <c r="R64" s="84"/>
      <c r="S64" s="84"/>
      <c r="T64" s="84"/>
      <c r="U64" s="84"/>
      <c r="V64" s="84"/>
      <c r="W64" s="84"/>
      <c r="X64" s="84"/>
      <c r="Y64" s="84"/>
      <c r="Z64" s="84"/>
      <c r="AA64" s="84"/>
      <c r="AB64" s="84"/>
    </row>
    <row r="65" ht="15.75" customHeight="1">
      <c r="A65" s="84" t="s">
        <v>3361</v>
      </c>
      <c r="B65" s="218">
        <v>45937.0</v>
      </c>
      <c r="C65" s="84" t="s">
        <v>3309</v>
      </c>
      <c r="D65" s="84" t="s">
        <v>3301</v>
      </c>
      <c r="E65" s="84" t="s">
        <v>3207</v>
      </c>
      <c r="F65" s="219">
        <v>5360.0</v>
      </c>
      <c r="G65" s="84" t="s">
        <v>89</v>
      </c>
      <c r="H65" s="84" t="s">
        <v>3182</v>
      </c>
      <c r="I65" s="84"/>
      <c r="J65" s="84"/>
      <c r="K65" s="84"/>
      <c r="L65" s="84"/>
      <c r="M65" s="84"/>
      <c r="N65" s="84"/>
      <c r="O65" s="84"/>
      <c r="P65" s="84"/>
      <c r="Q65" s="84"/>
      <c r="R65" s="84"/>
      <c r="S65" s="84"/>
      <c r="T65" s="84"/>
      <c r="U65" s="84"/>
      <c r="V65" s="84"/>
      <c r="W65" s="84"/>
      <c r="X65" s="84"/>
      <c r="Y65" s="84"/>
      <c r="Z65" s="84"/>
      <c r="AA65" s="84"/>
      <c r="AB65" s="84"/>
    </row>
    <row r="66" ht="15.75" customHeight="1">
      <c r="A66" s="84" t="s">
        <v>3362</v>
      </c>
      <c r="B66" s="218">
        <v>45937.0</v>
      </c>
      <c r="C66" s="84" t="s">
        <v>3363</v>
      </c>
      <c r="D66" s="84" t="s">
        <v>3301</v>
      </c>
      <c r="E66" s="84" t="s">
        <v>3207</v>
      </c>
      <c r="F66" s="219">
        <v>4800.0</v>
      </c>
      <c r="G66" s="84" t="s">
        <v>89</v>
      </c>
      <c r="H66" s="84" t="s">
        <v>3182</v>
      </c>
      <c r="I66" s="84"/>
      <c r="J66" s="84"/>
      <c r="K66" s="84"/>
      <c r="L66" s="84"/>
      <c r="M66" s="84"/>
      <c r="N66" s="84"/>
      <c r="O66" s="84"/>
      <c r="P66" s="84"/>
      <c r="Q66" s="84"/>
      <c r="R66" s="84"/>
      <c r="S66" s="84"/>
      <c r="T66" s="84"/>
      <c r="U66" s="84"/>
      <c r="V66" s="84"/>
      <c r="W66" s="84"/>
      <c r="X66" s="84"/>
      <c r="Y66" s="84"/>
      <c r="Z66" s="84"/>
      <c r="AA66" s="84"/>
      <c r="AB66" s="84"/>
    </row>
    <row r="67" ht="15.75" customHeight="1">
      <c r="A67" s="84" t="s">
        <v>3364</v>
      </c>
      <c r="B67" s="84" t="s">
        <v>3365</v>
      </c>
      <c r="C67" s="84" t="s">
        <v>3300</v>
      </c>
      <c r="D67" s="84" t="s">
        <v>3366</v>
      </c>
      <c r="E67" s="84" t="s">
        <v>3207</v>
      </c>
      <c r="F67" s="219">
        <v>42023.0</v>
      </c>
      <c r="G67" s="84" t="s">
        <v>3274</v>
      </c>
      <c r="H67" s="84" t="s">
        <v>3182</v>
      </c>
      <c r="I67" s="84"/>
      <c r="J67" s="84"/>
      <c r="K67" s="84"/>
      <c r="L67" s="84"/>
      <c r="M67" s="84"/>
      <c r="N67" s="84"/>
      <c r="O67" s="84"/>
      <c r="P67" s="84"/>
      <c r="Q67" s="84"/>
      <c r="R67" s="84"/>
      <c r="S67" s="84"/>
      <c r="T67" s="84"/>
      <c r="U67" s="84"/>
      <c r="V67" s="84"/>
      <c r="W67" s="84"/>
      <c r="X67" s="84"/>
      <c r="Y67" s="84"/>
      <c r="Z67" s="84"/>
      <c r="AA67" s="84"/>
      <c r="AB67" s="84"/>
    </row>
    <row r="68" ht="15.75" customHeight="1">
      <c r="A68" s="225" t="s">
        <v>3367</v>
      </c>
      <c r="B68" s="225" t="s">
        <v>3368</v>
      </c>
      <c r="C68" s="225" t="s">
        <v>3369</v>
      </c>
      <c r="D68" s="225" t="s">
        <v>3370</v>
      </c>
      <c r="E68" s="225" t="s">
        <v>3371</v>
      </c>
      <c r="F68" s="226">
        <v>5400.0</v>
      </c>
      <c r="G68" s="225" t="s">
        <v>3372</v>
      </c>
      <c r="H68" s="225" t="s">
        <v>3373</v>
      </c>
      <c r="I68" s="225"/>
      <c r="J68" s="225"/>
      <c r="K68" s="225"/>
      <c r="L68" s="225"/>
      <c r="M68" s="225"/>
      <c r="N68" s="225"/>
      <c r="O68" s="225"/>
      <c r="P68" s="225"/>
      <c r="Q68" s="225"/>
      <c r="R68" s="225"/>
      <c r="S68" s="225"/>
      <c r="T68" s="225"/>
      <c r="U68" s="225"/>
      <c r="V68" s="225"/>
      <c r="W68" s="225"/>
      <c r="X68" s="225"/>
      <c r="Y68" s="225"/>
      <c r="Z68" s="225"/>
      <c r="AA68" s="225"/>
      <c r="AB68" s="225"/>
    </row>
    <row r="69" ht="15.75" customHeight="1">
      <c r="A69" s="95" t="s">
        <v>3374</v>
      </c>
      <c r="B69" s="95" t="s">
        <v>3368</v>
      </c>
      <c r="C69" s="95" t="s">
        <v>3300</v>
      </c>
      <c r="D69" s="225" t="s">
        <v>3366</v>
      </c>
      <c r="E69" s="95" t="s">
        <v>3371</v>
      </c>
      <c r="F69" s="130">
        <v>39865.68</v>
      </c>
      <c r="G69" s="95" t="s">
        <v>3372</v>
      </c>
      <c r="H69" s="95" t="s">
        <v>3373</v>
      </c>
      <c r="I69" s="95"/>
      <c r="J69" s="95"/>
      <c r="K69" s="95"/>
      <c r="L69" s="95"/>
      <c r="M69" s="95"/>
      <c r="N69" s="95"/>
      <c r="O69" s="95"/>
      <c r="P69" s="95"/>
      <c r="Q69" s="95"/>
      <c r="R69" s="95"/>
      <c r="S69" s="95"/>
      <c r="T69" s="95"/>
      <c r="U69" s="95"/>
      <c r="V69" s="95"/>
      <c r="W69" s="95"/>
      <c r="X69" s="95"/>
      <c r="Y69" s="95"/>
      <c r="Z69" s="95"/>
      <c r="AA69" s="95"/>
      <c r="AB69" s="95"/>
    </row>
    <row r="70" ht="16.5" customHeight="1">
      <c r="A70" s="95" t="s">
        <v>3375</v>
      </c>
      <c r="B70" s="227">
        <v>45846.0</v>
      </c>
      <c r="C70" s="95" t="s">
        <v>3376</v>
      </c>
      <c r="D70" s="95" t="s">
        <v>3377</v>
      </c>
      <c r="E70" s="95" t="s">
        <v>3371</v>
      </c>
      <c r="F70" s="130">
        <v>21000.0</v>
      </c>
      <c r="G70" s="95" t="s">
        <v>3372</v>
      </c>
      <c r="H70" s="95" t="s">
        <v>3373</v>
      </c>
      <c r="I70" s="95"/>
      <c r="J70" s="95"/>
      <c r="K70" s="95"/>
      <c r="L70" s="95"/>
      <c r="M70" s="95"/>
      <c r="N70" s="95"/>
      <c r="O70" s="95"/>
      <c r="P70" s="95"/>
      <c r="Q70" s="95"/>
      <c r="R70" s="95"/>
      <c r="S70" s="95"/>
      <c r="T70" s="95"/>
      <c r="U70" s="95"/>
      <c r="V70" s="95"/>
      <c r="W70" s="95"/>
      <c r="X70" s="95"/>
      <c r="Y70" s="95"/>
      <c r="Z70" s="95"/>
      <c r="AA70" s="95"/>
      <c r="AB70" s="95"/>
    </row>
    <row r="71" ht="15.75" customHeight="1">
      <c r="A71" s="95" t="s">
        <v>3378</v>
      </c>
      <c r="B71" s="227">
        <v>45846.0</v>
      </c>
      <c r="C71" s="95" t="s">
        <v>3379</v>
      </c>
      <c r="D71" s="95" t="s">
        <v>3301</v>
      </c>
      <c r="E71" s="95" t="s">
        <v>3371</v>
      </c>
      <c r="F71" s="130">
        <v>4300.0</v>
      </c>
      <c r="G71" s="95" t="s">
        <v>3372</v>
      </c>
      <c r="H71" s="95" t="s">
        <v>3373</v>
      </c>
      <c r="I71" s="95"/>
      <c r="J71" s="95"/>
      <c r="K71" s="95"/>
      <c r="L71" s="95"/>
      <c r="M71" s="95"/>
      <c r="N71" s="95"/>
      <c r="O71" s="95"/>
      <c r="P71" s="95"/>
      <c r="Q71" s="95"/>
      <c r="R71" s="95"/>
      <c r="S71" s="95"/>
      <c r="T71" s="95"/>
      <c r="U71" s="95"/>
      <c r="V71" s="95"/>
      <c r="W71" s="95"/>
      <c r="X71" s="95"/>
      <c r="Y71" s="95"/>
      <c r="Z71" s="95"/>
      <c r="AA71" s="95"/>
      <c r="AB71" s="95"/>
    </row>
    <row r="72" ht="15.75" customHeight="1">
      <c r="A72" s="96" t="s">
        <v>3380</v>
      </c>
      <c r="B72" s="227">
        <v>45846.0</v>
      </c>
      <c r="C72" s="95" t="s">
        <v>3381</v>
      </c>
      <c r="D72" s="95" t="s">
        <v>3382</v>
      </c>
      <c r="E72" s="95" t="s">
        <v>3371</v>
      </c>
      <c r="F72" s="130">
        <v>2552.0</v>
      </c>
      <c r="G72" s="95" t="s">
        <v>89</v>
      </c>
      <c r="H72" s="95"/>
      <c r="I72" s="95"/>
      <c r="J72" s="95"/>
      <c r="K72" s="95"/>
      <c r="L72" s="95"/>
      <c r="M72" s="95"/>
      <c r="N72" s="95"/>
      <c r="O72" s="95"/>
      <c r="P72" s="95"/>
      <c r="Q72" s="95"/>
      <c r="R72" s="95"/>
      <c r="S72" s="95"/>
      <c r="T72" s="95"/>
      <c r="U72" s="95"/>
      <c r="V72" s="95"/>
      <c r="W72" s="95"/>
      <c r="X72" s="95"/>
      <c r="Y72" s="95"/>
      <c r="Z72" s="95"/>
      <c r="AA72" s="95"/>
      <c r="AB72" s="95"/>
    </row>
    <row r="73" ht="15.75" customHeight="1">
      <c r="A73" s="95" t="s">
        <v>3383</v>
      </c>
      <c r="B73" s="227">
        <v>45846.0</v>
      </c>
      <c r="C73" s="95" t="s">
        <v>3300</v>
      </c>
      <c r="D73" s="95" t="s">
        <v>3301</v>
      </c>
      <c r="E73" s="95" t="s">
        <v>3371</v>
      </c>
      <c r="F73" s="130">
        <v>5600.0</v>
      </c>
      <c r="G73" s="95" t="s">
        <v>3274</v>
      </c>
      <c r="H73" s="95" t="s">
        <v>3373</v>
      </c>
      <c r="I73" s="95"/>
      <c r="J73" s="95"/>
      <c r="K73" s="95"/>
      <c r="L73" s="95"/>
      <c r="M73" s="95"/>
      <c r="N73" s="95"/>
      <c r="O73" s="95"/>
      <c r="P73" s="95"/>
      <c r="Q73" s="95"/>
      <c r="R73" s="95"/>
      <c r="S73" s="95"/>
      <c r="T73" s="95"/>
      <c r="U73" s="95"/>
      <c r="V73" s="95"/>
      <c r="W73" s="95"/>
      <c r="X73" s="95"/>
      <c r="Y73" s="95"/>
      <c r="Z73" s="95"/>
      <c r="AA73" s="95"/>
      <c r="AB73" s="95"/>
    </row>
    <row r="74" ht="15.75" customHeight="1">
      <c r="A74" s="95" t="s">
        <v>3384</v>
      </c>
      <c r="B74" s="227">
        <v>45846.0</v>
      </c>
      <c r="C74" s="95" t="s">
        <v>3385</v>
      </c>
      <c r="D74" s="95" t="s">
        <v>3386</v>
      </c>
      <c r="E74" s="95" t="s">
        <v>3371</v>
      </c>
      <c r="F74" s="130">
        <v>4041.0</v>
      </c>
      <c r="G74" s="95" t="s">
        <v>89</v>
      </c>
      <c r="H74" s="95" t="s">
        <v>3373</v>
      </c>
      <c r="I74" s="95"/>
      <c r="J74" s="95"/>
      <c r="K74" s="95"/>
      <c r="L74" s="95"/>
      <c r="M74" s="95"/>
      <c r="N74" s="95"/>
      <c r="O74" s="95"/>
      <c r="P74" s="95"/>
      <c r="Q74" s="95"/>
      <c r="R74" s="95"/>
      <c r="S74" s="95"/>
      <c r="T74" s="95"/>
      <c r="U74" s="95"/>
      <c r="V74" s="95"/>
      <c r="W74" s="95"/>
      <c r="X74" s="95"/>
      <c r="Y74" s="95"/>
      <c r="Z74" s="95"/>
      <c r="AA74" s="95"/>
      <c r="AB74" s="95"/>
    </row>
    <row r="75" ht="15.75" customHeight="1">
      <c r="A75" s="95" t="s">
        <v>3387</v>
      </c>
      <c r="B75" s="95" t="s">
        <v>3388</v>
      </c>
      <c r="C75" s="95" t="s">
        <v>3376</v>
      </c>
      <c r="D75" s="95" t="s">
        <v>3389</v>
      </c>
      <c r="E75" s="95" t="s">
        <v>3371</v>
      </c>
      <c r="F75" s="130">
        <v>10000.0</v>
      </c>
      <c r="G75" s="95" t="s">
        <v>3372</v>
      </c>
      <c r="H75" s="95" t="s">
        <v>3373</v>
      </c>
      <c r="I75" s="228"/>
      <c r="J75" s="95"/>
      <c r="K75" s="95"/>
      <c r="L75" s="95"/>
      <c r="M75" s="95"/>
      <c r="N75" s="95"/>
      <c r="O75" s="95"/>
      <c r="P75" s="95"/>
      <c r="Q75" s="95"/>
      <c r="R75" s="95"/>
      <c r="S75" s="95"/>
      <c r="T75" s="95"/>
      <c r="U75" s="95"/>
      <c r="V75" s="95"/>
      <c r="W75" s="95"/>
      <c r="X75" s="95"/>
      <c r="Y75" s="95"/>
      <c r="Z75" s="95"/>
      <c r="AA75" s="95"/>
      <c r="AB75" s="95"/>
    </row>
    <row r="76" ht="15.75" customHeight="1">
      <c r="A76" s="95" t="s">
        <v>3390</v>
      </c>
      <c r="B76" s="95" t="s">
        <v>3391</v>
      </c>
      <c r="C76" s="95" t="s">
        <v>3225</v>
      </c>
      <c r="D76" s="95" t="s">
        <v>3392</v>
      </c>
      <c r="E76" s="95" t="s">
        <v>3207</v>
      </c>
      <c r="F76" s="130">
        <v>37692.44</v>
      </c>
      <c r="G76" s="95" t="s">
        <v>3372</v>
      </c>
      <c r="H76" s="95" t="s">
        <v>3373</v>
      </c>
      <c r="I76" s="95"/>
      <c r="J76" s="95"/>
      <c r="K76" s="95"/>
      <c r="L76" s="95"/>
      <c r="M76" s="95"/>
      <c r="N76" s="95"/>
      <c r="O76" s="95"/>
      <c r="P76" s="95"/>
      <c r="Q76" s="95"/>
      <c r="R76" s="95"/>
      <c r="S76" s="95"/>
      <c r="T76" s="95"/>
      <c r="U76" s="95"/>
      <c r="V76" s="95"/>
      <c r="W76" s="95"/>
      <c r="X76" s="95"/>
      <c r="Y76" s="95"/>
      <c r="Z76" s="95"/>
      <c r="AA76" s="95"/>
      <c r="AB76" s="95"/>
    </row>
    <row r="77" ht="15.75" customHeight="1">
      <c r="A77" s="95" t="s">
        <v>3393</v>
      </c>
      <c r="B77" s="95" t="s">
        <v>3391</v>
      </c>
      <c r="C77" s="95" t="s">
        <v>3369</v>
      </c>
      <c r="D77" s="95" t="s">
        <v>3370</v>
      </c>
      <c r="E77" s="95" t="s">
        <v>3207</v>
      </c>
      <c r="F77" s="130">
        <v>4000.0</v>
      </c>
      <c r="G77" s="95" t="s">
        <v>3372</v>
      </c>
      <c r="H77" s="95" t="s">
        <v>3373</v>
      </c>
      <c r="I77" s="95"/>
      <c r="J77" s="95"/>
      <c r="K77" s="95"/>
      <c r="L77" s="95"/>
      <c r="M77" s="95"/>
      <c r="N77" s="95"/>
      <c r="O77" s="95"/>
      <c r="P77" s="95"/>
      <c r="Q77" s="95"/>
      <c r="R77" s="95"/>
      <c r="S77" s="95"/>
      <c r="T77" s="95"/>
      <c r="U77" s="95"/>
      <c r="V77" s="95"/>
      <c r="W77" s="95"/>
      <c r="X77" s="95"/>
      <c r="Y77" s="95"/>
      <c r="Z77" s="95"/>
      <c r="AA77" s="95"/>
      <c r="AB77" s="95"/>
    </row>
    <row r="78" ht="15.75" customHeight="1">
      <c r="A78" s="95" t="s">
        <v>3394</v>
      </c>
      <c r="B78" s="95" t="s">
        <v>3395</v>
      </c>
      <c r="C78" s="95" t="s">
        <v>3396</v>
      </c>
      <c r="D78" s="95" t="s">
        <v>3301</v>
      </c>
      <c r="E78" s="95" t="s">
        <v>3371</v>
      </c>
      <c r="F78" s="130">
        <v>5497.86</v>
      </c>
      <c r="G78" s="95" t="s">
        <v>3372</v>
      </c>
      <c r="H78" s="95" t="s">
        <v>3373</v>
      </c>
      <c r="I78" s="95"/>
      <c r="J78" s="95"/>
      <c r="K78" s="95"/>
      <c r="L78" s="95"/>
      <c r="M78" s="95"/>
      <c r="N78" s="95"/>
      <c r="O78" s="95"/>
      <c r="P78" s="95"/>
      <c r="Q78" s="95"/>
      <c r="R78" s="95"/>
      <c r="S78" s="95"/>
      <c r="T78" s="95"/>
      <c r="U78" s="95"/>
      <c r="V78" s="95"/>
      <c r="W78" s="95"/>
      <c r="X78" s="95"/>
      <c r="Y78" s="95"/>
      <c r="Z78" s="95"/>
      <c r="AA78" s="95"/>
      <c r="AB78" s="95"/>
    </row>
    <row r="79" ht="15.75" customHeight="1">
      <c r="A79" s="95" t="s">
        <v>3397</v>
      </c>
      <c r="B79" s="95" t="s">
        <v>3395</v>
      </c>
      <c r="C79" s="95" t="s">
        <v>3398</v>
      </c>
      <c r="D79" s="95" t="s">
        <v>3399</v>
      </c>
      <c r="E79" s="95" t="s">
        <v>3371</v>
      </c>
      <c r="F79" s="130">
        <v>15000.0</v>
      </c>
      <c r="G79" s="95"/>
      <c r="H79" s="95"/>
      <c r="I79" s="95"/>
      <c r="J79" s="95"/>
      <c r="K79" s="95"/>
      <c r="L79" s="95"/>
      <c r="M79" s="95"/>
      <c r="N79" s="95"/>
      <c r="O79" s="95"/>
      <c r="P79" s="95"/>
      <c r="Q79" s="95"/>
      <c r="R79" s="95"/>
      <c r="S79" s="95"/>
      <c r="T79" s="95"/>
      <c r="U79" s="95"/>
      <c r="V79" s="95"/>
      <c r="W79" s="95"/>
      <c r="X79" s="95"/>
      <c r="Y79" s="95"/>
      <c r="Z79" s="95"/>
      <c r="AA79" s="95"/>
      <c r="AB79" s="95"/>
    </row>
    <row r="80" ht="15.75" customHeight="1">
      <c r="A80" s="95" t="s">
        <v>3400</v>
      </c>
      <c r="B80" s="95" t="s">
        <v>3395</v>
      </c>
      <c r="C80" s="95" t="s">
        <v>3401</v>
      </c>
      <c r="D80" s="95" t="s">
        <v>3402</v>
      </c>
      <c r="E80" s="95" t="s">
        <v>3371</v>
      </c>
      <c r="F80" s="130">
        <v>2000.0</v>
      </c>
      <c r="G80" s="95"/>
      <c r="H80" s="95"/>
      <c r="I80" s="95"/>
      <c r="J80" s="95"/>
      <c r="K80" s="95"/>
      <c r="L80" s="95"/>
      <c r="M80" s="95"/>
      <c r="N80" s="95"/>
      <c r="O80" s="95"/>
      <c r="P80" s="95"/>
      <c r="Q80" s="95"/>
      <c r="R80" s="95"/>
      <c r="S80" s="95"/>
      <c r="T80" s="95"/>
      <c r="U80" s="95"/>
      <c r="V80" s="95"/>
      <c r="W80" s="95"/>
      <c r="X80" s="95"/>
      <c r="Y80" s="95"/>
      <c r="Z80" s="95"/>
      <c r="AA80" s="95"/>
      <c r="AB80" s="95"/>
    </row>
    <row r="81" ht="15.75" customHeight="1">
      <c r="A81" s="95" t="s">
        <v>3403</v>
      </c>
      <c r="B81" s="95" t="s">
        <v>3395</v>
      </c>
      <c r="C81" s="95" t="s">
        <v>3404</v>
      </c>
      <c r="D81" s="95" t="s">
        <v>3405</v>
      </c>
      <c r="E81" s="95" t="s">
        <v>3371</v>
      </c>
      <c r="F81" s="130">
        <v>4500.0</v>
      </c>
      <c r="G81" s="95" t="s">
        <v>3372</v>
      </c>
      <c r="H81" s="95" t="s">
        <v>3373</v>
      </c>
      <c r="I81" s="95"/>
      <c r="J81" s="95"/>
      <c r="K81" s="95"/>
      <c r="L81" s="95"/>
      <c r="M81" s="95"/>
      <c r="N81" s="95"/>
      <c r="O81" s="95"/>
      <c r="P81" s="95"/>
      <c r="Q81" s="95"/>
      <c r="R81" s="95"/>
      <c r="S81" s="95"/>
      <c r="T81" s="95"/>
      <c r="U81" s="95"/>
      <c r="V81" s="95"/>
      <c r="W81" s="95"/>
      <c r="X81" s="95"/>
      <c r="Y81" s="95"/>
      <c r="Z81" s="95"/>
      <c r="AA81" s="95"/>
      <c r="AB81" s="95"/>
    </row>
    <row r="82" ht="15.75" customHeight="1">
      <c r="A82" s="95" t="s">
        <v>3406</v>
      </c>
      <c r="B82" s="95" t="s">
        <v>3395</v>
      </c>
      <c r="C82" s="95" t="s">
        <v>3225</v>
      </c>
      <c r="D82" s="95" t="s">
        <v>3392</v>
      </c>
      <c r="E82" s="95" t="s">
        <v>3371</v>
      </c>
      <c r="F82" s="130">
        <v>42172.54</v>
      </c>
      <c r="G82" s="95" t="s">
        <v>3372</v>
      </c>
      <c r="H82" s="95" t="s">
        <v>3373</v>
      </c>
      <c r="I82" s="95"/>
      <c r="J82" s="95"/>
      <c r="K82" s="95"/>
      <c r="L82" s="95"/>
      <c r="M82" s="95"/>
      <c r="N82" s="95"/>
      <c r="O82" s="95"/>
      <c r="P82" s="95"/>
      <c r="Q82" s="95"/>
      <c r="R82" s="95"/>
      <c r="S82" s="95"/>
      <c r="T82" s="95"/>
      <c r="U82" s="95"/>
      <c r="V82" s="95"/>
      <c r="W82" s="95"/>
      <c r="X82" s="95"/>
      <c r="Y82" s="95"/>
      <c r="Z82" s="95"/>
      <c r="AA82" s="95"/>
      <c r="AB82" s="95"/>
    </row>
    <row r="83" ht="15.75" customHeight="1">
      <c r="A83" s="95" t="s">
        <v>3407</v>
      </c>
      <c r="B83" s="95" t="s">
        <v>3395</v>
      </c>
      <c r="C83" s="95" t="s">
        <v>3385</v>
      </c>
      <c r="D83" s="95" t="s">
        <v>3408</v>
      </c>
      <c r="E83" s="95" t="s">
        <v>3371</v>
      </c>
      <c r="F83" s="130">
        <v>4628.75</v>
      </c>
      <c r="G83" s="95"/>
      <c r="H83" s="95"/>
      <c r="I83" s="95"/>
      <c r="J83" s="95"/>
      <c r="K83" s="95"/>
      <c r="L83" s="95"/>
      <c r="M83" s="95"/>
      <c r="N83" s="95"/>
      <c r="O83" s="95"/>
      <c r="P83" s="95"/>
      <c r="Q83" s="95"/>
      <c r="R83" s="95"/>
      <c r="S83" s="95"/>
      <c r="T83" s="95"/>
      <c r="U83" s="95"/>
      <c r="V83" s="95"/>
      <c r="W83" s="95"/>
      <c r="X83" s="95"/>
      <c r="Y83" s="95"/>
      <c r="Z83" s="95"/>
      <c r="AA83" s="95"/>
      <c r="AB83" s="95"/>
    </row>
    <row r="84" ht="15.75" customHeight="1">
      <c r="A84" s="95" t="s">
        <v>3409</v>
      </c>
      <c r="B84" s="95" t="s">
        <v>3395</v>
      </c>
      <c r="C84" s="95" t="s">
        <v>3410</v>
      </c>
      <c r="D84" s="95" t="s">
        <v>3411</v>
      </c>
      <c r="E84" s="95" t="s">
        <v>3371</v>
      </c>
      <c r="F84" s="130">
        <v>10340.0</v>
      </c>
      <c r="G84" s="95" t="s">
        <v>3412</v>
      </c>
      <c r="H84" s="95" t="s">
        <v>3373</v>
      </c>
      <c r="I84" s="95"/>
      <c r="J84" s="95"/>
      <c r="K84" s="95"/>
      <c r="L84" s="95"/>
      <c r="M84" s="95"/>
      <c r="N84" s="95"/>
      <c r="O84" s="95"/>
      <c r="P84" s="95"/>
      <c r="Q84" s="95"/>
      <c r="R84" s="95"/>
      <c r="S84" s="95"/>
      <c r="T84" s="95"/>
      <c r="U84" s="95"/>
      <c r="V84" s="95"/>
      <c r="W84" s="95"/>
      <c r="X84" s="95"/>
      <c r="Y84" s="95"/>
      <c r="Z84" s="95"/>
      <c r="AA84" s="95"/>
      <c r="AB84" s="95"/>
    </row>
    <row r="85" ht="15.75" customHeight="1">
      <c r="A85" s="95" t="s">
        <v>3413</v>
      </c>
      <c r="B85" s="95" t="s">
        <v>3395</v>
      </c>
      <c r="C85" s="95" t="s">
        <v>3410</v>
      </c>
      <c r="D85" s="95" t="s">
        <v>3414</v>
      </c>
      <c r="E85" s="95" t="s">
        <v>3371</v>
      </c>
      <c r="F85" s="130">
        <v>9000.0</v>
      </c>
      <c r="G85" s="95" t="s">
        <v>3412</v>
      </c>
      <c r="H85" s="95" t="s">
        <v>3373</v>
      </c>
      <c r="I85" s="95"/>
      <c r="J85" s="95"/>
      <c r="K85" s="95"/>
      <c r="L85" s="95"/>
      <c r="M85" s="95"/>
      <c r="N85" s="95"/>
      <c r="O85" s="95"/>
      <c r="P85" s="95"/>
      <c r="Q85" s="95"/>
      <c r="R85" s="95"/>
      <c r="S85" s="95"/>
      <c r="T85" s="95"/>
      <c r="U85" s="95"/>
      <c r="V85" s="95"/>
      <c r="W85" s="95"/>
      <c r="X85" s="95"/>
      <c r="Y85" s="95"/>
      <c r="Z85" s="95"/>
      <c r="AA85" s="95"/>
      <c r="AB85" s="95"/>
    </row>
    <row r="86" ht="15.75" customHeight="1">
      <c r="A86" s="95" t="s">
        <v>3415</v>
      </c>
      <c r="B86" s="227">
        <v>45725.0</v>
      </c>
      <c r="C86" s="95" t="s">
        <v>3416</v>
      </c>
      <c r="D86" s="95" t="s">
        <v>3417</v>
      </c>
      <c r="E86" s="95" t="s">
        <v>3371</v>
      </c>
      <c r="F86" s="130">
        <v>28000.0</v>
      </c>
      <c r="G86" s="95" t="s">
        <v>3372</v>
      </c>
      <c r="H86" s="95" t="s">
        <v>3373</v>
      </c>
      <c r="I86" s="95"/>
      <c r="J86" s="95"/>
      <c r="K86" s="95"/>
      <c r="L86" s="95"/>
      <c r="M86" s="95"/>
      <c r="N86" s="95"/>
      <c r="O86" s="95"/>
      <c r="P86" s="95"/>
      <c r="Q86" s="95"/>
      <c r="R86" s="95"/>
      <c r="S86" s="95"/>
      <c r="T86" s="95"/>
      <c r="U86" s="95"/>
      <c r="V86" s="95"/>
      <c r="W86" s="95"/>
      <c r="X86" s="95"/>
      <c r="Y86" s="95"/>
      <c r="Z86" s="95"/>
      <c r="AA86" s="95"/>
      <c r="AB86" s="95"/>
    </row>
    <row r="87" ht="15.75" customHeight="1">
      <c r="A87" s="95" t="s">
        <v>3418</v>
      </c>
      <c r="B87" s="227">
        <v>45725.0</v>
      </c>
      <c r="C87" s="95" t="s">
        <v>3419</v>
      </c>
      <c r="D87" s="95" t="s">
        <v>3420</v>
      </c>
      <c r="E87" s="95" t="s">
        <v>3371</v>
      </c>
      <c r="F87" s="130">
        <v>3123.2</v>
      </c>
      <c r="G87" s="95"/>
      <c r="H87" s="95"/>
      <c r="I87" s="95"/>
      <c r="J87" s="95"/>
      <c r="K87" s="95"/>
      <c r="L87" s="95"/>
      <c r="M87" s="95"/>
      <c r="N87" s="95"/>
      <c r="O87" s="95"/>
      <c r="P87" s="95"/>
      <c r="Q87" s="95"/>
      <c r="R87" s="95"/>
      <c r="S87" s="95"/>
      <c r="T87" s="95"/>
      <c r="U87" s="95"/>
      <c r="V87" s="95"/>
      <c r="W87" s="95"/>
      <c r="X87" s="95"/>
      <c r="Y87" s="95"/>
      <c r="Z87" s="95"/>
      <c r="AA87" s="95"/>
      <c r="AB87" s="95"/>
    </row>
    <row r="88" ht="15.75" customHeight="1">
      <c r="A88" s="95" t="s">
        <v>3421</v>
      </c>
      <c r="B88" s="227">
        <v>45725.0</v>
      </c>
      <c r="C88" s="95" t="s">
        <v>3422</v>
      </c>
      <c r="D88" s="95" t="s">
        <v>3281</v>
      </c>
      <c r="E88" s="95" t="s">
        <v>3217</v>
      </c>
      <c r="F88" s="130">
        <v>34000.0</v>
      </c>
      <c r="G88" s="95" t="s">
        <v>3412</v>
      </c>
      <c r="H88" s="95" t="s">
        <v>3373</v>
      </c>
      <c r="I88" s="95"/>
      <c r="J88" s="95"/>
      <c r="K88" s="95"/>
      <c r="L88" s="95"/>
      <c r="M88" s="95"/>
      <c r="N88" s="95"/>
      <c r="O88" s="95"/>
      <c r="P88" s="95"/>
      <c r="Q88" s="95"/>
      <c r="R88" s="95"/>
      <c r="S88" s="95"/>
      <c r="T88" s="95"/>
      <c r="U88" s="95"/>
      <c r="V88" s="95"/>
      <c r="W88" s="95"/>
      <c r="X88" s="95"/>
      <c r="Y88" s="95"/>
      <c r="Z88" s="95"/>
      <c r="AA88" s="95"/>
      <c r="AB88" s="95"/>
    </row>
    <row r="89" ht="15.75" customHeight="1">
      <c r="A89" s="95" t="s">
        <v>3423</v>
      </c>
      <c r="B89" s="227">
        <v>45725.0</v>
      </c>
      <c r="C89" s="95" t="s">
        <v>3424</v>
      </c>
      <c r="D89" s="95" t="s">
        <v>3425</v>
      </c>
      <c r="E89" s="95" t="s">
        <v>3371</v>
      </c>
      <c r="F89" s="130">
        <v>975.0</v>
      </c>
      <c r="G89" s="95" t="s">
        <v>3372</v>
      </c>
      <c r="H89" s="95" t="s">
        <v>3373</v>
      </c>
      <c r="I89" s="95"/>
      <c r="J89" s="95"/>
      <c r="K89" s="95"/>
      <c r="L89" s="95"/>
      <c r="M89" s="95"/>
      <c r="N89" s="95"/>
      <c r="O89" s="95"/>
      <c r="P89" s="95"/>
      <c r="Q89" s="95"/>
      <c r="R89" s="95"/>
      <c r="S89" s="95"/>
      <c r="T89" s="95"/>
      <c r="U89" s="95"/>
      <c r="V89" s="95"/>
      <c r="W89" s="95"/>
      <c r="X89" s="95"/>
      <c r="Y89" s="95"/>
      <c r="Z89" s="95"/>
      <c r="AA89" s="95"/>
      <c r="AB89" s="95"/>
    </row>
    <row r="90" ht="15.75" customHeight="1">
      <c r="A90" s="95" t="s">
        <v>3426</v>
      </c>
      <c r="B90" s="227">
        <v>45786.0</v>
      </c>
      <c r="C90" s="95" t="s">
        <v>3427</v>
      </c>
      <c r="D90" s="95" t="s">
        <v>3379</v>
      </c>
      <c r="E90" s="95" t="s">
        <v>3371</v>
      </c>
      <c r="F90" s="130">
        <v>4800.0</v>
      </c>
      <c r="G90" s="95" t="s">
        <v>3372</v>
      </c>
      <c r="H90" s="95" t="s">
        <v>3373</v>
      </c>
      <c r="I90" s="95"/>
      <c r="J90" s="95"/>
      <c r="K90" s="95"/>
      <c r="L90" s="95"/>
      <c r="M90" s="95"/>
      <c r="N90" s="95"/>
      <c r="O90" s="95"/>
      <c r="P90" s="95"/>
      <c r="Q90" s="95"/>
      <c r="R90" s="95"/>
      <c r="S90" s="95"/>
      <c r="T90" s="95"/>
      <c r="U90" s="95"/>
      <c r="V90" s="95"/>
      <c r="W90" s="95"/>
      <c r="X90" s="95"/>
      <c r="Y90" s="95"/>
      <c r="Z90" s="95"/>
      <c r="AA90" s="95"/>
      <c r="AB90" s="95"/>
    </row>
    <row r="91" ht="15.75" customHeight="1">
      <c r="A91" s="95" t="s">
        <v>3428</v>
      </c>
      <c r="B91" s="227">
        <v>45909.0</v>
      </c>
      <c r="C91" s="95" t="s">
        <v>3385</v>
      </c>
      <c r="D91" s="95" t="s">
        <v>3429</v>
      </c>
      <c r="E91" s="95" t="s">
        <v>3371</v>
      </c>
      <c r="F91" s="130">
        <v>5514.9</v>
      </c>
      <c r="G91" s="95" t="s">
        <v>3372</v>
      </c>
      <c r="H91" s="95" t="s">
        <v>3373</v>
      </c>
      <c r="I91" s="95"/>
      <c r="J91" s="95"/>
      <c r="K91" s="95"/>
      <c r="L91" s="95"/>
      <c r="M91" s="95"/>
      <c r="N91" s="95"/>
      <c r="O91" s="95"/>
      <c r="P91" s="95"/>
      <c r="Q91" s="95"/>
      <c r="R91" s="95"/>
      <c r="S91" s="95"/>
      <c r="T91" s="95"/>
      <c r="U91" s="95"/>
      <c r="V91" s="95"/>
      <c r="W91" s="95"/>
      <c r="X91" s="95"/>
      <c r="Y91" s="95"/>
      <c r="Z91" s="95"/>
      <c r="AA91" s="95"/>
      <c r="AB91" s="95"/>
    </row>
    <row r="92" ht="15.75" customHeight="1">
      <c r="A92" s="95" t="s">
        <v>3430</v>
      </c>
      <c r="B92" s="227">
        <v>45909.0</v>
      </c>
      <c r="C92" s="95" t="s">
        <v>3431</v>
      </c>
      <c r="D92" s="95" t="s">
        <v>3432</v>
      </c>
      <c r="E92" s="95" t="s">
        <v>3371</v>
      </c>
      <c r="F92" s="130">
        <v>750.0</v>
      </c>
      <c r="G92" s="95" t="s">
        <v>3372</v>
      </c>
      <c r="H92" s="95" t="s">
        <v>3373</v>
      </c>
      <c r="I92" s="95"/>
      <c r="J92" s="95"/>
      <c r="K92" s="95"/>
      <c r="L92" s="95"/>
      <c r="M92" s="95"/>
      <c r="N92" s="95"/>
      <c r="O92" s="95"/>
      <c r="P92" s="95"/>
      <c r="Q92" s="95"/>
      <c r="R92" s="95"/>
      <c r="S92" s="95"/>
      <c r="T92" s="95"/>
      <c r="U92" s="95"/>
      <c r="V92" s="95"/>
      <c r="W92" s="95"/>
      <c r="X92" s="95"/>
      <c r="Y92" s="95"/>
      <c r="Z92" s="95"/>
      <c r="AA92" s="95"/>
      <c r="AB92" s="95"/>
    </row>
    <row r="93" ht="15.75" customHeight="1">
      <c r="A93" s="95" t="s">
        <v>3433</v>
      </c>
      <c r="B93" s="227">
        <v>45909.0</v>
      </c>
      <c r="C93" s="95" t="s">
        <v>3434</v>
      </c>
      <c r="D93" s="95" t="s">
        <v>3435</v>
      </c>
      <c r="E93" s="95" t="s">
        <v>3371</v>
      </c>
      <c r="F93" s="130">
        <v>7095.55</v>
      </c>
      <c r="G93" s="95" t="s">
        <v>3372</v>
      </c>
      <c r="H93" s="95" t="s">
        <v>3373</v>
      </c>
      <c r="I93" s="95"/>
      <c r="J93" s="95"/>
      <c r="K93" s="95"/>
      <c r="L93" s="95"/>
      <c r="M93" s="95"/>
      <c r="N93" s="95"/>
      <c r="O93" s="95"/>
      <c r="P93" s="95"/>
      <c r="Q93" s="95"/>
      <c r="R93" s="95"/>
      <c r="S93" s="95"/>
      <c r="T93" s="95"/>
      <c r="U93" s="95"/>
      <c r="V93" s="95"/>
      <c r="W93" s="95"/>
      <c r="X93" s="95"/>
      <c r="Y93" s="95"/>
      <c r="Z93" s="95"/>
      <c r="AA93" s="95"/>
      <c r="AB93" s="95"/>
    </row>
    <row r="94" ht="15.75" customHeight="1">
      <c r="A94" s="95" t="s">
        <v>3436</v>
      </c>
      <c r="B94" s="227">
        <v>45909.0</v>
      </c>
      <c r="C94" s="95" t="s">
        <v>3385</v>
      </c>
      <c r="D94" s="95" t="s">
        <v>3437</v>
      </c>
      <c r="E94" s="95" t="s">
        <v>3371</v>
      </c>
      <c r="F94" s="130">
        <v>5000.0</v>
      </c>
      <c r="G94" s="95" t="s">
        <v>3372</v>
      </c>
      <c r="H94" s="95" t="s">
        <v>3373</v>
      </c>
      <c r="I94" s="95"/>
      <c r="J94" s="95"/>
      <c r="K94" s="95"/>
      <c r="L94" s="95"/>
      <c r="M94" s="95"/>
      <c r="N94" s="95"/>
      <c r="O94" s="95"/>
      <c r="P94" s="95"/>
      <c r="Q94" s="95"/>
      <c r="R94" s="95"/>
      <c r="S94" s="95"/>
      <c r="T94" s="95"/>
      <c r="U94" s="95"/>
      <c r="V94" s="95"/>
      <c r="W94" s="95"/>
      <c r="X94" s="95"/>
      <c r="Y94" s="95"/>
      <c r="Z94" s="95"/>
      <c r="AA94" s="95"/>
      <c r="AB94" s="95"/>
    </row>
    <row r="95" ht="15.75" customHeight="1">
      <c r="A95" s="95" t="s">
        <v>3438</v>
      </c>
      <c r="B95" s="227">
        <v>45909.0</v>
      </c>
      <c r="C95" s="95" t="s">
        <v>3300</v>
      </c>
      <c r="D95" s="95" t="s">
        <v>3439</v>
      </c>
      <c r="E95" s="95" t="s">
        <v>3371</v>
      </c>
      <c r="F95" s="130">
        <v>35890.08</v>
      </c>
      <c r="G95" s="95" t="s">
        <v>3372</v>
      </c>
      <c r="H95" s="95" t="s">
        <v>3373</v>
      </c>
      <c r="I95" s="95"/>
      <c r="J95" s="95"/>
      <c r="K95" s="95"/>
      <c r="L95" s="95"/>
      <c r="M95" s="95"/>
      <c r="N95" s="95"/>
      <c r="O95" s="95"/>
      <c r="P95" s="95"/>
      <c r="Q95" s="95"/>
      <c r="R95" s="95"/>
      <c r="S95" s="95"/>
      <c r="T95" s="95"/>
      <c r="U95" s="95"/>
      <c r="V95" s="95"/>
      <c r="W95" s="95"/>
      <c r="X95" s="95"/>
      <c r="Y95" s="95"/>
      <c r="Z95" s="95"/>
      <c r="AA95" s="95"/>
      <c r="AB95" s="95"/>
    </row>
    <row r="96" ht="15.75" customHeight="1">
      <c r="A96" s="95" t="s">
        <v>3440</v>
      </c>
      <c r="B96" s="227">
        <v>45970.0</v>
      </c>
      <c r="C96" s="95" t="s">
        <v>3441</v>
      </c>
      <c r="D96" s="95" t="s">
        <v>3442</v>
      </c>
      <c r="E96" s="95" t="s">
        <v>3371</v>
      </c>
      <c r="F96" s="130">
        <v>8000.0</v>
      </c>
      <c r="G96" s="95" t="s">
        <v>3372</v>
      </c>
      <c r="H96" s="95"/>
      <c r="I96" s="95"/>
      <c r="J96" s="95"/>
      <c r="K96" s="95"/>
      <c r="L96" s="95"/>
      <c r="M96" s="95"/>
      <c r="N96" s="95"/>
      <c r="O96" s="95"/>
      <c r="P96" s="95"/>
      <c r="Q96" s="95"/>
      <c r="R96" s="95"/>
      <c r="S96" s="95"/>
      <c r="T96" s="95"/>
      <c r="U96" s="95"/>
      <c r="V96" s="95"/>
      <c r="W96" s="95"/>
      <c r="X96" s="95"/>
      <c r="Y96" s="95"/>
      <c r="Z96" s="95"/>
      <c r="AA96" s="95"/>
      <c r="AB96" s="95"/>
    </row>
    <row r="97" ht="15.75" customHeight="1">
      <c r="A97" s="95" t="s">
        <v>3443</v>
      </c>
      <c r="B97" s="227">
        <v>45970.0</v>
      </c>
      <c r="C97" s="95" t="s">
        <v>3444</v>
      </c>
      <c r="D97" s="95" t="s">
        <v>3445</v>
      </c>
      <c r="E97" s="95" t="s">
        <v>3371</v>
      </c>
      <c r="F97" s="130">
        <v>57000.0</v>
      </c>
      <c r="G97" s="95" t="s">
        <v>3372</v>
      </c>
      <c r="H97" s="95"/>
      <c r="I97" s="95"/>
      <c r="J97" s="95"/>
      <c r="K97" s="95"/>
      <c r="L97" s="95"/>
      <c r="M97" s="95"/>
      <c r="N97" s="95"/>
      <c r="O97" s="95"/>
      <c r="P97" s="95"/>
      <c r="Q97" s="95"/>
      <c r="R97" s="95"/>
      <c r="S97" s="95"/>
      <c r="T97" s="95"/>
      <c r="U97" s="95"/>
      <c r="V97" s="95"/>
      <c r="W97" s="95"/>
      <c r="X97" s="95"/>
      <c r="Y97" s="95"/>
      <c r="Z97" s="95"/>
      <c r="AA97" s="95"/>
      <c r="AB97" s="95"/>
    </row>
    <row r="98" ht="15.75" customHeight="1">
      <c r="A98" s="95" t="s">
        <v>3446</v>
      </c>
      <c r="B98" s="95" t="s">
        <v>3447</v>
      </c>
      <c r="C98" s="95" t="s">
        <v>3300</v>
      </c>
      <c r="D98" s="95" t="s">
        <v>3448</v>
      </c>
      <c r="E98" s="95" t="s">
        <v>3371</v>
      </c>
      <c r="F98" s="130">
        <v>13030.0</v>
      </c>
      <c r="G98" s="95" t="s">
        <v>3372</v>
      </c>
      <c r="H98" s="95" t="s">
        <v>3373</v>
      </c>
      <c r="I98" s="95"/>
      <c r="J98" s="95"/>
      <c r="K98" s="95"/>
      <c r="L98" s="95"/>
      <c r="M98" s="95"/>
      <c r="N98" s="95"/>
      <c r="O98" s="95"/>
      <c r="P98" s="95"/>
      <c r="Q98" s="95"/>
      <c r="R98" s="95"/>
      <c r="S98" s="95"/>
      <c r="T98" s="95"/>
      <c r="U98" s="95"/>
      <c r="V98" s="95"/>
      <c r="W98" s="95"/>
      <c r="X98" s="95"/>
      <c r="Y98" s="95"/>
      <c r="Z98" s="95"/>
      <c r="AA98" s="95"/>
      <c r="AB98" s="95"/>
    </row>
    <row r="99" ht="15.75" customHeight="1">
      <c r="A99" s="95" t="s">
        <v>3449</v>
      </c>
      <c r="B99" s="95" t="s">
        <v>3450</v>
      </c>
      <c r="C99" s="95" t="s">
        <v>3451</v>
      </c>
      <c r="D99" s="95" t="s">
        <v>3452</v>
      </c>
      <c r="E99" s="95" t="s">
        <v>3217</v>
      </c>
      <c r="F99" s="130">
        <v>11200.0</v>
      </c>
      <c r="G99" s="95" t="s">
        <v>3412</v>
      </c>
      <c r="H99" s="95" t="s">
        <v>3373</v>
      </c>
      <c r="I99" s="95"/>
      <c r="J99" s="95"/>
      <c r="K99" s="95"/>
      <c r="L99" s="95"/>
      <c r="M99" s="95"/>
      <c r="N99" s="95"/>
      <c r="O99" s="95"/>
      <c r="P99" s="95"/>
      <c r="Q99" s="95"/>
      <c r="R99" s="95"/>
      <c r="S99" s="95"/>
      <c r="T99" s="95"/>
      <c r="U99" s="95"/>
      <c r="V99" s="95"/>
      <c r="W99" s="95"/>
      <c r="X99" s="95"/>
      <c r="Y99" s="95"/>
      <c r="Z99" s="95"/>
      <c r="AA99" s="95"/>
      <c r="AB99" s="95"/>
    </row>
    <row r="100" ht="15.75" customHeight="1">
      <c r="A100" s="95" t="s">
        <v>3453</v>
      </c>
      <c r="B100" s="95" t="s">
        <v>3447</v>
      </c>
      <c r="C100" s="95" t="s">
        <v>3451</v>
      </c>
      <c r="D100" s="95" t="s">
        <v>3452</v>
      </c>
      <c r="E100" s="95" t="s">
        <v>3217</v>
      </c>
      <c r="F100" s="130">
        <v>3800.0</v>
      </c>
      <c r="G100" s="95" t="s">
        <v>3412</v>
      </c>
      <c r="H100" s="95" t="s">
        <v>3373</v>
      </c>
      <c r="I100" s="95"/>
      <c r="J100" s="95"/>
      <c r="K100" s="95"/>
      <c r="L100" s="95"/>
      <c r="M100" s="95"/>
      <c r="N100" s="95"/>
      <c r="O100" s="95"/>
      <c r="P100" s="95"/>
      <c r="Q100" s="95"/>
      <c r="R100" s="95"/>
      <c r="S100" s="95"/>
      <c r="T100" s="95"/>
      <c r="U100" s="95"/>
      <c r="V100" s="95"/>
      <c r="W100" s="95"/>
      <c r="X100" s="95"/>
      <c r="Y100" s="95"/>
      <c r="Z100" s="95"/>
      <c r="AA100" s="95"/>
      <c r="AB100" s="95"/>
    </row>
    <row r="101" ht="15.75" customHeight="1">
      <c r="A101" s="95" t="s">
        <v>3454</v>
      </c>
      <c r="B101" s="95" t="s">
        <v>3447</v>
      </c>
      <c r="C101" s="95" t="s">
        <v>3455</v>
      </c>
      <c r="D101" s="95" t="s">
        <v>3379</v>
      </c>
      <c r="E101" s="95" t="s">
        <v>3217</v>
      </c>
      <c r="F101" s="130">
        <v>3800.0</v>
      </c>
      <c r="G101" s="95" t="s">
        <v>3372</v>
      </c>
      <c r="H101" s="95" t="s">
        <v>3373</v>
      </c>
      <c r="I101" s="95"/>
      <c r="J101" s="95"/>
      <c r="K101" s="95"/>
      <c r="L101" s="95"/>
      <c r="M101" s="95"/>
      <c r="N101" s="95"/>
      <c r="O101" s="95"/>
      <c r="P101" s="95"/>
      <c r="Q101" s="95"/>
      <c r="R101" s="95"/>
      <c r="S101" s="95"/>
      <c r="T101" s="95"/>
      <c r="U101" s="95"/>
      <c r="V101" s="95"/>
      <c r="W101" s="95"/>
      <c r="X101" s="95"/>
      <c r="Y101" s="95"/>
      <c r="Z101" s="95"/>
      <c r="AA101" s="95"/>
      <c r="AB101" s="95"/>
    </row>
    <row r="102" ht="15.75" customHeight="1">
      <c r="A102" s="95" t="s">
        <v>3456</v>
      </c>
      <c r="B102" s="95" t="s">
        <v>3447</v>
      </c>
      <c r="C102" s="95" t="s">
        <v>3457</v>
      </c>
      <c r="D102" s="95" t="s">
        <v>3458</v>
      </c>
      <c r="E102" s="95" t="s">
        <v>3217</v>
      </c>
      <c r="F102" s="130">
        <v>11500.0</v>
      </c>
      <c r="G102" s="95"/>
      <c r="H102" s="95"/>
      <c r="I102" s="95"/>
      <c r="J102" s="95"/>
      <c r="K102" s="95"/>
      <c r="L102" s="95"/>
      <c r="M102" s="95"/>
      <c r="N102" s="95"/>
      <c r="O102" s="95"/>
      <c r="P102" s="95"/>
      <c r="Q102" s="95"/>
      <c r="R102" s="95"/>
      <c r="S102" s="95"/>
      <c r="T102" s="95"/>
      <c r="U102" s="95"/>
      <c r="V102" s="95"/>
      <c r="W102" s="95"/>
      <c r="X102" s="95"/>
      <c r="Y102" s="95"/>
      <c r="Z102" s="95"/>
      <c r="AA102" s="95"/>
      <c r="AB102" s="95"/>
    </row>
    <row r="103" ht="15.75" customHeight="1">
      <c r="A103" s="95" t="s">
        <v>3459</v>
      </c>
      <c r="B103" s="95" t="s">
        <v>3447</v>
      </c>
      <c r="C103" s="95" t="s">
        <v>3460</v>
      </c>
      <c r="D103" s="95" t="s">
        <v>3461</v>
      </c>
      <c r="E103" s="95" t="s">
        <v>3217</v>
      </c>
      <c r="F103" s="130">
        <v>25100.0</v>
      </c>
      <c r="G103" s="95" t="s">
        <v>3412</v>
      </c>
      <c r="H103" s="95" t="s">
        <v>3373</v>
      </c>
      <c r="I103" s="95"/>
      <c r="J103" s="95"/>
      <c r="K103" s="95"/>
      <c r="L103" s="95"/>
      <c r="M103" s="95"/>
      <c r="N103" s="95"/>
      <c r="O103" s="95"/>
      <c r="P103" s="95"/>
      <c r="Q103" s="95"/>
      <c r="R103" s="95"/>
      <c r="S103" s="95"/>
      <c r="T103" s="95"/>
      <c r="U103" s="95"/>
      <c r="V103" s="95"/>
      <c r="W103" s="95"/>
      <c r="X103" s="95"/>
      <c r="Y103" s="95"/>
      <c r="Z103" s="95"/>
      <c r="AA103" s="95"/>
      <c r="AB103" s="95"/>
    </row>
    <row r="104" ht="15.75" customHeight="1">
      <c r="A104" s="95" t="s">
        <v>3462</v>
      </c>
      <c r="B104" s="95" t="s">
        <v>3447</v>
      </c>
      <c r="C104" s="95" t="s">
        <v>3385</v>
      </c>
      <c r="D104" s="95" t="s">
        <v>3385</v>
      </c>
      <c r="E104" s="95" t="s">
        <v>3217</v>
      </c>
      <c r="F104" s="130">
        <v>10949.0</v>
      </c>
      <c r="G104" s="95" t="s">
        <v>3372</v>
      </c>
      <c r="H104" s="95" t="s">
        <v>3373</v>
      </c>
      <c r="I104" s="95"/>
      <c r="J104" s="95"/>
      <c r="K104" s="95"/>
      <c r="L104" s="95"/>
      <c r="M104" s="95"/>
      <c r="N104" s="95"/>
      <c r="O104" s="95"/>
      <c r="P104" s="95"/>
      <c r="Q104" s="95"/>
      <c r="R104" s="95"/>
      <c r="S104" s="95"/>
      <c r="T104" s="95"/>
      <c r="U104" s="95"/>
      <c r="V104" s="95"/>
      <c r="W104" s="95"/>
      <c r="X104" s="95"/>
      <c r="Y104" s="95"/>
      <c r="Z104" s="95"/>
      <c r="AA104" s="95"/>
      <c r="AB104" s="95"/>
    </row>
    <row r="105" ht="15.75" customHeight="1">
      <c r="A105" s="95" t="s">
        <v>3463</v>
      </c>
      <c r="B105" s="95" t="s">
        <v>3464</v>
      </c>
      <c r="C105" s="229" t="s">
        <v>3465</v>
      </c>
      <c r="D105" s="95" t="s">
        <v>3379</v>
      </c>
      <c r="E105" s="95" t="s">
        <v>3217</v>
      </c>
      <c r="F105" s="130">
        <v>2000.0</v>
      </c>
      <c r="G105" s="95"/>
      <c r="H105" s="95"/>
      <c r="I105" s="95"/>
      <c r="J105" s="95"/>
      <c r="K105" s="95"/>
      <c r="L105" s="95"/>
      <c r="M105" s="95"/>
      <c r="N105" s="95"/>
      <c r="O105" s="95"/>
      <c r="P105" s="95"/>
      <c r="Q105" s="95"/>
      <c r="R105" s="95"/>
      <c r="S105" s="95"/>
      <c r="T105" s="95"/>
      <c r="U105" s="95"/>
      <c r="V105" s="95"/>
      <c r="W105" s="95"/>
      <c r="X105" s="95"/>
      <c r="Y105" s="95"/>
      <c r="Z105" s="95"/>
      <c r="AA105" s="95"/>
      <c r="AB105" s="95"/>
    </row>
    <row r="106" ht="15.75" customHeight="1">
      <c r="A106" s="95" t="s">
        <v>3466</v>
      </c>
      <c r="B106" s="95" t="s">
        <v>3464</v>
      </c>
      <c r="C106" s="229" t="s">
        <v>3467</v>
      </c>
      <c r="D106" s="229" t="s">
        <v>3468</v>
      </c>
      <c r="E106" s="95" t="s">
        <v>3217</v>
      </c>
      <c r="F106" s="130">
        <v>4000.0</v>
      </c>
      <c r="G106" s="95" t="s">
        <v>3412</v>
      </c>
      <c r="H106" s="95" t="s">
        <v>3373</v>
      </c>
      <c r="I106" s="95"/>
      <c r="J106" s="95"/>
      <c r="K106" s="95"/>
      <c r="L106" s="95"/>
      <c r="M106" s="95"/>
      <c r="N106" s="95"/>
      <c r="O106" s="95"/>
      <c r="P106" s="95"/>
      <c r="Q106" s="95"/>
      <c r="R106" s="95"/>
      <c r="S106" s="95"/>
      <c r="T106" s="95"/>
      <c r="U106" s="95"/>
      <c r="V106" s="95"/>
      <c r="W106" s="95"/>
      <c r="X106" s="95"/>
      <c r="Y106" s="95"/>
      <c r="Z106" s="95"/>
      <c r="AA106" s="95"/>
      <c r="AB106" s="95"/>
    </row>
    <row r="107" ht="15.75" customHeight="1">
      <c r="A107" s="95" t="s">
        <v>3469</v>
      </c>
      <c r="B107" s="95" t="s">
        <v>3464</v>
      </c>
      <c r="C107" s="95" t="s">
        <v>3455</v>
      </c>
      <c r="D107" s="95" t="s">
        <v>3309</v>
      </c>
      <c r="E107" s="95" t="s">
        <v>3217</v>
      </c>
      <c r="F107" s="130">
        <v>1200.0</v>
      </c>
      <c r="G107" s="95" t="s">
        <v>3372</v>
      </c>
      <c r="H107" s="95" t="s">
        <v>3373</v>
      </c>
      <c r="I107" s="95"/>
      <c r="J107" s="95"/>
      <c r="K107" s="95"/>
      <c r="L107" s="95"/>
      <c r="M107" s="95"/>
      <c r="N107" s="95"/>
      <c r="O107" s="95"/>
      <c r="P107" s="95"/>
      <c r="Q107" s="95"/>
      <c r="R107" s="95"/>
      <c r="S107" s="95"/>
      <c r="T107" s="95"/>
      <c r="U107" s="95"/>
      <c r="V107" s="95"/>
      <c r="W107" s="95"/>
      <c r="X107" s="95"/>
      <c r="Y107" s="95"/>
      <c r="Z107" s="95"/>
      <c r="AA107" s="95"/>
      <c r="AB107" s="95"/>
    </row>
    <row r="108" ht="15.75" customHeight="1">
      <c r="A108" s="95" t="s">
        <v>3470</v>
      </c>
      <c r="B108" s="95" t="s">
        <v>3464</v>
      </c>
      <c r="C108" s="95" t="s">
        <v>3385</v>
      </c>
      <c r="D108" s="95" t="s">
        <v>3471</v>
      </c>
      <c r="E108" s="95" t="s">
        <v>3371</v>
      </c>
      <c r="F108" s="130">
        <v>2070.0</v>
      </c>
      <c r="G108" s="95" t="s">
        <v>3372</v>
      </c>
      <c r="H108" s="95" t="s">
        <v>3373</v>
      </c>
      <c r="I108" s="95"/>
      <c r="J108" s="95"/>
      <c r="K108" s="95"/>
      <c r="L108" s="95"/>
      <c r="M108" s="95"/>
      <c r="N108" s="95"/>
      <c r="O108" s="95"/>
      <c r="P108" s="95"/>
      <c r="Q108" s="95"/>
      <c r="R108" s="95"/>
      <c r="S108" s="95"/>
      <c r="T108" s="95"/>
      <c r="U108" s="95"/>
      <c r="V108" s="95"/>
      <c r="W108" s="95"/>
      <c r="X108" s="95"/>
      <c r="Y108" s="95"/>
      <c r="Z108" s="95"/>
      <c r="AA108" s="95"/>
      <c r="AB108" s="95"/>
    </row>
    <row r="109" ht="15.75" customHeight="1">
      <c r="A109" s="95" t="s">
        <v>3472</v>
      </c>
      <c r="B109" s="95" t="s">
        <v>3473</v>
      </c>
      <c r="C109" s="95" t="s">
        <v>3300</v>
      </c>
      <c r="D109" s="95" t="s">
        <v>3474</v>
      </c>
      <c r="E109" s="95" t="s">
        <v>3217</v>
      </c>
      <c r="F109" s="130">
        <v>53878.03</v>
      </c>
      <c r="G109" s="95" t="s">
        <v>3372</v>
      </c>
      <c r="H109" s="95" t="s">
        <v>3373</v>
      </c>
      <c r="I109" s="95"/>
      <c r="J109" s="95"/>
      <c r="K109" s="95"/>
      <c r="L109" s="95"/>
      <c r="M109" s="95"/>
      <c r="N109" s="95"/>
      <c r="O109" s="95"/>
      <c r="P109" s="95"/>
      <c r="Q109" s="95"/>
      <c r="R109" s="95"/>
      <c r="S109" s="95"/>
      <c r="T109" s="95"/>
      <c r="U109" s="95"/>
      <c r="V109" s="95"/>
      <c r="W109" s="95"/>
      <c r="X109" s="95"/>
      <c r="Y109" s="95"/>
      <c r="Z109" s="95"/>
      <c r="AA109" s="95"/>
      <c r="AB109" s="95"/>
    </row>
    <row r="110" ht="15.75" customHeight="1">
      <c r="A110" s="95" t="s">
        <v>3475</v>
      </c>
      <c r="B110" s="95"/>
      <c r="C110" s="229"/>
      <c r="D110" s="230" t="s">
        <v>3476</v>
      </c>
      <c r="I110" s="95"/>
      <c r="J110" s="95"/>
      <c r="K110" s="95"/>
      <c r="L110" s="95"/>
      <c r="M110" s="95"/>
      <c r="N110" s="95"/>
      <c r="O110" s="95"/>
      <c r="P110" s="95"/>
      <c r="Q110" s="95"/>
      <c r="R110" s="95"/>
      <c r="S110" s="95"/>
      <c r="T110" s="95"/>
      <c r="U110" s="95"/>
      <c r="V110" s="95"/>
      <c r="W110" s="95"/>
      <c r="X110" s="95"/>
      <c r="Y110" s="95"/>
      <c r="Z110" s="95"/>
      <c r="AA110" s="95"/>
      <c r="AB110" s="95"/>
    </row>
    <row r="111" ht="15.75" customHeight="1">
      <c r="A111" s="95" t="s">
        <v>3477</v>
      </c>
      <c r="B111" s="95" t="s">
        <v>3473</v>
      </c>
      <c r="C111" s="229" t="s">
        <v>3478</v>
      </c>
      <c r="D111" s="95" t="s">
        <v>3479</v>
      </c>
      <c r="E111" s="95" t="s">
        <v>3217</v>
      </c>
      <c r="F111" s="130">
        <v>16250.0</v>
      </c>
      <c r="G111" s="95" t="s">
        <v>3412</v>
      </c>
      <c r="H111" s="95" t="s">
        <v>3373</v>
      </c>
      <c r="I111" s="95"/>
      <c r="J111" s="95"/>
      <c r="K111" s="95"/>
      <c r="L111" s="95"/>
      <c r="M111" s="95" t="s">
        <v>3480</v>
      </c>
      <c r="N111" s="95" t="s">
        <v>3481</v>
      </c>
      <c r="O111" s="95" t="s">
        <v>5</v>
      </c>
      <c r="P111" s="95"/>
      <c r="Q111" s="95"/>
      <c r="R111" s="95"/>
      <c r="S111" s="95"/>
      <c r="T111" s="95"/>
      <c r="U111" s="95"/>
      <c r="V111" s="95"/>
      <c r="W111" s="95"/>
      <c r="X111" s="95"/>
      <c r="Y111" s="95"/>
      <c r="Z111" s="95"/>
      <c r="AA111" s="95"/>
      <c r="AB111" s="95"/>
    </row>
    <row r="112" ht="15.75" customHeight="1">
      <c r="A112" s="95" t="s">
        <v>3482</v>
      </c>
      <c r="B112" s="227">
        <v>45726.0</v>
      </c>
      <c r="C112" s="95" t="s">
        <v>3455</v>
      </c>
      <c r="D112" s="95" t="s">
        <v>3379</v>
      </c>
      <c r="E112" s="95" t="s">
        <v>3217</v>
      </c>
      <c r="F112" s="130">
        <v>1500.0</v>
      </c>
      <c r="G112" s="95" t="s">
        <v>3372</v>
      </c>
      <c r="H112" s="95" t="s">
        <v>3373</v>
      </c>
      <c r="I112" s="95"/>
      <c r="J112" s="95"/>
      <c r="K112" s="95"/>
      <c r="L112" s="95"/>
      <c r="M112" s="95" t="s">
        <v>3483</v>
      </c>
      <c r="N112" s="95" t="s">
        <v>3484</v>
      </c>
      <c r="O112" s="95">
        <v>5.0</v>
      </c>
      <c r="P112" s="95"/>
      <c r="Q112" s="95"/>
      <c r="R112" s="95"/>
      <c r="S112" s="95"/>
      <c r="T112" s="95"/>
      <c r="U112" s="95"/>
      <c r="V112" s="95"/>
      <c r="W112" s="95"/>
      <c r="X112" s="95"/>
      <c r="Y112" s="95"/>
      <c r="Z112" s="95"/>
      <c r="AA112" s="95"/>
      <c r="AB112" s="95"/>
    </row>
    <row r="113" ht="15.75" customHeight="1">
      <c r="A113" s="95" t="s">
        <v>3485</v>
      </c>
      <c r="B113" s="227">
        <v>45726.0</v>
      </c>
      <c r="C113" s="95" t="s">
        <v>3465</v>
      </c>
      <c r="D113" s="95" t="s">
        <v>3379</v>
      </c>
      <c r="E113" s="95" t="s">
        <v>3217</v>
      </c>
      <c r="F113" s="130">
        <v>3000.0</v>
      </c>
      <c r="G113" s="95" t="s">
        <v>3372</v>
      </c>
      <c r="H113" s="95"/>
      <c r="I113" s="95"/>
      <c r="J113" s="95"/>
      <c r="K113" s="95"/>
      <c r="L113" s="95"/>
      <c r="M113" s="95"/>
      <c r="N113" s="95"/>
      <c r="O113" s="95"/>
      <c r="P113" s="95"/>
      <c r="Q113" s="95"/>
      <c r="R113" s="95"/>
      <c r="S113" s="95"/>
      <c r="T113" s="95"/>
      <c r="U113" s="95"/>
      <c r="V113" s="95"/>
      <c r="W113" s="95"/>
      <c r="X113" s="95"/>
      <c r="Y113" s="95"/>
      <c r="Z113" s="95"/>
      <c r="AA113" s="95"/>
      <c r="AB113" s="95"/>
    </row>
    <row r="114" ht="15.75" customHeight="1">
      <c r="A114" s="95" t="s">
        <v>3486</v>
      </c>
      <c r="B114" s="227">
        <v>45726.0</v>
      </c>
      <c r="C114" s="95" t="s">
        <v>3487</v>
      </c>
      <c r="D114" s="95" t="s">
        <v>3488</v>
      </c>
      <c r="E114" s="95" t="s">
        <v>3217</v>
      </c>
      <c r="F114" s="130">
        <v>3000.0</v>
      </c>
      <c r="G114" s="95" t="s">
        <v>3372</v>
      </c>
      <c r="H114" s="95" t="s">
        <v>3373</v>
      </c>
      <c r="I114" s="95"/>
      <c r="J114" s="95"/>
      <c r="K114" s="95"/>
      <c r="L114" s="95"/>
      <c r="M114" s="95"/>
      <c r="N114" s="95"/>
      <c r="O114" s="95"/>
      <c r="P114" s="95"/>
      <c r="Q114" s="95"/>
      <c r="R114" s="95"/>
      <c r="S114" s="95"/>
      <c r="T114" s="95"/>
      <c r="U114" s="95"/>
      <c r="V114" s="95"/>
      <c r="W114" s="95"/>
      <c r="X114" s="95"/>
      <c r="Y114" s="95"/>
      <c r="Z114" s="95"/>
      <c r="AA114" s="95"/>
      <c r="AB114" s="95"/>
    </row>
    <row r="115" ht="15.75" customHeight="1">
      <c r="A115" s="95" t="s">
        <v>3489</v>
      </c>
      <c r="B115" s="227">
        <v>45726.0</v>
      </c>
      <c r="C115" s="95" t="s">
        <v>3490</v>
      </c>
      <c r="D115" s="95" t="s">
        <v>3379</v>
      </c>
      <c r="E115" s="95" t="s">
        <v>3217</v>
      </c>
      <c r="F115" s="130">
        <v>3000.0</v>
      </c>
      <c r="G115" s="95" t="s">
        <v>3372</v>
      </c>
      <c r="H115" s="95" t="s">
        <v>3373</v>
      </c>
      <c r="I115" s="95"/>
      <c r="J115" s="95"/>
      <c r="K115" s="95"/>
      <c r="L115" s="95"/>
      <c r="M115" s="95"/>
      <c r="N115" s="95"/>
      <c r="O115" s="95"/>
      <c r="P115" s="95"/>
      <c r="Q115" s="95"/>
      <c r="R115" s="95"/>
      <c r="S115" s="95"/>
      <c r="T115" s="95"/>
      <c r="U115" s="95"/>
      <c r="V115" s="95"/>
      <c r="W115" s="95"/>
      <c r="X115" s="95"/>
      <c r="Y115" s="95"/>
      <c r="Z115" s="95"/>
      <c r="AA115" s="95"/>
      <c r="AB115" s="95"/>
    </row>
    <row r="116" ht="15.75" customHeight="1">
      <c r="A116" s="95" t="s">
        <v>3491</v>
      </c>
      <c r="B116" s="227">
        <v>45726.0</v>
      </c>
      <c r="C116" s="95" t="s">
        <v>3492</v>
      </c>
      <c r="D116" s="95" t="s">
        <v>3417</v>
      </c>
      <c r="E116" s="95" t="s">
        <v>3217</v>
      </c>
      <c r="F116" s="130">
        <v>28000.0</v>
      </c>
      <c r="G116" s="95" t="s">
        <v>3372</v>
      </c>
      <c r="H116" s="95" t="s">
        <v>3373</v>
      </c>
      <c r="I116" s="95"/>
      <c r="J116" s="95"/>
      <c r="K116" s="95"/>
      <c r="L116" s="95"/>
      <c r="M116" s="95"/>
      <c r="N116" s="95"/>
      <c r="O116" s="95"/>
      <c r="P116" s="95"/>
      <c r="Q116" s="95"/>
      <c r="R116" s="95"/>
      <c r="S116" s="95"/>
      <c r="T116" s="95"/>
      <c r="U116" s="95"/>
      <c r="V116" s="95"/>
      <c r="W116" s="95"/>
      <c r="X116" s="95"/>
      <c r="Y116" s="95"/>
      <c r="Z116" s="95"/>
      <c r="AA116" s="95"/>
      <c r="AB116" s="95"/>
    </row>
    <row r="117" ht="15.75" customHeight="1">
      <c r="A117" s="95" t="s">
        <v>3493</v>
      </c>
      <c r="B117" s="227">
        <v>45726.0</v>
      </c>
      <c r="C117" s="95" t="s">
        <v>3465</v>
      </c>
      <c r="D117" s="95" t="s">
        <v>3494</v>
      </c>
      <c r="E117" s="95" t="s">
        <v>3217</v>
      </c>
      <c r="F117" s="130">
        <v>3180.0</v>
      </c>
      <c r="G117" s="95" t="s">
        <v>3372</v>
      </c>
      <c r="H117" s="95"/>
      <c r="I117" s="95"/>
      <c r="J117" s="95"/>
      <c r="K117" s="95"/>
      <c r="L117" s="95"/>
      <c r="M117" s="95"/>
      <c r="N117" s="95"/>
      <c r="O117" s="95"/>
      <c r="P117" s="95"/>
      <c r="Q117" s="95"/>
      <c r="R117" s="95"/>
      <c r="S117" s="95"/>
      <c r="T117" s="95"/>
      <c r="U117" s="95"/>
      <c r="V117" s="95"/>
      <c r="W117" s="95"/>
      <c r="X117" s="95"/>
      <c r="Y117" s="95"/>
      <c r="Z117" s="95"/>
      <c r="AA117" s="95"/>
      <c r="AB117" s="95"/>
    </row>
    <row r="118" ht="15.75" customHeight="1">
      <c r="A118" s="95" t="s">
        <v>3495</v>
      </c>
      <c r="B118" s="227">
        <v>45726.0</v>
      </c>
      <c r="C118" s="95" t="s">
        <v>3496</v>
      </c>
      <c r="D118" s="95" t="s">
        <v>3379</v>
      </c>
      <c r="E118" s="95" t="s">
        <v>3217</v>
      </c>
      <c r="F118" s="130">
        <v>2700.0</v>
      </c>
      <c r="G118" s="95" t="s">
        <v>3372</v>
      </c>
      <c r="H118" s="95"/>
      <c r="I118" s="95"/>
      <c r="J118" s="95"/>
      <c r="K118" s="95"/>
      <c r="L118" s="95"/>
      <c r="M118" s="95"/>
      <c r="N118" s="95"/>
      <c r="O118" s="95"/>
      <c r="P118" s="95"/>
      <c r="Q118" s="95"/>
      <c r="R118" s="95"/>
      <c r="S118" s="95"/>
      <c r="T118" s="95"/>
      <c r="U118" s="95"/>
      <c r="V118" s="95"/>
      <c r="W118" s="95"/>
      <c r="X118" s="95"/>
      <c r="Y118" s="95"/>
      <c r="Z118" s="95"/>
      <c r="AA118" s="95"/>
      <c r="AB118" s="95"/>
    </row>
    <row r="119" ht="15.75" customHeight="1">
      <c r="A119" s="95" t="s">
        <v>3497</v>
      </c>
      <c r="B119" s="227">
        <v>45726.0</v>
      </c>
      <c r="C119" s="95" t="s">
        <v>3498</v>
      </c>
      <c r="D119" s="95" t="s">
        <v>3499</v>
      </c>
      <c r="E119" s="95" t="s">
        <v>3371</v>
      </c>
      <c r="F119" s="130">
        <v>3291.75</v>
      </c>
      <c r="G119" s="95" t="s">
        <v>3372</v>
      </c>
      <c r="H119" s="95"/>
      <c r="I119" s="95"/>
      <c r="J119" s="95"/>
      <c r="K119" s="95"/>
      <c r="L119" s="95"/>
      <c r="M119" s="95"/>
      <c r="N119" s="95"/>
      <c r="O119" s="95"/>
      <c r="P119" s="95"/>
      <c r="Q119" s="95"/>
      <c r="R119" s="95"/>
      <c r="S119" s="95"/>
      <c r="T119" s="95"/>
      <c r="U119" s="95"/>
      <c r="V119" s="95"/>
      <c r="W119" s="95"/>
      <c r="X119" s="95"/>
      <c r="Y119" s="95"/>
      <c r="Z119" s="95"/>
      <c r="AA119" s="95"/>
      <c r="AB119" s="95"/>
    </row>
    <row r="120" ht="15.75" customHeight="1">
      <c r="A120" s="95" t="s">
        <v>3500</v>
      </c>
      <c r="B120" s="227">
        <v>45726.0</v>
      </c>
      <c r="C120" s="95" t="s">
        <v>3501</v>
      </c>
      <c r="D120" s="95" t="s">
        <v>3502</v>
      </c>
      <c r="E120" s="95" t="s">
        <v>3217</v>
      </c>
      <c r="F120" s="130">
        <v>3000.0</v>
      </c>
      <c r="G120" s="95" t="s">
        <v>3372</v>
      </c>
      <c r="H120" s="95"/>
      <c r="I120" s="95"/>
      <c r="J120" s="95"/>
      <c r="K120" s="95"/>
      <c r="L120" s="95"/>
      <c r="M120" s="95"/>
      <c r="N120" s="95"/>
      <c r="O120" s="95"/>
      <c r="P120" s="95"/>
      <c r="Q120" s="95"/>
      <c r="R120" s="95"/>
      <c r="S120" s="95"/>
      <c r="T120" s="95"/>
      <c r="U120" s="95"/>
      <c r="V120" s="95"/>
      <c r="W120" s="95"/>
      <c r="X120" s="95"/>
      <c r="Y120" s="95"/>
      <c r="Z120" s="95"/>
      <c r="AA120" s="95"/>
      <c r="AB120" s="95"/>
    </row>
    <row r="121" ht="15.75" customHeight="1">
      <c r="A121" s="95" t="s">
        <v>3503</v>
      </c>
      <c r="B121" s="227">
        <v>45726.0</v>
      </c>
      <c r="C121" s="95" t="s">
        <v>3504</v>
      </c>
      <c r="D121" s="95" t="s">
        <v>3505</v>
      </c>
      <c r="E121" s="95" t="s">
        <v>3217</v>
      </c>
      <c r="F121" s="130">
        <v>7152.64</v>
      </c>
      <c r="G121" s="95" t="s">
        <v>3209</v>
      </c>
      <c r="H121" s="95"/>
      <c r="I121" s="95"/>
      <c r="J121" s="95"/>
      <c r="K121" s="95"/>
      <c r="L121" s="95"/>
      <c r="M121" s="95"/>
      <c r="N121" s="95"/>
      <c r="O121" s="95"/>
      <c r="P121" s="95"/>
      <c r="Q121" s="95"/>
      <c r="R121" s="95"/>
      <c r="S121" s="95"/>
      <c r="T121" s="95"/>
      <c r="U121" s="95"/>
      <c r="V121" s="95"/>
      <c r="W121" s="95"/>
      <c r="X121" s="95"/>
      <c r="Y121" s="95"/>
      <c r="Z121" s="95"/>
      <c r="AA121" s="95"/>
      <c r="AB121" s="95"/>
    </row>
    <row r="122" ht="15.75" customHeight="1">
      <c r="A122" s="95" t="s">
        <v>3506</v>
      </c>
      <c r="B122" s="227">
        <v>45726.0</v>
      </c>
      <c r="C122" s="95" t="s">
        <v>3490</v>
      </c>
      <c r="D122" s="95" t="s">
        <v>3309</v>
      </c>
      <c r="E122" s="95" t="s">
        <v>3217</v>
      </c>
      <c r="F122" s="130">
        <v>2850.0</v>
      </c>
      <c r="G122" s="95" t="s">
        <v>3372</v>
      </c>
      <c r="H122" s="95"/>
      <c r="I122" s="95"/>
      <c r="J122" s="95"/>
      <c r="K122" s="95"/>
      <c r="L122" s="95"/>
      <c r="M122" s="95"/>
      <c r="N122" s="95"/>
      <c r="O122" s="95"/>
      <c r="P122" s="95"/>
      <c r="Q122" s="95"/>
      <c r="R122" s="95"/>
      <c r="S122" s="95"/>
      <c r="T122" s="95"/>
      <c r="U122" s="95"/>
      <c r="V122" s="95"/>
      <c r="W122" s="95"/>
      <c r="X122" s="95"/>
      <c r="Y122" s="95"/>
      <c r="Z122" s="95"/>
      <c r="AA122" s="95"/>
      <c r="AB122" s="95"/>
    </row>
    <row r="123" ht="15.75" customHeight="1">
      <c r="A123" s="95" t="s">
        <v>3507</v>
      </c>
      <c r="B123" s="227">
        <v>45726.0</v>
      </c>
      <c r="C123" s="95" t="s">
        <v>3508</v>
      </c>
      <c r="D123" s="95" t="s">
        <v>3509</v>
      </c>
      <c r="E123" s="95" t="s">
        <v>3217</v>
      </c>
      <c r="F123" s="130">
        <v>5844.0</v>
      </c>
      <c r="G123" s="95" t="s">
        <v>3412</v>
      </c>
      <c r="H123" s="95"/>
      <c r="I123" s="95"/>
      <c r="J123" s="95"/>
      <c r="K123" s="95"/>
      <c r="L123" s="95"/>
      <c r="M123" s="95"/>
      <c r="N123" s="95"/>
      <c r="O123" s="95"/>
      <c r="P123" s="95"/>
      <c r="Q123" s="95"/>
      <c r="R123" s="95"/>
      <c r="S123" s="95"/>
      <c r="T123" s="95"/>
      <c r="U123" s="95"/>
      <c r="V123" s="95"/>
      <c r="W123" s="95"/>
      <c r="X123" s="95"/>
      <c r="Y123" s="95"/>
      <c r="Z123" s="95"/>
      <c r="AA123" s="95"/>
      <c r="AB123" s="95"/>
    </row>
    <row r="124" ht="15.75" customHeight="1">
      <c r="A124" s="95" t="s">
        <v>3510</v>
      </c>
      <c r="B124" s="227">
        <v>45726.0</v>
      </c>
      <c r="C124" s="95" t="s">
        <v>3511</v>
      </c>
      <c r="D124" s="95" t="s">
        <v>3512</v>
      </c>
      <c r="E124" s="95" t="s">
        <v>3217</v>
      </c>
      <c r="F124" s="130">
        <v>9000.0</v>
      </c>
      <c r="G124" s="95" t="s">
        <v>3412</v>
      </c>
      <c r="H124" s="95"/>
      <c r="I124" s="95"/>
      <c r="J124" s="95"/>
      <c r="K124" s="95"/>
      <c r="L124" s="95"/>
      <c r="M124" s="95"/>
      <c r="N124" s="95"/>
      <c r="O124" s="95"/>
      <c r="P124" s="95"/>
      <c r="Q124" s="95"/>
      <c r="R124" s="95"/>
      <c r="S124" s="95"/>
      <c r="T124" s="95"/>
      <c r="U124" s="95"/>
      <c r="V124" s="95"/>
      <c r="W124" s="95"/>
      <c r="X124" s="95"/>
      <c r="Y124" s="95"/>
      <c r="Z124" s="95"/>
      <c r="AA124" s="95"/>
      <c r="AB124" s="95"/>
    </row>
    <row r="125" ht="15.75" customHeight="1">
      <c r="A125" s="95" t="s">
        <v>3513</v>
      </c>
      <c r="B125" s="227">
        <v>45726.0</v>
      </c>
      <c r="C125" s="95" t="s">
        <v>3514</v>
      </c>
      <c r="D125" s="95" t="s">
        <v>3515</v>
      </c>
      <c r="E125" s="95" t="s">
        <v>3217</v>
      </c>
      <c r="F125" s="130">
        <v>5560.0</v>
      </c>
      <c r="G125" s="95" t="s">
        <v>3372</v>
      </c>
      <c r="H125" s="95"/>
      <c r="I125" s="95"/>
      <c r="J125" s="95"/>
      <c r="K125" s="95"/>
      <c r="L125" s="95"/>
      <c r="M125" s="95"/>
      <c r="N125" s="95"/>
      <c r="O125" s="95"/>
      <c r="P125" s="95"/>
      <c r="Q125" s="95"/>
      <c r="R125" s="95"/>
      <c r="S125" s="95"/>
      <c r="T125" s="95"/>
      <c r="U125" s="95"/>
      <c r="V125" s="95"/>
      <c r="W125" s="95"/>
      <c r="X125" s="95"/>
      <c r="Y125" s="95"/>
      <c r="Z125" s="95"/>
      <c r="AA125" s="95"/>
      <c r="AB125" s="95"/>
    </row>
    <row r="126" ht="15.75" customHeight="1">
      <c r="A126" s="95" t="s">
        <v>3516</v>
      </c>
      <c r="B126" s="95" t="s">
        <v>3517</v>
      </c>
      <c r="C126" s="95" t="s">
        <v>3225</v>
      </c>
      <c r="D126" s="95" t="s">
        <v>3518</v>
      </c>
      <c r="E126" s="95" t="s">
        <v>3217</v>
      </c>
      <c r="F126" s="130">
        <v>62906.83</v>
      </c>
      <c r="G126" s="95"/>
      <c r="H126" s="95" t="s">
        <v>3182</v>
      </c>
      <c r="I126" s="95"/>
      <c r="J126" s="95"/>
      <c r="K126" s="95"/>
      <c r="L126" s="95"/>
      <c r="M126" s="95"/>
      <c r="N126" s="95"/>
      <c r="O126" s="95"/>
      <c r="P126" s="95"/>
      <c r="Q126" s="95"/>
      <c r="R126" s="95"/>
      <c r="S126" s="95"/>
      <c r="T126" s="95"/>
      <c r="U126" s="95"/>
      <c r="V126" s="95"/>
      <c r="W126" s="95"/>
      <c r="X126" s="95"/>
      <c r="Y126" s="95"/>
      <c r="Z126" s="95"/>
      <c r="AA126" s="95"/>
      <c r="AB126" s="95"/>
    </row>
    <row r="127" ht="15.75" customHeight="1">
      <c r="A127" s="95" t="s">
        <v>3519</v>
      </c>
      <c r="B127" s="231">
        <v>45948.0</v>
      </c>
      <c r="C127" s="95" t="s">
        <v>3520</v>
      </c>
      <c r="D127" s="95" t="s">
        <v>3521</v>
      </c>
      <c r="E127" s="95" t="s">
        <v>3217</v>
      </c>
      <c r="F127" s="130">
        <v>4100.0</v>
      </c>
      <c r="G127" s="95"/>
      <c r="H127" s="95"/>
      <c r="I127" s="95"/>
      <c r="J127" s="95"/>
      <c r="K127" s="95"/>
      <c r="L127" s="95"/>
      <c r="M127" s="95"/>
      <c r="N127" s="95"/>
      <c r="O127" s="95"/>
      <c r="P127" s="95"/>
      <c r="Q127" s="95"/>
      <c r="R127" s="95"/>
      <c r="S127" s="95"/>
      <c r="T127" s="95"/>
      <c r="U127" s="95"/>
      <c r="V127" s="95"/>
      <c r="W127" s="95"/>
      <c r="X127" s="95"/>
      <c r="Y127" s="95"/>
      <c r="Z127" s="95"/>
      <c r="AA127" s="95"/>
      <c r="AB127" s="95"/>
    </row>
    <row r="128" ht="15.75" customHeight="1">
      <c r="A128" s="95" t="s">
        <v>3522</v>
      </c>
      <c r="B128" s="231">
        <v>45958.0</v>
      </c>
      <c r="C128" s="95" t="s">
        <v>3520</v>
      </c>
      <c r="D128" s="95" t="s">
        <v>3523</v>
      </c>
      <c r="E128" s="95" t="s">
        <v>3217</v>
      </c>
      <c r="F128" s="130">
        <v>2494.0</v>
      </c>
      <c r="G128" s="95"/>
      <c r="H128" s="95"/>
      <c r="I128" s="95"/>
      <c r="J128" s="95"/>
      <c r="K128" s="95"/>
      <c r="L128" s="95"/>
      <c r="M128" s="95"/>
      <c r="N128" s="95"/>
      <c r="O128" s="95"/>
      <c r="P128" s="95"/>
      <c r="Q128" s="95"/>
      <c r="R128" s="95"/>
      <c r="S128" s="95"/>
      <c r="T128" s="95"/>
      <c r="U128" s="95"/>
      <c r="V128" s="95"/>
      <c r="W128" s="95"/>
      <c r="X128" s="95"/>
      <c r="Y128" s="95"/>
      <c r="Z128" s="95"/>
      <c r="AA128" s="95"/>
      <c r="AB128" s="95"/>
    </row>
    <row r="129" ht="15.75" customHeight="1">
      <c r="A129" s="95" t="s">
        <v>3524</v>
      </c>
      <c r="B129" s="231">
        <v>45959.0</v>
      </c>
      <c r="C129" s="95" t="s">
        <v>3525</v>
      </c>
      <c r="D129" s="95" t="s">
        <v>3483</v>
      </c>
      <c r="E129" s="95" t="s">
        <v>3217</v>
      </c>
      <c r="F129" s="130">
        <v>19500.0</v>
      </c>
      <c r="G129" s="95"/>
      <c r="H129" s="95"/>
      <c r="I129" s="95"/>
      <c r="J129" s="95"/>
      <c r="K129" s="95"/>
      <c r="L129" s="95"/>
      <c r="M129" s="95"/>
      <c r="N129" s="95"/>
      <c r="O129" s="95"/>
      <c r="P129" s="95"/>
      <c r="Q129" s="95"/>
      <c r="R129" s="95"/>
      <c r="S129" s="95"/>
      <c r="T129" s="95"/>
      <c r="U129" s="95"/>
      <c r="V129" s="95"/>
      <c r="W129" s="95"/>
      <c r="X129" s="95"/>
      <c r="Y129" s="95"/>
      <c r="Z129" s="95"/>
      <c r="AA129" s="95"/>
      <c r="AB129" s="95"/>
    </row>
    <row r="130" ht="15.75" customHeight="1">
      <c r="A130" s="95" t="s">
        <v>3526</v>
      </c>
      <c r="B130" s="231">
        <v>45957.0</v>
      </c>
      <c r="C130" s="95" t="s">
        <v>3520</v>
      </c>
      <c r="D130" s="95" t="s">
        <v>3527</v>
      </c>
      <c r="E130" s="95" t="s">
        <v>3217</v>
      </c>
      <c r="F130" s="130">
        <v>4475.0</v>
      </c>
      <c r="G130" s="95"/>
      <c r="H130" s="95"/>
      <c r="I130" s="95"/>
      <c r="J130" s="95"/>
      <c r="K130" s="95"/>
      <c r="L130" s="95"/>
      <c r="M130" s="95"/>
      <c r="N130" s="95"/>
      <c r="O130" s="95"/>
      <c r="P130" s="95"/>
      <c r="Q130" s="95"/>
      <c r="R130" s="95"/>
      <c r="S130" s="95"/>
      <c r="T130" s="95"/>
      <c r="U130" s="95"/>
      <c r="V130" s="95"/>
      <c r="W130" s="95"/>
      <c r="X130" s="95"/>
      <c r="Y130" s="95"/>
      <c r="Z130" s="95"/>
      <c r="AA130" s="95"/>
      <c r="AB130" s="95"/>
    </row>
    <row r="131" ht="15.75" customHeight="1">
      <c r="A131" s="95" t="s">
        <v>3528</v>
      </c>
      <c r="B131" s="231">
        <v>45959.0</v>
      </c>
      <c r="C131" s="95" t="s">
        <v>3520</v>
      </c>
      <c r="D131" s="95" t="s">
        <v>3529</v>
      </c>
      <c r="E131" s="95" t="s">
        <v>3217</v>
      </c>
      <c r="F131" s="130">
        <v>550.0</v>
      </c>
      <c r="G131" s="95"/>
      <c r="H131" s="95"/>
      <c r="I131" s="95"/>
      <c r="J131" s="95"/>
      <c r="K131" s="95"/>
      <c r="L131" s="95"/>
      <c r="M131" s="95"/>
      <c r="N131" s="95"/>
      <c r="O131" s="95"/>
      <c r="P131" s="95"/>
      <c r="Q131" s="95"/>
      <c r="R131" s="95"/>
      <c r="S131" s="95"/>
      <c r="T131" s="95"/>
      <c r="U131" s="95"/>
      <c r="V131" s="95"/>
      <c r="W131" s="95"/>
      <c r="X131" s="95"/>
      <c r="Y131" s="95"/>
      <c r="Z131" s="95"/>
      <c r="AA131" s="95"/>
      <c r="AB131" s="95"/>
    </row>
    <row r="132" ht="15.75" customHeight="1">
      <c r="A132" s="95" t="s">
        <v>3530</v>
      </c>
      <c r="B132" s="231">
        <v>45940.0</v>
      </c>
      <c r="C132" s="95" t="s">
        <v>3225</v>
      </c>
      <c r="D132" s="95" t="s">
        <v>3531</v>
      </c>
      <c r="E132" s="95" t="s">
        <v>3217</v>
      </c>
      <c r="F132" s="130">
        <v>50963.29</v>
      </c>
      <c r="G132" s="95"/>
      <c r="H132" s="95" t="s">
        <v>3182</v>
      </c>
      <c r="I132" s="95"/>
      <c r="J132" s="95"/>
      <c r="K132" s="95"/>
      <c r="L132" s="95"/>
      <c r="M132" s="95"/>
      <c r="N132" s="95"/>
      <c r="O132" s="95"/>
      <c r="P132" s="95"/>
      <c r="Q132" s="95"/>
      <c r="R132" s="95"/>
      <c r="S132" s="95"/>
      <c r="T132" s="95"/>
      <c r="U132" s="95"/>
      <c r="V132" s="95"/>
      <c r="W132" s="95"/>
      <c r="X132" s="95"/>
      <c r="Y132" s="95"/>
      <c r="Z132" s="95"/>
      <c r="AA132" s="95"/>
      <c r="AB132" s="95"/>
    </row>
    <row r="133" ht="15.75" customHeight="1">
      <c r="A133" s="95" t="s">
        <v>3532</v>
      </c>
      <c r="B133" s="231">
        <v>45943.0</v>
      </c>
      <c r="C133" s="95" t="s">
        <v>3520</v>
      </c>
      <c r="D133" s="95" t="s">
        <v>3533</v>
      </c>
      <c r="E133" s="95" t="s">
        <v>3217</v>
      </c>
      <c r="F133" s="130">
        <v>4893.0</v>
      </c>
      <c r="G133" s="95"/>
      <c r="H133" s="95"/>
      <c r="I133" s="95"/>
      <c r="J133" s="95"/>
      <c r="K133" s="95"/>
      <c r="L133" s="95"/>
      <c r="M133" s="95"/>
      <c r="N133" s="95"/>
      <c r="O133" s="95"/>
      <c r="P133" s="95"/>
      <c r="Q133" s="95"/>
      <c r="R133" s="95"/>
      <c r="S133" s="95"/>
      <c r="T133" s="95"/>
      <c r="U133" s="95"/>
      <c r="V133" s="95"/>
      <c r="W133" s="95"/>
      <c r="X133" s="95"/>
      <c r="Y133" s="95"/>
      <c r="Z133" s="95"/>
      <c r="AA133" s="95"/>
      <c r="AB133" s="95"/>
    </row>
    <row r="134" ht="15.75" customHeight="1">
      <c r="A134" s="95" t="s">
        <v>3534</v>
      </c>
      <c r="B134" s="231">
        <v>45959.0</v>
      </c>
      <c r="C134" s="95" t="s">
        <v>3520</v>
      </c>
      <c r="D134" s="95" t="s">
        <v>3535</v>
      </c>
      <c r="E134" s="95" t="s">
        <v>3217</v>
      </c>
      <c r="F134" s="130">
        <v>3560.0</v>
      </c>
      <c r="G134" s="95"/>
      <c r="H134" s="95"/>
      <c r="I134" s="95"/>
      <c r="J134" s="95"/>
      <c r="K134" s="95"/>
      <c r="L134" s="95"/>
      <c r="M134" s="95"/>
      <c r="N134" s="95"/>
      <c r="O134" s="95"/>
      <c r="P134" s="95"/>
      <c r="Q134" s="95"/>
      <c r="R134" s="95"/>
      <c r="S134" s="95"/>
      <c r="T134" s="95"/>
      <c r="U134" s="95"/>
      <c r="V134" s="95"/>
      <c r="W134" s="95"/>
      <c r="X134" s="95"/>
      <c r="Y134" s="95"/>
      <c r="Z134" s="95"/>
      <c r="AA134" s="95"/>
      <c r="AB134" s="95"/>
    </row>
    <row r="135" ht="15.75" customHeight="1">
      <c r="A135" s="95" t="s">
        <v>3536</v>
      </c>
      <c r="B135" s="231">
        <v>45957.0</v>
      </c>
      <c r="C135" s="95" t="s">
        <v>3537</v>
      </c>
      <c r="D135" s="95" t="s">
        <v>3538</v>
      </c>
      <c r="E135" s="95" t="s">
        <v>3539</v>
      </c>
      <c r="F135" s="130">
        <v>3000.0</v>
      </c>
      <c r="G135" s="95"/>
      <c r="H135" s="95"/>
      <c r="I135" s="95"/>
      <c r="J135" s="95"/>
      <c r="K135" s="95"/>
      <c r="L135" s="95"/>
      <c r="M135" s="95"/>
      <c r="N135" s="95"/>
      <c r="O135" s="95"/>
      <c r="P135" s="95"/>
      <c r="Q135" s="95"/>
      <c r="R135" s="95"/>
      <c r="S135" s="95"/>
      <c r="T135" s="95"/>
      <c r="U135" s="95"/>
      <c r="V135" s="95"/>
      <c r="W135" s="95"/>
      <c r="X135" s="95"/>
      <c r="Y135" s="95"/>
      <c r="Z135" s="95"/>
      <c r="AA135" s="95"/>
      <c r="AB135" s="95"/>
    </row>
    <row r="136" ht="15.75" customHeight="1">
      <c r="A136" s="95" t="s">
        <v>3540</v>
      </c>
      <c r="B136" s="231">
        <v>45957.0</v>
      </c>
      <c r="C136" s="95" t="s">
        <v>3541</v>
      </c>
      <c r="D136" s="95" t="s">
        <v>3542</v>
      </c>
      <c r="E136" s="95" t="s">
        <v>3217</v>
      </c>
      <c r="F136" s="130">
        <v>396768.68</v>
      </c>
      <c r="G136" s="95"/>
      <c r="H136" s="95"/>
      <c r="I136" s="95"/>
      <c r="J136" s="95"/>
      <c r="K136" s="95"/>
      <c r="L136" s="95"/>
      <c r="M136" s="95"/>
      <c r="N136" s="95"/>
      <c r="O136" s="95"/>
      <c r="P136" s="95"/>
      <c r="Q136" s="95"/>
      <c r="R136" s="95"/>
      <c r="S136" s="95"/>
      <c r="T136" s="95"/>
      <c r="U136" s="95"/>
      <c r="V136" s="95"/>
      <c r="W136" s="95"/>
      <c r="X136" s="95"/>
      <c r="Y136" s="95"/>
      <c r="Z136" s="95"/>
      <c r="AA136" s="95"/>
      <c r="AB136" s="95"/>
    </row>
    <row r="137" ht="15.75" customHeight="1">
      <c r="A137" s="95" t="s">
        <v>3543</v>
      </c>
      <c r="B137" s="232">
        <v>45964.0</v>
      </c>
      <c r="C137" s="95" t="s">
        <v>3537</v>
      </c>
      <c r="D137" s="95" t="s">
        <v>3538</v>
      </c>
      <c r="E137" s="95" t="s">
        <v>3217</v>
      </c>
      <c r="F137" s="130">
        <v>1000.0</v>
      </c>
      <c r="G137" s="95"/>
      <c r="H137" s="95"/>
      <c r="I137" s="95"/>
      <c r="J137" s="95"/>
      <c r="K137" s="95"/>
      <c r="L137" s="95"/>
      <c r="M137" s="95"/>
      <c r="N137" s="95"/>
      <c r="O137" s="95"/>
      <c r="P137" s="95"/>
      <c r="Q137" s="95"/>
      <c r="R137" s="95"/>
      <c r="S137" s="95"/>
      <c r="T137" s="95"/>
      <c r="U137" s="95"/>
      <c r="V137" s="95"/>
      <c r="W137" s="95"/>
      <c r="X137" s="95"/>
      <c r="Y137" s="95"/>
      <c r="Z137" s="95"/>
      <c r="AA137" s="95"/>
      <c r="AB137" s="95"/>
    </row>
    <row r="138" ht="15.75" customHeight="1">
      <c r="A138" s="95" t="s">
        <v>3544</v>
      </c>
      <c r="B138" s="95"/>
      <c r="C138" s="95"/>
      <c r="D138" s="95"/>
      <c r="E138" s="95"/>
      <c r="F138" s="130"/>
      <c r="G138" s="95"/>
      <c r="H138" s="95"/>
      <c r="I138" s="95"/>
      <c r="J138" s="95"/>
      <c r="K138" s="95"/>
      <c r="L138" s="95"/>
      <c r="M138" s="95"/>
      <c r="N138" s="95"/>
      <c r="O138" s="95"/>
      <c r="P138" s="95"/>
      <c r="Q138" s="95"/>
      <c r="R138" s="95"/>
      <c r="S138" s="95"/>
      <c r="T138" s="95"/>
      <c r="U138" s="95"/>
      <c r="V138" s="95"/>
      <c r="W138" s="95"/>
      <c r="X138" s="95"/>
      <c r="Y138" s="95"/>
      <c r="Z138" s="95"/>
      <c r="AA138" s="95"/>
      <c r="AB138" s="95"/>
    </row>
    <row r="139" ht="15.75" customHeight="1">
      <c r="A139" s="95" t="s">
        <v>3545</v>
      </c>
      <c r="B139" s="95"/>
      <c r="C139" s="95"/>
      <c r="D139" s="95"/>
      <c r="E139" s="95"/>
      <c r="F139" s="130"/>
      <c r="G139" s="95"/>
      <c r="H139" s="95"/>
      <c r="I139" s="95"/>
      <c r="J139" s="95"/>
      <c r="K139" s="95"/>
      <c r="L139" s="95"/>
      <c r="M139" s="95"/>
      <c r="N139" s="95"/>
      <c r="O139" s="95"/>
      <c r="P139" s="95"/>
      <c r="Q139" s="95"/>
      <c r="R139" s="95"/>
      <c r="S139" s="95"/>
      <c r="T139" s="95"/>
      <c r="U139" s="95"/>
      <c r="V139" s="95"/>
      <c r="W139" s="95"/>
      <c r="X139" s="95"/>
      <c r="Y139" s="95"/>
      <c r="Z139" s="95"/>
      <c r="AA139" s="95"/>
      <c r="AB139" s="95"/>
    </row>
    <row r="140" ht="15.75" customHeight="1">
      <c r="A140" s="95" t="s">
        <v>3546</v>
      </c>
      <c r="B140" s="95"/>
      <c r="C140" s="95"/>
      <c r="D140" s="95"/>
      <c r="E140" s="95"/>
      <c r="F140" s="130"/>
      <c r="G140" s="95"/>
      <c r="H140" s="95"/>
      <c r="I140" s="95"/>
      <c r="J140" s="95"/>
      <c r="K140" s="95"/>
      <c r="L140" s="95"/>
      <c r="M140" s="95"/>
      <c r="N140" s="95"/>
      <c r="O140" s="95"/>
      <c r="P140" s="95"/>
      <c r="Q140" s="95"/>
      <c r="R140" s="95"/>
      <c r="S140" s="95"/>
      <c r="T140" s="95"/>
      <c r="U140" s="95"/>
      <c r="V140" s="95"/>
      <c r="W140" s="95"/>
      <c r="X140" s="95"/>
      <c r="Y140" s="95"/>
      <c r="Z140" s="95"/>
      <c r="AA140" s="95"/>
      <c r="AB140" s="95"/>
    </row>
    <row r="141" ht="15.75" customHeight="1">
      <c r="A141" s="95" t="s">
        <v>3547</v>
      </c>
      <c r="B141" s="95"/>
      <c r="C141" s="95"/>
      <c r="D141" s="95"/>
      <c r="E141" s="95"/>
      <c r="F141" s="130"/>
      <c r="G141" s="95"/>
      <c r="H141" s="95"/>
      <c r="I141" s="95"/>
      <c r="J141" s="95"/>
      <c r="K141" s="95"/>
      <c r="L141" s="95"/>
      <c r="M141" s="95"/>
      <c r="N141" s="95"/>
      <c r="O141" s="95"/>
      <c r="P141" s="95"/>
      <c r="Q141" s="95"/>
      <c r="R141" s="95"/>
      <c r="S141" s="95"/>
      <c r="T141" s="95"/>
      <c r="U141" s="95"/>
      <c r="V141" s="95"/>
      <c r="W141" s="95"/>
      <c r="X141" s="95"/>
      <c r="Y141" s="95"/>
      <c r="Z141" s="95"/>
      <c r="AA141" s="95"/>
      <c r="AB141" s="95"/>
    </row>
    <row r="142" ht="15.75" customHeight="1">
      <c r="A142" s="95" t="s">
        <v>3548</v>
      </c>
      <c r="B142" s="95"/>
      <c r="C142" s="95"/>
      <c r="D142" s="95"/>
      <c r="E142" s="95"/>
      <c r="F142" s="130"/>
      <c r="G142" s="95"/>
      <c r="H142" s="95"/>
      <c r="I142" s="95"/>
      <c r="J142" s="95"/>
      <c r="K142" s="95"/>
      <c r="L142" s="95"/>
      <c r="M142" s="95"/>
      <c r="N142" s="95"/>
      <c r="O142" s="95"/>
      <c r="P142" s="95"/>
      <c r="Q142" s="95"/>
      <c r="R142" s="95"/>
      <c r="S142" s="95"/>
      <c r="T142" s="95"/>
      <c r="U142" s="95"/>
      <c r="V142" s="95"/>
      <c r="W142" s="95"/>
      <c r="X142" s="95"/>
      <c r="Y142" s="95"/>
      <c r="Z142" s="95"/>
      <c r="AA142" s="95"/>
      <c r="AB142" s="95"/>
    </row>
    <row r="143" ht="15.75" customHeight="1">
      <c r="A143" s="95" t="s">
        <v>3549</v>
      </c>
      <c r="B143" s="95"/>
      <c r="C143" s="95"/>
      <c r="D143" s="95"/>
      <c r="E143" s="95"/>
      <c r="F143" s="130"/>
      <c r="G143" s="95"/>
      <c r="H143" s="95"/>
      <c r="I143" s="95"/>
      <c r="J143" s="95"/>
      <c r="K143" s="95"/>
      <c r="L143" s="95"/>
      <c r="M143" s="95"/>
      <c r="N143" s="95"/>
      <c r="O143" s="95"/>
      <c r="P143" s="95"/>
      <c r="Q143" s="95"/>
      <c r="R143" s="95"/>
      <c r="S143" s="95"/>
      <c r="T143" s="95"/>
      <c r="U143" s="95"/>
      <c r="V143" s="95"/>
      <c r="W143" s="95"/>
      <c r="X143" s="95"/>
      <c r="Y143" s="95"/>
      <c r="Z143" s="95"/>
      <c r="AA143" s="95"/>
      <c r="AB143" s="95"/>
    </row>
    <row r="144" ht="15.75" customHeight="1">
      <c r="A144" s="95" t="s">
        <v>3550</v>
      </c>
      <c r="B144" s="95"/>
      <c r="C144" s="95"/>
      <c r="D144" s="95"/>
      <c r="E144" s="95"/>
      <c r="F144" s="130"/>
      <c r="G144" s="95"/>
      <c r="H144" s="95"/>
      <c r="I144" s="95"/>
      <c r="J144" s="95"/>
      <c r="K144" s="95"/>
      <c r="L144" s="95"/>
      <c r="M144" s="95"/>
      <c r="N144" s="95"/>
      <c r="O144" s="95"/>
      <c r="P144" s="95"/>
      <c r="Q144" s="95"/>
      <c r="R144" s="95"/>
      <c r="S144" s="95"/>
      <c r="T144" s="95"/>
      <c r="U144" s="95"/>
      <c r="V144" s="95"/>
      <c r="W144" s="95"/>
      <c r="X144" s="95"/>
      <c r="Y144" s="95"/>
      <c r="Z144" s="95"/>
      <c r="AA144" s="95"/>
      <c r="AB144" s="95"/>
    </row>
    <row r="145" ht="15.75" customHeight="1">
      <c r="A145" s="95" t="s">
        <v>3551</v>
      </c>
      <c r="B145" s="95"/>
      <c r="C145" s="95"/>
      <c r="D145" s="95"/>
      <c r="E145" s="95"/>
      <c r="F145" s="130"/>
      <c r="G145" s="95"/>
      <c r="H145" s="95"/>
      <c r="I145" s="95"/>
      <c r="J145" s="95"/>
      <c r="K145" s="95"/>
      <c r="L145" s="95"/>
      <c r="M145" s="95"/>
      <c r="N145" s="95"/>
      <c r="O145" s="95"/>
      <c r="P145" s="95"/>
      <c r="Q145" s="95"/>
      <c r="R145" s="95"/>
      <c r="S145" s="95"/>
      <c r="T145" s="95"/>
      <c r="U145" s="95"/>
      <c r="V145" s="95"/>
      <c r="W145" s="95"/>
      <c r="X145" s="95"/>
      <c r="Y145" s="95"/>
      <c r="Z145" s="95"/>
      <c r="AA145" s="95"/>
      <c r="AB145" s="95"/>
    </row>
    <row r="146" ht="15.75" customHeight="1">
      <c r="A146" s="95" t="s">
        <v>3552</v>
      </c>
      <c r="B146" s="95"/>
      <c r="C146" s="95"/>
      <c r="D146" s="95"/>
      <c r="E146" s="95"/>
      <c r="F146" s="130"/>
      <c r="G146" s="95"/>
      <c r="H146" s="95"/>
      <c r="I146" s="95"/>
      <c r="J146" s="95"/>
      <c r="K146" s="95"/>
      <c r="L146" s="95"/>
      <c r="M146" s="95"/>
      <c r="N146" s="95"/>
      <c r="O146" s="95"/>
      <c r="P146" s="95"/>
      <c r="Q146" s="95"/>
      <c r="R146" s="95"/>
      <c r="S146" s="95"/>
      <c r="T146" s="95"/>
      <c r="U146" s="95"/>
      <c r="V146" s="95"/>
      <c r="W146" s="95"/>
      <c r="X146" s="95"/>
      <c r="Y146" s="95"/>
      <c r="Z146" s="95"/>
      <c r="AA146" s="95"/>
      <c r="AB146" s="95"/>
    </row>
    <row r="147" ht="15.75" customHeight="1">
      <c r="A147" s="95" t="s">
        <v>3553</v>
      </c>
      <c r="B147" s="95"/>
      <c r="C147" s="95"/>
      <c r="D147" s="95"/>
      <c r="E147" s="95"/>
      <c r="F147" s="130"/>
      <c r="G147" s="95"/>
      <c r="H147" s="95"/>
      <c r="I147" s="95"/>
      <c r="J147" s="95"/>
      <c r="K147" s="95"/>
      <c r="L147" s="95"/>
      <c r="M147" s="95"/>
      <c r="N147" s="95"/>
      <c r="O147" s="95"/>
      <c r="P147" s="95"/>
      <c r="Q147" s="95"/>
      <c r="R147" s="95"/>
      <c r="S147" s="95"/>
      <c r="T147" s="95"/>
      <c r="U147" s="95"/>
      <c r="V147" s="95"/>
      <c r="W147" s="95"/>
      <c r="X147" s="95"/>
      <c r="Y147" s="95"/>
      <c r="Z147" s="95"/>
      <c r="AA147" s="95"/>
      <c r="AB147" s="95"/>
    </row>
    <row r="148" ht="15.75" customHeight="1">
      <c r="A148" s="95" t="s">
        <v>3554</v>
      </c>
      <c r="B148" s="95"/>
      <c r="C148" s="95"/>
      <c r="D148" s="95"/>
      <c r="E148" s="95"/>
      <c r="F148" s="130"/>
      <c r="G148" s="95"/>
      <c r="H148" s="95"/>
      <c r="I148" s="95"/>
      <c r="J148" s="95"/>
      <c r="K148" s="95"/>
      <c r="L148" s="95"/>
      <c r="M148" s="95"/>
      <c r="N148" s="95"/>
      <c r="O148" s="95"/>
      <c r="P148" s="95"/>
      <c r="Q148" s="95"/>
      <c r="R148" s="95"/>
      <c r="S148" s="95"/>
      <c r="T148" s="95"/>
      <c r="U148" s="95"/>
      <c r="V148" s="95"/>
      <c r="W148" s="95"/>
      <c r="X148" s="95"/>
      <c r="Y148" s="95"/>
      <c r="Z148" s="95"/>
      <c r="AA148" s="95"/>
      <c r="AB148" s="95"/>
    </row>
    <row r="149" ht="15.75" customHeight="1">
      <c r="A149" s="95" t="s">
        <v>3555</v>
      </c>
      <c r="B149" s="95"/>
      <c r="C149" s="95"/>
      <c r="D149" s="95"/>
      <c r="E149" s="95"/>
      <c r="F149" s="130"/>
      <c r="G149" s="95"/>
      <c r="H149" s="95"/>
      <c r="I149" s="95"/>
      <c r="J149" s="95"/>
      <c r="K149" s="95"/>
      <c r="L149" s="95"/>
      <c r="M149" s="95"/>
      <c r="N149" s="95"/>
      <c r="O149" s="95"/>
      <c r="P149" s="95"/>
      <c r="Q149" s="95"/>
      <c r="R149" s="95"/>
      <c r="S149" s="95"/>
      <c r="T149" s="95"/>
      <c r="U149" s="95"/>
      <c r="V149" s="95"/>
      <c r="W149" s="95"/>
      <c r="X149" s="95"/>
      <c r="Y149" s="95"/>
      <c r="Z149" s="95"/>
      <c r="AA149" s="95"/>
      <c r="AB149" s="95"/>
    </row>
    <row r="150" ht="15.75" customHeight="1">
      <c r="A150" s="95" t="s">
        <v>3556</v>
      </c>
      <c r="B150" s="95"/>
      <c r="C150" s="95"/>
      <c r="D150" s="95"/>
      <c r="E150" s="95"/>
      <c r="F150" s="130"/>
      <c r="G150" s="95"/>
      <c r="H150" s="95"/>
      <c r="I150" s="95"/>
      <c r="J150" s="95"/>
      <c r="K150" s="95"/>
      <c r="L150" s="95"/>
      <c r="M150" s="95"/>
      <c r="N150" s="95"/>
      <c r="O150" s="95"/>
      <c r="P150" s="95"/>
      <c r="Q150" s="95"/>
      <c r="R150" s="95"/>
      <c r="S150" s="95"/>
      <c r="T150" s="95"/>
      <c r="U150" s="95"/>
      <c r="V150" s="95"/>
      <c r="W150" s="95"/>
      <c r="X150" s="95"/>
      <c r="Y150" s="95"/>
      <c r="Z150" s="95"/>
      <c r="AA150" s="95"/>
      <c r="AB150" s="95"/>
    </row>
    <row r="151" ht="15.75" customHeight="1">
      <c r="A151" s="95" t="s">
        <v>3557</v>
      </c>
      <c r="B151" s="95"/>
      <c r="C151" s="95"/>
      <c r="D151" s="95"/>
      <c r="E151" s="95"/>
      <c r="F151" s="130"/>
      <c r="G151" s="95"/>
      <c r="H151" s="95"/>
      <c r="I151" s="95"/>
      <c r="J151" s="95"/>
      <c r="K151" s="95"/>
      <c r="L151" s="95"/>
      <c r="M151" s="95"/>
      <c r="N151" s="95"/>
      <c r="O151" s="95"/>
      <c r="P151" s="95"/>
      <c r="Q151" s="95"/>
      <c r="R151" s="95"/>
      <c r="S151" s="95"/>
      <c r="T151" s="95"/>
      <c r="U151" s="95"/>
      <c r="V151" s="95"/>
      <c r="W151" s="95"/>
      <c r="X151" s="95"/>
      <c r="Y151" s="95"/>
      <c r="Z151" s="95"/>
      <c r="AA151" s="95"/>
      <c r="AB151" s="95"/>
    </row>
    <row r="152" ht="15.75" customHeight="1">
      <c r="A152" s="95" t="s">
        <v>3558</v>
      </c>
      <c r="B152" s="95"/>
      <c r="C152" s="95"/>
      <c r="D152" s="95"/>
      <c r="E152" s="95"/>
      <c r="F152" s="130"/>
      <c r="G152" s="95"/>
      <c r="H152" s="95"/>
      <c r="I152" s="95"/>
      <c r="J152" s="95"/>
      <c r="K152" s="95"/>
      <c r="L152" s="95"/>
      <c r="M152" s="95"/>
      <c r="N152" s="95"/>
      <c r="O152" s="95"/>
      <c r="P152" s="95"/>
      <c r="Q152" s="95"/>
      <c r="R152" s="95"/>
      <c r="S152" s="95"/>
      <c r="T152" s="95"/>
      <c r="U152" s="95"/>
      <c r="V152" s="95"/>
      <c r="W152" s="95"/>
      <c r="X152" s="95"/>
      <c r="Y152" s="95"/>
      <c r="Z152" s="95"/>
      <c r="AA152" s="95"/>
      <c r="AB152" s="95"/>
    </row>
    <row r="153" ht="15.75" customHeight="1">
      <c r="A153" s="95" t="s">
        <v>3559</v>
      </c>
      <c r="B153" s="95"/>
      <c r="C153" s="95"/>
      <c r="D153" s="95"/>
      <c r="E153" s="95"/>
      <c r="F153" s="130"/>
      <c r="G153" s="95"/>
      <c r="H153" s="95"/>
      <c r="I153" s="95"/>
      <c r="J153" s="95"/>
      <c r="K153" s="95"/>
      <c r="L153" s="95"/>
      <c r="M153" s="95"/>
      <c r="N153" s="95"/>
      <c r="O153" s="95"/>
      <c r="P153" s="95"/>
      <c r="Q153" s="95"/>
      <c r="R153" s="95"/>
      <c r="S153" s="95"/>
      <c r="T153" s="95"/>
      <c r="U153" s="95"/>
      <c r="V153" s="95"/>
      <c r="W153" s="95"/>
      <c r="X153" s="95"/>
      <c r="Y153" s="95"/>
      <c r="Z153" s="95"/>
      <c r="AA153" s="95"/>
      <c r="AB153" s="95"/>
    </row>
    <row r="154" ht="15.75" customHeight="1">
      <c r="A154" s="95" t="s">
        <v>3560</v>
      </c>
      <c r="B154" s="95"/>
      <c r="C154" s="95"/>
      <c r="D154" s="95"/>
      <c r="E154" s="95"/>
      <c r="F154" s="130"/>
      <c r="G154" s="95"/>
      <c r="H154" s="95"/>
      <c r="I154" s="95"/>
      <c r="J154" s="95"/>
      <c r="K154" s="95"/>
      <c r="L154" s="95"/>
      <c r="M154" s="95"/>
      <c r="N154" s="95"/>
      <c r="O154" s="95"/>
      <c r="P154" s="95"/>
      <c r="Q154" s="95"/>
      <c r="R154" s="95"/>
      <c r="S154" s="95"/>
      <c r="T154" s="95"/>
      <c r="U154" s="95"/>
      <c r="V154" s="95"/>
      <c r="W154" s="95"/>
      <c r="X154" s="95"/>
      <c r="Y154" s="95"/>
      <c r="Z154" s="95"/>
      <c r="AA154" s="95"/>
      <c r="AB154" s="95"/>
    </row>
    <row r="155" ht="15.75" customHeight="1">
      <c r="A155" s="95" t="s">
        <v>3561</v>
      </c>
      <c r="B155" s="95"/>
      <c r="C155" s="95"/>
      <c r="D155" s="95"/>
      <c r="E155" s="95"/>
      <c r="F155" s="130"/>
      <c r="G155" s="95"/>
      <c r="H155" s="95"/>
      <c r="I155" s="95"/>
      <c r="J155" s="95"/>
      <c r="K155" s="95"/>
      <c r="L155" s="95"/>
      <c r="M155" s="95"/>
      <c r="N155" s="95"/>
      <c r="O155" s="95"/>
      <c r="P155" s="95"/>
      <c r="Q155" s="95"/>
      <c r="R155" s="95"/>
      <c r="S155" s="95"/>
      <c r="T155" s="95"/>
      <c r="U155" s="95"/>
      <c r="V155" s="95"/>
      <c r="W155" s="95"/>
      <c r="X155" s="95"/>
      <c r="Y155" s="95"/>
      <c r="Z155" s="95"/>
      <c r="AA155" s="95"/>
      <c r="AB155" s="95"/>
    </row>
    <row r="156" ht="15.75" customHeight="1">
      <c r="A156" s="95" t="s">
        <v>3562</v>
      </c>
      <c r="B156" s="95"/>
      <c r="C156" s="95"/>
      <c r="D156" s="95"/>
      <c r="E156" s="95"/>
      <c r="F156" s="130"/>
      <c r="G156" s="95"/>
      <c r="H156" s="95"/>
      <c r="I156" s="95"/>
      <c r="J156" s="95"/>
      <c r="K156" s="95"/>
      <c r="L156" s="95"/>
      <c r="M156" s="95"/>
      <c r="N156" s="95"/>
      <c r="O156" s="95"/>
      <c r="P156" s="95"/>
      <c r="Q156" s="95"/>
      <c r="R156" s="95"/>
      <c r="S156" s="95"/>
      <c r="T156" s="95"/>
      <c r="U156" s="95"/>
      <c r="V156" s="95"/>
      <c r="W156" s="95"/>
      <c r="X156" s="95"/>
      <c r="Y156" s="95"/>
      <c r="Z156" s="95"/>
      <c r="AA156" s="95"/>
      <c r="AB156" s="95"/>
    </row>
    <row r="157" ht="15.75" customHeight="1">
      <c r="A157" s="95" t="s">
        <v>3563</v>
      </c>
      <c r="B157" s="95"/>
      <c r="C157" s="95"/>
      <c r="D157" s="95"/>
      <c r="E157" s="95"/>
      <c r="F157" s="130"/>
      <c r="G157" s="95"/>
      <c r="H157" s="95"/>
      <c r="I157" s="95"/>
      <c r="J157" s="95"/>
      <c r="K157" s="95"/>
      <c r="L157" s="95"/>
      <c r="M157" s="95"/>
      <c r="N157" s="95"/>
      <c r="O157" s="95"/>
      <c r="P157" s="95"/>
      <c r="Q157" s="95"/>
      <c r="R157" s="95"/>
      <c r="S157" s="95"/>
      <c r="T157" s="95"/>
      <c r="U157" s="95"/>
      <c r="V157" s="95"/>
      <c r="W157" s="95"/>
      <c r="X157" s="95"/>
      <c r="Y157" s="95"/>
      <c r="Z157" s="95"/>
      <c r="AA157" s="95"/>
      <c r="AB157" s="95"/>
    </row>
    <row r="158" ht="15.75" customHeight="1">
      <c r="A158" s="95" t="s">
        <v>3564</v>
      </c>
      <c r="B158" s="95"/>
      <c r="C158" s="95"/>
      <c r="D158" s="95"/>
      <c r="E158" s="95"/>
      <c r="F158" s="130"/>
      <c r="G158" s="95"/>
      <c r="H158" s="95"/>
      <c r="I158" s="95"/>
      <c r="J158" s="95"/>
      <c r="K158" s="95"/>
      <c r="L158" s="95"/>
      <c r="M158" s="95"/>
      <c r="N158" s="95"/>
      <c r="O158" s="95"/>
      <c r="P158" s="95"/>
      <c r="Q158" s="95"/>
      <c r="R158" s="95"/>
      <c r="S158" s="95"/>
      <c r="T158" s="95"/>
      <c r="U158" s="95"/>
      <c r="V158" s="95"/>
      <c r="W158" s="95"/>
      <c r="X158" s="95"/>
      <c r="Y158" s="95"/>
      <c r="Z158" s="95"/>
      <c r="AA158" s="95"/>
      <c r="AB158" s="95"/>
    </row>
    <row r="159" ht="15.75" customHeight="1">
      <c r="A159" s="95" t="s">
        <v>3565</v>
      </c>
      <c r="B159" s="95"/>
      <c r="C159" s="95"/>
      <c r="D159" s="95"/>
      <c r="E159" s="95"/>
      <c r="F159" s="130"/>
      <c r="G159" s="95"/>
      <c r="H159" s="95"/>
      <c r="I159" s="95"/>
      <c r="J159" s="95"/>
      <c r="K159" s="95"/>
      <c r="L159" s="95"/>
      <c r="M159" s="95"/>
      <c r="N159" s="95"/>
      <c r="O159" s="95"/>
      <c r="P159" s="95"/>
      <c r="Q159" s="95"/>
      <c r="R159" s="95"/>
      <c r="S159" s="95"/>
      <c r="T159" s="95"/>
      <c r="U159" s="95"/>
      <c r="V159" s="95"/>
      <c r="W159" s="95"/>
      <c r="X159" s="95"/>
      <c r="Y159" s="95"/>
      <c r="Z159" s="95"/>
      <c r="AA159" s="95"/>
      <c r="AB159" s="95"/>
    </row>
    <row r="160" ht="15.75" customHeight="1">
      <c r="A160" s="95" t="s">
        <v>3566</v>
      </c>
      <c r="B160" s="95"/>
      <c r="C160" s="95"/>
      <c r="D160" s="95"/>
      <c r="E160" s="95"/>
      <c r="F160" s="130"/>
      <c r="G160" s="95"/>
      <c r="H160" s="95"/>
      <c r="I160" s="95"/>
      <c r="J160" s="95"/>
      <c r="K160" s="95"/>
      <c r="L160" s="95"/>
      <c r="M160" s="95"/>
      <c r="N160" s="95"/>
      <c r="O160" s="95"/>
      <c r="P160" s="95"/>
      <c r="Q160" s="95"/>
      <c r="R160" s="95"/>
      <c r="S160" s="95"/>
      <c r="T160" s="95"/>
      <c r="U160" s="95"/>
      <c r="V160" s="95"/>
      <c r="W160" s="95"/>
      <c r="X160" s="95"/>
      <c r="Y160" s="95"/>
      <c r="Z160" s="95"/>
      <c r="AA160" s="95"/>
      <c r="AB160" s="95"/>
    </row>
    <row r="161" ht="15.75" customHeight="1">
      <c r="A161" s="95" t="s">
        <v>3567</v>
      </c>
      <c r="B161" s="95"/>
      <c r="C161" s="95"/>
      <c r="D161" s="95"/>
      <c r="E161" s="95"/>
      <c r="F161" s="130"/>
      <c r="G161" s="95"/>
      <c r="H161" s="95"/>
      <c r="I161" s="95"/>
      <c r="J161" s="95"/>
      <c r="K161" s="95"/>
      <c r="L161" s="95"/>
      <c r="M161" s="95"/>
      <c r="N161" s="95"/>
      <c r="O161" s="95"/>
      <c r="P161" s="95"/>
      <c r="Q161" s="95"/>
      <c r="R161" s="95"/>
      <c r="S161" s="95"/>
      <c r="T161" s="95"/>
      <c r="U161" s="95"/>
      <c r="V161" s="95"/>
      <c r="W161" s="95"/>
      <c r="X161" s="95"/>
      <c r="Y161" s="95"/>
      <c r="Z161" s="95"/>
      <c r="AA161" s="95"/>
      <c r="AB161" s="95"/>
    </row>
    <row r="162" ht="15.75" customHeight="1">
      <c r="A162" s="95"/>
      <c r="B162" s="95"/>
      <c r="C162" s="95"/>
      <c r="D162" s="95"/>
      <c r="E162" s="95"/>
      <c r="F162" s="130"/>
      <c r="G162" s="95"/>
      <c r="H162" s="95"/>
      <c r="I162" s="95"/>
      <c r="J162" s="95"/>
      <c r="K162" s="95"/>
      <c r="L162" s="95"/>
      <c r="M162" s="95"/>
      <c r="N162" s="95"/>
      <c r="O162" s="95"/>
      <c r="P162" s="95"/>
      <c r="Q162" s="95"/>
      <c r="R162" s="95"/>
      <c r="S162" s="95"/>
      <c r="T162" s="95"/>
      <c r="U162" s="95"/>
      <c r="V162" s="95"/>
      <c r="W162" s="95"/>
      <c r="X162" s="95"/>
      <c r="Y162" s="95"/>
      <c r="Z162" s="95"/>
      <c r="AA162" s="95"/>
      <c r="AB162" s="95"/>
    </row>
    <row r="163" ht="15.75" customHeight="1">
      <c r="A163" s="95"/>
      <c r="B163" s="95"/>
      <c r="C163" s="95"/>
      <c r="D163" s="95"/>
      <c r="E163" s="95"/>
      <c r="F163" s="130"/>
      <c r="G163" s="95"/>
      <c r="H163" s="95"/>
      <c r="I163" s="95"/>
      <c r="J163" s="95"/>
      <c r="K163" s="95"/>
      <c r="L163" s="95"/>
      <c r="M163" s="95"/>
      <c r="N163" s="95"/>
      <c r="O163" s="95"/>
      <c r="P163" s="95"/>
      <c r="Q163" s="95"/>
      <c r="R163" s="95"/>
      <c r="S163" s="95"/>
      <c r="T163" s="95"/>
      <c r="U163" s="95"/>
      <c r="V163" s="95"/>
      <c r="W163" s="95"/>
      <c r="X163" s="95"/>
      <c r="Y163" s="95"/>
      <c r="Z163" s="95"/>
      <c r="AA163" s="95"/>
      <c r="AB163" s="95"/>
    </row>
    <row r="164" ht="15.75" customHeight="1">
      <c r="A164" s="95"/>
      <c r="B164" s="95"/>
      <c r="C164" s="95"/>
      <c r="D164" s="95"/>
      <c r="E164" s="95"/>
      <c r="F164" s="130"/>
      <c r="G164" s="95"/>
      <c r="H164" s="95"/>
      <c r="I164" s="95"/>
      <c r="J164" s="95"/>
      <c r="K164" s="95"/>
      <c r="L164" s="95"/>
      <c r="M164" s="95"/>
      <c r="N164" s="95"/>
      <c r="O164" s="95"/>
      <c r="P164" s="95"/>
      <c r="Q164" s="95"/>
      <c r="R164" s="95"/>
      <c r="S164" s="95"/>
      <c r="T164" s="95"/>
      <c r="U164" s="95"/>
      <c r="V164" s="95"/>
      <c r="W164" s="95"/>
      <c r="X164" s="95"/>
      <c r="Y164" s="95"/>
      <c r="Z164" s="95"/>
      <c r="AA164" s="95"/>
      <c r="AB164" s="95"/>
    </row>
    <row r="165" ht="15.75" customHeight="1">
      <c r="A165" s="95"/>
      <c r="B165" s="95"/>
      <c r="C165" s="95"/>
      <c r="D165" s="95"/>
      <c r="E165" s="95"/>
      <c r="F165" s="130"/>
      <c r="G165" s="95"/>
      <c r="H165" s="95"/>
      <c r="I165" s="95"/>
      <c r="J165" s="95"/>
      <c r="K165" s="95"/>
      <c r="L165" s="95"/>
      <c r="M165" s="95"/>
      <c r="N165" s="95"/>
      <c r="O165" s="95"/>
      <c r="P165" s="95"/>
      <c r="Q165" s="95"/>
      <c r="R165" s="95"/>
      <c r="S165" s="95"/>
      <c r="T165" s="95"/>
      <c r="U165" s="95"/>
      <c r="V165" s="95"/>
      <c r="W165" s="95"/>
      <c r="X165" s="95"/>
      <c r="Y165" s="95"/>
      <c r="Z165" s="95"/>
      <c r="AA165" s="95"/>
      <c r="AB165" s="95"/>
    </row>
    <row r="166" ht="15.75" customHeight="1">
      <c r="A166" s="95"/>
      <c r="B166" s="95"/>
      <c r="C166" s="95"/>
      <c r="D166" s="95"/>
      <c r="E166" s="95"/>
      <c r="F166" s="130"/>
      <c r="G166" s="95"/>
      <c r="H166" s="95"/>
      <c r="I166" s="95"/>
      <c r="J166" s="95"/>
      <c r="K166" s="95"/>
      <c r="L166" s="95"/>
      <c r="M166" s="95"/>
      <c r="N166" s="95"/>
      <c r="O166" s="95"/>
      <c r="P166" s="95"/>
      <c r="Q166" s="95"/>
      <c r="R166" s="95"/>
      <c r="S166" s="95"/>
      <c r="T166" s="95"/>
      <c r="U166" s="95"/>
      <c r="V166" s="95"/>
      <c r="W166" s="95"/>
      <c r="X166" s="95"/>
      <c r="Y166" s="95"/>
      <c r="Z166" s="95"/>
      <c r="AA166" s="95"/>
      <c r="AB166" s="95"/>
    </row>
    <row r="167" ht="15.75" customHeight="1">
      <c r="A167" s="95"/>
      <c r="B167" s="95"/>
      <c r="C167" s="95"/>
      <c r="D167" s="95"/>
      <c r="E167" s="95"/>
      <c r="F167" s="130"/>
      <c r="G167" s="95"/>
      <c r="H167" s="95"/>
      <c r="I167" s="95"/>
      <c r="J167" s="95"/>
      <c r="K167" s="95"/>
      <c r="L167" s="95"/>
      <c r="M167" s="95"/>
      <c r="N167" s="95"/>
      <c r="O167" s="95"/>
      <c r="P167" s="95"/>
      <c r="Q167" s="95"/>
      <c r="R167" s="95"/>
      <c r="S167" s="95"/>
      <c r="T167" s="95"/>
      <c r="U167" s="95"/>
      <c r="V167" s="95"/>
      <c r="W167" s="95"/>
      <c r="X167" s="95"/>
      <c r="Y167" s="95"/>
      <c r="Z167" s="95"/>
      <c r="AA167" s="95"/>
      <c r="AB167" s="95"/>
    </row>
    <row r="168" ht="15.75" customHeight="1">
      <c r="A168" s="95"/>
      <c r="B168" s="95"/>
      <c r="C168" s="95"/>
      <c r="D168" s="95"/>
      <c r="E168" s="95"/>
      <c r="F168" s="130"/>
      <c r="G168" s="95"/>
      <c r="H168" s="95"/>
      <c r="I168" s="95"/>
      <c r="J168" s="95"/>
      <c r="K168" s="95"/>
      <c r="L168" s="95"/>
      <c r="M168" s="95"/>
      <c r="N168" s="95"/>
      <c r="O168" s="95"/>
      <c r="P168" s="95"/>
      <c r="Q168" s="95"/>
      <c r="R168" s="95"/>
      <c r="S168" s="95"/>
      <c r="T168" s="95"/>
      <c r="U168" s="95"/>
      <c r="V168" s="95"/>
      <c r="W168" s="95"/>
      <c r="X168" s="95"/>
      <c r="Y168" s="95"/>
      <c r="Z168" s="95"/>
      <c r="AA168" s="95"/>
      <c r="AB168" s="95"/>
    </row>
    <row r="169" ht="15.75" customHeight="1">
      <c r="A169" s="95"/>
      <c r="B169" s="95"/>
      <c r="C169" s="95"/>
      <c r="D169" s="95"/>
      <c r="E169" s="95"/>
      <c r="F169" s="130"/>
      <c r="G169" s="95"/>
      <c r="H169" s="95"/>
      <c r="I169" s="95"/>
      <c r="J169" s="95"/>
      <c r="K169" s="95"/>
      <c r="L169" s="95"/>
      <c r="M169" s="95"/>
      <c r="N169" s="95"/>
      <c r="O169" s="95"/>
      <c r="P169" s="95"/>
      <c r="Q169" s="95"/>
      <c r="R169" s="95"/>
      <c r="S169" s="95"/>
      <c r="T169" s="95"/>
      <c r="U169" s="95"/>
      <c r="V169" s="95"/>
      <c r="W169" s="95"/>
      <c r="X169" s="95"/>
      <c r="Y169" s="95"/>
      <c r="Z169" s="95"/>
      <c r="AA169" s="95"/>
      <c r="AB169" s="95"/>
    </row>
    <row r="170" ht="15.75" customHeight="1">
      <c r="A170" s="95"/>
      <c r="B170" s="95"/>
      <c r="C170" s="95"/>
      <c r="D170" s="95"/>
      <c r="E170" s="95"/>
      <c r="F170" s="130"/>
      <c r="G170" s="95"/>
      <c r="H170" s="95"/>
      <c r="I170" s="95"/>
      <c r="J170" s="95"/>
      <c r="K170" s="95"/>
      <c r="L170" s="95"/>
      <c r="M170" s="95"/>
      <c r="N170" s="95"/>
      <c r="O170" s="95"/>
      <c r="P170" s="95"/>
      <c r="Q170" s="95"/>
      <c r="R170" s="95"/>
      <c r="S170" s="95"/>
      <c r="T170" s="95"/>
      <c r="U170" s="95"/>
      <c r="V170" s="95"/>
      <c r="W170" s="95"/>
      <c r="X170" s="95"/>
      <c r="Y170" s="95"/>
      <c r="Z170" s="95"/>
      <c r="AA170" s="95"/>
      <c r="AB170" s="95"/>
    </row>
    <row r="171" ht="15.75" customHeight="1">
      <c r="A171" s="95"/>
      <c r="B171" s="95"/>
      <c r="C171" s="95"/>
      <c r="D171" s="95"/>
      <c r="E171" s="95"/>
      <c r="F171" s="130"/>
      <c r="G171" s="95"/>
      <c r="H171" s="95"/>
      <c r="I171" s="95"/>
      <c r="J171" s="95"/>
      <c r="K171" s="95"/>
      <c r="L171" s="95"/>
      <c r="M171" s="95"/>
      <c r="N171" s="95"/>
      <c r="O171" s="95"/>
      <c r="P171" s="95"/>
      <c r="Q171" s="95"/>
      <c r="R171" s="95"/>
      <c r="S171" s="95"/>
      <c r="T171" s="95"/>
      <c r="U171" s="95"/>
      <c r="V171" s="95"/>
      <c r="W171" s="95"/>
      <c r="X171" s="95"/>
      <c r="Y171" s="95"/>
      <c r="Z171" s="95"/>
      <c r="AA171" s="95"/>
      <c r="AB171" s="95"/>
    </row>
    <row r="172" ht="15.75" customHeight="1">
      <c r="A172" s="95"/>
      <c r="B172" s="95"/>
      <c r="C172" s="95"/>
      <c r="D172" s="95"/>
      <c r="E172" s="95"/>
      <c r="F172" s="130"/>
      <c r="G172" s="95"/>
      <c r="H172" s="95"/>
      <c r="I172" s="95"/>
      <c r="J172" s="95"/>
      <c r="K172" s="95"/>
      <c r="L172" s="95"/>
      <c r="M172" s="95"/>
      <c r="N172" s="95"/>
      <c r="O172" s="95"/>
      <c r="P172" s="95"/>
      <c r="Q172" s="95"/>
      <c r="R172" s="95"/>
      <c r="S172" s="95"/>
      <c r="T172" s="95"/>
      <c r="U172" s="95"/>
      <c r="V172" s="95"/>
      <c r="W172" s="95"/>
      <c r="X172" s="95"/>
      <c r="Y172" s="95"/>
      <c r="Z172" s="95"/>
      <c r="AA172" s="95"/>
      <c r="AB172" s="95"/>
    </row>
    <row r="173" ht="15.75" customHeight="1">
      <c r="A173" s="95"/>
      <c r="B173" s="95"/>
      <c r="C173" s="95"/>
      <c r="D173" s="95"/>
      <c r="E173" s="95"/>
      <c r="F173" s="130"/>
      <c r="G173" s="95"/>
      <c r="H173" s="95"/>
      <c r="I173" s="95"/>
      <c r="J173" s="95"/>
      <c r="K173" s="95"/>
      <c r="L173" s="95"/>
      <c r="M173" s="95"/>
      <c r="N173" s="95"/>
      <c r="O173" s="95"/>
      <c r="P173" s="95"/>
      <c r="Q173" s="95"/>
      <c r="R173" s="95"/>
      <c r="S173" s="95"/>
      <c r="T173" s="95"/>
      <c r="U173" s="95"/>
      <c r="V173" s="95"/>
      <c r="W173" s="95"/>
      <c r="X173" s="95"/>
      <c r="Y173" s="95"/>
      <c r="Z173" s="95"/>
      <c r="AA173" s="95"/>
      <c r="AB173" s="95"/>
    </row>
    <row r="174" ht="15.75" customHeight="1">
      <c r="A174" s="95"/>
      <c r="B174" s="95"/>
      <c r="C174" s="95"/>
      <c r="D174" s="95"/>
      <c r="E174" s="95"/>
      <c r="F174" s="130"/>
      <c r="G174" s="95"/>
      <c r="H174" s="95"/>
      <c r="I174" s="95"/>
      <c r="J174" s="95"/>
      <c r="K174" s="95"/>
      <c r="L174" s="95"/>
      <c r="M174" s="95"/>
      <c r="N174" s="95"/>
      <c r="O174" s="95"/>
      <c r="P174" s="95"/>
      <c r="Q174" s="95"/>
      <c r="R174" s="95"/>
      <c r="S174" s="95"/>
      <c r="T174" s="95"/>
      <c r="U174" s="95"/>
      <c r="V174" s="95"/>
      <c r="W174" s="95"/>
      <c r="X174" s="95"/>
      <c r="Y174" s="95"/>
      <c r="Z174" s="95"/>
      <c r="AA174" s="95"/>
      <c r="AB174" s="95"/>
    </row>
    <row r="175" ht="15.75" customHeight="1">
      <c r="A175" s="95"/>
      <c r="B175" s="95"/>
      <c r="C175" s="95"/>
      <c r="D175" s="95"/>
      <c r="E175" s="95"/>
      <c r="F175" s="130"/>
      <c r="G175" s="95"/>
      <c r="H175" s="95"/>
      <c r="I175" s="95"/>
      <c r="J175" s="95"/>
      <c r="K175" s="95"/>
      <c r="L175" s="95"/>
      <c r="M175" s="95"/>
      <c r="N175" s="95"/>
      <c r="O175" s="95"/>
      <c r="P175" s="95"/>
      <c r="Q175" s="95"/>
      <c r="R175" s="95"/>
      <c r="S175" s="95"/>
      <c r="T175" s="95"/>
      <c r="U175" s="95"/>
      <c r="V175" s="95"/>
      <c r="W175" s="95"/>
      <c r="X175" s="95"/>
      <c r="Y175" s="95"/>
      <c r="Z175" s="95"/>
      <c r="AA175" s="95"/>
      <c r="AB175" s="95"/>
    </row>
    <row r="176" ht="15.75" customHeight="1">
      <c r="A176" s="95"/>
      <c r="B176" s="95"/>
      <c r="C176" s="95"/>
      <c r="D176" s="95"/>
      <c r="E176" s="95"/>
      <c r="F176" s="130"/>
      <c r="G176" s="95"/>
      <c r="H176" s="95"/>
      <c r="I176" s="95"/>
      <c r="J176" s="95"/>
      <c r="K176" s="95"/>
      <c r="L176" s="95"/>
      <c r="M176" s="95"/>
      <c r="N176" s="95"/>
      <c r="O176" s="95"/>
      <c r="P176" s="95"/>
      <c r="Q176" s="95"/>
      <c r="R176" s="95"/>
      <c r="S176" s="95"/>
      <c r="T176" s="95"/>
      <c r="U176" s="95"/>
      <c r="V176" s="95"/>
      <c r="W176" s="95"/>
      <c r="X176" s="95"/>
      <c r="Y176" s="95"/>
      <c r="Z176" s="95"/>
      <c r="AA176" s="95"/>
      <c r="AB176" s="95"/>
    </row>
    <row r="177" ht="15.75" customHeight="1">
      <c r="A177" s="95"/>
      <c r="B177" s="95"/>
      <c r="C177" s="95"/>
      <c r="D177" s="95"/>
      <c r="E177" s="95"/>
      <c r="F177" s="130"/>
      <c r="G177" s="95"/>
      <c r="H177" s="95"/>
      <c r="I177" s="95"/>
      <c r="J177" s="95"/>
      <c r="K177" s="95"/>
      <c r="L177" s="95"/>
      <c r="M177" s="95"/>
      <c r="N177" s="95"/>
      <c r="O177" s="95"/>
      <c r="P177" s="95"/>
      <c r="Q177" s="95"/>
      <c r="R177" s="95"/>
      <c r="S177" s="95"/>
      <c r="T177" s="95"/>
      <c r="U177" s="95"/>
      <c r="V177" s="95"/>
      <c r="W177" s="95"/>
      <c r="X177" s="95"/>
      <c r="Y177" s="95"/>
      <c r="Z177" s="95"/>
      <c r="AA177" s="95"/>
      <c r="AB177" s="95"/>
    </row>
    <row r="178" ht="15.75" customHeight="1">
      <c r="A178" s="95"/>
      <c r="B178" s="95"/>
      <c r="C178" s="95"/>
      <c r="D178" s="95"/>
      <c r="E178" s="95"/>
      <c r="F178" s="130"/>
      <c r="G178" s="95"/>
      <c r="H178" s="95"/>
      <c r="I178" s="95"/>
      <c r="J178" s="95"/>
      <c r="K178" s="95"/>
      <c r="L178" s="95"/>
      <c r="M178" s="95"/>
      <c r="N178" s="95"/>
      <c r="O178" s="95"/>
      <c r="P178" s="95"/>
      <c r="Q178" s="95"/>
      <c r="R178" s="95"/>
      <c r="S178" s="95"/>
      <c r="T178" s="95"/>
      <c r="U178" s="95"/>
      <c r="V178" s="95"/>
      <c r="W178" s="95"/>
      <c r="X178" s="95"/>
      <c r="Y178" s="95"/>
      <c r="Z178" s="95"/>
      <c r="AA178" s="95"/>
      <c r="AB178" s="95"/>
    </row>
    <row r="179" ht="15.75" customHeight="1">
      <c r="A179" s="95"/>
      <c r="B179" s="95"/>
      <c r="C179" s="95"/>
      <c r="D179" s="95"/>
      <c r="E179" s="95"/>
      <c r="F179" s="130"/>
      <c r="G179" s="95"/>
      <c r="H179" s="95"/>
      <c r="I179" s="95"/>
      <c r="J179" s="95"/>
      <c r="K179" s="95"/>
      <c r="L179" s="95"/>
      <c r="M179" s="95"/>
      <c r="N179" s="95"/>
      <c r="O179" s="95"/>
      <c r="P179" s="95"/>
      <c r="Q179" s="95"/>
      <c r="R179" s="95"/>
      <c r="S179" s="95"/>
      <c r="T179" s="95"/>
      <c r="U179" s="95"/>
      <c r="V179" s="95"/>
      <c r="W179" s="95"/>
      <c r="X179" s="95"/>
      <c r="Y179" s="95"/>
      <c r="Z179" s="95"/>
      <c r="AA179" s="95"/>
      <c r="AB179" s="95"/>
    </row>
    <row r="180" ht="15.75" customHeight="1">
      <c r="A180" s="95"/>
      <c r="B180" s="95"/>
      <c r="C180" s="95"/>
      <c r="D180" s="95"/>
      <c r="E180" s="95"/>
      <c r="F180" s="130"/>
      <c r="G180" s="95"/>
      <c r="H180" s="95"/>
      <c r="I180" s="95"/>
      <c r="J180" s="95"/>
      <c r="K180" s="95"/>
      <c r="L180" s="95"/>
      <c r="M180" s="95"/>
      <c r="N180" s="95"/>
      <c r="O180" s="95"/>
      <c r="P180" s="95"/>
      <c r="Q180" s="95"/>
      <c r="R180" s="95"/>
      <c r="S180" s="95"/>
      <c r="T180" s="95"/>
      <c r="U180" s="95"/>
      <c r="V180" s="95"/>
      <c r="W180" s="95"/>
      <c r="X180" s="95"/>
      <c r="Y180" s="95"/>
      <c r="Z180" s="95"/>
      <c r="AA180" s="95"/>
      <c r="AB180" s="95"/>
    </row>
    <row r="181" ht="15.75" customHeight="1">
      <c r="A181" s="95"/>
      <c r="B181" s="95"/>
      <c r="C181" s="95"/>
      <c r="D181" s="95"/>
      <c r="E181" s="95"/>
      <c r="F181" s="130"/>
      <c r="G181" s="95"/>
      <c r="H181" s="95"/>
      <c r="I181" s="95"/>
      <c r="J181" s="95"/>
      <c r="K181" s="95"/>
      <c r="L181" s="95"/>
      <c r="M181" s="95"/>
      <c r="N181" s="95"/>
      <c r="O181" s="95"/>
      <c r="P181" s="95"/>
      <c r="Q181" s="95"/>
      <c r="R181" s="95"/>
      <c r="S181" s="95"/>
      <c r="T181" s="95"/>
      <c r="U181" s="95"/>
      <c r="V181" s="95"/>
      <c r="W181" s="95"/>
      <c r="X181" s="95"/>
      <c r="Y181" s="95"/>
      <c r="Z181" s="95"/>
      <c r="AA181" s="95"/>
      <c r="AB181" s="95"/>
    </row>
    <row r="182" ht="15.75" customHeight="1">
      <c r="A182" s="95"/>
      <c r="B182" s="95"/>
      <c r="C182" s="95"/>
      <c r="D182" s="95"/>
      <c r="E182" s="95"/>
      <c r="F182" s="130"/>
      <c r="G182" s="95"/>
      <c r="H182" s="95"/>
      <c r="I182" s="95"/>
      <c r="J182" s="95"/>
      <c r="K182" s="95"/>
      <c r="L182" s="95"/>
      <c r="M182" s="95"/>
      <c r="N182" s="95"/>
      <c r="O182" s="95"/>
      <c r="P182" s="95"/>
      <c r="Q182" s="95"/>
      <c r="R182" s="95"/>
      <c r="S182" s="95"/>
      <c r="T182" s="95"/>
      <c r="U182" s="95"/>
      <c r="V182" s="95"/>
      <c r="W182" s="95"/>
      <c r="X182" s="95"/>
      <c r="Y182" s="95"/>
      <c r="Z182" s="95"/>
      <c r="AA182" s="95"/>
      <c r="AB182" s="95"/>
    </row>
    <row r="183" ht="15.75" customHeight="1">
      <c r="A183" s="95"/>
      <c r="B183" s="95"/>
      <c r="C183" s="95"/>
      <c r="D183" s="95"/>
      <c r="E183" s="95"/>
      <c r="F183" s="130"/>
      <c r="G183" s="95"/>
      <c r="H183" s="95"/>
      <c r="I183" s="95"/>
      <c r="J183" s="95"/>
      <c r="K183" s="95"/>
      <c r="L183" s="95"/>
      <c r="M183" s="95"/>
      <c r="N183" s="95"/>
      <c r="O183" s="95"/>
      <c r="P183" s="95"/>
      <c r="Q183" s="95"/>
      <c r="R183" s="95"/>
      <c r="S183" s="95"/>
      <c r="T183" s="95"/>
      <c r="U183" s="95"/>
      <c r="V183" s="95"/>
      <c r="W183" s="95"/>
      <c r="X183" s="95"/>
      <c r="Y183" s="95"/>
      <c r="Z183" s="95"/>
      <c r="AA183" s="95"/>
      <c r="AB183" s="95"/>
    </row>
    <row r="184" ht="15.75" customHeight="1">
      <c r="A184" s="95"/>
      <c r="B184" s="95"/>
      <c r="C184" s="95"/>
      <c r="D184" s="95"/>
      <c r="E184" s="95"/>
      <c r="F184" s="130"/>
      <c r="G184" s="95"/>
      <c r="H184" s="95"/>
      <c r="I184" s="95"/>
      <c r="J184" s="95"/>
      <c r="K184" s="95"/>
      <c r="L184" s="95"/>
      <c r="M184" s="95"/>
      <c r="N184" s="95"/>
      <c r="O184" s="95"/>
      <c r="P184" s="95"/>
      <c r="Q184" s="95"/>
      <c r="R184" s="95"/>
      <c r="S184" s="95"/>
      <c r="T184" s="95"/>
      <c r="U184" s="95"/>
      <c r="V184" s="95"/>
      <c r="W184" s="95"/>
      <c r="X184" s="95"/>
      <c r="Y184" s="95"/>
      <c r="Z184" s="95"/>
      <c r="AA184" s="95"/>
      <c r="AB184" s="95"/>
    </row>
    <row r="185" ht="15.75" customHeight="1">
      <c r="A185" s="95"/>
      <c r="B185" s="95"/>
      <c r="C185" s="95"/>
      <c r="D185" s="95"/>
      <c r="E185" s="95"/>
      <c r="F185" s="130"/>
      <c r="G185" s="95"/>
      <c r="H185" s="95"/>
      <c r="I185" s="95"/>
      <c r="J185" s="95"/>
      <c r="K185" s="95"/>
      <c r="L185" s="95"/>
      <c r="M185" s="95"/>
      <c r="N185" s="95"/>
      <c r="O185" s="95"/>
      <c r="P185" s="95"/>
      <c r="Q185" s="95"/>
      <c r="R185" s="95"/>
      <c r="S185" s="95"/>
      <c r="T185" s="95"/>
      <c r="U185" s="95"/>
      <c r="V185" s="95"/>
      <c r="W185" s="95"/>
      <c r="X185" s="95"/>
      <c r="Y185" s="95"/>
      <c r="Z185" s="95"/>
      <c r="AA185" s="95"/>
      <c r="AB185" s="95"/>
    </row>
    <row r="186" ht="15.75" customHeight="1">
      <c r="A186" s="95"/>
      <c r="B186" s="95"/>
      <c r="C186" s="95"/>
      <c r="D186" s="95"/>
      <c r="E186" s="95"/>
      <c r="F186" s="130"/>
      <c r="G186" s="95"/>
      <c r="H186" s="95"/>
      <c r="I186" s="95"/>
      <c r="J186" s="95"/>
      <c r="K186" s="95"/>
      <c r="L186" s="95"/>
      <c r="M186" s="95"/>
      <c r="N186" s="95"/>
      <c r="O186" s="95"/>
      <c r="P186" s="95"/>
      <c r="Q186" s="95"/>
      <c r="R186" s="95"/>
      <c r="S186" s="95"/>
      <c r="T186" s="95"/>
      <c r="U186" s="95"/>
      <c r="V186" s="95"/>
      <c r="W186" s="95"/>
      <c r="X186" s="95"/>
      <c r="Y186" s="95"/>
      <c r="Z186" s="95"/>
      <c r="AA186" s="95"/>
      <c r="AB186" s="95"/>
    </row>
    <row r="187" ht="15.75" customHeight="1">
      <c r="A187" s="95"/>
      <c r="B187" s="95"/>
      <c r="C187" s="95"/>
      <c r="D187" s="95"/>
      <c r="E187" s="95"/>
      <c r="F187" s="130"/>
      <c r="G187" s="95"/>
      <c r="H187" s="95"/>
      <c r="I187" s="95"/>
      <c r="J187" s="95"/>
      <c r="K187" s="95"/>
      <c r="L187" s="95"/>
      <c r="M187" s="95"/>
      <c r="N187" s="95"/>
      <c r="O187" s="95"/>
      <c r="P187" s="95"/>
      <c r="Q187" s="95"/>
      <c r="R187" s="95"/>
      <c r="S187" s="95"/>
      <c r="T187" s="95"/>
      <c r="U187" s="95"/>
      <c r="V187" s="95"/>
      <c r="W187" s="95"/>
      <c r="X187" s="95"/>
      <c r="Y187" s="95"/>
      <c r="Z187" s="95"/>
      <c r="AA187" s="95"/>
      <c r="AB187" s="95"/>
    </row>
    <row r="188" ht="15.75" customHeight="1">
      <c r="A188" s="95"/>
      <c r="B188" s="95"/>
      <c r="C188" s="95"/>
      <c r="D188" s="95"/>
      <c r="E188" s="95"/>
      <c r="F188" s="130"/>
      <c r="G188" s="95"/>
      <c r="H188" s="95"/>
      <c r="I188" s="95"/>
      <c r="J188" s="95"/>
      <c r="K188" s="95"/>
      <c r="L188" s="95"/>
      <c r="M188" s="95"/>
      <c r="N188" s="95"/>
      <c r="O188" s="95"/>
      <c r="P188" s="95"/>
      <c r="Q188" s="95"/>
      <c r="R188" s="95"/>
      <c r="S188" s="95"/>
      <c r="T188" s="95"/>
      <c r="U188" s="95"/>
      <c r="V188" s="95"/>
      <c r="W188" s="95"/>
      <c r="X188" s="95"/>
      <c r="Y188" s="95"/>
      <c r="Z188" s="95"/>
      <c r="AA188" s="95"/>
      <c r="AB188" s="95"/>
    </row>
    <row r="189" ht="15.75" customHeight="1">
      <c r="A189" s="95"/>
      <c r="B189" s="95"/>
      <c r="C189" s="95"/>
      <c r="D189" s="95"/>
      <c r="E189" s="95"/>
      <c r="F189" s="130"/>
      <c r="G189" s="95"/>
      <c r="H189" s="95"/>
      <c r="I189" s="95"/>
      <c r="J189" s="95"/>
      <c r="K189" s="95"/>
      <c r="L189" s="95"/>
      <c r="M189" s="95"/>
      <c r="N189" s="95"/>
      <c r="O189" s="95"/>
      <c r="P189" s="95"/>
      <c r="Q189" s="95"/>
      <c r="R189" s="95"/>
      <c r="S189" s="95"/>
      <c r="T189" s="95"/>
      <c r="U189" s="95"/>
      <c r="V189" s="95"/>
      <c r="W189" s="95"/>
      <c r="X189" s="95"/>
      <c r="Y189" s="95"/>
      <c r="Z189" s="95"/>
      <c r="AA189" s="95"/>
      <c r="AB189" s="95"/>
    </row>
    <row r="190" ht="15.75" customHeight="1">
      <c r="A190" s="95"/>
      <c r="B190" s="95"/>
      <c r="C190" s="95"/>
      <c r="D190" s="95"/>
      <c r="E190" s="95"/>
      <c r="F190" s="130"/>
      <c r="G190" s="95"/>
      <c r="H190" s="95"/>
      <c r="I190" s="95"/>
      <c r="J190" s="95"/>
      <c r="K190" s="95"/>
      <c r="L190" s="95"/>
      <c r="M190" s="95"/>
      <c r="N190" s="95"/>
      <c r="O190" s="95"/>
      <c r="P190" s="95"/>
      <c r="Q190" s="95"/>
      <c r="R190" s="95"/>
      <c r="S190" s="95"/>
      <c r="T190" s="95"/>
      <c r="U190" s="95"/>
      <c r="V190" s="95"/>
      <c r="W190" s="95"/>
      <c r="X190" s="95"/>
      <c r="Y190" s="95"/>
      <c r="Z190" s="95"/>
      <c r="AA190" s="95"/>
      <c r="AB190" s="95"/>
    </row>
    <row r="191" ht="15.75" customHeight="1">
      <c r="A191" s="95"/>
      <c r="B191" s="95"/>
      <c r="C191" s="95"/>
      <c r="D191" s="95"/>
      <c r="E191" s="95"/>
      <c r="F191" s="130"/>
      <c r="G191" s="95"/>
      <c r="H191" s="95"/>
      <c r="I191" s="95"/>
      <c r="J191" s="95"/>
      <c r="K191" s="95"/>
      <c r="L191" s="95"/>
      <c r="M191" s="95"/>
      <c r="N191" s="95"/>
      <c r="O191" s="95"/>
      <c r="P191" s="95"/>
      <c r="Q191" s="95"/>
      <c r="R191" s="95"/>
      <c r="S191" s="95"/>
      <c r="T191" s="95"/>
      <c r="U191" s="95"/>
      <c r="V191" s="95"/>
      <c r="W191" s="95"/>
      <c r="X191" s="95"/>
      <c r="Y191" s="95"/>
      <c r="Z191" s="95"/>
      <c r="AA191" s="95"/>
      <c r="AB191" s="95"/>
    </row>
    <row r="192" ht="15.75" customHeight="1">
      <c r="A192" s="95"/>
      <c r="B192" s="95"/>
      <c r="C192" s="95"/>
      <c r="D192" s="95"/>
      <c r="E192" s="95"/>
      <c r="F192" s="130"/>
      <c r="G192" s="95"/>
      <c r="H192" s="95"/>
      <c r="I192" s="95"/>
      <c r="J192" s="95"/>
      <c r="K192" s="95"/>
      <c r="L192" s="95"/>
      <c r="M192" s="95"/>
      <c r="N192" s="95"/>
      <c r="O192" s="95"/>
      <c r="P192" s="95"/>
      <c r="Q192" s="95"/>
      <c r="R192" s="95"/>
      <c r="S192" s="95"/>
      <c r="T192" s="95"/>
      <c r="U192" s="95"/>
      <c r="V192" s="95"/>
      <c r="W192" s="95"/>
      <c r="X192" s="95"/>
      <c r="Y192" s="95"/>
      <c r="Z192" s="95"/>
      <c r="AA192" s="95"/>
      <c r="AB192" s="95"/>
    </row>
    <row r="193" ht="15.75" customHeight="1">
      <c r="A193" s="95"/>
      <c r="B193" s="95"/>
      <c r="C193" s="95"/>
      <c r="D193" s="95"/>
      <c r="E193" s="95"/>
      <c r="F193" s="130"/>
      <c r="G193" s="95"/>
      <c r="H193" s="95"/>
      <c r="I193" s="95"/>
      <c r="J193" s="95"/>
      <c r="K193" s="95"/>
      <c r="L193" s="95"/>
      <c r="M193" s="95"/>
      <c r="N193" s="95"/>
      <c r="O193" s="95"/>
      <c r="P193" s="95"/>
      <c r="Q193" s="95"/>
      <c r="R193" s="95"/>
      <c r="S193" s="95"/>
      <c r="T193" s="95"/>
      <c r="U193" s="95"/>
      <c r="V193" s="95"/>
      <c r="W193" s="95"/>
      <c r="X193" s="95"/>
      <c r="Y193" s="95"/>
      <c r="Z193" s="95"/>
      <c r="AA193" s="95"/>
      <c r="AB193" s="95"/>
    </row>
    <row r="194" ht="15.75" customHeight="1">
      <c r="A194" s="95"/>
      <c r="B194" s="95"/>
      <c r="C194" s="95"/>
      <c r="D194" s="95"/>
      <c r="E194" s="95"/>
      <c r="F194" s="130"/>
      <c r="G194" s="95"/>
      <c r="H194" s="95"/>
      <c r="I194" s="95"/>
      <c r="J194" s="95"/>
      <c r="K194" s="95"/>
      <c r="L194" s="95"/>
      <c r="M194" s="95"/>
      <c r="N194" s="95"/>
      <c r="O194" s="95"/>
      <c r="P194" s="95"/>
      <c r="Q194" s="95"/>
      <c r="R194" s="95"/>
      <c r="S194" s="95"/>
      <c r="T194" s="95"/>
      <c r="U194" s="95"/>
      <c r="V194" s="95"/>
      <c r="W194" s="95"/>
      <c r="X194" s="95"/>
      <c r="Y194" s="95"/>
      <c r="Z194" s="95"/>
      <c r="AA194" s="95"/>
      <c r="AB194" s="95"/>
    </row>
    <row r="195" ht="15.75" customHeight="1">
      <c r="A195" s="95"/>
      <c r="B195" s="95"/>
      <c r="C195" s="95"/>
      <c r="D195" s="95"/>
      <c r="E195" s="95"/>
      <c r="F195" s="130"/>
      <c r="G195" s="95"/>
      <c r="H195" s="95"/>
      <c r="I195" s="95"/>
      <c r="J195" s="95"/>
      <c r="K195" s="95"/>
      <c r="L195" s="95"/>
      <c r="M195" s="95"/>
      <c r="N195" s="95"/>
      <c r="O195" s="95"/>
      <c r="P195" s="95"/>
      <c r="Q195" s="95"/>
      <c r="R195" s="95"/>
      <c r="S195" s="95"/>
      <c r="T195" s="95"/>
      <c r="U195" s="95"/>
      <c r="V195" s="95"/>
      <c r="W195" s="95"/>
      <c r="X195" s="95"/>
      <c r="Y195" s="95"/>
      <c r="Z195" s="95"/>
      <c r="AA195" s="95"/>
      <c r="AB195" s="95"/>
    </row>
    <row r="196" ht="15.75" customHeight="1">
      <c r="A196" s="95"/>
      <c r="B196" s="95"/>
      <c r="C196" s="95"/>
      <c r="D196" s="95"/>
      <c r="E196" s="95"/>
      <c r="F196" s="130"/>
      <c r="G196" s="95"/>
      <c r="H196" s="95"/>
      <c r="I196" s="95"/>
      <c r="J196" s="95"/>
      <c r="K196" s="95"/>
      <c r="L196" s="95"/>
      <c r="M196" s="95"/>
      <c r="N196" s="95"/>
      <c r="O196" s="95"/>
      <c r="P196" s="95"/>
      <c r="Q196" s="95"/>
      <c r="R196" s="95"/>
      <c r="S196" s="95"/>
      <c r="T196" s="95"/>
      <c r="U196" s="95"/>
      <c r="V196" s="95"/>
      <c r="W196" s="95"/>
      <c r="X196" s="95"/>
      <c r="Y196" s="95"/>
      <c r="Z196" s="95"/>
      <c r="AA196" s="95"/>
      <c r="AB196" s="95"/>
    </row>
    <row r="197" ht="15.75" customHeight="1">
      <c r="A197" s="95"/>
      <c r="B197" s="95"/>
      <c r="C197" s="95"/>
      <c r="D197" s="95"/>
      <c r="E197" s="95"/>
      <c r="F197" s="130"/>
      <c r="G197" s="95"/>
      <c r="H197" s="95"/>
      <c r="I197" s="95"/>
      <c r="J197" s="95"/>
      <c r="K197" s="95"/>
      <c r="L197" s="95"/>
      <c r="M197" s="95"/>
      <c r="N197" s="95"/>
      <c r="O197" s="95"/>
      <c r="P197" s="95"/>
      <c r="Q197" s="95"/>
      <c r="R197" s="95"/>
      <c r="S197" s="95"/>
      <c r="T197" s="95"/>
      <c r="U197" s="95"/>
      <c r="V197" s="95"/>
      <c r="W197" s="95"/>
      <c r="X197" s="95"/>
      <c r="Y197" s="95"/>
      <c r="Z197" s="95"/>
      <c r="AA197" s="95"/>
      <c r="AB197" s="95"/>
    </row>
    <row r="198" ht="15.75" customHeight="1">
      <c r="A198" s="95"/>
      <c r="B198" s="95"/>
      <c r="C198" s="95"/>
      <c r="D198" s="95"/>
      <c r="E198" s="95"/>
      <c r="F198" s="130"/>
      <c r="G198" s="95"/>
      <c r="H198" s="95"/>
      <c r="I198" s="95"/>
      <c r="J198" s="95"/>
      <c r="K198" s="95"/>
      <c r="L198" s="95"/>
      <c r="M198" s="95"/>
      <c r="N198" s="95"/>
      <c r="O198" s="95"/>
      <c r="P198" s="95"/>
      <c r="Q198" s="95"/>
      <c r="R198" s="95"/>
      <c r="S198" s="95"/>
      <c r="T198" s="95"/>
      <c r="U198" s="95"/>
      <c r="V198" s="95"/>
      <c r="W198" s="95"/>
      <c r="X198" s="95"/>
      <c r="Y198" s="95"/>
      <c r="Z198" s="95"/>
      <c r="AA198" s="95"/>
      <c r="AB198" s="95"/>
    </row>
    <row r="199" ht="15.75" customHeight="1">
      <c r="A199" s="95"/>
      <c r="B199" s="95"/>
      <c r="C199" s="95"/>
      <c r="D199" s="95"/>
      <c r="E199" s="95"/>
      <c r="F199" s="130"/>
      <c r="G199" s="95"/>
      <c r="H199" s="95"/>
      <c r="I199" s="95"/>
      <c r="J199" s="95"/>
      <c r="K199" s="95"/>
      <c r="L199" s="95"/>
      <c r="M199" s="95"/>
      <c r="N199" s="95"/>
      <c r="O199" s="95"/>
      <c r="P199" s="95"/>
      <c r="Q199" s="95"/>
      <c r="R199" s="95"/>
      <c r="S199" s="95"/>
      <c r="T199" s="95"/>
      <c r="U199" s="95"/>
      <c r="V199" s="95"/>
      <c r="W199" s="95"/>
      <c r="X199" s="95"/>
      <c r="Y199" s="95"/>
      <c r="Z199" s="95"/>
      <c r="AA199" s="95"/>
      <c r="AB199" s="95"/>
    </row>
    <row r="200" ht="15.75" customHeight="1">
      <c r="A200" s="95"/>
      <c r="B200" s="95"/>
      <c r="C200" s="95"/>
      <c r="D200" s="95"/>
      <c r="E200" s="95"/>
      <c r="F200" s="130"/>
      <c r="G200" s="95"/>
      <c r="H200" s="95"/>
      <c r="I200" s="95"/>
      <c r="J200" s="95"/>
      <c r="K200" s="95"/>
      <c r="L200" s="95"/>
      <c r="M200" s="95"/>
      <c r="N200" s="95"/>
      <c r="O200" s="95"/>
      <c r="P200" s="95"/>
      <c r="Q200" s="95"/>
      <c r="R200" s="95"/>
      <c r="S200" s="95"/>
      <c r="T200" s="95"/>
      <c r="U200" s="95"/>
      <c r="V200" s="95"/>
      <c r="W200" s="95"/>
      <c r="X200" s="95"/>
      <c r="Y200" s="95"/>
      <c r="Z200" s="95"/>
      <c r="AA200" s="95"/>
      <c r="AB200" s="95"/>
    </row>
    <row r="201" ht="15.75" customHeight="1">
      <c r="A201" s="95"/>
      <c r="B201" s="95"/>
      <c r="C201" s="95"/>
      <c r="D201" s="95"/>
      <c r="E201" s="95"/>
      <c r="F201" s="130"/>
      <c r="G201" s="95"/>
      <c r="H201" s="95"/>
      <c r="I201" s="95"/>
      <c r="J201" s="95"/>
      <c r="K201" s="95"/>
      <c r="L201" s="95"/>
      <c r="M201" s="95"/>
      <c r="N201" s="95"/>
      <c r="O201" s="95"/>
      <c r="P201" s="95"/>
      <c r="Q201" s="95"/>
      <c r="R201" s="95"/>
      <c r="S201" s="95"/>
      <c r="T201" s="95"/>
      <c r="U201" s="95"/>
      <c r="V201" s="95"/>
      <c r="W201" s="95"/>
      <c r="X201" s="95"/>
      <c r="Y201" s="95"/>
      <c r="Z201" s="95"/>
      <c r="AA201" s="95"/>
      <c r="AB201" s="95"/>
    </row>
    <row r="202" ht="15.75" customHeight="1">
      <c r="A202" s="95"/>
      <c r="B202" s="95"/>
      <c r="C202" s="95"/>
      <c r="D202" s="95"/>
      <c r="E202" s="95"/>
      <c r="F202" s="130"/>
      <c r="G202" s="95"/>
      <c r="H202" s="95"/>
      <c r="I202" s="95"/>
      <c r="J202" s="95"/>
      <c r="K202" s="95"/>
      <c r="L202" s="95"/>
      <c r="M202" s="95"/>
      <c r="N202" s="95"/>
      <c r="O202" s="95"/>
      <c r="P202" s="95"/>
      <c r="Q202" s="95"/>
      <c r="R202" s="95"/>
      <c r="S202" s="95"/>
      <c r="T202" s="95"/>
      <c r="U202" s="95"/>
      <c r="V202" s="95"/>
      <c r="W202" s="95"/>
      <c r="X202" s="95"/>
      <c r="Y202" s="95"/>
      <c r="Z202" s="95"/>
      <c r="AA202" s="95"/>
      <c r="AB202" s="95"/>
    </row>
    <row r="203" ht="15.75" customHeight="1">
      <c r="A203" s="95"/>
      <c r="B203" s="95"/>
      <c r="C203" s="95"/>
      <c r="D203" s="95"/>
      <c r="E203" s="95"/>
      <c r="F203" s="130"/>
      <c r="G203" s="95"/>
      <c r="H203" s="95"/>
      <c r="I203" s="95"/>
      <c r="J203" s="95"/>
      <c r="K203" s="95"/>
      <c r="L203" s="95"/>
      <c r="M203" s="95"/>
      <c r="N203" s="95"/>
      <c r="O203" s="95"/>
      <c r="P203" s="95"/>
      <c r="Q203" s="95"/>
      <c r="R203" s="95"/>
      <c r="S203" s="95"/>
      <c r="T203" s="95"/>
      <c r="U203" s="95"/>
      <c r="V203" s="95"/>
      <c r="W203" s="95"/>
      <c r="X203" s="95"/>
      <c r="Y203" s="95"/>
      <c r="Z203" s="95"/>
      <c r="AA203" s="95"/>
      <c r="AB203" s="95"/>
    </row>
    <row r="204" ht="15.75" customHeight="1">
      <c r="A204" s="95"/>
      <c r="B204" s="95"/>
      <c r="C204" s="95"/>
      <c r="D204" s="95"/>
      <c r="E204" s="95"/>
      <c r="F204" s="130"/>
      <c r="G204" s="95"/>
      <c r="H204" s="95"/>
      <c r="I204" s="95"/>
      <c r="J204" s="95"/>
      <c r="K204" s="95"/>
      <c r="L204" s="95"/>
      <c r="M204" s="95"/>
      <c r="N204" s="95"/>
      <c r="O204" s="95"/>
      <c r="P204" s="95"/>
      <c r="Q204" s="95"/>
      <c r="R204" s="95"/>
      <c r="S204" s="95"/>
      <c r="T204" s="95"/>
      <c r="U204" s="95"/>
      <c r="V204" s="95"/>
      <c r="W204" s="95"/>
      <c r="X204" s="95"/>
      <c r="Y204" s="95"/>
      <c r="Z204" s="95"/>
      <c r="AA204" s="95"/>
      <c r="AB204" s="95"/>
    </row>
    <row r="205" ht="15.75" customHeight="1">
      <c r="A205" s="95"/>
      <c r="B205" s="95"/>
      <c r="C205" s="95"/>
      <c r="D205" s="95"/>
      <c r="E205" s="95"/>
      <c r="F205" s="130"/>
      <c r="G205" s="95"/>
      <c r="H205" s="95"/>
      <c r="I205" s="95"/>
      <c r="J205" s="95"/>
      <c r="K205" s="95"/>
      <c r="L205" s="95"/>
      <c r="M205" s="95"/>
      <c r="N205" s="95"/>
      <c r="O205" s="95"/>
      <c r="P205" s="95"/>
      <c r="Q205" s="95"/>
      <c r="R205" s="95"/>
      <c r="S205" s="95"/>
      <c r="T205" s="95"/>
      <c r="U205" s="95"/>
      <c r="V205" s="95"/>
      <c r="W205" s="95"/>
      <c r="X205" s="95"/>
      <c r="Y205" s="95"/>
      <c r="Z205" s="95"/>
      <c r="AA205" s="95"/>
      <c r="AB205" s="95"/>
    </row>
    <row r="206" ht="15.75" customHeight="1">
      <c r="A206" s="95"/>
      <c r="B206" s="95"/>
      <c r="C206" s="95"/>
      <c r="D206" s="95"/>
      <c r="E206" s="95"/>
      <c r="F206" s="130"/>
      <c r="G206" s="95"/>
      <c r="H206" s="95"/>
      <c r="I206" s="95"/>
      <c r="J206" s="95"/>
      <c r="K206" s="95"/>
      <c r="L206" s="95"/>
      <c r="M206" s="95"/>
      <c r="N206" s="95"/>
      <c r="O206" s="95"/>
      <c r="P206" s="95"/>
      <c r="Q206" s="95"/>
      <c r="R206" s="95"/>
      <c r="S206" s="95"/>
      <c r="T206" s="95"/>
      <c r="U206" s="95"/>
      <c r="V206" s="95"/>
      <c r="W206" s="95"/>
      <c r="X206" s="95"/>
      <c r="Y206" s="95"/>
      <c r="Z206" s="95"/>
      <c r="AA206" s="95"/>
      <c r="AB206" s="95"/>
    </row>
    <row r="207" ht="15.75" customHeight="1">
      <c r="A207" s="95"/>
      <c r="B207" s="95"/>
      <c r="C207" s="95"/>
      <c r="D207" s="95"/>
      <c r="E207" s="95"/>
      <c r="F207" s="130"/>
      <c r="G207" s="95"/>
      <c r="H207" s="95"/>
      <c r="I207" s="95"/>
      <c r="J207" s="95"/>
      <c r="K207" s="95"/>
      <c r="L207" s="95"/>
      <c r="M207" s="95"/>
      <c r="N207" s="95"/>
      <c r="O207" s="95"/>
      <c r="P207" s="95"/>
      <c r="Q207" s="95"/>
      <c r="R207" s="95"/>
      <c r="S207" s="95"/>
      <c r="T207" s="95"/>
      <c r="U207" s="95"/>
      <c r="V207" s="95"/>
      <c r="W207" s="95"/>
      <c r="X207" s="95"/>
      <c r="Y207" s="95"/>
      <c r="Z207" s="95"/>
      <c r="AA207" s="95"/>
      <c r="AB207" s="95"/>
    </row>
    <row r="208" ht="15.75" customHeight="1">
      <c r="A208" s="95"/>
      <c r="B208" s="95"/>
      <c r="C208" s="95"/>
      <c r="D208" s="95"/>
      <c r="E208" s="95"/>
      <c r="F208" s="130"/>
      <c r="G208" s="95"/>
      <c r="H208" s="95"/>
      <c r="I208" s="95"/>
      <c r="J208" s="95"/>
      <c r="K208" s="95"/>
      <c r="L208" s="95"/>
      <c r="M208" s="95"/>
      <c r="N208" s="95"/>
      <c r="O208" s="95"/>
      <c r="P208" s="95"/>
      <c r="Q208" s="95"/>
      <c r="R208" s="95"/>
      <c r="S208" s="95"/>
      <c r="T208" s="95"/>
      <c r="U208" s="95"/>
      <c r="V208" s="95"/>
      <c r="W208" s="95"/>
      <c r="X208" s="95"/>
      <c r="Y208" s="95"/>
      <c r="Z208" s="95"/>
      <c r="AA208" s="95"/>
      <c r="AB208" s="95"/>
    </row>
    <row r="209" ht="15.75" customHeight="1">
      <c r="A209" s="95"/>
      <c r="B209" s="95"/>
      <c r="C209" s="95"/>
      <c r="D209" s="95"/>
      <c r="E209" s="95"/>
      <c r="F209" s="130"/>
      <c r="G209" s="95"/>
      <c r="H209" s="95"/>
      <c r="I209" s="95"/>
      <c r="J209" s="95"/>
      <c r="K209" s="95"/>
      <c r="L209" s="95"/>
      <c r="M209" s="95"/>
      <c r="N209" s="95"/>
      <c r="O209" s="95"/>
      <c r="P209" s="95"/>
      <c r="Q209" s="95"/>
      <c r="R209" s="95"/>
      <c r="S209" s="95"/>
      <c r="T209" s="95"/>
      <c r="U209" s="95"/>
      <c r="V209" s="95"/>
      <c r="W209" s="95"/>
      <c r="X209" s="95"/>
      <c r="Y209" s="95"/>
      <c r="Z209" s="95"/>
      <c r="AA209" s="95"/>
      <c r="AB209" s="95"/>
    </row>
    <row r="210" ht="15.75" customHeight="1">
      <c r="A210" s="95"/>
      <c r="B210" s="95"/>
      <c r="C210" s="95"/>
      <c r="D210" s="95"/>
      <c r="E210" s="95"/>
      <c r="F210" s="130"/>
      <c r="G210" s="95"/>
      <c r="H210" s="95"/>
      <c r="I210" s="95"/>
      <c r="J210" s="95"/>
      <c r="K210" s="95"/>
      <c r="L210" s="95"/>
      <c r="M210" s="95"/>
      <c r="N210" s="95"/>
      <c r="O210" s="95"/>
      <c r="P210" s="95"/>
      <c r="Q210" s="95"/>
      <c r="R210" s="95"/>
      <c r="S210" s="95"/>
      <c r="T210" s="95"/>
      <c r="U210" s="95"/>
      <c r="V210" s="95"/>
      <c r="W210" s="95"/>
      <c r="X210" s="95"/>
      <c r="Y210" s="95"/>
      <c r="Z210" s="95"/>
      <c r="AA210" s="95"/>
      <c r="AB210" s="95"/>
    </row>
    <row r="211" ht="15.75" customHeight="1">
      <c r="A211" s="95"/>
      <c r="B211" s="95"/>
      <c r="C211" s="95"/>
      <c r="D211" s="95"/>
      <c r="E211" s="95"/>
      <c r="F211" s="130"/>
      <c r="G211" s="95"/>
      <c r="H211" s="95"/>
      <c r="I211" s="95"/>
      <c r="J211" s="95"/>
      <c r="K211" s="95"/>
      <c r="L211" s="95"/>
      <c r="M211" s="95"/>
      <c r="N211" s="95"/>
      <c r="O211" s="95"/>
      <c r="P211" s="95"/>
      <c r="Q211" s="95"/>
      <c r="R211" s="95"/>
      <c r="S211" s="95"/>
      <c r="T211" s="95"/>
      <c r="U211" s="95"/>
      <c r="V211" s="95"/>
      <c r="W211" s="95"/>
      <c r="X211" s="95"/>
      <c r="Y211" s="95"/>
      <c r="Z211" s="95"/>
      <c r="AA211" s="95"/>
      <c r="AB211" s="95"/>
    </row>
    <row r="212" ht="15.75" customHeight="1">
      <c r="A212" s="95"/>
      <c r="B212" s="95"/>
      <c r="C212" s="95"/>
      <c r="D212" s="95"/>
      <c r="E212" s="95"/>
      <c r="F212" s="130"/>
      <c r="G212" s="95"/>
      <c r="H212" s="95"/>
      <c r="I212" s="95"/>
      <c r="J212" s="95"/>
      <c r="K212" s="95"/>
      <c r="L212" s="95"/>
      <c r="M212" s="95"/>
      <c r="N212" s="95"/>
      <c r="O212" s="95"/>
      <c r="P212" s="95"/>
      <c r="Q212" s="95"/>
      <c r="R212" s="95"/>
      <c r="S212" s="95"/>
      <c r="T212" s="95"/>
      <c r="U212" s="95"/>
      <c r="V212" s="95"/>
      <c r="W212" s="95"/>
      <c r="X212" s="95"/>
      <c r="Y212" s="95"/>
      <c r="Z212" s="95"/>
      <c r="AA212" s="95"/>
      <c r="AB212" s="95"/>
    </row>
    <row r="213" ht="15.75" customHeight="1">
      <c r="A213" s="95"/>
      <c r="B213" s="95"/>
      <c r="C213" s="95"/>
      <c r="D213" s="95"/>
      <c r="E213" s="95"/>
      <c r="F213" s="130"/>
      <c r="G213" s="95"/>
      <c r="H213" s="95"/>
      <c r="I213" s="95"/>
      <c r="J213" s="95"/>
      <c r="K213" s="95"/>
      <c r="L213" s="95"/>
      <c r="M213" s="95"/>
      <c r="N213" s="95"/>
      <c r="O213" s="95"/>
      <c r="P213" s="95"/>
      <c r="Q213" s="95"/>
      <c r="R213" s="95"/>
      <c r="S213" s="95"/>
      <c r="T213" s="95"/>
      <c r="U213" s="95"/>
      <c r="V213" s="95"/>
      <c r="W213" s="95"/>
      <c r="X213" s="95"/>
      <c r="Y213" s="95"/>
      <c r="Z213" s="95"/>
      <c r="AA213" s="95"/>
      <c r="AB213" s="95"/>
    </row>
    <row r="214" ht="15.75" customHeight="1">
      <c r="A214" s="95"/>
      <c r="B214" s="95"/>
      <c r="C214" s="95"/>
      <c r="D214" s="95"/>
      <c r="E214" s="95"/>
      <c r="F214" s="130"/>
      <c r="G214" s="95"/>
      <c r="H214" s="95"/>
      <c r="I214" s="95"/>
      <c r="J214" s="95"/>
      <c r="K214" s="95"/>
      <c r="L214" s="95"/>
      <c r="M214" s="95"/>
      <c r="N214" s="95"/>
      <c r="O214" s="95"/>
      <c r="P214" s="95"/>
      <c r="Q214" s="95"/>
      <c r="R214" s="95"/>
      <c r="S214" s="95"/>
      <c r="T214" s="95"/>
      <c r="U214" s="95"/>
      <c r="V214" s="95"/>
      <c r="W214" s="95"/>
      <c r="X214" s="95"/>
      <c r="Y214" s="95"/>
      <c r="Z214" s="95"/>
      <c r="AA214" s="95"/>
      <c r="AB214" s="95"/>
    </row>
    <row r="215" ht="15.75" customHeight="1">
      <c r="A215" s="95"/>
      <c r="B215" s="95"/>
      <c r="C215" s="95"/>
      <c r="D215" s="95"/>
      <c r="E215" s="95"/>
      <c r="F215" s="130"/>
      <c r="G215" s="95"/>
      <c r="H215" s="95"/>
      <c r="I215" s="95"/>
      <c r="J215" s="95"/>
      <c r="K215" s="95"/>
      <c r="L215" s="95"/>
      <c r="M215" s="95"/>
      <c r="N215" s="95"/>
      <c r="O215" s="95"/>
      <c r="P215" s="95"/>
      <c r="Q215" s="95"/>
      <c r="R215" s="95"/>
      <c r="S215" s="95"/>
      <c r="T215" s="95"/>
      <c r="U215" s="95"/>
      <c r="V215" s="95"/>
      <c r="W215" s="95"/>
      <c r="X215" s="95"/>
      <c r="Y215" s="95"/>
      <c r="Z215" s="95"/>
      <c r="AA215" s="95"/>
      <c r="AB215" s="95"/>
    </row>
    <row r="216" ht="15.75" customHeight="1">
      <c r="A216" s="95"/>
      <c r="B216" s="95"/>
      <c r="C216" s="95"/>
      <c r="D216" s="95"/>
      <c r="E216" s="95"/>
      <c r="F216" s="130"/>
      <c r="G216" s="95"/>
      <c r="H216" s="95"/>
      <c r="I216" s="95"/>
      <c r="J216" s="95"/>
      <c r="K216" s="95"/>
      <c r="L216" s="95"/>
      <c r="M216" s="95"/>
      <c r="N216" s="95"/>
      <c r="O216" s="95"/>
      <c r="P216" s="95"/>
      <c r="Q216" s="95"/>
      <c r="R216" s="95"/>
      <c r="S216" s="95"/>
      <c r="T216" s="95"/>
      <c r="U216" s="95"/>
      <c r="V216" s="95"/>
      <c r="W216" s="95"/>
      <c r="X216" s="95"/>
      <c r="Y216" s="95"/>
      <c r="Z216" s="95"/>
      <c r="AA216" s="95"/>
      <c r="AB216" s="95"/>
    </row>
    <row r="217" ht="15.75" customHeight="1">
      <c r="A217" s="95"/>
      <c r="B217" s="95"/>
      <c r="C217" s="95"/>
      <c r="D217" s="95"/>
      <c r="E217" s="95"/>
      <c r="F217" s="130"/>
      <c r="G217" s="95"/>
      <c r="H217" s="95"/>
      <c r="I217" s="95"/>
      <c r="J217" s="95"/>
      <c r="K217" s="95"/>
      <c r="L217" s="95"/>
      <c r="M217" s="95"/>
      <c r="N217" s="95"/>
      <c r="O217" s="95"/>
      <c r="P217" s="95"/>
      <c r="Q217" s="95"/>
      <c r="R217" s="95"/>
      <c r="S217" s="95"/>
      <c r="T217" s="95"/>
      <c r="U217" s="95"/>
      <c r="V217" s="95"/>
      <c r="W217" s="95"/>
      <c r="X217" s="95"/>
      <c r="Y217" s="95"/>
      <c r="Z217" s="95"/>
      <c r="AA217" s="95"/>
      <c r="AB217" s="95"/>
    </row>
    <row r="218" ht="15.75" customHeight="1">
      <c r="A218" s="95"/>
      <c r="B218" s="95"/>
      <c r="C218" s="95"/>
      <c r="D218" s="95"/>
      <c r="E218" s="95"/>
      <c r="F218" s="130"/>
      <c r="G218" s="95"/>
      <c r="H218" s="95"/>
      <c r="I218" s="95"/>
      <c r="J218" s="95"/>
      <c r="K218" s="95"/>
      <c r="L218" s="95"/>
      <c r="M218" s="95"/>
      <c r="N218" s="95"/>
      <c r="O218" s="95"/>
      <c r="P218" s="95"/>
      <c r="Q218" s="95"/>
      <c r="R218" s="95"/>
      <c r="S218" s="95"/>
      <c r="T218" s="95"/>
      <c r="U218" s="95"/>
      <c r="V218" s="95"/>
      <c r="W218" s="95"/>
      <c r="X218" s="95"/>
      <c r="Y218" s="95"/>
      <c r="Z218" s="95"/>
      <c r="AA218" s="95"/>
      <c r="AB218" s="95"/>
    </row>
    <row r="219" ht="15.75" customHeight="1">
      <c r="A219" s="95"/>
      <c r="B219" s="95"/>
      <c r="C219" s="95"/>
      <c r="D219" s="95"/>
      <c r="E219" s="95"/>
      <c r="F219" s="130"/>
      <c r="G219" s="95"/>
      <c r="H219" s="95"/>
      <c r="I219" s="95"/>
      <c r="J219" s="95"/>
      <c r="K219" s="95"/>
      <c r="L219" s="95"/>
      <c r="M219" s="95"/>
      <c r="N219" s="95"/>
      <c r="O219" s="95"/>
      <c r="P219" s="95"/>
      <c r="Q219" s="95"/>
      <c r="R219" s="95"/>
      <c r="S219" s="95"/>
      <c r="T219" s="95"/>
      <c r="U219" s="95"/>
      <c r="V219" s="95"/>
      <c r="W219" s="95"/>
      <c r="X219" s="95"/>
      <c r="Y219" s="95"/>
      <c r="Z219" s="95"/>
      <c r="AA219" s="95"/>
      <c r="AB219" s="95"/>
    </row>
    <row r="220" ht="15.75" customHeight="1">
      <c r="A220" s="95"/>
      <c r="B220" s="95"/>
      <c r="C220" s="95"/>
      <c r="D220" s="95"/>
      <c r="E220" s="95"/>
      <c r="F220" s="130"/>
      <c r="G220" s="95"/>
      <c r="H220" s="95"/>
      <c r="I220" s="95"/>
      <c r="J220" s="95"/>
      <c r="K220" s="95"/>
      <c r="L220" s="95"/>
      <c r="M220" s="95"/>
      <c r="N220" s="95"/>
      <c r="O220" s="95"/>
      <c r="P220" s="95"/>
      <c r="Q220" s="95"/>
      <c r="R220" s="95"/>
      <c r="S220" s="95"/>
      <c r="T220" s="95"/>
      <c r="U220" s="95"/>
      <c r="V220" s="95"/>
      <c r="W220" s="95"/>
      <c r="X220" s="95"/>
      <c r="Y220" s="95"/>
      <c r="Z220" s="95"/>
      <c r="AA220" s="95"/>
      <c r="AB220" s="95"/>
    </row>
    <row r="221" ht="15.75" customHeight="1">
      <c r="A221" s="95"/>
      <c r="B221" s="95"/>
      <c r="C221" s="95"/>
      <c r="D221" s="95"/>
      <c r="E221" s="95"/>
      <c r="F221" s="130"/>
      <c r="G221" s="95"/>
      <c r="H221" s="95"/>
      <c r="I221" s="95"/>
      <c r="J221" s="95"/>
      <c r="K221" s="95"/>
      <c r="L221" s="95"/>
      <c r="M221" s="95"/>
      <c r="N221" s="95"/>
      <c r="O221" s="95"/>
      <c r="P221" s="95"/>
      <c r="Q221" s="95"/>
      <c r="R221" s="95"/>
      <c r="S221" s="95"/>
      <c r="T221" s="95"/>
      <c r="U221" s="95"/>
      <c r="V221" s="95"/>
      <c r="W221" s="95"/>
      <c r="X221" s="95"/>
      <c r="Y221" s="95"/>
      <c r="Z221" s="95"/>
      <c r="AA221" s="95"/>
      <c r="AB221" s="95"/>
    </row>
    <row r="222" ht="15.75" customHeight="1">
      <c r="A222" s="95"/>
      <c r="B222" s="95"/>
      <c r="C222" s="95"/>
      <c r="D222" s="95"/>
      <c r="E222" s="95"/>
      <c r="F222" s="130"/>
      <c r="G222" s="95"/>
      <c r="H222" s="95"/>
      <c r="I222" s="95"/>
      <c r="J222" s="95"/>
      <c r="K222" s="95"/>
      <c r="L222" s="95"/>
      <c r="M222" s="95"/>
      <c r="N222" s="95"/>
      <c r="O222" s="95"/>
      <c r="P222" s="95"/>
      <c r="Q222" s="95"/>
      <c r="R222" s="95"/>
      <c r="S222" s="95"/>
      <c r="T222" s="95"/>
      <c r="U222" s="95"/>
      <c r="V222" s="95"/>
      <c r="W222" s="95"/>
      <c r="X222" s="95"/>
      <c r="Y222" s="95"/>
      <c r="Z222" s="95"/>
      <c r="AA222" s="95"/>
      <c r="AB222" s="95"/>
    </row>
    <row r="223" ht="15.75" customHeight="1">
      <c r="A223" s="95"/>
      <c r="B223" s="95"/>
      <c r="C223" s="95"/>
      <c r="D223" s="95"/>
      <c r="E223" s="95"/>
      <c r="F223" s="130"/>
      <c r="G223" s="95"/>
      <c r="H223" s="95"/>
      <c r="I223" s="95"/>
      <c r="J223" s="95"/>
      <c r="K223" s="95"/>
      <c r="L223" s="95"/>
      <c r="M223" s="95"/>
      <c r="N223" s="95"/>
      <c r="O223" s="95"/>
      <c r="P223" s="95"/>
      <c r="Q223" s="95"/>
      <c r="R223" s="95"/>
      <c r="S223" s="95"/>
      <c r="T223" s="95"/>
      <c r="U223" s="95"/>
      <c r="V223" s="95"/>
      <c r="W223" s="95"/>
      <c r="X223" s="95"/>
      <c r="Y223" s="95"/>
      <c r="Z223" s="95"/>
      <c r="AA223" s="95"/>
      <c r="AB223" s="95"/>
    </row>
    <row r="224" ht="15.75" customHeight="1">
      <c r="A224" s="95"/>
      <c r="B224" s="95"/>
      <c r="C224" s="95"/>
      <c r="D224" s="95"/>
      <c r="E224" s="95"/>
      <c r="F224" s="130"/>
      <c r="G224" s="95"/>
      <c r="H224" s="95"/>
      <c r="I224" s="95"/>
      <c r="J224" s="95"/>
      <c r="K224" s="95"/>
      <c r="L224" s="95"/>
      <c r="M224" s="95"/>
      <c r="N224" s="95"/>
      <c r="O224" s="95"/>
      <c r="P224" s="95"/>
      <c r="Q224" s="95"/>
      <c r="R224" s="95"/>
      <c r="S224" s="95"/>
      <c r="T224" s="95"/>
      <c r="U224" s="95"/>
      <c r="V224" s="95"/>
      <c r="W224" s="95"/>
      <c r="X224" s="95"/>
      <c r="Y224" s="95"/>
      <c r="Z224" s="95"/>
      <c r="AA224" s="95"/>
      <c r="AB224" s="95"/>
    </row>
    <row r="225" ht="15.75" customHeight="1">
      <c r="A225" s="95"/>
      <c r="B225" s="95"/>
      <c r="C225" s="95"/>
      <c r="D225" s="95"/>
      <c r="E225" s="95"/>
      <c r="F225" s="130"/>
      <c r="G225" s="95"/>
      <c r="H225" s="95"/>
      <c r="I225" s="95"/>
      <c r="J225" s="95"/>
      <c r="K225" s="95"/>
      <c r="L225" s="95"/>
      <c r="M225" s="95"/>
      <c r="N225" s="95"/>
      <c r="O225" s="95"/>
      <c r="P225" s="95"/>
      <c r="Q225" s="95"/>
      <c r="R225" s="95"/>
      <c r="S225" s="95"/>
      <c r="T225" s="95"/>
      <c r="U225" s="95"/>
      <c r="V225" s="95"/>
      <c r="W225" s="95"/>
      <c r="X225" s="95"/>
      <c r="Y225" s="95"/>
      <c r="Z225" s="95"/>
      <c r="AA225" s="95"/>
      <c r="AB225" s="95"/>
    </row>
    <row r="226" ht="15.75" customHeight="1">
      <c r="A226" s="95"/>
      <c r="B226" s="95"/>
      <c r="C226" s="95"/>
      <c r="D226" s="95"/>
      <c r="E226" s="95"/>
      <c r="F226" s="130"/>
      <c r="G226" s="95"/>
      <c r="H226" s="95"/>
      <c r="I226" s="95"/>
      <c r="J226" s="95"/>
      <c r="K226" s="95"/>
      <c r="L226" s="95"/>
      <c r="M226" s="95"/>
      <c r="N226" s="95"/>
      <c r="O226" s="95"/>
      <c r="P226" s="95"/>
      <c r="Q226" s="95"/>
      <c r="R226" s="95"/>
      <c r="S226" s="95"/>
      <c r="T226" s="95"/>
      <c r="U226" s="95"/>
      <c r="V226" s="95"/>
      <c r="W226" s="95"/>
      <c r="X226" s="95"/>
      <c r="Y226" s="95"/>
      <c r="Z226" s="95"/>
      <c r="AA226" s="95"/>
      <c r="AB226" s="95"/>
    </row>
    <row r="227" ht="15.75" customHeight="1">
      <c r="A227" s="95"/>
      <c r="B227" s="95"/>
      <c r="C227" s="95"/>
      <c r="D227" s="95"/>
      <c r="E227" s="95"/>
      <c r="F227" s="130"/>
      <c r="G227" s="95"/>
      <c r="H227" s="95"/>
      <c r="I227" s="95"/>
      <c r="J227" s="95"/>
      <c r="K227" s="95"/>
      <c r="L227" s="95"/>
      <c r="M227" s="95"/>
      <c r="N227" s="95"/>
      <c r="O227" s="95"/>
      <c r="P227" s="95"/>
      <c r="Q227" s="95"/>
      <c r="R227" s="95"/>
      <c r="S227" s="95"/>
      <c r="T227" s="95"/>
      <c r="U227" s="95"/>
      <c r="V227" s="95"/>
      <c r="W227" s="95"/>
      <c r="X227" s="95"/>
      <c r="Y227" s="95"/>
      <c r="Z227" s="95"/>
      <c r="AA227" s="95"/>
      <c r="AB227" s="95"/>
    </row>
    <row r="228" ht="15.75" customHeight="1">
      <c r="A228" s="95"/>
      <c r="B228" s="95"/>
      <c r="C228" s="95"/>
      <c r="D228" s="95"/>
      <c r="E228" s="95"/>
      <c r="F228" s="130"/>
      <c r="G228" s="95"/>
      <c r="H228" s="95"/>
      <c r="I228" s="95"/>
      <c r="J228" s="95"/>
      <c r="K228" s="95"/>
      <c r="L228" s="95"/>
      <c r="M228" s="95"/>
      <c r="N228" s="95"/>
      <c r="O228" s="95"/>
      <c r="P228" s="95"/>
      <c r="Q228" s="95"/>
      <c r="R228" s="95"/>
      <c r="S228" s="95"/>
      <c r="T228" s="95"/>
      <c r="U228" s="95"/>
      <c r="V228" s="95"/>
      <c r="W228" s="95"/>
      <c r="X228" s="95"/>
      <c r="Y228" s="95"/>
      <c r="Z228" s="95"/>
      <c r="AA228" s="95"/>
      <c r="AB228" s="95"/>
    </row>
    <row r="229" ht="15.75" customHeight="1">
      <c r="A229" s="95"/>
      <c r="B229" s="95"/>
      <c r="C229" s="95"/>
      <c r="D229" s="95"/>
      <c r="E229" s="95"/>
      <c r="F229" s="130"/>
      <c r="G229" s="95"/>
      <c r="H229" s="95"/>
      <c r="I229" s="95"/>
      <c r="J229" s="95"/>
      <c r="K229" s="95"/>
      <c r="L229" s="95"/>
      <c r="M229" s="95"/>
      <c r="N229" s="95"/>
      <c r="O229" s="95"/>
      <c r="P229" s="95"/>
      <c r="Q229" s="95"/>
      <c r="R229" s="95"/>
      <c r="S229" s="95"/>
      <c r="T229" s="95"/>
      <c r="U229" s="95"/>
      <c r="V229" s="95"/>
      <c r="W229" s="95"/>
      <c r="X229" s="95"/>
      <c r="Y229" s="95"/>
      <c r="Z229" s="95"/>
      <c r="AA229" s="95"/>
      <c r="AB229" s="95"/>
    </row>
    <row r="230" ht="15.75" customHeight="1">
      <c r="A230" s="95"/>
      <c r="B230" s="95"/>
      <c r="C230" s="95"/>
      <c r="D230" s="95"/>
      <c r="E230" s="95"/>
      <c r="F230" s="130"/>
      <c r="G230" s="95"/>
      <c r="H230" s="95"/>
      <c r="I230" s="95"/>
      <c r="J230" s="95"/>
      <c r="K230" s="95"/>
      <c r="L230" s="95"/>
      <c r="M230" s="95"/>
      <c r="N230" s="95"/>
      <c r="O230" s="95"/>
      <c r="P230" s="95"/>
      <c r="Q230" s="95"/>
      <c r="R230" s="95"/>
      <c r="S230" s="95"/>
      <c r="T230" s="95"/>
      <c r="U230" s="95"/>
      <c r="V230" s="95"/>
      <c r="W230" s="95"/>
      <c r="X230" s="95"/>
      <c r="Y230" s="95"/>
      <c r="Z230" s="95"/>
      <c r="AA230" s="95"/>
      <c r="AB230" s="95"/>
    </row>
    <row r="231" ht="15.75" customHeight="1">
      <c r="A231" s="95"/>
      <c r="B231" s="95"/>
      <c r="C231" s="95"/>
      <c r="D231" s="95"/>
      <c r="E231" s="95"/>
      <c r="F231" s="130"/>
      <c r="G231" s="95"/>
      <c r="H231" s="95"/>
      <c r="I231" s="95"/>
      <c r="J231" s="95"/>
      <c r="K231" s="95"/>
      <c r="L231" s="95"/>
      <c r="M231" s="95"/>
      <c r="N231" s="95"/>
      <c r="O231" s="95"/>
      <c r="P231" s="95"/>
      <c r="Q231" s="95"/>
      <c r="R231" s="95"/>
      <c r="S231" s="95"/>
      <c r="T231" s="95"/>
      <c r="U231" s="95"/>
      <c r="V231" s="95"/>
      <c r="W231" s="95"/>
      <c r="X231" s="95"/>
      <c r="Y231" s="95"/>
      <c r="Z231" s="95"/>
      <c r="AA231" s="95"/>
      <c r="AB231" s="95"/>
    </row>
    <row r="232" ht="15.75" customHeight="1">
      <c r="A232" s="95"/>
      <c r="B232" s="95"/>
      <c r="C232" s="95"/>
      <c r="D232" s="95"/>
      <c r="E232" s="95"/>
      <c r="F232" s="130"/>
      <c r="G232" s="95"/>
      <c r="H232" s="95"/>
      <c r="I232" s="95"/>
      <c r="J232" s="95"/>
      <c r="K232" s="95"/>
      <c r="L232" s="95"/>
      <c r="M232" s="95"/>
      <c r="N232" s="95"/>
      <c r="O232" s="95"/>
      <c r="P232" s="95"/>
      <c r="Q232" s="95"/>
      <c r="R232" s="95"/>
      <c r="S232" s="95"/>
      <c r="T232" s="95"/>
      <c r="U232" s="95"/>
      <c r="V232" s="95"/>
      <c r="W232" s="95"/>
      <c r="X232" s="95"/>
      <c r="Y232" s="95"/>
      <c r="Z232" s="95"/>
      <c r="AA232" s="95"/>
      <c r="AB232" s="95"/>
    </row>
    <row r="233" ht="15.75" customHeight="1">
      <c r="A233" s="95"/>
      <c r="B233" s="95"/>
      <c r="C233" s="95"/>
      <c r="D233" s="95"/>
      <c r="E233" s="95"/>
      <c r="F233" s="130"/>
      <c r="G233" s="95"/>
      <c r="H233" s="95"/>
      <c r="I233" s="95"/>
      <c r="J233" s="95"/>
      <c r="K233" s="95"/>
      <c r="L233" s="95"/>
      <c r="M233" s="95"/>
      <c r="N233" s="95"/>
      <c r="O233" s="95"/>
      <c r="P233" s="95"/>
      <c r="Q233" s="95"/>
      <c r="R233" s="95"/>
      <c r="S233" s="95"/>
      <c r="T233" s="95"/>
      <c r="U233" s="95"/>
      <c r="V233" s="95"/>
      <c r="W233" s="95"/>
      <c r="X233" s="95"/>
      <c r="Y233" s="95"/>
      <c r="Z233" s="95"/>
      <c r="AA233" s="95"/>
      <c r="AB233" s="95"/>
    </row>
    <row r="234" ht="15.75" customHeight="1">
      <c r="A234" s="95"/>
      <c r="B234" s="95"/>
      <c r="C234" s="95"/>
      <c r="D234" s="95"/>
      <c r="E234" s="95"/>
      <c r="F234" s="130"/>
      <c r="G234" s="95"/>
      <c r="H234" s="95"/>
      <c r="I234" s="95"/>
      <c r="J234" s="95"/>
      <c r="K234" s="95"/>
      <c r="L234" s="95"/>
      <c r="M234" s="95"/>
      <c r="N234" s="95"/>
      <c r="O234" s="95"/>
      <c r="P234" s="95"/>
      <c r="Q234" s="95"/>
      <c r="R234" s="95"/>
      <c r="S234" s="95"/>
      <c r="T234" s="95"/>
      <c r="U234" s="95"/>
      <c r="V234" s="95"/>
      <c r="W234" s="95"/>
      <c r="X234" s="95"/>
      <c r="Y234" s="95"/>
      <c r="Z234" s="95"/>
      <c r="AA234" s="95"/>
      <c r="AB234" s="95"/>
    </row>
    <row r="235" ht="15.75" customHeight="1">
      <c r="A235" s="95"/>
      <c r="B235" s="95"/>
      <c r="C235" s="95"/>
      <c r="D235" s="95"/>
      <c r="E235" s="95"/>
      <c r="F235" s="130"/>
      <c r="G235" s="95"/>
      <c r="H235" s="95"/>
      <c r="I235" s="95"/>
      <c r="J235" s="95"/>
      <c r="K235" s="95"/>
      <c r="L235" s="95"/>
      <c r="M235" s="95"/>
      <c r="N235" s="95"/>
      <c r="O235" s="95"/>
      <c r="P235" s="95"/>
      <c r="Q235" s="95"/>
      <c r="R235" s="95"/>
      <c r="S235" s="95"/>
      <c r="T235" s="95"/>
      <c r="U235" s="95"/>
      <c r="V235" s="95"/>
      <c r="W235" s="95"/>
      <c r="X235" s="95"/>
      <c r="Y235" s="95"/>
      <c r="Z235" s="95"/>
      <c r="AA235" s="95"/>
      <c r="AB235" s="95"/>
    </row>
    <row r="236" ht="15.75" customHeight="1">
      <c r="A236" s="95"/>
      <c r="B236" s="95"/>
      <c r="C236" s="95"/>
      <c r="D236" s="95"/>
      <c r="E236" s="95"/>
      <c r="F236" s="130"/>
      <c r="G236" s="95"/>
      <c r="H236" s="95"/>
      <c r="I236" s="95"/>
      <c r="J236" s="95"/>
      <c r="K236" s="95"/>
      <c r="L236" s="95"/>
      <c r="M236" s="95"/>
      <c r="N236" s="95"/>
      <c r="O236" s="95"/>
      <c r="P236" s="95"/>
      <c r="Q236" s="95"/>
      <c r="R236" s="95"/>
      <c r="S236" s="95"/>
      <c r="T236" s="95"/>
      <c r="U236" s="95"/>
      <c r="V236" s="95"/>
      <c r="W236" s="95"/>
      <c r="X236" s="95"/>
      <c r="Y236" s="95"/>
      <c r="Z236" s="95"/>
      <c r="AA236" s="95"/>
      <c r="AB236" s="95"/>
    </row>
    <row r="237" ht="15.75" customHeight="1">
      <c r="A237" s="95"/>
      <c r="B237" s="95"/>
      <c r="C237" s="95"/>
      <c r="D237" s="95"/>
      <c r="E237" s="95"/>
      <c r="F237" s="130"/>
      <c r="G237" s="95"/>
      <c r="H237" s="95"/>
      <c r="I237" s="95"/>
      <c r="J237" s="95"/>
      <c r="K237" s="95"/>
      <c r="L237" s="95"/>
      <c r="M237" s="95"/>
      <c r="N237" s="95"/>
      <c r="O237" s="95"/>
      <c r="P237" s="95"/>
      <c r="Q237" s="95"/>
      <c r="R237" s="95"/>
      <c r="S237" s="95"/>
      <c r="T237" s="95"/>
      <c r="U237" s="95"/>
      <c r="V237" s="95"/>
      <c r="W237" s="95"/>
      <c r="X237" s="95"/>
      <c r="Y237" s="95"/>
      <c r="Z237" s="95"/>
      <c r="AA237" s="95"/>
      <c r="AB237" s="95"/>
    </row>
    <row r="238" ht="15.75" customHeight="1">
      <c r="A238" s="95"/>
      <c r="B238" s="95"/>
      <c r="C238" s="95"/>
      <c r="D238" s="95"/>
      <c r="E238" s="95"/>
      <c r="F238" s="130"/>
      <c r="G238" s="95"/>
      <c r="H238" s="95"/>
      <c r="I238" s="95"/>
      <c r="J238" s="95"/>
      <c r="K238" s="95"/>
      <c r="L238" s="95"/>
      <c r="M238" s="95"/>
      <c r="N238" s="95"/>
      <c r="O238" s="95"/>
      <c r="P238" s="95"/>
      <c r="Q238" s="95"/>
      <c r="R238" s="95"/>
      <c r="S238" s="95"/>
      <c r="T238" s="95"/>
      <c r="U238" s="95"/>
      <c r="V238" s="95"/>
      <c r="W238" s="95"/>
      <c r="X238" s="95"/>
      <c r="Y238" s="95"/>
      <c r="Z238" s="95"/>
      <c r="AA238" s="95"/>
      <c r="AB238" s="95"/>
    </row>
    <row r="239" ht="15.75" customHeight="1">
      <c r="A239" s="95"/>
      <c r="B239" s="95"/>
      <c r="C239" s="95"/>
      <c r="D239" s="95"/>
      <c r="E239" s="95"/>
      <c r="F239" s="130"/>
      <c r="G239" s="95"/>
      <c r="H239" s="95"/>
      <c r="I239" s="95"/>
      <c r="J239" s="95"/>
      <c r="K239" s="95"/>
      <c r="L239" s="95"/>
      <c r="M239" s="95"/>
      <c r="N239" s="95"/>
      <c r="O239" s="95"/>
      <c r="P239" s="95"/>
      <c r="Q239" s="95"/>
      <c r="R239" s="95"/>
      <c r="S239" s="95"/>
      <c r="T239" s="95"/>
      <c r="U239" s="95"/>
      <c r="V239" s="95"/>
      <c r="W239" s="95"/>
      <c r="X239" s="95"/>
      <c r="Y239" s="95"/>
      <c r="Z239" s="95"/>
      <c r="AA239" s="95"/>
      <c r="AB239" s="95"/>
    </row>
    <row r="240" ht="15.75" customHeight="1">
      <c r="A240" s="95"/>
      <c r="B240" s="95"/>
      <c r="C240" s="95"/>
      <c r="D240" s="95"/>
      <c r="E240" s="95"/>
      <c r="F240" s="130"/>
      <c r="G240" s="95"/>
      <c r="H240" s="95"/>
      <c r="I240" s="95"/>
      <c r="J240" s="95"/>
      <c r="K240" s="95"/>
      <c r="L240" s="95"/>
      <c r="M240" s="95"/>
      <c r="N240" s="95"/>
      <c r="O240" s="95"/>
      <c r="P240" s="95"/>
      <c r="Q240" s="95"/>
      <c r="R240" s="95"/>
      <c r="S240" s="95"/>
      <c r="T240" s="95"/>
      <c r="U240" s="95"/>
      <c r="V240" s="95"/>
      <c r="W240" s="95"/>
      <c r="X240" s="95"/>
      <c r="Y240" s="95"/>
      <c r="Z240" s="95"/>
      <c r="AA240" s="95"/>
      <c r="AB240" s="95"/>
    </row>
    <row r="241" ht="15.75" customHeight="1">
      <c r="A241" s="95"/>
      <c r="B241" s="95"/>
      <c r="C241" s="95"/>
      <c r="D241" s="95"/>
      <c r="E241" s="95"/>
      <c r="F241" s="130"/>
      <c r="G241" s="95"/>
      <c r="H241" s="95"/>
      <c r="I241" s="95"/>
      <c r="J241" s="95"/>
      <c r="K241" s="95"/>
      <c r="L241" s="95"/>
      <c r="M241" s="95"/>
      <c r="N241" s="95"/>
      <c r="O241" s="95"/>
      <c r="P241" s="95"/>
      <c r="Q241" s="95"/>
      <c r="R241" s="95"/>
      <c r="S241" s="95"/>
      <c r="T241" s="95"/>
      <c r="U241" s="95"/>
      <c r="V241" s="95"/>
      <c r="W241" s="95"/>
      <c r="X241" s="95"/>
      <c r="Y241" s="95"/>
      <c r="Z241" s="95"/>
      <c r="AA241" s="95"/>
      <c r="AB241" s="95"/>
    </row>
    <row r="242" ht="15.75" customHeight="1">
      <c r="A242" s="95"/>
      <c r="B242" s="95"/>
      <c r="C242" s="95"/>
      <c r="D242" s="95"/>
      <c r="E242" s="95"/>
      <c r="F242" s="130"/>
      <c r="G242" s="95"/>
      <c r="H242" s="95"/>
      <c r="I242" s="95"/>
      <c r="J242" s="95"/>
      <c r="K242" s="95"/>
      <c r="L242" s="95"/>
      <c r="M242" s="95"/>
      <c r="N242" s="95"/>
      <c r="O242" s="95"/>
      <c r="P242" s="95"/>
      <c r="Q242" s="95"/>
      <c r="R242" s="95"/>
      <c r="S242" s="95"/>
      <c r="T242" s="95"/>
      <c r="U242" s="95"/>
      <c r="V242" s="95"/>
      <c r="W242" s="95"/>
      <c r="X242" s="95"/>
      <c r="Y242" s="95"/>
      <c r="Z242" s="95"/>
      <c r="AA242" s="95"/>
      <c r="AB242" s="95"/>
    </row>
    <row r="243" ht="15.75" customHeight="1">
      <c r="A243" s="95"/>
      <c r="B243" s="95"/>
      <c r="C243" s="95"/>
      <c r="D243" s="95"/>
      <c r="E243" s="95"/>
      <c r="F243" s="130"/>
      <c r="G243" s="95"/>
      <c r="H243" s="95"/>
      <c r="I243" s="95"/>
      <c r="J243" s="95"/>
      <c r="K243" s="95"/>
      <c r="L243" s="95"/>
      <c r="M243" s="95"/>
      <c r="N243" s="95"/>
      <c r="O243" s="95"/>
      <c r="P243" s="95"/>
      <c r="Q243" s="95"/>
      <c r="R243" s="95"/>
      <c r="S243" s="95"/>
      <c r="T243" s="95"/>
      <c r="U243" s="95"/>
      <c r="V243" s="95"/>
      <c r="W243" s="95"/>
      <c r="X243" s="95"/>
      <c r="Y243" s="95"/>
      <c r="Z243" s="95"/>
      <c r="AA243" s="95"/>
      <c r="AB243" s="95"/>
    </row>
    <row r="244" ht="15.75" customHeight="1">
      <c r="A244" s="95"/>
      <c r="B244" s="95"/>
      <c r="C244" s="95"/>
      <c r="D244" s="95"/>
      <c r="E244" s="95"/>
      <c r="F244" s="130"/>
      <c r="G244" s="95"/>
      <c r="H244" s="95"/>
      <c r="I244" s="95"/>
      <c r="J244" s="95"/>
      <c r="K244" s="95"/>
      <c r="L244" s="95"/>
      <c r="M244" s="95"/>
      <c r="N244" s="95"/>
      <c r="O244" s="95"/>
      <c r="P244" s="95"/>
      <c r="Q244" s="95"/>
      <c r="R244" s="95"/>
      <c r="S244" s="95"/>
      <c r="T244" s="95"/>
      <c r="U244" s="95"/>
      <c r="V244" s="95"/>
      <c r="W244" s="95"/>
      <c r="X244" s="95"/>
      <c r="Y244" s="95"/>
      <c r="Z244" s="95"/>
      <c r="AA244" s="95"/>
      <c r="AB244" s="95"/>
    </row>
    <row r="245" ht="15.75" customHeight="1">
      <c r="A245" s="95"/>
      <c r="B245" s="95"/>
      <c r="C245" s="95"/>
      <c r="D245" s="95"/>
      <c r="E245" s="95"/>
      <c r="F245" s="130"/>
      <c r="G245" s="95"/>
      <c r="H245" s="95"/>
      <c r="I245" s="95"/>
      <c r="J245" s="95"/>
      <c r="K245" s="95"/>
      <c r="L245" s="95"/>
      <c r="M245" s="95"/>
      <c r="N245" s="95"/>
      <c r="O245" s="95"/>
      <c r="P245" s="95"/>
      <c r="Q245" s="95"/>
      <c r="R245" s="95"/>
      <c r="S245" s="95"/>
      <c r="T245" s="95"/>
      <c r="U245" s="95"/>
      <c r="V245" s="95"/>
      <c r="W245" s="95"/>
      <c r="X245" s="95"/>
      <c r="Y245" s="95"/>
      <c r="Z245" s="95"/>
      <c r="AA245" s="95"/>
      <c r="AB245" s="95"/>
    </row>
    <row r="246" ht="15.75" customHeight="1">
      <c r="A246" s="95"/>
      <c r="B246" s="95"/>
      <c r="C246" s="95"/>
      <c r="D246" s="95"/>
      <c r="E246" s="95"/>
      <c r="F246" s="130"/>
      <c r="G246" s="95"/>
      <c r="H246" s="95"/>
      <c r="I246" s="95"/>
      <c r="J246" s="95"/>
      <c r="K246" s="95"/>
      <c r="L246" s="95"/>
      <c r="M246" s="95"/>
      <c r="N246" s="95"/>
      <c r="O246" s="95"/>
      <c r="P246" s="95"/>
      <c r="Q246" s="95"/>
      <c r="R246" s="95"/>
      <c r="S246" s="95"/>
      <c r="T246" s="95"/>
      <c r="U246" s="95"/>
      <c r="V246" s="95"/>
      <c r="W246" s="95"/>
      <c r="X246" s="95"/>
      <c r="Y246" s="95"/>
      <c r="Z246" s="95"/>
      <c r="AA246" s="95"/>
      <c r="AB246" s="95"/>
    </row>
    <row r="247" ht="15.75" customHeight="1">
      <c r="A247" s="95"/>
      <c r="B247" s="95"/>
      <c r="C247" s="95"/>
      <c r="D247" s="95"/>
      <c r="E247" s="95"/>
      <c r="F247" s="130"/>
      <c r="G247" s="95"/>
      <c r="H247" s="95"/>
      <c r="I247" s="95"/>
      <c r="J247" s="95"/>
      <c r="K247" s="95"/>
      <c r="L247" s="95"/>
      <c r="M247" s="95"/>
      <c r="N247" s="95"/>
      <c r="O247" s="95"/>
      <c r="P247" s="95"/>
      <c r="Q247" s="95"/>
      <c r="R247" s="95"/>
      <c r="S247" s="95"/>
      <c r="T247" s="95"/>
      <c r="U247" s="95"/>
      <c r="V247" s="95"/>
      <c r="W247" s="95"/>
      <c r="X247" s="95"/>
      <c r="Y247" s="95"/>
      <c r="Z247" s="95"/>
      <c r="AA247" s="95"/>
      <c r="AB247" s="95"/>
    </row>
    <row r="248" ht="15.75" customHeight="1">
      <c r="A248" s="95"/>
      <c r="B248" s="95"/>
      <c r="C248" s="95"/>
      <c r="D248" s="95"/>
      <c r="E248" s="95"/>
      <c r="F248" s="130"/>
      <c r="G248" s="95"/>
      <c r="H248" s="95"/>
      <c r="I248" s="95"/>
      <c r="J248" s="95"/>
      <c r="K248" s="95"/>
      <c r="L248" s="95"/>
      <c r="M248" s="95"/>
      <c r="N248" s="95"/>
      <c r="O248" s="95"/>
      <c r="P248" s="95"/>
      <c r="Q248" s="95"/>
      <c r="R248" s="95"/>
      <c r="S248" s="95"/>
      <c r="T248" s="95"/>
      <c r="U248" s="95"/>
      <c r="V248" s="95"/>
      <c r="W248" s="95"/>
      <c r="X248" s="95"/>
      <c r="Y248" s="95"/>
      <c r="Z248" s="95"/>
      <c r="AA248" s="95"/>
      <c r="AB248" s="95"/>
    </row>
    <row r="249" ht="15.75" customHeight="1">
      <c r="A249" s="95"/>
      <c r="B249" s="95"/>
      <c r="C249" s="95"/>
      <c r="D249" s="95"/>
      <c r="E249" s="95"/>
      <c r="F249" s="130"/>
      <c r="G249" s="95"/>
      <c r="H249" s="95"/>
      <c r="I249" s="95"/>
      <c r="J249" s="95"/>
      <c r="K249" s="95"/>
      <c r="L249" s="95"/>
      <c r="M249" s="95"/>
      <c r="N249" s="95"/>
      <c r="O249" s="95"/>
      <c r="P249" s="95"/>
      <c r="Q249" s="95"/>
      <c r="R249" s="95"/>
      <c r="S249" s="95"/>
      <c r="T249" s="95"/>
      <c r="U249" s="95"/>
      <c r="V249" s="95"/>
      <c r="W249" s="95"/>
      <c r="X249" s="95"/>
      <c r="Y249" s="95"/>
      <c r="Z249" s="95"/>
      <c r="AA249" s="95"/>
      <c r="AB249" s="95"/>
    </row>
    <row r="250" ht="15.75" customHeight="1">
      <c r="A250" s="95"/>
      <c r="B250" s="95"/>
      <c r="C250" s="95"/>
      <c r="D250" s="95"/>
      <c r="E250" s="95"/>
      <c r="F250" s="130"/>
      <c r="G250" s="95"/>
      <c r="H250" s="95"/>
      <c r="I250" s="95"/>
      <c r="J250" s="95"/>
      <c r="K250" s="95"/>
      <c r="L250" s="95"/>
      <c r="M250" s="95"/>
      <c r="N250" s="95"/>
      <c r="O250" s="95"/>
      <c r="P250" s="95"/>
      <c r="Q250" s="95"/>
      <c r="R250" s="95"/>
      <c r="S250" s="95"/>
      <c r="T250" s="95"/>
      <c r="U250" s="95"/>
      <c r="V250" s="95"/>
      <c r="W250" s="95"/>
      <c r="X250" s="95"/>
      <c r="Y250" s="95"/>
      <c r="Z250" s="95"/>
      <c r="AA250" s="95"/>
      <c r="AB250" s="95"/>
    </row>
    <row r="251" ht="15.75" customHeight="1">
      <c r="A251" s="95"/>
      <c r="B251" s="95"/>
      <c r="C251" s="95"/>
      <c r="D251" s="95"/>
      <c r="E251" s="95"/>
      <c r="F251" s="130"/>
      <c r="G251" s="95"/>
      <c r="H251" s="95"/>
      <c r="I251" s="95"/>
      <c r="J251" s="95"/>
      <c r="K251" s="95"/>
      <c r="L251" s="95"/>
      <c r="M251" s="95"/>
      <c r="N251" s="95"/>
      <c r="O251" s="95"/>
      <c r="P251" s="95"/>
      <c r="Q251" s="95"/>
      <c r="R251" s="95"/>
      <c r="S251" s="95"/>
      <c r="T251" s="95"/>
      <c r="U251" s="95"/>
      <c r="V251" s="95"/>
      <c r="W251" s="95"/>
      <c r="X251" s="95"/>
      <c r="Y251" s="95"/>
      <c r="Z251" s="95"/>
      <c r="AA251" s="95"/>
      <c r="AB251" s="95"/>
    </row>
    <row r="252" ht="15.75" customHeight="1">
      <c r="A252" s="95"/>
      <c r="B252" s="95"/>
      <c r="C252" s="95"/>
      <c r="D252" s="95"/>
      <c r="E252" s="95"/>
      <c r="F252" s="130"/>
      <c r="G252" s="95"/>
      <c r="H252" s="95"/>
      <c r="I252" s="95"/>
      <c r="J252" s="95"/>
      <c r="K252" s="95"/>
      <c r="L252" s="95"/>
      <c r="M252" s="95"/>
      <c r="N252" s="95"/>
      <c r="O252" s="95"/>
      <c r="P252" s="95"/>
      <c r="Q252" s="95"/>
      <c r="R252" s="95"/>
      <c r="S252" s="95"/>
      <c r="T252" s="95"/>
      <c r="U252" s="95"/>
      <c r="V252" s="95"/>
      <c r="W252" s="95"/>
      <c r="X252" s="95"/>
      <c r="Y252" s="95"/>
      <c r="Z252" s="95"/>
      <c r="AA252" s="95"/>
      <c r="AB252" s="95"/>
    </row>
    <row r="253" ht="15.75" customHeight="1">
      <c r="A253" s="95"/>
      <c r="B253" s="95"/>
      <c r="C253" s="95"/>
      <c r="D253" s="95"/>
      <c r="E253" s="95"/>
      <c r="F253" s="130"/>
      <c r="G253" s="95"/>
      <c r="H253" s="95"/>
      <c r="I253" s="95"/>
      <c r="J253" s="95"/>
      <c r="K253" s="95"/>
      <c r="L253" s="95"/>
      <c r="M253" s="95"/>
      <c r="N253" s="95"/>
      <c r="O253" s="95"/>
      <c r="P253" s="95"/>
      <c r="Q253" s="95"/>
      <c r="R253" s="95"/>
      <c r="S253" s="95"/>
      <c r="T253" s="95"/>
      <c r="U253" s="95"/>
      <c r="V253" s="95"/>
      <c r="W253" s="95"/>
      <c r="X253" s="95"/>
      <c r="Y253" s="95"/>
      <c r="Z253" s="95"/>
      <c r="AA253" s="95"/>
      <c r="AB253" s="95"/>
    </row>
    <row r="254" ht="15.75" customHeight="1">
      <c r="A254" s="95"/>
      <c r="B254" s="95"/>
      <c r="C254" s="95"/>
      <c r="D254" s="95"/>
      <c r="E254" s="95"/>
      <c r="F254" s="130"/>
      <c r="G254" s="95"/>
      <c r="H254" s="95"/>
      <c r="I254" s="95"/>
      <c r="J254" s="95"/>
      <c r="K254" s="95"/>
      <c r="L254" s="95"/>
      <c r="M254" s="95"/>
      <c r="N254" s="95"/>
      <c r="O254" s="95"/>
      <c r="P254" s="95"/>
      <c r="Q254" s="95"/>
      <c r="R254" s="95"/>
      <c r="S254" s="95"/>
      <c r="T254" s="95"/>
      <c r="U254" s="95"/>
      <c r="V254" s="95"/>
      <c r="W254" s="95"/>
      <c r="X254" s="95"/>
      <c r="Y254" s="95"/>
      <c r="Z254" s="95"/>
      <c r="AA254" s="95"/>
      <c r="AB254" s="95"/>
    </row>
    <row r="255" ht="15.75" customHeight="1">
      <c r="A255" s="95"/>
      <c r="B255" s="95"/>
      <c r="C255" s="95"/>
      <c r="D255" s="95"/>
      <c r="E255" s="95"/>
      <c r="F255" s="130"/>
      <c r="G255" s="95"/>
      <c r="H255" s="95"/>
      <c r="I255" s="95"/>
      <c r="J255" s="95"/>
      <c r="K255" s="95"/>
      <c r="L255" s="95"/>
      <c r="M255" s="95"/>
      <c r="N255" s="95"/>
      <c r="O255" s="95"/>
      <c r="P255" s="95"/>
      <c r="Q255" s="95"/>
      <c r="R255" s="95"/>
      <c r="S255" s="95"/>
      <c r="T255" s="95"/>
      <c r="U255" s="95"/>
      <c r="V255" s="95"/>
      <c r="W255" s="95"/>
      <c r="X255" s="95"/>
      <c r="Y255" s="95"/>
      <c r="Z255" s="95"/>
      <c r="AA255" s="95"/>
      <c r="AB255" s="95"/>
    </row>
    <row r="256" ht="15.75" customHeight="1">
      <c r="A256" s="95"/>
      <c r="B256" s="95"/>
      <c r="C256" s="95"/>
      <c r="D256" s="95"/>
      <c r="E256" s="95"/>
      <c r="F256" s="130"/>
      <c r="G256" s="95"/>
      <c r="H256" s="95"/>
      <c r="I256" s="95"/>
      <c r="J256" s="95"/>
      <c r="K256" s="95"/>
      <c r="L256" s="95"/>
      <c r="M256" s="95"/>
      <c r="N256" s="95"/>
      <c r="O256" s="95"/>
      <c r="P256" s="95"/>
      <c r="Q256" s="95"/>
      <c r="R256" s="95"/>
      <c r="S256" s="95"/>
      <c r="T256" s="95"/>
      <c r="U256" s="95"/>
      <c r="V256" s="95"/>
      <c r="W256" s="95"/>
      <c r="X256" s="95"/>
      <c r="Y256" s="95"/>
      <c r="Z256" s="95"/>
      <c r="AA256" s="95"/>
      <c r="AB256" s="95"/>
    </row>
    <row r="257" ht="15.75" customHeight="1">
      <c r="A257" s="95"/>
      <c r="B257" s="95"/>
      <c r="C257" s="95"/>
      <c r="D257" s="95"/>
      <c r="E257" s="95"/>
      <c r="F257" s="130"/>
      <c r="G257" s="95"/>
      <c r="H257" s="95"/>
      <c r="I257" s="95"/>
      <c r="J257" s="95"/>
      <c r="K257" s="95"/>
      <c r="L257" s="95"/>
      <c r="M257" s="95"/>
      <c r="N257" s="95"/>
      <c r="O257" s="95"/>
      <c r="P257" s="95"/>
      <c r="Q257" s="95"/>
      <c r="R257" s="95"/>
      <c r="S257" s="95"/>
      <c r="T257" s="95"/>
      <c r="U257" s="95"/>
      <c r="V257" s="95"/>
      <c r="W257" s="95"/>
      <c r="X257" s="95"/>
      <c r="Y257" s="95"/>
      <c r="Z257" s="95"/>
      <c r="AA257" s="95"/>
      <c r="AB257" s="95"/>
    </row>
    <row r="258" ht="15.75" customHeight="1">
      <c r="A258" s="95"/>
      <c r="B258" s="95"/>
      <c r="C258" s="95"/>
      <c r="D258" s="95"/>
      <c r="E258" s="95"/>
      <c r="F258" s="130"/>
      <c r="G258" s="95"/>
      <c r="H258" s="95"/>
      <c r="I258" s="95"/>
      <c r="J258" s="95"/>
      <c r="K258" s="95"/>
      <c r="L258" s="95"/>
      <c r="M258" s="95"/>
      <c r="N258" s="95"/>
      <c r="O258" s="95"/>
      <c r="P258" s="95"/>
      <c r="Q258" s="95"/>
      <c r="R258" s="95"/>
      <c r="S258" s="95"/>
      <c r="T258" s="95"/>
      <c r="U258" s="95"/>
      <c r="V258" s="95"/>
      <c r="W258" s="95"/>
      <c r="X258" s="95"/>
      <c r="Y258" s="95"/>
      <c r="Z258" s="95"/>
      <c r="AA258" s="95"/>
      <c r="AB258" s="95"/>
    </row>
    <row r="259" ht="15.75" customHeight="1">
      <c r="A259" s="95"/>
      <c r="B259" s="95"/>
      <c r="C259" s="95"/>
      <c r="D259" s="95"/>
      <c r="E259" s="95"/>
      <c r="F259" s="130"/>
      <c r="G259" s="95"/>
      <c r="H259" s="95"/>
      <c r="I259" s="95"/>
      <c r="J259" s="95"/>
      <c r="K259" s="95"/>
      <c r="L259" s="95"/>
      <c r="M259" s="95"/>
      <c r="N259" s="95"/>
      <c r="O259" s="95"/>
      <c r="P259" s="95"/>
      <c r="Q259" s="95"/>
      <c r="R259" s="95"/>
      <c r="S259" s="95"/>
      <c r="T259" s="95"/>
      <c r="U259" s="95"/>
      <c r="V259" s="95"/>
      <c r="W259" s="95"/>
      <c r="X259" s="95"/>
      <c r="Y259" s="95"/>
      <c r="Z259" s="95"/>
      <c r="AA259" s="95"/>
      <c r="AB259" s="95"/>
    </row>
    <row r="260" ht="15.75" customHeight="1">
      <c r="A260" s="95"/>
      <c r="B260" s="95"/>
      <c r="C260" s="95"/>
      <c r="D260" s="95"/>
      <c r="E260" s="95"/>
      <c r="F260" s="130"/>
      <c r="G260" s="95"/>
      <c r="H260" s="95"/>
      <c r="I260" s="95"/>
      <c r="J260" s="95"/>
      <c r="K260" s="95"/>
      <c r="L260" s="95"/>
      <c r="M260" s="95"/>
      <c r="N260" s="95"/>
      <c r="O260" s="95"/>
      <c r="P260" s="95"/>
      <c r="Q260" s="95"/>
      <c r="R260" s="95"/>
      <c r="S260" s="95"/>
      <c r="T260" s="95"/>
      <c r="U260" s="95"/>
      <c r="V260" s="95"/>
      <c r="W260" s="95"/>
      <c r="X260" s="95"/>
      <c r="Y260" s="95"/>
      <c r="Z260" s="95"/>
      <c r="AA260" s="95"/>
      <c r="AB260" s="95"/>
    </row>
    <row r="261" ht="15.75" customHeight="1">
      <c r="A261" s="95"/>
      <c r="B261" s="95"/>
      <c r="C261" s="95"/>
      <c r="D261" s="95"/>
      <c r="E261" s="95"/>
      <c r="F261" s="130"/>
      <c r="G261" s="95"/>
      <c r="H261" s="95"/>
      <c r="I261" s="95"/>
      <c r="J261" s="95"/>
      <c r="K261" s="95"/>
      <c r="L261" s="95"/>
      <c r="M261" s="95"/>
      <c r="N261" s="95"/>
      <c r="O261" s="95"/>
      <c r="P261" s="95"/>
      <c r="Q261" s="95"/>
      <c r="R261" s="95"/>
      <c r="S261" s="95"/>
      <c r="T261" s="95"/>
      <c r="U261" s="95"/>
      <c r="V261" s="95"/>
      <c r="W261" s="95"/>
      <c r="X261" s="95"/>
      <c r="Y261" s="95"/>
      <c r="Z261" s="95"/>
      <c r="AA261" s="95"/>
      <c r="AB261" s="95"/>
    </row>
    <row r="262" ht="15.75" customHeight="1">
      <c r="A262" s="95"/>
      <c r="B262" s="95"/>
      <c r="C262" s="95"/>
      <c r="D262" s="95"/>
      <c r="E262" s="95"/>
      <c r="F262" s="130"/>
      <c r="G262" s="95"/>
      <c r="H262" s="95"/>
      <c r="I262" s="95"/>
      <c r="J262" s="95"/>
      <c r="K262" s="95"/>
      <c r="L262" s="95"/>
      <c r="M262" s="95"/>
      <c r="N262" s="95"/>
      <c r="O262" s="95"/>
      <c r="P262" s="95"/>
      <c r="Q262" s="95"/>
      <c r="R262" s="95"/>
      <c r="S262" s="95"/>
      <c r="T262" s="95"/>
      <c r="U262" s="95"/>
      <c r="V262" s="95"/>
      <c r="W262" s="95"/>
      <c r="X262" s="95"/>
      <c r="Y262" s="95"/>
      <c r="Z262" s="95"/>
      <c r="AA262" s="95"/>
      <c r="AB262" s="95"/>
    </row>
    <row r="263" ht="15.75" customHeight="1">
      <c r="A263" s="95"/>
      <c r="B263" s="95"/>
      <c r="C263" s="95"/>
      <c r="D263" s="95"/>
      <c r="E263" s="95"/>
      <c r="F263" s="130"/>
      <c r="G263" s="95"/>
      <c r="H263" s="95"/>
      <c r="I263" s="95"/>
      <c r="J263" s="95"/>
      <c r="K263" s="95"/>
      <c r="L263" s="95"/>
      <c r="M263" s="95"/>
      <c r="N263" s="95"/>
      <c r="O263" s="95"/>
      <c r="P263" s="95"/>
      <c r="Q263" s="95"/>
      <c r="R263" s="95"/>
      <c r="S263" s="95"/>
      <c r="T263" s="95"/>
      <c r="U263" s="95"/>
      <c r="V263" s="95"/>
      <c r="W263" s="95"/>
      <c r="X263" s="95"/>
      <c r="Y263" s="95"/>
      <c r="Z263" s="95"/>
      <c r="AA263" s="95"/>
      <c r="AB263" s="95"/>
    </row>
    <row r="264" ht="15.75" customHeight="1">
      <c r="A264" s="95"/>
      <c r="B264" s="95"/>
      <c r="C264" s="95"/>
      <c r="D264" s="95"/>
      <c r="E264" s="95"/>
      <c r="F264" s="130"/>
      <c r="G264" s="95"/>
      <c r="H264" s="95"/>
      <c r="I264" s="95"/>
      <c r="J264" s="95"/>
      <c r="K264" s="95"/>
      <c r="L264" s="95"/>
      <c r="M264" s="95"/>
      <c r="N264" s="95"/>
      <c r="O264" s="95"/>
      <c r="P264" s="95"/>
      <c r="Q264" s="95"/>
      <c r="R264" s="95"/>
      <c r="S264" s="95"/>
      <c r="T264" s="95"/>
      <c r="U264" s="95"/>
      <c r="V264" s="95"/>
      <c r="W264" s="95"/>
      <c r="X264" s="95"/>
      <c r="Y264" s="95"/>
      <c r="Z264" s="95"/>
      <c r="AA264" s="95"/>
      <c r="AB264" s="95"/>
    </row>
    <row r="265" ht="15.75" customHeight="1">
      <c r="A265" s="95"/>
      <c r="B265" s="95"/>
      <c r="C265" s="95"/>
      <c r="D265" s="95"/>
      <c r="E265" s="95"/>
      <c r="F265" s="130"/>
      <c r="G265" s="95"/>
      <c r="H265" s="95"/>
      <c r="I265" s="95"/>
      <c r="J265" s="95"/>
      <c r="K265" s="95"/>
      <c r="L265" s="95"/>
      <c r="M265" s="95"/>
      <c r="N265" s="95"/>
      <c r="O265" s="95"/>
      <c r="P265" s="95"/>
      <c r="Q265" s="95"/>
      <c r="R265" s="95"/>
      <c r="S265" s="95"/>
      <c r="T265" s="95"/>
      <c r="U265" s="95"/>
      <c r="V265" s="95"/>
      <c r="W265" s="95"/>
      <c r="X265" s="95"/>
      <c r="Y265" s="95"/>
      <c r="Z265" s="95"/>
      <c r="AA265" s="95"/>
      <c r="AB265" s="95"/>
    </row>
    <row r="266" ht="15.75" customHeight="1">
      <c r="A266" s="95"/>
      <c r="B266" s="95"/>
      <c r="C266" s="95"/>
      <c r="D266" s="95"/>
      <c r="E266" s="95"/>
      <c r="F266" s="130"/>
      <c r="G266" s="95"/>
      <c r="H266" s="95"/>
      <c r="I266" s="95"/>
      <c r="J266" s="95"/>
      <c r="K266" s="95"/>
      <c r="L266" s="95"/>
      <c r="M266" s="95"/>
      <c r="N266" s="95"/>
      <c r="O266" s="95"/>
      <c r="P266" s="95"/>
      <c r="Q266" s="95"/>
      <c r="R266" s="95"/>
      <c r="S266" s="95"/>
      <c r="T266" s="95"/>
      <c r="U266" s="95"/>
      <c r="V266" s="95"/>
      <c r="W266" s="95"/>
      <c r="X266" s="95"/>
      <c r="Y266" s="95"/>
      <c r="Z266" s="95"/>
      <c r="AA266" s="95"/>
      <c r="AB266" s="95"/>
    </row>
    <row r="267" ht="15.75" customHeight="1">
      <c r="A267" s="95"/>
      <c r="B267" s="95"/>
      <c r="C267" s="95"/>
      <c r="D267" s="95"/>
      <c r="E267" s="95"/>
      <c r="F267" s="130"/>
      <c r="G267" s="95"/>
      <c r="H267" s="95"/>
      <c r="I267" s="95"/>
      <c r="J267" s="95"/>
      <c r="K267" s="95"/>
      <c r="L267" s="95"/>
      <c r="M267" s="95"/>
      <c r="N267" s="95"/>
      <c r="O267" s="95"/>
      <c r="P267" s="95"/>
      <c r="Q267" s="95"/>
      <c r="R267" s="95"/>
      <c r="S267" s="95"/>
      <c r="T267" s="95"/>
      <c r="U267" s="95"/>
      <c r="V267" s="95"/>
      <c r="W267" s="95"/>
      <c r="X267" s="95"/>
      <c r="Y267" s="95"/>
      <c r="Z267" s="95"/>
      <c r="AA267" s="95"/>
      <c r="AB267" s="95"/>
    </row>
    <row r="268" ht="15.75" customHeight="1">
      <c r="A268" s="95"/>
      <c r="B268" s="95"/>
      <c r="C268" s="95"/>
      <c r="D268" s="95"/>
      <c r="E268" s="95"/>
      <c r="F268" s="130"/>
      <c r="G268" s="95"/>
      <c r="H268" s="95"/>
      <c r="I268" s="95"/>
      <c r="J268" s="95"/>
      <c r="K268" s="95"/>
      <c r="L268" s="95"/>
      <c r="M268" s="95"/>
      <c r="N268" s="95"/>
      <c r="O268" s="95"/>
      <c r="P268" s="95"/>
      <c r="Q268" s="95"/>
      <c r="R268" s="95"/>
      <c r="S268" s="95"/>
      <c r="T268" s="95"/>
      <c r="U268" s="95"/>
      <c r="V268" s="95"/>
      <c r="W268" s="95"/>
      <c r="X268" s="95"/>
      <c r="Y268" s="95"/>
      <c r="Z268" s="95"/>
      <c r="AA268" s="95"/>
      <c r="AB268" s="95"/>
    </row>
    <row r="269" ht="15.75" customHeight="1">
      <c r="A269" s="95"/>
      <c r="B269" s="95"/>
      <c r="C269" s="95"/>
      <c r="D269" s="95"/>
      <c r="E269" s="95"/>
      <c r="F269" s="130"/>
      <c r="G269" s="95"/>
      <c r="H269" s="95"/>
      <c r="I269" s="95"/>
      <c r="J269" s="95"/>
      <c r="K269" s="95"/>
      <c r="L269" s="95"/>
      <c r="M269" s="95"/>
      <c r="N269" s="95"/>
      <c r="O269" s="95"/>
      <c r="P269" s="95"/>
      <c r="Q269" s="95"/>
      <c r="R269" s="95"/>
      <c r="S269" s="95"/>
      <c r="T269" s="95"/>
      <c r="U269" s="95"/>
      <c r="V269" s="95"/>
      <c r="W269" s="95"/>
      <c r="X269" s="95"/>
      <c r="Y269" s="95"/>
      <c r="Z269" s="95"/>
      <c r="AA269" s="95"/>
      <c r="AB269" s="95"/>
    </row>
    <row r="270" ht="15.75" customHeight="1">
      <c r="A270" s="95"/>
      <c r="B270" s="95"/>
      <c r="C270" s="95"/>
      <c r="D270" s="95"/>
      <c r="E270" s="95"/>
      <c r="F270" s="130"/>
      <c r="G270" s="95"/>
      <c r="H270" s="95"/>
      <c r="I270" s="95"/>
      <c r="J270" s="95"/>
      <c r="K270" s="95"/>
      <c r="L270" s="95"/>
      <c r="M270" s="95"/>
      <c r="N270" s="95"/>
      <c r="O270" s="95"/>
      <c r="P270" s="95"/>
      <c r="Q270" s="95"/>
      <c r="R270" s="95"/>
      <c r="S270" s="95"/>
      <c r="T270" s="95"/>
      <c r="U270" s="95"/>
      <c r="V270" s="95"/>
      <c r="W270" s="95"/>
      <c r="X270" s="95"/>
      <c r="Y270" s="95"/>
      <c r="Z270" s="95"/>
      <c r="AA270" s="95"/>
      <c r="AB270" s="95"/>
    </row>
    <row r="271" ht="15.75" customHeight="1">
      <c r="A271" s="95"/>
      <c r="B271" s="95"/>
      <c r="C271" s="95"/>
      <c r="D271" s="95"/>
      <c r="E271" s="95"/>
      <c r="F271" s="130"/>
      <c r="G271" s="95"/>
      <c r="H271" s="95"/>
      <c r="I271" s="95"/>
      <c r="J271" s="95"/>
      <c r="K271" s="95"/>
      <c r="L271" s="95"/>
      <c r="M271" s="95"/>
      <c r="N271" s="95"/>
      <c r="O271" s="95"/>
      <c r="P271" s="95"/>
      <c r="Q271" s="95"/>
      <c r="R271" s="95"/>
      <c r="S271" s="95"/>
      <c r="T271" s="95"/>
      <c r="U271" s="95"/>
      <c r="V271" s="95"/>
      <c r="W271" s="95"/>
      <c r="X271" s="95"/>
      <c r="Y271" s="95"/>
      <c r="Z271" s="95"/>
      <c r="AA271" s="95"/>
      <c r="AB271" s="95"/>
    </row>
    <row r="272" ht="15.75" customHeight="1">
      <c r="A272" s="95"/>
      <c r="B272" s="95"/>
      <c r="C272" s="95"/>
      <c r="D272" s="95"/>
      <c r="E272" s="95"/>
      <c r="F272" s="130"/>
      <c r="G272" s="95"/>
      <c r="H272" s="95"/>
      <c r="I272" s="95"/>
      <c r="J272" s="95"/>
      <c r="K272" s="95"/>
      <c r="L272" s="95"/>
      <c r="M272" s="95"/>
      <c r="N272" s="95"/>
      <c r="O272" s="95"/>
      <c r="P272" s="95"/>
      <c r="Q272" s="95"/>
      <c r="R272" s="95"/>
      <c r="S272" s="95"/>
      <c r="T272" s="95"/>
      <c r="U272" s="95"/>
      <c r="V272" s="95"/>
      <c r="W272" s="95"/>
      <c r="X272" s="95"/>
      <c r="Y272" s="95"/>
      <c r="Z272" s="95"/>
      <c r="AA272" s="95"/>
      <c r="AB272" s="95"/>
    </row>
    <row r="273" ht="15.75" customHeight="1">
      <c r="A273" s="95"/>
      <c r="B273" s="95"/>
      <c r="C273" s="95"/>
      <c r="D273" s="95"/>
      <c r="E273" s="95"/>
      <c r="F273" s="130"/>
      <c r="G273" s="95"/>
      <c r="H273" s="95"/>
      <c r="I273" s="95"/>
      <c r="J273" s="95"/>
      <c r="K273" s="95"/>
      <c r="L273" s="95"/>
      <c r="M273" s="95"/>
      <c r="N273" s="95"/>
      <c r="O273" s="95"/>
      <c r="P273" s="95"/>
      <c r="Q273" s="95"/>
      <c r="R273" s="95"/>
      <c r="S273" s="95"/>
      <c r="T273" s="95"/>
      <c r="U273" s="95"/>
      <c r="V273" s="95"/>
      <c r="W273" s="95"/>
      <c r="X273" s="95"/>
      <c r="Y273" s="95"/>
      <c r="Z273" s="95"/>
      <c r="AA273" s="95"/>
      <c r="AB273" s="95"/>
    </row>
    <row r="274" ht="15.75" customHeight="1">
      <c r="A274" s="95"/>
      <c r="B274" s="95"/>
      <c r="C274" s="95"/>
      <c r="D274" s="95"/>
      <c r="E274" s="95"/>
      <c r="F274" s="130"/>
      <c r="G274" s="95"/>
      <c r="H274" s="95"/>
      <c r="I274" s="95"/>
      <c r="J274" s="95"/>
      <c r="K274" s="95"/>
      <c r="L274" s="95"/>
      <c r="M274" s="95"/>
      <c r="N274" s="95"/>
      <c r="O274" s="95"/>
      <c r="P274" s="95"/>
      <c r="Q274" s="95"/>
      <c r="R274" s="95"/>
      <c r="S274" s="95"/>
      <c r="T274" s="95"/>
      <c r="U274" s="95"/>
      <c r="V274" s="95"/>
      <c r="W274" s="95"/>
      <c r="X274" s="95"/>
      <c r="Y274" s="95"/>
      <c r="Z274" s="95"/>
      <c r="AA274" s="95"/>
      <c r="AB274" s="95"/>
    </row>
    <row r="275" ht="15.75" customHeight="1">
      <c r="A275" s="95"/>
      <c r="B275" s="95"/>
      <c r="C275" s="95"/>
      <c r="D275" s="95"/>
      <c r="E275" s="95"/>
      <c r="F275" s="130"/>
      <c r="G275" s="95"/>
      <c r="H275" s="95"/>
      <c r="I275" s="95"/>
      <c r="J275" s="95"/>
      <c r="K275" s="95"/>
      <c r="L275" s="95"/>
      <c r="M275" s="95"/>
      <c r="N275" s="95"/>
      <c r="O275" s="95"/>
      <c r="P275" s="95"/>
      <c r="Q275" s="95"/>
      <c r="R275" s="95"/>
      <c r="S275" s="95"/>
      <c r="T275" s="95"/>
      <c r="U275" s="95"/>
      <c r="V275" s="95"/>
      <c r="W275" s="95"/>
      <c r="X275" s="95"/>
      <c r="Y275" s="95"/>
      <c r="Z275" s="95"/>
      <c r="AA275" s="95"/>
      <c r="AB275" s="95"/>
    </row>
    <row r="276" ht="15.75" customHeight="1">
      <c r="A276" s="95"/>
      <c r="B276" s="95"/>
      <c r="C276" s="95"/>
      <c r="D276" s="95"/>
      <c r="E276" s="95"/>
      <c r="F276" s="130"/>
      <c r="G276" s="95"/>
      <c r="H276" s="95"/>
      <c r="I276" s="95"/>
      <c r="J276" s="95"/>
      <c r="K276" s="95"/>
      <c r="L276" s="95"/>
      <c r="M276" s="95"/>
      <c r="N276" s="95"/>
      <c r="O276" s="95"/>
      <c r="P276" s="95"/>
      <c r="Q276" s="95"/>
      <c r="R276" s="95"/>
      <c r="S276" s="95"/>
      <c r="T276" s="95"/>
      <c r="U276" s="95"/>
      <c r="V276" s="95"/>
      <c r="W276" s="95"/>
      <c r="X276" s="95"/>
      <c r="Y276" s="95"/>
      <c r="Z276" s="95"/>
      <c r="AA276" s="95"/>
      <c r="AB276" s="95"/>
    </row>
    <row r="277" ht="15.75" customHeight="1">
      <c r="A277" s="95"/>
      <c r="B277" s="95"/>
      <c r="C277" s="95"/>
      <c r="D277" s="95"/>
      <c r="E277" s="95"/>
      <c r="F277" s="130"/>
      <c r="G277" s="95"/>
      <c r="H277" s="95"/>
      <c r="I277" s="95"/>
      <c r="J277" s="95"/>
      <c r="K277" s="95"/>
      <c r="L277" s="95"/>
      <c r="M277" s="95"/>
      <c r="N277" s="95"/>
      <c r="O277" s="95"/>
      <c r="P277" s="95"/>
      <c r="Q277" s="95"/>
      <c r="R277" s="95"/>
      <c r="S277" s="95"/>
      <c r="T277" s="95"/>
      <c r="U277" s="95"/>
      <c r="V277" s="95"/>
      <c r="W277" s="95"/>
      <c r="X277" s="95"/>
      <c r="Y277" s="95"/>
      <c r="Z277" s="95"/>
      <c r="AA277" s="95"/>
      <c r="AB277" s="95"/>
    </row>
    <row r="278" ht="15.75" customHeight="1">
      <c r="A278" s="95"/>
      <c r="B278" s="95"/>
      <c r="C278" s="95"/>
      <c r="D278" s="95"/>
      <c r="E278" s="95"/>
      <c r="F278" s="130"/>
      <c r="G278" s="95"/>
      <c r="H278" s="95"/>
      <c r="I278" s="95"/>
      <c r="J278" s="95"/>
      <c r="K278" s="95"/>
      <c r="L278" s="95"/>
      <c r="M278" s="95"/>
      <c r="N278" s="95"/>
      <c r="O278" s="95"/>
      <c r="P278" s="95"/>
      <c r="Q278" s="95"/>
      <c r="R278" s="95"/>
      <c r="S278" s="95"/>
      <c r="T278" s="95"/>
      <c r="U278" s="95"/>
      <c r="V278" s="95"/>
      <c r="W278" s="95"/>
      <c r="X278" s="95"/>
      <c r="Y278" s="95"/>
      <c r="Z278" s="95"/>
      <c r="AA278" s="95"/>
      <c r="AB278" s="95"/>
    </row>
    <row r="279" ht="15.75" customHeight="1">
      <c r="A279" s="95"/>
      <c r="B279" s="95"/>
      <c r="C279" s="95"/>
      <c r="D279" s="95"/>
      <c r="E279" s="95"/>
      <c r="F279" s="130"/>
      <c r="G279" s="95"/>
      <c r="H279" s="95"/>
      <c r="I279" s="95"/>
      <c r="J279" s="95"/>
      <c r="K279" s="95"/>
      <c r="L279" s="95"/>
      <c r="M279" s="95"/>
      <c r="N279" s="95"/>
      <c r="O279" s="95"/>
      <c r="P279" s="95"/>
      <c r="Q279" s="95"/>
      <c r="R279" s="95"/>
      <c r="S279" s="95"/>
      <c r="T279" s="95"/>
      <c r="U279" s="95"/>
      <c r="V279" s="95"/>
      <c r="W279" s="95"/>
      <c r="X279" s="95"/>
      <c r="Y279" s="95"/>
      <c r="Z279" s="95"/>
      <c r="AA279" s="95"/>
      <c r="AB279" s="95"/>
    </row>
    <row r="280" ht="15.75" customHeight="1">
      <c r="A280" s="95"/>
      <c r="B280" s="95"/>
      <c r="C280" s="95"/>
      <c r="D280" s="95"/>
      <c r="E280" s="95"/>
      <c r="F280" s="130"/>
      <c r="G280" s="95"/>
      <c r="H280" s="95"/>
      <c r="I280" s="95"/>
      <c r="J280" s="95"/>
      <c r="K280" s="95"/>
      <c r="L280" s="95"/>
      <c r="M280" s="95"/>
      <c r="N280" s="95"/>
      <c r="O280" s="95"/>
      <c r="P280" s="95"/>
      <c r="Q280" s="95"/>
      <c r="R280" s="95"/>
      <c r="S280" s="95"/>
      <c r="T280" s="95"/>
      <c r="U280" s="95"/>
      <c r="V280" s="95"/>
      <c r="W280" s="95"/>
      <c r="X280" s="95"/>
      <c r="Y280" s="95"/>
      <c r="Z280" s="95"/>
      <c r="AA280" s="95"/>
      <c r="AB280" s="95"/>
    </row>
    <row r="281" ht="15.75" customHeight="1">
      <c r="A281" s="95"/>
      <c r="B281" s="95"/>
      <c r="C281" s="95"/>
      <c r="D281" s="95"/>
      <c r="E281" s="95"/>
      <c r="F281" s="130"/>
      <c r="G281" s="95"/>
      <c r="H281" s="95"/>
      <c r="I281" s="95"/>
      <c r="J281" s="95"/>
      <c r="K281" s="95"/>
      <c r="L281" s="95"/>
      <c r="M281" s="95"/>
      <c r="N281" s="95"/>
      <c r="O281" s="95"/>
      <c r="P281" s="95"/>
      <c r="Q281" s="95"/>
      <c r="R281" s="95"/>
      <c r="S281" s="95"/>
      <c r="T281" s="95"/>
      <c r="U281" s="95"/>
      <c r="V281" s="95"/>
      <c r="W281" s="95"/>
      <c r="X281" s="95"/>
      <c r="Y281" s="95"/>
      <c r="Z281" s="95"/>
      <c r="AA281" s="95"/>
      <c r="AB281" s="95"/>
    </row>
    <row r="282" ht="15.75" customHeight="1">
      <c r="A282" s="95"/>
      <c r="B282" s="95"/>
      <c r="C282" s="95"/>
      <c r="D282" s="95"/>
      <c r="E282" s="95"/>
      <c r="F282" s="130"/>
      <c r="G282" s="95"/>
      <c r="H282" s="95"/>
      <c r="I282" s="95"/>
      <c r="J282" s="95"/>
      <c r="K282" s="95"/>
      <c r="L282" s="95"/>
      <c r="M282" s="95"/>
      <c r="N282" s="95"/>
      <c r="O282" s="95"/>
      <c r="P282" s="95"/>
      <c r="Q282" s="95"/>
      <c r="R282" s="95"/>
      <c r="S282" s="95"/>
      <c r="T282" s="95"/>
      <c r="U282" s="95"/>
      <c r="V282" s="95"/>
      <c r="W282" s="95"/>
      <c r="X282" s="95"/>
      <c r="Y282" s="95"/>
      <c r="Z282" s="95"/>
      <c r="AA282" s="95"/>
      <c r="AB282" s="95"/>
    </row>
    <row r="283" ht="15.75" customHeight="1">
      <c r="A283" s="95"/>
      <c r="B283" s="95"/>
      <c r="C283" s="95"/>
      <c r="D283" s="95"/>
      <c r="E283" s="95"/>
      <c r="F283" s="130"/>
      <c r="G283" s="95"/>
      <c r="H283" s="95"/>
      <c r="I283" s="95"/>
      <c r="J283" s="95"/>
      <c r="K283" s="95"/>
      <c r="L283" s="95"/>
      <c r="M283" s="95"/>
      <c r="N283" s="95"/>
      <c r="O283" s="95"/>
      <c r="P283" s="95"/>
      <c r="Q283" s="95"/>
      <c r="R283" s="95"/>
      <c r="S283" s="95"/>
      <c r="T283" s="95"/>
      <c r="U283" s="95"/>
      <c r="V283" s="95"/>
      <c r="W283" s="95"/>
      <c r="X283" s="95"/>
      <c r="Y283" s="95"/>
      <c r="Z283" s="95"/>
      <c r="AA283" s="95"/>
      <c r="AB283" s="95"/>
    </row>
    <row r="284" ht="15.75" customHeight="1">
      <c r="A284" s="95"/>
      <c r="B284" s="95"/>
      <c r="C284" s="95"/>
      <c r="D284" s="95"/>
      <c r="E284" s="95"/>
      <c r="F284" s="130"/>
      <c r="G284" s="95"/>
      <c r="H284" s="95"/>
      <c r="I284" s="95"/>
      <c r="J284" s="95"/>
      <c r="K284" s="95"/>
      <c r="L284" s="95"/>
      <c r="M284" s="95"/>
      <c r="N284" s="95"/>
      <c r="O284" s="95"/>
      <c r="P284" s="95"/>
      <c r="Q284" s="95"/>
      <c r="R284" s="95"/>
      <c r="S284" s="95"/>
      <c r="T284" s="95"/>
      <c r="U284" s="95"/>
      <c r="V284" s="95"/>
      <c r="W284" s="95"/>
      <c r="X284" s="95"/>
      <c r="Y284" s="95"/>
      <c r="Z284" s="95"/>
      <c r="AA284" s="95"/>
      <c r="AB284" s="95"/>
    </row>
    <row r="285" ht="15.75" customHeight="1">
      <c r="A285" s="95"/>
      <c r="B285" s="95"/>
      <c r="C285" s="95"/>
      <c r="D285" s="95"/>
      <c r="E285" s="95"/>
      <c r="F285" s="130"/>
      <c r="G285" s="95"/>
      <c r="H285" s="95"/>
      <c r="I285" s="95"/>
      <c r="J285" s="95"/>
      <c r="K285" s="95"/>
      <c r="L285" s="95"/>
      <c r="M285" s="95"/>
      <c r="N285" s="95"/>
      <c r="O285" s="95"/>
      <c r="P285" s="95"/>
      <c r="Q285" s="95"/>
      <c r="R285" s="95"/>
      <c r="S285" s="95"/>
      <c r="T285" s="95"/>
      <c r="U285" s="95"/>
      <c r="V285" s="95"/>
      <c r="W285" s="95"/>
      <c r="X285" s="95"/>
      <c r="Y285" s="95"/>
      <c r="Z285" s="95"/>
      <c r="AA285" s="95"/>
      <c r="AB285" s="95"/>
    </row>
    <row r="286" ht="15.75" customHeight="1">
      <c r="A286" s="95"/>
      <c r="B286" s="95"/>
      <c r="C286" s="95"/>
      <c r="D286" s="95"/>
      <c r="E286" s="95"/>
      <c r="F286" s="130"/>
      <c r="G286" s="95"/>
      <c r="H286" s="95"/>
      <c r="I286" s="95"/>
      <c r="J286" s="95"/>
      <c r="K286" s="95"/>
      <c r="L286" s="95"/>
      <c r="M286" s="95"/>
      <c r="N286" s="95"/>
      <c r="O286" s="95"/>
      <c r="P286" s="95"/>
      <c r="Q286" s="95"/>
      <c r="R286" s="95"/>
      <c r="S286" s="95"/>
      <c r="T286" s="95"/>
      <c r="U286" s="95"/>
      <c r="V286" s="95"/>
      <c r="W286" s="95"/>
      <c r="X286" s="95"/>
      <c r="Y286" s="95"/>
      <c r="Z286" s="95"/>
      <c r="AA286" s="95"/>
      <c r="AB286" s="95"/>
    </row>
    <row r="287" ht="15.75" customHeight="1">
      <c r="A287" s="95"/>
      <c r="B287" s="95"/>
      <c r="C287" s="95"/>
      <c r="D287" s="95"/>
      <c r="E287" s="95"/>
      <c r="F287" s="130"/>
      <c r="G287" s="95"/>
      <c r="H287" s="95"/>
      <c r="I287" s="95"/>
      <c r="J287" s="95"/>
      <c r="K287" s="95"/>
      <c r="L287" s="95"/>
      <c r="M287" s="95"/>
      <c r="N287" s="95"/>
      <c r="O287" s="95"/>
      <c r="P287" s="95"/>
      <c r="Q287" s="95"/>
      <c r="R287" s="95"/>
      <c r="S287" s="95"/>
      <c r="T287" s="95"/>
      <c r="U287" s="95"/>
      <c r="V287" s="95"/>
      <c r="W287" s="95"/>
      <c r="X287" s="95"/>
      <c r="Y287" s="95"/>
      <c r="Z287" s="95"/>
      <c r="AA287" s="95"/>
      <c r="AB287" s="95"/>
    </row>
    <row r="288" ht="15.75" customHeight="1">
      <c r="A288" s="95"/>
      <c r="B288" s="95"/>
      <c r="C288" s="95"/>
      <c r="D288" s="95"/>
      <c r="E288" s="95"/>
      <c r="F288" s="130"/>
      <c r="G288" s="95"/>
      <c r="H288" s="95"/>
      <c r="I288" s="95"/>
      <c r="J288" s="95"/>
      <c r="K288" s="95"/>
      <c r="L288" s="95"/>
      <c r="M288" s="95"/>
      <c r="N288" s="95"/>
      <c r="O288" s="95"/>
      <c r="P288" s="95"/>
      <c r="Q288" s="95"/>
      <c r="R288" s="95"/>
      <c r="S288" s="95"/>
      <c r="T288" s="95"/>
      <c r="U288" s="95"/>
      <c r="V288" s="95"/>
      <c r="W288" s="95"/>
      <c r="X288" s="95"/>
      <c r="Y288" s="95"/>
      <c r="Z288" s="95"/>
      <c r="AA288" s="95"/>
      <c r="AB288" s="95"/>
    </row>
    <row r="289" ht="15.75" customHeight="1">
      <c r="A289" s="95"/>
      <c r="B289" s="95"/>
      <c r="C289" s="95"/>
      <c r="D289" s="95"/>
      <c r="E289" s="95"/>
      <c r="F289" s="130"/>
      <c r="G289" s="95"/>
      <c r="H289" s="95"/>
      <c r="I289" s="95"/>
      <c r="J289" s="95"/>
      <c r="K289" s="95"/>
      <c r="L289" s="95"/>
      <c r="M289" s="95"/>
      <c r="N289" s="95"/>
      <c r="O289" s="95"/>
      <c r="P289" s="95"/>
      <c r="Q289" s="95"/>
      <c r="R289" s="95"/>
      <c r="S289" s="95"/>
      <c r="T289" s="95"/>
      <c r="U289" s="95"/>
      <c r="V289" s="95"/>
      <c r="W289" s="95"/>
      <c r="X289" s="95"/>
      <c r="Y289" s="95"/>
      <c r="Z289" s="95"/>
      <c r="AA289" s="95"/>
      <c r="AB289" s="95"/>
    </row>
    <row r="290" ht="15.75" customHeight="1">
      <c r="A290" s="95"/>
      <c r="B290" s="95"/>
      <c r="C290" s="95"/>
      <c r="D290" s="95"/>
      <c r="E290" s="95"/>
      <c r="F290" s="130"/>
      <c r="G290" s="95"/>
      <c r="H290" s="95"/>
      <c r="I290" s="95"/>
      <c r="J290" s="95"/>
      <c r="K290" s="95"/>
      <c r="L290" s="95"/>
      <c r="M290" s="95"/>
      <c r="N290" s="95"/>
      <c r="O290" s="95"/>
      <c r="P290" s="95"/>
      <c r="Q290" s="95"/>
      <c r="R290" s="95"/>
      <c r="S290" s="95"/>
      <c r="T290" s="95"/>
      <c r="U290" s="95"/>
      <c r="V290" s="95"/>
      <c r="W290" s="95"/>
      <c r="X290" s="95"/>
      <c r="Y290" s="95"/>
      <c r="Z290" s="95"/>
      <c r="AA290" s="95"/>
      <c r="AB290" s="95"/>
    </row>
    <row r="291" ht="15.75" customHeight="1">
      <c r="A291" s="95"/>
      <c r="B291" s="95"/>
      <c r="C291" s="95"/>
      <c r="D291" s="95"/>
      <c r="E291" s="95"/>
      <c r="F291" s="130"/>
      <c r="G291" s="95"/>
      <c r="H291" s="95"/>
      <c r="I291" s="95"/>
      <c r="J291" s="95"/>
      <c r="K291" s="95"/>
      <c r="L291" s="95"/>
      <c r="M291" s="95"/>
      <c r="N291" s="95"/>
      <c r="O291" s="95"/>
      <c r="P291" s="95"/>
      <c r="Q291" s="95"/>
      <c r="R291" s="95"/>
      <c r="S291" s="95"/>
      <c r="T291" s="95"/>
      <c r="U291" s="95"/>
      <c r="V291" s="95"/>
      <c r="W291" s="95"/>
      <c r="X291" s="95"/>
      <c r="Y291" s="95"/>
      <c r="Z291" s="95"/>
      <c r="AA291" s="95"/>
      <c r="AB291" s="95"/>
    </row>
    <row r="292" ht="15.75" customHeight="1">
      <c r="A292" s="95"/>
      <c r="B292" s="95"/>
      <c r="C292" s="95"/>
      <c r="D292" s="95"/>
      <c r="E292" s="95"/>
      <c r="F292" s="130"/>
      <c r="G292" s="95"/>
      <c r="H292" s="95"/>
      <c r="I292" s="95"/>
      <c r="J292" s="95"/>
      <c r="K292" s="95"/>
      <c r="L292" s="95"/>
      <c r="M292" s="95"/>
      <c r="N292" s="95"/>
      <c r="O292" s="95"/>
      <c r="P292" s="95"/>
      <c r="Q292" s="95"/>
      <c r="R292" s="95"/>
      <c r="S292" s="95"/>
      <c r="T292" s="95"/>
      <c r="U292" s="95"/>
      <c r="V292" s="95"/>
      <c r="W292" s="95"/>
      <c r="X292" s="95"/>
      <c r="Y292" s="95"/>
      <c r="Z292" s="95"/>
      <c r="AA292" s="95"/>
      <c r="AB292" s="95"/>
    </row>
    <row r="293" ht="15.75" customHeight="1">
      <c r="A293" s="95"/>
      <c r="B293" s="95"/>
      <c r="C293" s="95"/>
      <c r="D293" s="95"/>
      <c r="E293" s="95"/>
      <c r="F293" s="130"/>
      <c r="G293" s="95"/>
      <c r="H293" s="95"/>
      <c r="I293" s="95"/>
      <c r="J293" s="95"/>
      <c r="K293" s="95"/>
      <c r="L293" s="95"/>
      <c r="M293" s="95"/>
      <c r="N293" s="95"/>
      <c r="O293" s="95"/>
      <c r="P293" s="95"/>
      <c r="Q293" s="95"/>
      <c r="R293" s="95"/>
      <c r="S293" s="95"/>
      <c r="T293" s="95"/>
      <c r="U293" s="95"/>
      <c r="V293" s="95"/>
      <c r="W293" s="95"/>
      <c r="X293" s="95"/>
      <c r="Y293" s="95"/>
      <c r="Z293" s="95"/>
      <c r="AA293" s="95"/>
      <c r="AB293" s="95"/>
    </row>
    <row r="294" ht="15.75" customHeight="1">
      <c r="A294" s="95"/>
      <c r="B294" s="95"/>
      <c r="C294" s="95"/>
      <c r="D294" s="95"/>
      <c r="E294" s="95"/>
      <c r="F294" s="130"/>
      <c r="G294" s="95"/>
      <c r="H294" s="95"/>
      <c r="I294" s="95"/>
      <c r="J294" s="95"/>
      <c r="K294" s="95"/>
      <c r="L294" s="95"/>
      <c r="M294" s="95"/>
      <c r="N294" s="95"/>
      <c r="O294" s="95"/>
      <c r="P294" s="95"/>
      <c r="Q294" s="95"/>
      <c r="R294" s="95"/>
      <c r="S294" s="95"/>
      <c r="T294" s="95"/>
      <c r="U294" s="95"/>
      <c r="V294" s="95"/>
      <c r="W294" s="95"/>
      <c r="X294" s="95"/>
      <c r="Y294" s="95"/>
      <c r="Z294" s="95"/>
      <c r="AA294" s="95"/>
      <c r="AB294" s="95"/>
    </row>
    <row r="295" ht="15.75" customHeight="1">
      <c r="A295" s="95"/>
      <c r="B295" s="95"/>
      <c r="C295" s="95"/>
      <c r="D295" s="95"/>
      <c r="E295" s="95"/>
      <c r="F295" s="130"/>
      <c r="G295" s="95"/>
      <c r="H295" s="95"/>
      <c r="I295" s="95"/>
      <c r="J295" s="95"/>
      <c r="K295" s="95"/>
      <c r="L295" s="95"/>
      <c r="M295" s="95"/>
      <c r="N295" s="95"/>
      <c r="O295" s="95"/>
      <c r="P295" s="95"/>
      <c r="Q295" s="95"/>
      <c r="R295" s="95"/>
      <c r="S295" s="95"/>
      <c r="T295" s="95"/>
      <c r="U295" s="95"/>
      <c r="V295" s="95"/>
      <c r="W295" s="95"/>
      <c r="X295" s="95"/>
      <c r="Y295" s="95"/>
      <c r="Z295" s="95"/>
      <c r="AA295" s="95"/>
      <c r="AB295" s="95"/>
    </row>
    <row r="296" ht="15.75" customHeight="1">
      <c r="A296" s="95"/>
      <c r="B296" s="95"/>
      <c r="C296" s="95"/>
      <c r="D296" s="95"/>
      <c r="E296" s="95"/>
      <c r="F296" s="130"/>
      <c r="G296" s="95"/>
      <c r="H296" s="95"/>
      <c r="I296" s="95"/>
      <c r="J296" s="95"/>
      <c r="K296" s="95"/>
      <c r="L296" s="95"/>
      <c r="M296" s="95"/>
      <c r="N296" s="95"/>
      <c r="O296" s="95"/>
      <c r="P296" s="95"/>
      <c r="Q296" s="95"/>
      <c r="R296" s="95"/>
      <c r="S296" s="95"/>
      <c r="T296" s="95"/>
      <c r="U296" s="95"/>
      <c r="V296" s="95"/>
      <c r="W296" s="95"/>
      <c r="X296" s="95"/>
      <c r="Y296" s="95"/>
      <c r="Z296" s="95"/>
      <c r="AA296" s="95"/>
      <c r="AB296" s="95"/>
    </row>
    <row r="297" ht="15.75" customHeight="1">
      <c r="A297" s="95"/>
      <c r="B297" s="95"/>
      <c r="C297" s="95"/>
      <c r="D297" s="95"/>
      <c r="E297" s="95"/>
      <c r="F297" s="130"/>
      <c r="G297" s="95"/>
      <c r="H297" s="95"/>
      <c r="I297" s="95"/>
      <c r="J297" s="95"/>
      <c r="K297" s="95"/>
      <c r="L297" s="95"/>
      <c r="M297" s="95"/>
      <c r="N297" s="95"/>
      <c r="O297" s="95"/>
      <c r="P297" s="95"/>
      <c r="Q297" s="95"/>
      <c r="R297" s="95"/>
      <c r="S297" s="95"/>
      <c r="T297" s="95"/>
      <c r="U297" s="95"/>
      <c r="V297" s="95"/>
      <c r="W297" s="95"/>
      <c r="X297" s="95"/>
      <c r="Y297" s="95"/>
      <c r="Z297" s="95"/>
      <c r="AA297" s="95"/>
      <c r="AB297" s="95"/>
    </row>
    <row r="298" ht="15.75" customHeight="1">
      <c r="A298" s="95"/>
      <c r="B298" s="95"/>
      <c r="C298" s="95"/>
      <c r="D298" s="95"/>
      <c r="E298" s="95"/>
      <c r="F298" s="130"/>
      <c r="G298" s="95"/>
      <c r="H298" s="95"/>
      <c r="I298" s="95"/>
      <c r="J298" s="95"/>
      <c r="K298" s="95"/>
      <c r="L298" s="95"/>
      <c r="M298" s="95"/>
      <c r="N298" s="95"/>
      <c r="O298" s="95"/>
      <c r="P298" s="95"/>
      <c r="Q298" s="95"/>
      <c r="R298" s="95"/>
      <c r="S298" s="95"/>
      <c r="T298" s="95"/>
      <c r="U298" s="95"/>
      <c r="V298" s="95"/>
      <c r="W298" s="95"/>
      <c r="X298" s="95"/>
      <c r="Y298" s="95"/>
      <c r="Z298" s="95"/>
      <c r="AA298" s="95"/>
      <c r="AB298" s="95"/>
    </row>
    <row r="299" ht="15.75" customHeight="1">
      <c r="A299" s="95"/>
      <c r="B299" s="95"/>
      <c r="C299" s="95"/>
      <c r="D299" s="95"/>
      <c r="E299" s="95"/>
      <c r="F299" s="130"/>
      <c r="G299" s="95"/>
      <c r="H299" s="95"/>
      <c r="I299" s="95"/>
      <c r="J299" s="95"/>
      <c r="K299" s="95"/>
      <c r="L299" s="95"/>
      <c r="M299" s="95"/>
      <c r="N299" s="95"/>
      <c r="O299" s="95"/>
      <c r="P299" s="95"/>
      <c r="Q299" s="95"/>
      <c r="R299" s="95"/>
      <c r="S299" s="95"/>
      <c r="T299" s="95"/>
      <c r="U299" s="95"/>
      <c r="V299" s="95"/>
      <c r="W299" s="95"/>
      <c r="X299" s="95"/>
      <c r="Y299" s="95"/>
      <c r="Z299" s="95"/>
      <c r="AA299" s="95"/>
      <c r="AB299" s="95"/>
    </row>
    <row r="300" ht="15.75" customHeight="1">
      <c r="A300" s="95"/>
      <c r="B300" s="95"/>
      <c r="C300" s="95"/>
      <c r="D300" s="95"/>
      <c r="E300" s="95"/>
      <c r="F300" s="130"/>
      <c r="G300" s="95"/>
      <c r="H300" s="95"/>
      <c r="I300" s="95"/>
      <c r="J300" s="95"/>
      <c r="K300" s="95"/>
      <c r="L300" s="95"/>
      <c r="M300" s="95"/>
      <c r="N300" s="95"/>
      <c r="O300" s="95"/>
      <c r="P300" s="95"/>
      <c r="Q300" s="95"/>
      <c r="R300" s="95"/>
      <c r="S300" s="95"/>
      <c r="T300" s="95"/>
      <c r="U300" s="95"/>
      <c r="V300" s="95"/>
      <c r="W300" s="95"/>
      <c r="X300" s="95"/>
      <c r="Y300" s="95"/>
      <c r="Z300" s="95"/>
      <c r="AA300" s="95"/>
      <c r="AB300" s="95"/>
    </row>
    <row r="301" ht="15.75" customHeight="1">
      <c r="A301" s="95"/>
      <c r="B301" s="95"/>
      <c r="C301" s="95"/>
      <c r="D301" s="95"/>
      <c r="E301" s="95"/>
      <c r="F301" s="130"/>
      <c r="G301" s="95"/>
      <c r="H301" s="95"/>
      <c r="I301" s="95"/>
      <c r="J301" s="95"/>
      <c r="K301" s="95"/>
      <c r="L301" s="95"/>
      <c r="M301" s="95"/>
      <c r="N301" s="95"/>
      <c r="O301" s="95"/>
      <c r="P301" s="95"/>
      <c r="Q301" s="95"/>
      <c r="R301" s="95"/>
      <c r="S301" s="95"/>
      <c r="T301" s="95"/>
      <c r="U301" s="95"/>
      <c r="V301" s="95"/>
      <c r="W301" s="95"/>
      <c r="X301" s="95"/>
      <c r="Y301" s="95"/>
      <c r="Z301" s="95"/>
      <c r="AA301" s="95"/>
      <c r="AB301" s="95"/>
    </row>
    <row r="302" ht="15.75" customHeight="1">
      <c r="A302" s="95"/>
      <c r="B302" s="95"/>
      <c r="C302" s="95"/>
      <c r="D302" s="95"/>
      <c r="E302" s="95"/>
      <c r="F302" s="130"/>
      <c r="G302" s="95"/>
      <c r="H302" s="95"/>
      <c r="I302" s="95"/>
      <c r="J302" s="95"/>
      <c r="K302" s="95"/>
      <c r="L302" s="95"/>
      <c r="M302" s="95"/>
      <c r="N302" s="95"/>
      <c r="O302" s="95"/>
      <c r="P302" s="95"/>
      <c r="Q302" s="95"/>
      <c r="R302" s="95"/>
      <c r="S302" s="95"/>
      <c r="T302" s="95"/>
      <c r="U302" s="95"/>
      <c r="V302" s="95"/>
      <c r="W302" s="95"/>
      <c r="X302" s="95"/>
      <c r="Y302" s="95"/>
      <c r="Z302" s="95"/>
      <c r="AA302" s="95"/>
      <c r="AB302" s="95"/>
    </row>
    <row r="303" ht="15.75" customHeight="1">
      <c r="A303" s="95"/>
      <c r="B303" s="95"/>
      <c r="C303" s="95"/>
      <c r="D303" s="95"/>
      <c r="E303" s="95"/>
      <c r="F303" s="130"/>
      <c r="G303" s="95"/>
      <c r="H303" s="95"/>
      <c r="I303" s="95"/>
      <c r="J303" s="95"/>
      <c r="K303" s="95"/>
      <c r="L303" s="95"/>
      <c r="M303" s="95"/>
      <c r="N303" s="95"/>
      <c r="O303" s="95"/>
      <c r="P303" s="95"/>
      <c r="Q303" s="95"/>
      <c r="R303" s="95"/>
      <c r="S303" s="95"/>
      <c r="T303" s="95"/>
      <c r="U303" s="95"/>
      <c r="V303" s="95"/>
      <c r="W303" s="95"/>
      <c r="X303" s="95"/>
      <c r="Y303" s="95"/>
      <c r="Z303" s="95"/>
      <c r="AA303" s="95"/>
      <c r="AB303" s="95"/>
    </row>
    <row r="304" ht="15.75" customHeight="1">
      <c r="A304" s="95"/>
      <c r="B304" s="95"/>
      <c r="C304" s="95"/>
      <c r="D304" s="95"/>
      <c r="E304" s="95"/>
      <c r="F304" s="130"/>
      <c r="G304" s="95"/>
      <c r="H304" s="95"/>
      <c r="I304" s="95"/>
      <c r="J304" s="95"/>
      <c r="K304" s="95"/>
      <c r="L304" s="95"/>
      <c r="M304" s="95"/>
      <c r="N304" s="95"/>
      <c r="O304" s="95"/>
      <c r="P304" s="95"/>
      <c r="Q304" s="95"/>
      <c r="R304" s="95"/>
      <c r="S304" s="95"/>
      <c r="T304" s="95"/>
      <c r="U304" s="95"/>
      <c r="V304" s="95"/>
      <c r="W304" s="95"/>
      <c r="X304" s="95"/>
      <c r="Y304" s="95"/>
      <c r="Z304" s="95"/>
      <c r="AA304" s="95"/>
      <c r="AB304" s="95"/>
    </row>
    <row r="305" ht="15.75" customHeight="1">
      <c r="A305" s="95"/>
      <c r="B305" s="95"/>
      <c r="C305" s="95"/>
      <c r="D305" s="95"/>
      <c r="E305" s="95"/>
      <c r="F305" s="130"/>
      <c r="G305" s="95"/>
      <c r="H305" s="95"/>
      <c r="I305" s="95"/>
      <c r="J305" s="95"/>
      <c r="K305" s="95"/>
      <c r="L305" s="95"/>
      <c r="M305" s="95"/>
      <c r="N305" s="95"/>
      <c r="O305" s="95"/>
      <c r="P305" s="95"/>
      <c r="Q305" s="95"/>
      <c r="R305" s="95"/>
      <c r="S305" s="95"/>
      <c r="T305" s="95"/>
      <c r="U305" s="95"/>
      <c r="V305" s="95"/>
      <c r="W305" s="95"/>
      <c r="X305" s="95"/>
      <c r="Y305" s="95"/>
      <c r="Z305" s="95"/>
      <c r="AA305" s="95"/>
      <c r="AB305" s="95"/>
    </row>
    <row r="306" ht="15.75" customHeight="1">
      <c r="A306" s="95"/>
      <c r="B306" s="95"/>
      <c r="C306" s="95"/>
      <c r="D306" s="95"/>
      <c r="E306" s="95"/>
      <c r="F306" s="130"/>
      <c r="G306" s="95"/>
      <c r="H306" s="95"/>
      <c r="I306" s="95"/>
      <c r="J306" s="95"/>
      <c r="K306" s="95"/>
      <c r="L306" s="95"/>
      <c r="M306" s="95"/>
      <c r="N306" s="95"/>
      <c r="O306" s="95"/>
      <c r="P306" s="95"/>
      <c r="Q306" s="95"/>
      <c r="R306" s="95"/>
      <c r="S306" s="95"/>
      <c r="T306" s="95"/>
      <c r="U306" s="95"/>
      <c r="V306" s="95"/>
      <c r="W306" s="95"/>
      <c r="X306" s="95"/>
      <c r="Y306" s="95"/>
      <c r="Z306" s="95"/>
      <c r="AA306" s="95"/>
      <c r="AB306" s="95"/>
    </row>
    <row r="307" ht="15.75" customHeight="1">
      <c r="A307" s="95"/>
      <c r="B307" s="95"/>
      <c r="C307" s="95"/>
      <c r="D307" s="95"/>
      <c r="E307" s="95"/>
      <c r="F307" s="130"/>
      <c r="G307" s="95"/>
      <c r="H307" s="95"/>
      <c r="I307" s="95"/>
      <c r="J307" s="95"/>
      <c r="K307" s="95"/>
      <c r="L307" s="95"/>
      <c r="M307" s="95"/>
      <c r="N307" s="95"/>
      <c r="O307" s="95"/>
      <c r="P307" s="95"/>
      <c r="Q307" s="95"/>
      <c r="R307" s="95"/>
      <c r="S307" s="95"/>
      <c r="T307" s="95"/>
      <c r="U307" s="95"/>
      <c r="V307" s="95"/>
      <c r="W307" s="95"/>
      <c r="X307" s="95"/>
      <c r="Y307" s="95"/>
      <c r="Z307" s="95"/>
      <c r="AA307" s="95"/>
      <c r="AB307" s="95"/>
    </row>
    <row r="308" ht="15.75" customHeight="1">
      <c r="A308" s="95"/>
      <c r="B308" s="95"/>
      <c r="C308" s="95"/>
      <c r="D308" s="95"/>
      <c r="E308" s="95"/>
      <c r="F308" s="130"/>
      <c r="G308" s="95"/>
      <c r="H308" s="95"/>
      <c r="I308" s="95"/>
      <c r="J308" s="95"/>
      <c r="K308" s="95"/>
      <c r="L308" s="95"/>
      <c r="M308" s="95"/>
      <c r="N308" s="95"/>
      <c r="O308" s="95"/>
      <c r="P308" s="95"/>
      <c r="Q308" s="95"/>
      <c r="R308" s="95"/>
      <c r="S308" s="95"/>
      <c r="T308" s="95"/>
      <c r="U308" s="95"/>
      <c r="V308" s="95"/>
      <c r="W308" s="95"/>
      <c r="X308" s="95"/>
      <c r="Y308" s="95"/>
      <c r="Z308" s="95"/>
      <c r="AA308" s="95"/>
      <c r="AB308" s="95"/>
    </row>
    <row r="309" ht="15.75" customHeight="1">
      <c r="A309" s="95"/>
      <c r="B309" s="95"/>
      <c r="C309" s="95"/>
      <c r="D309" s="95"/>
      <c r="E309" s="95"/>
      <c r="F309" s="130"/>
      <c r="G309" s="95"/>
      <c r="H309" s="95"/>
      <c r="I309" s="95"/>
      <c r="J309" s="95"/>
      <c r="K309" s="95"/>
      <c r="L309" s="95"/>
      <c r="M309" s="95"/>
      <c r="N309" s="95"/>
      <c r="O309" s="95"/>
      <c r="P309" s="95"/>
      <c r="Q309" s="95"/>
      <c r="R309" s="95"/>
      <c r="S309" s="95"/>
      <c r="T309" s="95"/>
      <c r="U309" s="95"/>
      <c r="V309" s="95"/>
      <c r="W309" s="95"/>
      <c r="X309" s="95"/>
      <c r="Y309" s="95"/>
      <c r="Z309" s="95"/>
      <c r="AA309" s="95"/>
      <c r="AB309" s="95"/>
    </row>
    <row r="310" ht="15.75" customHeight="1">
      <c r="A310" s="95"/>
      <c r="B310" s="95"/>
      <c r="C310" s="95"/>
      <c r="D310" s="95"/>
      <c r="E310" s="95"/>
      <c r="F310" s="130"/>
      <c r="G310" s="95"/>
      <c r="H310" s="95"/>
      <c r="I310" s="95"/>
      <c r="J310" s="95"/>
      <c r="K310" s="95"/>
      <c r="L310" s="95"/>
      <c r="M310" s="95"/>
      <c r="N310" s="95"/>
      <c r="O310" s="95"/>
      <c r="P310" s="95"/>
      <c r="Q310" s="95"/>
      <c r="R310" s="95"/>
      <c r="S310" s="95"/>
      <c r="T310" s="95"/>
      <c r="U310" s="95"/>
      <c r="V310" s="95"/>
      <c r="W310" s="95"/>
      <c r="X310" s="95"/>
      <c r="Y310" s="95"/>
      <c r="Z310" s="95"/>
      <c r="AA310" s="95"/>
      <c r="AB310" s="95"/>
    </row>
    <row r="311" ht="15.75" customHeight="1">
      <c r="A311" s="95"/>
      <c r="B311" s="95"/>
      <c r="C311" s="95"/>
      <c r="D311" s="95"/>
      <c r="E311" s="95"/>
      <c r="F311" s="130"/>
      <c r="G311" s="95"/>
      <c r="H311" s="95"/>
      <c r="I311" s="95"/>
      <c r="J311" s="95"/>
      <c r="K311" s="95"/>
      <c r="L311" s="95"/>
      <c r="M311" s="95"/>
      <c r="N311" s="95"/>
      <c r="O311" s="95"/>
      <c r="P311" s="95"/>
      <c r="Q311" s="95"/>
      <c r="R311" s="95"/>
      <c r="S311" s="95"/>
      <c r="T311" s="95"/>
      <c r="U311" s="95"/>
      <c r="V311" s="95"/>
      <c r="W311" s="95"/>
      <c r="X311" s="95"/>
      <c r="Y311" s="95"/>
      <c r="Z311" s="95"/>
      <c r="AA311" s="95"/>
      <c r="AB311" s="95"/>
    </row>
    <row r="312" ht="15.75" customHeight="1">
      <c r="A312" s="95"/>
      <c r="B312" s="95"/>
      <c r="C312" s="95"/>
      <c r="D312" s="95"/>
      <c r="E312" s="95"/>
      <c r="F312" s="130"/>
      <c r="G312" s="95"/>
      <c r="H312" s="95"/>
      <c r="I312" s="95"/>
      <c r="J312" s="95"/>
      <c r="K312" s="95"/>
      <c r="L312" s="95"/>
      <c r="M312" s="95"/>
      <c r="N312" s="95"/>
      <c r="O312" s="95"/>
      <c r="P312" s="95"/>
      <c r="Q312" s="95"/>
      <c r="R312" s="95"/>
      <c r="S312" s="95"/>
      <c r="T312" s="95"/>
      <c r="U312" s="95"/>
      <c r="V312" s="95"/>
      <c r="W312" s="95"/>
      <c r="X312" s="95"/>
      <c r="Y312" s="95"/>
      <c r="Z312" s="95"/>
      <c r="AA312" s="95"/>
      <c r="AB312" s="95"/>
    </row>
    <row r="313" ht="15.75" customHeight="1">
      <c r="A313" s="95"/>
      <c r="B313" s="95"/>
      <c r="C313" s="95"/>
      <c r="D313" s="95"/>
      <c r="E313" s="95"/>
      <c r="F313" s="130"/>
      <c r="G313" s="95"/>
      <c r="H313" s="95"/>
      <c r="I313" s="95"/>
      <c r="J313" s="95"/>
      <c r="K313" s="95"/>
      <c r="L313" s="95"/>
      <c r="M313" s="95"/>
      <c r="N313" s="95"/>
      <c r="O313" s="95"/>
      <c r="P313" s="95"/>
      <c r="Q313" s="95"/>
      <c r="R313" s="95"/>
      <c r="S313" s="95"/>
      <c r="T313" s="95"/>
      <c r="U313" s="95"/>
      <c r="V313" s="95"/>
      <c r="W313" s="95"/>
      <c r="X313" s="95"/>
      <c r="Y313" s="95"/>
      <c r="Z313" s="95"/>
      <c r="AA313" s="95"/>
      <c r="AB313" s="95"/>
    </row>
    <row r="314" ht="15.75" customHeight="1">
      <c r="A314" s="95"/>
      <c r="B314" s="95"/>
      <c r="C314" s="95"/>
      <c r="D314" s="95"/>
      <c r="E314" s="95"/>
      <c r="F314" s="130"/>
      <c r="G314" s="95"/>
      <c r="H314" s="95"/>
      <c r="I314" s="95"/>
      <c r="J314" s="95"/>
      <c r="K314" s="95"/>
      <c r="L314" s="95"/>
      <c r="M314" s="95"/>
      <c r="N314" s="95"/>
      <c r="O314" s="95"/>
      <c r="P314" s="95"/>
      <c r="Q314" s="95"/>
      <c r="R314" s="95"/>
      <c r="S314" s="95"/>
      <c r="T314" s="95"/>
      <c r="U314" s="95"/>
      <c r="V314" s="95"/>
      <c r="W314" s="95"/>
      <c r="X314" s="95"/>
      <c r="Y314" s="95"/>
      <c r="Z314" s="95"/>
      <c r="AA314" s="95"/>
      <c r="AB314" s="95"/>
    </row>
    <row r="315" ht="15.75" customHeight="1">
      <c r="A315" s="95"/>
      <c r="B315" s="95"/>
      <c r="C315" s="95"/>
      <c r="D315" s="95"/>
      <c r="E315" s="95"/>
      <c r="F315" s="130"/>
      <c r="G315" s="95"/>
      <c r="H315" s="95"/>
      <c r="I315" s="95"/>
      <c r="J315" s="95"/>
      <c r="K315" s="95"/>
      <c r="L315" s="95"/>
      <c r="M315" s="95"/>
      <c r="N315" s="95"/>
      <c r="O315" s="95"/>
      <c r="P315" s="95"/>
      <c r="Q315" s="95"/>
      <c r="R315" s="95"/>
      <c r="S315" s="95"/>
      <c r="T315" s="95"/>
      <c r="U315" s="95"/>
      <c r="V315" s="95"/>
      <c r="W315" s="95"/>
      <c r="X315" s="95"/>
      <c r="Y315" s="95"/>
      <c r="Z315" s="95"/>
      <c r="AA315" s="95"/>
      <c r="AB315" s="95"/>
    </row>
    <row r="316" ht="15.75" customHeight="1">
      <c r="A316" s="95"/>
      <c r="B316" s="95"/>
      <c r="C316" s="95"/>
      <c r="D316" s="95"/>
      <c r="E316" s="95"/>
      <c r="F316" s="130"/>
      <c r="G316" s="95"/>
      <c r="H316" s="95"/>
      <c r="I316" s="95"/>
      <c r="J316" s="95"/>
      <c r="K316" s="95"/>
      <c r="L316" s="95"/>
      <c r="M316" s="95"/>
      <c r="N316" s="95"/>
      <c r="O316" s="95"/>
      <c r="P316" s="95"/>
      <c r="Q316" s="95"/>
      <c r="R316" s="95"/>
      <c r="S316" s="95"/>
      <c r="T316" s="95"/>
      <c r="U316" s="95"/>
      <c r="V316" s="95"/>
      <c r="W316" s="95"/>
      <c r="X316" s="95"/>
      <c r="Y316" s="95"/>
      <c r="Z316" s="95"/>
      <c r="AA316" s="95"/>
      <c r="AB316" s="95"/>
    </row>
    <row r="317" ht="15.75" customHeight="1">
      <c r="A317" s="95"/>
      <c r="B317" s="95"/>
      <c r="C317" s="95"/>
      <c r="D317" s="95"/>
      <c r="E317" s="95"/>
      <c r="F317" s="130"/>
      <c r="G317" s="95"/>
      <c r="H317" s="95"/>
      <c r="I317" s="95"/>
      <c r="J317" s="95"/>
      <c r="K317" s="95"/>
      <c r="L317" s="95"/>
      <c r="M317" s="95"/>
      <c r="N317" s="95"/>
      <c r="O317" s="95"/>
      <c r="P317" s="95"/>
      <c r="Q317" s="95"/>
      <c r="R317" s="95"/>
      <c r="S317" s="95"/>
      <c r="T317" s="95"/>
      <c r="U317" s="95"/>
      <c r="V317" s="95"/>
      <c r="W317" s="95"/>
      <c r="X317" s="95"/>
      <c r="Y317" s="95"/>
      <c r="Z317" s="95"/>
      <c r="AA317" s="95"/>
      <c r="AB317" s="95"/>
    </row>
    <row r="318" ht="15.75" customHeight="1">
      <c r="A318" s="95"/>
      <c r="B318" s="95"/>
      <c r="C318" s="95"/>
      <c r="D318" s="95"/>
      <c r="E318" s="95"/>
      <c r="F318" s="130"/>
      <c r="G318" s="95"/>
      <c r="H318" s="95"/>
      <c r="I318" s="95"/>
      <c r="J318" s="95"/>
      <c r="K318" s="95"/>
      <c r="L318" s="95"/>
      <c r="M318" s="95"/>
      <c r="N318" s="95"/>
      <c r="O318" s="95"/>
      <c r="P318" s="95"/>
      <c r="Q318" s="95"/>
      <c r="R318" s="95"/>
      <c r="S318" s="95"/>
      <c r="T318" s="95"/>
      <c r="U318" s="95"/>
      <c r="V318" s="95"/>
      <c r="W318" s="95"/>
      <c r="X318" s="95"/>
      <c r="Y318" s="95"/>
      <c r="Z318" s="95"/>
      <c r="AA318" s="95"/>
      <c r="AB318" s="95"/>
    </row>
    <row r="319" ht="15.75" customHeight="1">
      <c r="A319" s="95"/>
      <c r="B319" s="95"/>
      <c r="C319" s="95"/>
      <c r="D319" s="95"/>
      <c r="E319" s="95"/>
      <c r="F319" s="130"/>
      <c r="G319" s="95"/>
      <c r="H319" s="95"/>
      <c r="I319" s="95"/>
      <c r="J319" s="95"/>
      <c r="K319" s="95"/>
      <c r="L319" s="95"/>
      <c r="M319" s="95"/>
      <c r="N319" s="95"/>
      <c r="O319" s="95"/>
      <c r="P319" s="95"/>
      <c r="Q319" s="95"/>
      <c r="R319" s="95"/>
      <c r="S319" s="95"/>
      <c r="T319" s="95"/>
      <c r="U319" s="95"/>
      <c r="V319" s="95"/>
      <c r="W319" s="95"/>
      <c r="X319" s="95"/>
      <c r="Y319" s="95"/>
      <c r="Z319" s="95"/>
      <c r="AA319" s="95"/>
      <c r="AB319" s="95"/>
    </row>
    <row r="320" ht="15.75" customHeight="1">
      <c r="A320" s="95"/>
      <c r="B320" s="95"/>
      <c r="C320" s="95"/>
      <c r="D320" s="95"/>
      <c r="E320" s="95"/>
      <c r="F320" s="130"/>
      <c r="G320" s="95"/>
      <c r="H320" s="95"/>
      <c r="I320" s="95"/>
      <c r="J320" s="95"/>
      <c r="K320" s="95"/>
      <c r="L320" s="95"/>
      <c r="M320" s="95"/>
      <c r="N320" s="95"/>
      <c r="O320" s="95"/>
      <c r="P320" s="95"/>
      <c r="Q320" s="95"/>
      <c r="R320" s="95"/>
      <c r="S320" s="95"/>
      <c r="T320" s="95"/>
      <c r="U320" s="95"/>
      <c r="V320" s="95"/>
      <c r="W320" s="95"/>
      <c r="X320" s="95"/>
      <c r="Y320" s="95"/>
      <c r="Z320" s="95"/>
      <c r="AA320" s="95"/>
      <c r="AB320" s="95"/>
    </row>
    <row r="321" ht="15.75" customHeight="1">
      <c r="A321" s="95"/>
      <c r="B321" s="95"/>
      <c r="C321" s="95"/>
      <c r="D321" s="95"/>
      <c r="E321" s="95"/>
      <c r="F321" s="130"/>
      <c r="G321" s="95"/>
      <c r="H321" s="95"/>
      <c r="I321" s="95"/>
      <c r="J321" s="95"/>
      <c r="K321" s="95"/>
      <c r="L321" s="95"/>
      <c r="M321" s="95"/>
      <c r="N321" s="95"/>
      <c r="O321" s="95"/>
      <c r="P321" s="95"/>
      <c r="Q321" s="95"/>
      <c r="R321" s="95"/>
      <c r="S321" s="95"/>
      <c r="T321" s="95"/>
      <c r="U321" s="95"/>
      <c r="V321" s="95"/>
      <c r="W321" s="95"/>
      <c r="X321" s="95"/>
      <c r="Y321" s="95"/>
      <c r="Z321" s="95"/>
      <c r="AA321" s="95"/>
      <c r="AB321" s="95"/>
    </row>
    <row r="322" ht="15.75" customHeight="1">
      <c r="A322" s="95"/>
      <c r="B322" s="95"/>
      <c r="C322" s="95"/>
      <c r="D322" s="95"/>
      <c r="E322" s="95"/>
      <c r="F322" s="130"/>
      <c r="G322" s="95"/>
      <c r="H322" s="95"/>
      <c r="I322" s="95"/>
      <c r="J322" s="95"/>
      <c r="K322" s="95"/>
      <c r="L322" s="95"/>
      <c r="M322" s="95"/>
      <c r="N322" s="95"/>
      <c r="O322" s="95"/>
      <c r="P322" s="95"/>
      <c r="Q322" s="95"/>
      <c r="R322" s="95"/>
      <c r="S322" s="95"/>
      <c r="T322" s="95"/>
      <c r="U322" s="95"/>
      <c r="V322" s="95"/>
      <c r="W322" s="95"/>
      <c r="X322" s="95"/>
      <c r="Y322" s="95"/>
      <c r="Z322" s="95"/>
      <c r="AA322" s="95"/>
      <c r="AB322" s="95"/>
    </row>
    <row r="323" ht="15.75" customHeight="1">
      <c r="A323" s="95"/>
      <c r="B323" s="95"/>
      <c r="C323" s="95"/>
      <c r="D323" s="95"/>
      <c r="E323" s="95"/>
      <c r="F323" s="130"/>
      <c r="G323" s="95"/>
      <c r="H323" s="95"/>
      <c r="I323" s="95"/>
      <c r="J323" s="95"/>
      <c r="K323" s="95"/>
      <c r="L323" s="95"/>
      <c r="M323" s="95"/>
      <c r="N323" s="95"/>
      <c r="O323" s="95"/>
      <c r="P323" s="95"/>
      <c r="Q323" s="95"/>
      <c r="R323" s="95"/>
      <c r="S323" s="95"/>
      <c r="T323" s="95"/>
      <c r="U323" s="95"/>
      <c r="V323" s="95"/>
      <c r="W323" s="95"/>
      <c r="X323" s="95"/>
      <c r="Y323" s="95"/>
      <c r="Z323" s="95"/>
      <c r="AA323" s="95"/>
      <c r="AB323" s="95"/>
    </row>
    <row r="324" ht="15.75" customHeight="1">
      <c r="A324" s="95"/>
      <c r="B324" s="95"/>
      <c r="C324" s="95"/>
      <c r="D324" s="95"/>
      <c r="E324" s="95"/>
      <c r="F324" s="130"/>
      <c r="G324" s="95"/>
      <c r="H324" s="95"/>
      <c r="I324" s="95"/>
      <c r="J324" s="95"/>
      <c r="K324" s="95"/>
      <c r="L324" s="95"/>
      <c r="M324" s="95"/>
      <c r="N324" s="95"/>
      <c r="O324" s="95"/>
      <c r="P324" s="95"/>
      <c r="Q324" s="95"/>
      <c r="R324" s="95"/>
      <c r="S324" s="95"/>
      <c r="T324" s="95"/>
      <c r="U324" s="95"/>
      <c r="V324" s="95"/>
      <c r="W324" s="95"/>
      <c r="X324" s="95"/>
      <c r="Y324" s="95"/>
      <c r="Z324" s="95"/>
      <c r="AA324" s="95"/>
      <c r="AB324" s="95"/>
    </row>
    <row r="325" ht="15.75" customHeight="1">
      <c r="A325" s="95"/>
      <c r="B325" s="95"/>
      <c r="C325" s="95"/>
      <c r="D325" s="95"/>
      <c r="E325" s="95"/>
      <c r="F325" s="130"/>
      <c r="G325" s="95"/>
      <c r="H325" s="95"/>
      <c r="I325" s="95"/>
      <c r="J325" s="95"/>
      <c r="K325" s="95"/>
      <c r="L325" s="95"/>
      <c r="M325" s="95"/>
      <c r="N325" s="95"/>
      <c r="O325" s="95"/>
      <c r="P325" s="95"/>
      <c r="Q325" s="95"/>
      <c r="R325" s="95"/>
      <c r="S325" s="95"/>
      <c r="T325" s="95"/>
      <c r="U325" s="95"/>
      <c r="V325" s="95"/>
      <c r="W325" s="95"/>
      <c r="X325" s="95"/>
      <c r="Y325" s="95"/>
      <c r="Z325" s="95"/>
      <c r="AA325" s="95"/>
      <c r="AB325" s="95"/>
    </row>
    <row r="326" ht="15.75" customHeight="1">
      <c r="A326" s="95"/>
      <c r="B326" s="95"/>
      <c r="C326" s="95"/>
      <c r="D326" s="95"/>
      <c r="E326" s="95"/>
      <c r="F326" s="130"/>
      <c r="G326" s="95"/>
      <c r="H326" s="95"/>
      <c r="I326" s="95"/>
      <c r="J326" s="95"/>
      <c r="K326" s="95"/>
      <c r="L326" s="95"/>
      <c r="M326" s="95"/>
      <c r="N326" s="95"/>
      <c r="O326" s="95"/>
      <c r="P326" s="95"/>
      <c r="Q326" s="95"/>
      <c r="R326" s="95"/>
      <c r="S326" s="95"/>
      <c r="T326" s="95"/>
      <c r="U326" s="95"/>
      <c r="V326" s="95"/>
      <c r="W326" s="95"/>
      <c r="X326" s="95"/>
      <c r="Y326" s="95"/>
      <c r="Z326" s="95"/>
      <c r="AA326" s="95"/>
      <c r="AB326" s="95"/>
    </row>
    <row r="327" ht="15.75" customHeight="1">
      <c r="A327" s="95"/>
      <c r="B327" s="95"/>
      <c r="C327" s="95"/>
      <c r="D327" s="95"/>
      <c r="E327" s="95"/>
      <c r="F327" s="130"/>
      <c r="G327" s="95"/>
      <c r="H327" s="95"/>
      <c r="I327" s="95"/>
      <c r="J327" s="95"/>
      <c r="K327" s="95"/>
      <c r="L327" s="95"/>
      <c r="M327" s="95"/>
      <c r="N327" s="95"/>
      <c r="O327" s="95"/>
      <c r="P327" s="95"/>
      <c r="Q327" s="95"/>
      <c r="R327" s="95"/>
      <c r="S327" s="95"/>
      <c r="T327" s="95"/>
      <c r="U327" s="95"/>
      <c r="V327" s="95"/>
      <c r="W327" s="95"/>
      <c r="X327" s="95"/>
      <c r="Y327" s="95"/>
      <c r="Z327" s="95"/>
      <c r="AA327" s="95"/>
      <c r="AB327" s="95"/>
    </row>
    <row r="328" ht="15.75" customHeight="1">
      <c r="A328" s="95"/>
      <c r="B328" s="95"/>
      <c r="C328" s="95"/>
      <c r="D328" s="95"/>
      <c r="E328" s="95"/>
      <c r="F328" s="130"/>
      <c r="G328" s="95"/>
      <c r="H328" s="95"/>
      <c r="I328" s="95"/>
      <c r="J328" s="95"/>
      <c r="K328" s="95"/>
      <c r="L328" s="95"/>
      <c r="M328" s="95"/>
      <c r="N328" s="95"/>
      <c r="O328" s="95"/>
      <c r="P328" s="95"/>
      <c r="Q328" s="95"/>
      <c r="R328" s="95"/>
      <c r="S328" s="95"/>
      <c r="T328" s="95"/>
      <c r="U328" s="95"/>
      <c r="V328" s="95"/>
      <c r="W328" s="95"/>
      <c r="X328" s="95"/>
      <c r="Y328" s="95"/>
      <c r="Z328" s="95"/>
      <c r="AA328" s="95"/>
      <c r="AB328" s="95"/>
    </row>
    <row r="329" ht="15.75" customHeight="1">
      <c r="A329" s="95"/>
      <c r="B329" s="95"/>
      <c r="C329" s="95"/>
      <c r="D329" s="95"/>
      <c r="E329" s="95"/>
      <c r="F329" s="130"/>
      <c r="G329" s="95"/>
      <c r="H329" s="95"/>
      <c r="I329" s="95"/>
      <c r="J329" s="95"/>
      <c r="K329" s="95"/>
      <c r="L329" s="95"/>
      <c r="M329" s="95"/>
      <c r="N329" s="95"/>
      <c r="O329" s="95"/>
      <c r="P329" s="95"/>
      <c r="Q329" s="95"/>
      <c r="R329" s="95"/>
      <c r="S329" s="95"/>
      <c r="T329" s="95"/>
      <c r="U329" s="95"/>
      <c r="V329" s="95"/>
      <c r="W329" s="95"/>
      <c r="X329" s="95"/>
      <c r="Y329" s="95"/>
      <c r="Z329" s="95"/>
      <c r="AA329" s="95"/>
      <c r="AB329" s="95"/>
    </row>
    <row r="330" ht="15.75" customHeight="1">
      <c r="A330" s="95"/>
      <c r="B330" s="95"/>
      <c r="C330" s="95"/>
      <c r="D330" s="95"/>
      <c r="E330" s="95"/>
      <c r="F330" s="130"/>
      <c r="G330" s="95"/>
      <c r="H330" s="95"/>
      <c r="I330" s="95"/>
      <c r="J330" s="95"/>
      <c r="K330" s="95"/>
      <c r="L330" s="95"/>
      <c r="M330" s="95"/>
      <c r="N330" s="95"/>
      <c r="O330" s="95"/>
      <c r="P330" s="95"/>
      <c r="Q330" s="95"/>
      <c r="R330" s="95"/>
      <c r="S330" s="95"/>
      <c r="T330" s="95"/>
      <c r="U330" s="95"/>
      <c r="V330" s="95"/>
      <c r="W330" s="95"/>
      <c r="X330" s="95"/>
      <c r="Y330" s="95"/>
      <c r="Z330" s="95"/>
      <c r="AA330" s="95"/>
      <c r="AB330" s="95"/>
    </row>
    <row r="331" ht="15.75" customHeight="1">
      <c r="A331" s="95"/>
      <c r="B331" s="95"/>
      <c r="C331" s="95"/>
      <c r="D331" s="95"/>
      <c r="E331" s="95"/>
      <c r="F331" s="130"/>
      <c r="G331" s="95"/>
      <c r="H331" s="95"/>
      <c r="I331" s="95"/>
      <c r="J331" s="95"/>
      <c r="K331" s="95"/>
      <c r="L331" s="95"/>
      <c r="M331" s="95"/>
      <c r="N331" s="95"/>
      <c r="O331" s="95"/>
      <c r="P331" s="95"/>
      <c r="Q331" s="95"/>
      <c r="R331" s="95"/>
      <c r="S331" s="95"/>
      <c r="T331" s="95"/>
      <c r="U331" s="95"/>
      <c r="V331" s="95"/>
      <c r="W331" s="95"/>
      <c r="X331" s="95"/>
      <c r="Y331" s="95"/>
      <c r="Z331" s="95"/>
      <c r="AA331" s="95"/>
      <c r="AB331" s="95"/>
    </row>
    <row r="332" ht="15.75" customHeight="1">
      <c r="A332" s="95"/>
      <c r="B332" s="95"/>
      <c r="C332" s="95"/>
      <c r="D332" s="95"/>
      <c r="E332" s="95"/>
      <c r="F332" s="130"/>
      <c r="G332" s="95"/>
      <c r="H332" s="95"/>
      <c r="I332" s="95"/>
      <c r="J332" s="95"/>
      <c r="K332" s="95"/>
      <c r="L332" s="95"/>
      <c r="M332" s="95"/>
      <c r="N332" s="95"/>
      <c r="O332" s="95"/>
      <c r="P332" s="95"/>
      <c r="Q332" s="95"/>
      <c r="R332" s="95"/>
      <c r="S332" s="95"/>
      <c r="T332" s="95"/>
      <c r="U332" s="95"/>
      <c r="V332" s="95"/>
      <c r="W332" s="95"/>
      <c r="X332" s="95"/>
      <c r="Y332" s="95"/>
      <c r="Z332" s="95"/>
      <c r="AA332" s="95"/>
      <c r="AB332" s="95"/>
    </row>
    <row r="333" ht="15.75" customHeight="1">
      <c r="A333" s="95"/>
      <c r="B333" s="95"/>
      <c r="C333" s="95"/>
      <c r="D333" s="95"/>
      <c r="E333" s="95"/>
      <c r="F333" s="130"/>
      <c r="G333" s="95"/>
      <c r="H333" s="95"/>
      <c r="I333" s="95"/>
      <c r="J333" s="95"/>
      <c r="K333" s="95"/>
      <c r="L333" s="95"/>
      <c r="M333" s="95"/>
      <c r="N333" s="95"/>
      <c r="O333" s="95"/>
      <c r="P333" s="95"/>
      <c r="Q333" s="95"/>
      <c r="R333" s="95"/>
      <c r="S333" s="95"/>
      <c r="T333" s="95"/>
      <c r="U333" s="95"/>
      <c r="V333" s="95"/>
      <c r="W333" s="95"/>
      <c r="X333" s="95"/>
      <c r="Y333" s="95"/>
      <c r="Z333" s="95"/>
      <c r="AA333" s="95"/>
      <c r="AB333" s="95"/>
    </row>
    <row r="334" ht="15.75" customHeight="1">
      <c r="A334" s="95"/>
      <c r="B334" s="95"/>
      <c r="C334" s="95"/>
      <c r="D334" s="95"/>
      <c r="E334" s="95"/>
      <c r="F334" s="130"/>
      <c r="G334" s="95"/>
      <c r="H334" s="95"/>
      <c r="I334" s="95"/>
      <c r="J334" s="95"/>
      <c r="K334" s="95"/>
      <c r="L334" s="95"/>
      <c r="M334" s="95"/>
      <c r="N334" s="95"/>
      <c r="O334" s="95"/>
      <c r="P334" s="95"/>
      <c r="Q334" s="95"/>
      <c r="R334" s="95"/>
      <c r="S334" s="95"/>
      <c r="T334" s="95"/>
      <c r="U334" s="95"/>
      <c r="V334" s="95"/>
      <c r="W334" s="95"/>
      <c r="X334" s="95"/>
      <c r="Y334" s="95"/>
      <c r="Z334" s="95"/>
      <c r="AA334" s="95"/>
      <c r="AB334" s="95"/>
    </row>
    <row r="335" ht="15.75" customHeight="1">
      <c r="A335" s="95"/>
      <c r="B335" s="95"/>
      <c r="C335" s="95"/>
      <c r="D335" s="95"/>
      <c r="E335" s="95"/>
      <c r="F335" s="130"/>
      <c r="G335" s="95"/>
      <c r="H335" s="95"/>
      <c r="I335" s="95"/>
      <c r="J335" s="95"/>
      <c r="K335" s="95"/>
      <c r="L335" s="95"/>
      <c r="M335" s="95"/>
      <c r="N335" s="95"/>
      <c r="O335" s="95"/>
      <c r="P335" s="95"/>
      <c r="Q335" s="95"/>
      <c r="R335" s="95"/>
      <c r="S335" s="95"/>
      <c r="T335" s="95"/>
      <c r="U335" s="95"/>
      <c r="V335" s="95"/>
      <c r="W335" s="95"/>
      <c r="X335" s="95"/>
      <c r="Y335" s="95"/>
      <c r="Z335" s="95"/>
      <c r="AA335" s="95"/>
      <c r="AB335" s="95"/>
    </row>
    <row r="336" ht="15.75" customHeight="1">
      <c r="A336" s="95"/>
      <c r="B336" s="95"/>
      <c r="C336" s="95"/>
      <c r="D336" s="95"/>
      <c r="E336" s="95"/>
      <c r="F336" s="130"/>
      <c r="G336" s="95"/>
      <c r="H336" s="95"/>
      <c r="I336" s="95"/>
      <c r="J336" s="95"/>
      <c r="K336" s="95"/>
      <c r="L336" s="95"/>
      <c r="M336" s="95"/>
      <c r="N336" s="95"/>
      <c r="O336" s="95"/>
      <c r="P336" s="95"/>
      <c r="Q336" s="95"/>
      <c r="R336" s="95"/>
      <c r="S336" s="95"/>
      <c r="T336" s="95"/>
      <c r="U336" s="95"/>
      <c r="V336" s="95"/>
      <c r="W336" s="95"/>
      <c r="X336" s="95"/>
      <c r="Y336" s="95"/>
      <c r="Z336" s="95"/>
      <c r="AA336" s="95"/>
      <c r="AB336" s="95"/>
    </row>
    <row r="337" ht="15.75" customHeight="1">
      <c r="A337" s="95"/>
      <c r="B337" s="95"/>
      <c r="C337" s="95"/>
      <c r="D337" s="95"/>
      <c r="E337" s="95"/>
      <c r="F337" s="130"/>
      <c r="G337" s="95"/>
      <c r="H337" s="95"/>
      <c r="I337" s="95"/>
      <c r="J337" s="95"/>
      <c r="K337" s="95"/>
      <c r="L337" s="95"/>
      <c r="M337" s="95"/>
      <c r="N337" s="95"/>
      <c r="O337" s="95"/>
      <c r="P337" s="95"/>
      <c r="Q337" s="95"/>
      <c r="R337" s="95"/>
      <c r="S337" s="95"/>
      <c r="T337" s="95"/>
      <c r="U337" s="95"/>
      <c r="V337" s="95"/>
      <c r="W337" s="95"/>
      <c r="X337" s="95"/>
      <c r="Y337" s="95"/>
      <c r="Z337" s="95"/>
      <c r="AA337" s="95"/>
      <c r="AB337" s="95"/>
    </row>
    <row r="338" ht="15.75" customHeight="1">
      <c r="A338" s="95"/>
      <c r="B338" s="95"/>
      <c r="C338" s="95"/>
      <c r="D338" s="95"/>
      <c r="E338" s="95"/>
      <c r="F338" s="130"/>
      <c r="G338" s="95"/>
      <c r="H338" s="95"/>
      <c r="I338" s="95"/>
      <c r="J338" s="95"/>
      <c r="K338" s="95"/>
      <c r="L338" s="95"/>
      <c r="M338" s="95"/>
      <c r="N338" s="95"/>
      <c r="O338" s="95"/>
      <c r="P338" s="95"/>
      <c r="Q338" s="95"/>
      <c r="R338" s="95"/>
      <c r="S338" s="95"/>
      <c r="T338" s="95"/>
      <c r="U338" s="95"/>
      <c r="V338" s="95"/>
      <c r="W338" s="95"/>
      <c r="X338" s="95"/>
      <c r="Y338" s="95"/>
      <c r="Z338" s="95"/>
      <c r="AA338" s="95"/>
      <c r="AB338" s="95"/>
    </row>
    <row r="339" ht="15.75" customHeight="1">
      <c r="A339" s="95"/>
      <c r="B339" s="95"/>
      <c r="C339" s="95"/>
      <c r="D339" s="95"/>
      <c r="E339" s="95"/>
      <c r="F339" s="130"/>
      <c r="G339" s="95"/>
      <c r="H339" s="95"/>
      <c r="I339" s="95"/>
      <c r="J339" s="95"/>
      <c r="K339" s="95"/>
      <c r="L339" s="95"/>
      <c r="M339" s="95"/>
      <c r="N339" s="95"/>
      <c r="O339" s="95"/>
      <c r="P339" s="95"/>
      <c r="Q339" s="95"/>
      <c r="R339" s="95"/>
      <c r="S339" s="95"/>
      <c r="T339" s="95"/>
      <c r="U339" s="95"/>
      <c r="V339" s="95"/>
      <c r="W339" s="95"/>
      <c r="X339" s="95"/>
      <c r="Y339" s="95"/>
      <c r="Z339" s="95"/>
      <c r="AA339" s="95"/>
      <c r="AB339" s="95"/>
    </row>
    <row r="340" ht="15.75" customHeight="1">
      <c r="A340" s="95"/>
      <c r="B340" s="95"/>
      <c r="C340" s="95"/>
      <c r="D340" s="95"/>
      <c r="E340" s="95"/>
      <c r="F340" s="130"/>
      <c r="G340" s="95"/>
      <c r="H340" s="95"/>
      <c r="I340" s="95"/>
      <c r="J340" s="95"/>
      <c r="K340" s="95"/>
      <c r="L340" s="95"/>
      <c r="M340" s="95"/>
      <c r="N340" s="95"/>
      <c r="O340" s="95"/>
      <c r="P340" s="95"/>
      <c r="Q340" s="95"/>
      <c r="R340" s="95"/>
      <c r="S340" s="95"/>
      <c r="T340" s="95"/>
      <c r="U340" s="95"/>
      <c r="V340" s="95"/>
      <c r="W340" s="95"/>
      <c r="X340" s="95"/>
      <c r="Y340" s="95"/>
      <c r="Z340" s="95"/>
      <c r="AA340" s="95"/>
      <c r="AB340" s="95"/>
    </row>
    <row r="341" ht="15.75" customHeight="1">
      <c r="A341" s="95"/>
      <c r="B341" s="95"/>
      <c r="C341" s="95"/>
      <c r="D341" s="95"/>
      <c r="E341" s="95"/>
      <c r="F341" s="130"/>
      <c r="G341" s="95"/>
      <c r="H341" s="95"/>
      <c r="I341" s="95"/>
      <c r="J341" s="95"/>
      <c r="K341" s="95"/>
      <c r="L341" s="95"/>
      <c r="M341" s="95"/>
      <c r="N341" s="95"/>
      <c r="O341" s="95"/>
      <c r="P341" s="95"/>
      <c r="Q341" s="95"/>
      <c r="R341" s="95"/>
      <c r="S341" s="95"/>
      <c r="T341" s="95"/>
      <c r="U341" s="95"/>
      <c r="V341" s="95"/>
      <c r="W341" s="95"/>
      <c r="X341" s="95"/>
      <c r="Y341" s="95"/>
      <c r="Z341" s="95"/>
      <c r="AA341" s="95"/>
      <c r="AB341" s="95"/>
    </row>
    <row r="342" ht="15.75" customHeight="1">
      <c r="A342" s="95"/>
      <c r="B342" s="95"/>
      <c r="C342" s="95"/>
      <c r="D342" s="95"/>
      <c r="E342" s="95"/>
      <c r="F342" s="130"/>
      <c r="G342" s="95"/>
      <c r="H342" s="95"/>
      <c r="I342" s="95"/>
      <c r="J342" s="95"/>
      <c r="K342" s="95"/>
      <c r="L342" s="95"/>
      <c r="M342" s="95"/>
      <c r="N342" s="95"/>
      <c r="O342" s="95"/>
      <c r="P342" s="95"/>
      <c r="Q342" s="95"/>
      <c r="R342" s="95"/>
      <c r="S342" s="95"/>
      <c r="T342" s="95"/>
      <c r="U342" s="95"/>
      <c r="V342" s="95"/>
      <c r="W342" s="95"/>
      <c r="X342" s="95"/>
      <c r="Y342" s="95"/>
      <c r="Z342" s="95"/>
      <c r="AA342" s="95"/>
      <c r="AB342" s="95"/>
    </row>
    <row r="343" ht="15.75" customHeight="1">
      <c r="A343" s="95"/>
      <c r="B343" s="95"/>
      <c r="C343" s="95"/>
      <c r="D343" s="95"/>
      <c r="E343" s="95"/>
      <c r="F343" s="130"/>
      <c r="G343" s="95"/>
      <c r="H343" s="95"/>
      <c r="I343" s="95"/>
      <c r="J343" s="95"/>
      <c r="K343" s="95"/>
      <c r="L343" s="95"/>
      <c r="M343" s="95"/>
      <c r="N343" s="95"/>
      <c r="O343" s="95"/>
      <c r="P343" s="95"/>
      <c r="Q343" s="95"/>
      <c r="R343" s="95"/>
      <c r="S343" s="95"/>
      <c r="T343" s="95"/>
      <c r="U343" s="95"/>
      <c r="V343" s="95"/>
      <c r="W343" s="95"/>
      <c r="X343" s="95"/>
      <c r="Y343" s="95"/>
      <c r="Z343" s="95"/>
      <c r="AA343" s="95"/>
      <c r="AB343" s="95"/>
    </row>
    <row r="344" ht="15.75" customHeight="1">
      <c r="A344" s="95"/>
      <c r="B344" s="95"/>
      <c r="C344" s="95"/>
      <c r="D344" s="95"/>
      <c r="E344" s="95"/>
      <c r="F344" s="130"/>
      <c r="G344" s="95"/>
      <c r="H344" s="95"/>
      <c r="I344" s="95"/>
      <c r="J344" s="95"/>
      <c r="K344" s="95"/>
      <c r="L344" s="95"/>
      <c r="M344" s="95"/>
      <c r="N344" s="95"/>
      <c r="O344" s="95"/>
      <c r="P344" s="95"/>
      <c r="Q344" s="95"/>
      <c r="R344" s="95"/>
      <c r="S344" s="95"/>
      <c r="T344" s="95"/>
      <c r="U344" s="95"/>
      <c r="V344" s="95"/>
      <c r="W344" s="95"/>
      <c r="X344" s="95"/>
      <c r="Y344" s="95"/>
      <c r="Z344" s="95"/>
      <c r="AA344" s="95"/>
      <c r="AB344" s="95"/>
    </row>
    <row r="345" ht="15.75" customHeight="1">
      <c r="A345" s="95"/>
      <c r="B345" s="95"/>
      <c r="C345" s="95"/>
      <c r="D345" s="95"/>
      <c r="E345" s="95"/>
      <c r="F345" s="130"/>
      <c r="G345" s="95"/>
      <c r="H345" s="95"/>
      <c r="I345" s="95"/>
      <c r="J345" s="95"/>
      <c r="K345" s="95"/>
      <c r="L345" s="95"/>
      <c r="M345" s="95"/>
      <c r="N345" s="95"/>
      <c r="O345" s="95"/>
      <c r="P345" s="95"/>
      <c r="Q345" s="95"/>
      <c r="R345" s="95"/>
      <c r="S345" s="95"/>
      <c r="T345" s="95"/>
      <c r="U345" s="95"/>
      <c r="V345" s="95"/>
      <c r="W345" s="95"/>
      <c r="X345" s="95"/>
      <c r="Y345" s="95"/>
      <c r="Z345" s="95"/>
      <c r="AA345" s="95"/>
      <c r="AB345" s="95"/>
    </row>
    <row r="346" ht="15.75" customHeight="1">
      <c r="A346" s="95"/>
      <c r="B346" s="95"/>
      <c r="C346" s="95"/>
      <c r="D346" s="95"/>
      <c r="E346" s="95"/>
      <c r="F346" s="130"/>
      <c r="G346" s="95"/>
      <c r="H346" s="95"/>
      <c r="I346" s="95"/>
      <c r="J346" s="95"/>
      <c r="K346" s="95"/>
      <c r="L346" s="95"/>
      <c r="M346" s="95"/>
      <c r="N346" s="95"/>
      <c r="O346" s="95"/>
      <c r="P346" s="95"/>
      <c r="Q346" s="95"/>
      <c r="R346" s="95"/>
      <c r="S346" s="95"/>
      <c r="T346" s="95"/>
      <c r="U346" s="95"/>
      <c r="V346" s="95"/>
      <c r="W346" s="95"/>
      <c r="X346" s="95"/>
      <c r="Y346" s="95"/>
      <c r="Z346" s="95"/>
      <c r="AA346" s="95"/>
      <c r="AB346" s="95"/>
    </row>
    <row r="347" ht="15.75" customHeight="1">
      <c r="A347" s="95"/>
      <c r="B347" s="95"/>
      <c r="C347" s="95"/>
      <c r="D347" s="95"/>
      <c r="E347" s="95"/>
      <c r="F347" s="130"/>
      <c r="G347" s="95"/>
      <c r="H347" s="95"/>
      <c r="I347" s="95"/>
      <c r="J347" s="95"/>
      <c r="K347" s="95"/>
      <c r="L347" s="95"/>
      <c r="M347" s="95"/>
      <c r="N347" s="95"/>
      <c r="O347" s="95"/>
      <c r="P347" s="95"/>
      <c r="Q347" s="95"/>
      <c r="R347" s="95"/>
      <c r="S347" s="95"/>
      <c r="T347" s="95"/>
      <c r="U347" s="95"/>
      <c r="V347" s="95"/>
      <c r="W347" s="95"/>
      <c r="X347" s="95"/>
      <c r="Y347" s="95"/>
      <c r="Z347" s="95"/>
      <c r="AA347" s="95"/>
      <c r="AB347" s="95"/>
    </row>
    <row r="348" ht="15.75" customHeight="1">
      <c r="A348" s="95"/>
      <c r="B348" s="95"/>
      <c r="C348" s="95"/>
      <c r="D348" s="95"/>
      <c r="E348" s="95"/>
      <c r="F348" s="130"/>
      <c r="G348" s="95"/>
      <c r="H348" s="95"/>
      <c r="I348" s="95"/>
      <c r="J348" s="95"/>
      <c r="K348" s="95"/>
      <c r="L348" s="95"/>
      <c r="M348" s="95"/>
      <c r="N348" s="95"/>
      <c r="O348" s="95"/>
      <c r="P348" s="95"/>
      <c r="Q348" s="95"/>
      <c r="R348" s="95"/>
      <c r="S348" s="95"/>
      <c r="T348" s="95"/>
      <c r="U348" s="95"/>
      <c r="V348" s="95"/>
      <c r="W348" s="95"/>
      <c r="X348" s="95"/>
      <c r="Y348" s="95"/>
      <c r="Z348" s="95"/>
      <c r="AA348" s="95"/>
      <c r="AB348" s="95"/>
    </row>
    <row r="349" ht="15.75" customHeight="1">
      <c r="A349" s="95"/>
      <c r="B349" s="95"/>
      <c r="C349" s="95"/>
      <c r="D349" s="95"/>
      <c r="E349" s="95"/>
      <c r="F349" s="130"/>
      <c r="G349" s="95"/>
      <c r="H349" s="95"/>
      <c r="I349" s="95"/>
      <c r="J349" s="95"/>
      <c r="K349" s="95"/>
      <c r="L349" s="95"/>
      <c r="M349" s="95"/>
      <c r="N349" s="95"/>
      <c r="O349" s="95"/>
      <c r="P349" s="95"/>
      <c r="Q349" s="95"/>
      <c r="R349" s="95"/>
      <c r="S349" s="95"/>
      <c r="T349" s="95"/>
      <c r="U349" s="95"/>
      <c r="V349" s="95"/>
      <c r="W349" s="95"/>
      <c r="X349" s="95"/>
      <c r="Y349" s="95"/>
      <c r="Z349" s="95"/>
      <c r="AA349" s="95"/>
      <c r="AB349" s="95"/>
    </row>
    <row r="350" ht="15.75" customHeight="1">
      <c r="A350" s="95"/>
      <c r="B350" s="95"/>
      <c r="C350" s="95"/>
      <c r="D350" s="95"/>
      <c r="E350" s="95"/>
      <c r="F350" s="130"/>
      <c r="G350" s="95"/>
      <c r="H350" s="95"/>
      <c r="I350" s="95"/>
      <c r="J350" s="95"/>
      <c r="K350" s="95"/>
      <c r="L350" s="95"/>
      <c r="M350" s="95"/>
      <c r="N350" s="95"/>
      <c r="O350" s="95"/>
      <c r="P350" s="95"/>
      <c r="Q350" s="95"/>
      <c r="R350" s="95"/>
      <c r="S350" s="95"/>
      <c r="T350" s="95"/>
      <c r="U350" s="95"/>
      <c r="V350" s="95"/>
      <c r="W350" s="95"/>
      <c r="X350" s="95"/>
      <c r="Y350" s="95"/>
      <c r="Z350" s="95"/>
      <c r="AA350" s="95"/>
      <c r="AB350" s="95"/>
    </row>
    <row r="351" ht="15.75" customHeight="1">
      <c r="A351" s="95"/>
      <c r="B351" s="95"/>
      <c r="C351" s="95"/>
      <c r="D351" s="95"/>
      <c r="E351" s="95"/>
      <c r="F351" s="130"/>
      <c r="G351" s="95"/>
      <c r="H351" s="95"/>
      <c r="I351" s="95"/>
      <c r="J351" s="95"/>
      <c r="K351" s="95"/>
      <c r="L351" s="95"/>
      <c r="M351" s="95"/>
      <c r="N351" s="95"/>
      <c r="O351" s="95"/>
      <c r="P351" s="95"/>
      <c r="Q351" s="95"/>
      <c r="R351" s="95"/>
      <c r="S351" s="95"/>
      <c r="T351" s="95"/>
      <c r="U351" s="95"/>
      <c r="V351" s="95"/>
      <c r="W351" s="95"/>
      <c r="X351" s="95"/>
      <c r="Y351" s="95"/>
      <c r="Z351" s="95"/>
      <c r="AA351" s="95"/>
      <c r="AB351" s="95"/>
    </row>
    <row r="352" ht="15.75" customHeight="1">
      <c r="A352" s="95"/>
      <c r="B352" s="95"/>
      <c r="C352" s="95"/>
      <c r="D352" s="95"/>
      <c r="E352" s="95"/>
      <c r="F352" s="130"/>
      <c r="G352" s="95"/>
      <c r="H352" s="95"/>
      <c r="I352" s="95"/>
      <c r="J352" s="95"/>
      <c r="K352" s="95"/>
      <c r="L352" s="95"/>
      <c r="M352" s="95"/>
      <c r="N352" s="95"/>
      <c r="O352" s="95"/>
      <c r="P352" s="95"/>
      <c r="Q352" s="95"/>
      <c r="R352" s="95"/>
      <c r="S352" s="95"/>
      <c r="T352" s="95"/>
      <c r="U352" s="95"/>
      <c r="V352" s="95"/>
      <c r="W352" s="95"/>
      <c r="X352" s="95"/>
      <c r="Y352" s="95"/>
      <c r="Z352" s="95"/>
      <c r="AA352" s="95"/>
      <c r="AB352" s="95"/>
    </row>
    <row r="353" ht="15.75" customHeight="1">
      <c r="A353" s="95"/>
      <c r="B353" s="95"/>
      <c r="C353" s="95"/>
      <c r="D353" s="95"/>
      <c r="E353" s="95"/>
      <c r="F353" s="130"/>
      <c r="G353" s="95"/>
      <c r="H353" s="95"/>
      <c r="I353" s="95"/>
      <c r="J353" s="95"/>
      <c r="K353" s="95"/>
      <c r="L353" s="95"/>
      <c r="M353" s="95"/>
      <c r="N353" s="95"/>
      <c r="O353" s="95"/>
      <c r="P353" s="95"/>
      <c r="Q353" s="95"/>
      <c r="R353" s="95"/>
      <c r="S353" s="95"/>
      <c r="T353" s="95"/>
      <c r="U353" s="95"/>
      <c r="V353" s="95"/>
      <c r="W353" s="95"/>
      <c r="X353" s="95"/>
      <c r="Y353" s="95"/>
      <c r="Z353" s="95"/>
      <c r="AA353" s="95"/>
      <c r="AB353" s="95"/>
    </row>
    <row r="354" ht="15.75" customHeight="1">
      <c r="A354" s="95"/>
      <c r="B354" s="95"/>
      <c r="C354" s="95"/>
      <c r="D354" s="95"/>
      <c r="E354" s="95"/>
      <c r="F354" s="130"/>
      <c r="G354" s="95"/>
      <c r="H354" s="95"/>
      <c r="I354" s="95"/>
      <c r="J354" s="95"/>
      <c r="K354" s="95"/>
      <c r="L354" s="95"/>
      <c r="M354" s="95"/>
      <c r="N354" s="95"/>
      <c r="O354" s="95"/>
      <c r="P354" s="95"/>
      <c r="Q354" s="95"/>
      <c r="R354" s="95"/>
      <c r="S354" s="95"/>
      <c r="T354" s="95"/>
      <c r="U354" s="95"/>
      <c r="V354" s="95"/>
      <c r="W354" s="95"/>
      <c r="X354" s="95"/>
      <c r="Y354" s="95"/>
      <c r="Z354" s="95"/>
      <c r="AA354" s="95"/>
      <c r="AB354" s="95"/>
    </row>
    <row r="355" ht="15.75" customHeight="1">
      <c r="A355" s="95"/>
      <c r="B355" s="95"/>
      <c r="C355" s="95"/>
      <c r="D355" s="95"/>
      <c r="E355" s="95"/>
      <c r="F355" s="130"/>
      <c r="G355" s="95"/>
      <c r="H355" s="95"/>
      <c r="I355" s="95"/>
      <c r="J355" s="95"/>
      <c r="K355" s="95"/>
      <c r="L355" s="95"/>
      <c r="M355" s="95"/>
      <c r="N355" s="95"/>
      <c r="O355" s="95"/>
      <c r="P355" s="95"/>
      <c r="Q355" s="95"/>
      <c r="R355" s="95"/>
      <c r="S355" s="95"/>
      <c r="T355" s="95"/>
      <c r="U355" s="95"/>
      <c r="V355" s="95"/>
      <c r="W355" s="95"/>
      <c r="X355" s="95"/>
      <c r="Y355" s="95"/>
      <c r="Z355" s="95"/>
      <c r="AA355" s="95"/>
      <c r="AB355" s="95"/>
    </row>
    <row r="356" ht="15.75" customHeight="1">
      <c r="A356" s="95"/>
      <c r="B356" s="95"/>
      <c r="C356" s="95"/>
      <c r="D356" s="95"/>
      <c r="E356" s="95"/>
      <c r="F356" s="130"/>
      <c r="G356" s="95"/>
      <c r="H356" s="95"/>
      <c r="I356" s="95"/>
      <c r="J356" s="95"/>
      <c r="K356" s="95"/>
      <c r="L356" s="95"/>
      <c r="M356" s="95"/>
      <c r="N356" s="95"/>
      <c r="O356" s="95"/>
      <c r="P356" s="95"/>
      <c r="Q356" s="95"/>
      <c r="R356" s="95"/>
      <c r="S356" s="95"/>
      <c r="T356" s="95"/>
      <c r="U356" s="95"/>
      <c r="V356" s="95"/>
      <c r="W356" s="95"/>
      <c r="X356" s="95"/>
      <c r="Y356" s="95"/>
      <c r="Z356" s="95"/>
      <c r="AA356" s="95"/>
      <c r="AB356" s="95"/>
    </row>
    <row r="357" ht="15.75" customHeight="1">
      <c r="A357" s="95"/>
      <c r="B357" s="95"/>
      <c r="C357" s="95"/>
      <c r="D357" s="95"/>
      <c r="E357" s="95"/>
      <c r="F357" s="130"/>
      <c r="G357" s="95"/>
      <c r="H357" s="95"/>
      <c r="I357" s="95"/>
      <c r="J357" s="95"/>
      <c r="K357" s="95"/>
      <c r="L357" s="95"/>
      <c r="M357" s="95"/>
      <c r="N357" s="95"/>
      <c r="O357" s="95"/>
      <c r="P357" s="95"/>
      <c r="Q357" s="95"/>
      <c r="R357" s="95"/>
      <c r="S357" s="95"/>
      <c r="T357" s="95"/>
      <c r="U357" s="95"/>
      <c r="V357" s="95"/>
      <c r="W357" s="95"/>
      <c r="X357" s="95"/>
      <c r="Y357" s="95"/>
      <c r="Z357" s="95"/>
      <c r="AA357" s="95"/>
      <c r="AB357" s="95"/>
    </row>
    <row r="358" ht="15.75" customHeight="1">
      <c r="A358" s="95"/>
      <c r="B358" s="95"/>
      <c r="C358" s="95"/>
      <c r="D358" s="95"/>
      <c r="E358" s="95"/>
      <c r="F358" s="130"/>
      <c r="G358" s="95"/>
      <c r="H358" s="95"/>
      <c r="I358" s="95"/>
      <c r="J358" s="95"/>
      <c r="K358" s="95"/>
      <c r="L358" s="95"/>
      <c r="M358" s="95"/>
      <c r="N358" s="95"/>
      <c r="O358" s="95"/>
      <c r="P358" s="95"/>
      <c r="Q358" s="95"/>
      <c r="R358" s="95"/>
      <c r="S358" s="95"/>
      <c r="T358" s="95"/>
      <c r="U358" s="95"/>
      <c r="V358" s="95"/>
      <c r="W358" s="95"/>
      <c r="X358" s="95"/>
      <c r="Y358" s="95"/>
      <c r="Z358" s="95"/>
      <c r="AA358" s="95"/>
      <c r="AB358" s="95"/>
    </row>
    <row r="359" ht="15.75" customHeight="1">
      <c r="A359" s="95"/>
      <c r="B359" s="95"/>
      <c r="C359" s="95"/>
      <c r="D359" s="95"/>
      <c r="E359" s="95"/>
      <c r="F359" s="130"/>
      <c r="G359" s="95"/>
      <c r="H359" s="95"/>
      <c r="I359" s="95"/>
      <c r="J359" s="95"/>
      <c r="K359" s="95"/>
      <c r="L359" s="95"/>
      <c r="M359" s="95"/>
      <c r="N359" s="95"/>
      <c r="O359" s="95"/>
      <c r="P359" s="95"/>
      <c r="Q359" s="95"/>
      <c r="R359" s="95"/>
      <c r="S359" s="95"/>
      <c r="T359" s="95"/>
      <c r="U359" s="95"/>
      <c r="V359" s="95"/>
      <c r="W359" s="95"/>
      <c r="X359" s="95"/>
      <c r="Y359" s="95"/>
      <c r="Z359" s="95"/>
      <c r="AA359" s="95"/>
      <c r="AB359" s="95"/>
    </row>
    <row r="360" ht="15.75" customHeight="1">
      <c r="A360" s="95"/>
      <c r="B360" s="95"/>
      <c r="C360" s="95"/>
      <c r="D360" s="95"/>
      <c r="E360" s="95"/>
      <c r="F360" s="130"/>
      <c r="G360" s="95"/>
      <c r="H360" s="95"/>
      <c r="I360" s="95"/>
      <c r="J360" s="95"/>
      <c r="K360" s="95"/>
      <c r="L360" s="95"/>
      <c r="M360" s="95"/>
      <c r="N360" s="95"/>
      <c r="O360" s="95"/>
      <c r="P360" s="95"/>
      <c r="Q360" s="95"/>
      <c r="R360" s="95"/>
      <c r="S360" s="95"/>
      <c r="T360" s="95"/>
      <c r="U360" s="95"/>
      <c r="V360" s="95"/>
      <c r="W360" s="95"/>
      <c r="X360" s="95"/>
      <c r="Y360" s="95"/>
      <c r="Z360" s="95"/>
      <c r="AA360" s="95"/>
      <c r="AB360" s="95"/>
    </row>
    <row r="361" ht="15.75" customHeight="1">
      <c r="A361" s="95"/>
      <c r="B361" s="95"/>
      <c r="C361" s="95"/>
      <c r="D361" s="95"/>
      <c r="E361" s="95"/>
      <c r="F361" s="130"/>
      <c r="G361" s="95"/>
      <c r="H361" s="95"/>
      <c r="I361" s="95"/>
      <c r="J361" s="95"/>
      <c r="K361" s="95"/>
      <c r="L361" s="95"/>
      <c r="M361" s="95"/>
      <c r="N361" s="95"/>
      <c r="O361" s="95"/>
      <c r="P361" s="95"/>
      <c r="Q361" s="95"/>
      <c r="R361" s="95"/>
      <c r="S361" s="95"/>
      <c r="T361" s="95"/>
      <c r="U361" s="95"/>
      <c r="V361" s="95"/>
      <c r="W361" s="95"/>
      <c r="X361" s="95"/>
      <c r="Y361" s="95"/>
      <c r="Z361" s="95"/>
      <c r="AA361" s="95"/>
      <c r="AB361" s="95"/>
    </row>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0"/>
    <col customWidth="1" min="2" max="2" width="15.5"/>
    <col customWidth="1" min="3" max="3" width="24.0"/>
    <col customWidth="1" min="4" max="4" width="28.13"/>
    <col customWidth="1" min="5" max="5" width="110.88"/>
    <col customWidth="1" min="6" max="6" width="12.63"/>
    <col customWidth="1" min="9" max="9" width="18.63"/>
    <col customWidth="1" min="11" max="11" width="21.38"/>
  </cols>
  <sheetData>
    <row r="1" ht="15.75" customHeight="1">
      <c r="A1" s="233" t="s">
        <v>3568</v>
      </c>
      <c r="B1" s="234" t="s">
        <v>3569</v>
      </c>
      <c r="C1" s="234" t="s">
        <v>3570</v>
      </c>
      <c r="D1" s="233" t="s">
        <v>3571</v>
      </c>
      <c r="E1" s="234" t="s">
        <v>3572</v>
      </c>
      <c r="F1" s="234" t="s">
        <v>3573</v>
      </c>
      <c r="G1" s="235" t="s">
        <v>3574</v>
      </c>
      <c r="H1" s="236" t="s">
        <v>3575</v>
      </c>
      <c r="I1" s="237" t="s">
        <v>3576</v>
      </c>
      <c r="J1" s="237" t="s">
        <v>3577</v>
      </c>
      <c r="K1" s="237" t="s">
        <v>3578</v>
      </c>
      <c r="L1" s="1" t="s">
        <v>3579</v>
      </c>
      <c r="M1" s="1" t="s">
        <v>17</v>
      </c>
      <c r="N1" s="1" t="s">
        <v>16</v>
      </c>
    </row>
    <row r="2" ht="15.75" customHeight="1">
      <c r="A2" s="238" t="s">
        <v>3178</v>
      </c>
      <c r="B2" s="239">
        <v>45604.0</v>
      </c>
      <c r="C2" s="240" t="s">
        <v>3580</v>
      </c>
      <c r="D2" s="238" t="s">
        <v>3179</v>
      </c>
      <c r="E2" s="240" t="s">
        <v>3581</v>
      </c>
      <c r="F2" s="240">
        <v>1.0</v>
      </c>
      <c r="G2" s="241">
        <v>50000.0</v>
      </c>
      <c r="H2" s="242">
        <v>50000.0</v>
      </c>
      <c r="I2" s="243" t="s">
        <v>3181</v>
      </c>
      <c r="J2" s="244" t="s">
        <v>3582</v>
      </c>
      <c r="K2" s="238"/>
      <c r="L2" s="245" t="s">
        <v>3583</v>
      </c>
      <c r="M2" s="245" t="b">
        <v>0</v>
      </c>
      <c r="N2" s="245" t="b">
        <v>0</v>
      </c>
      <c r="O2" s="246"/>
      <c r="P2" s="246"/>
      <c r="Q2" s="246"/>
      <c r="R2" s="246"/>
      <c r="S2" s="246"/>
      <c r="T2" s="246"/>
      <c r="U2" s="246"/>
      <c r="V2" s="246"/>
      <c r="W2" s="246"/>
      <c r="X2" s="246"/>
      <c r="Y2" s="246"/>
      <c r="Z2" s="246"/>
    </row>
    <row r="3" ht="15.75" customHeight="1">
      <c r="A3" s="238" t="s">
        <v>3183</v>
      </c>
      <c r="B3" s="247">
        <v>45606.0</v>
      </c>
      <c r="C3" s="240" t="s">
        <v>3584</v>
      </c>
      <c r="D3" s="238" t="s">
        <v>3184</v>
      </c>
      <c r="E3" s="240" t="s">
        <v>3185</v>
      </c>
      <c r="F3" s="240">
        <v>1.0</v>
      </c>
      <c r="G3" s="241">
        <v>6000.0</v>
      </c>
      <c r="H3" s="242">
        <v>6000.0</v>
      </c>
      <c r="I3" s="243" t="s">
        <v>3223</v>
      </c>
      <c r="J3" s="244" t="s">
        <v>3582</v>
      </c>
      <c r="K3" s="238"/>
      <c r="L3" s="245" t="s">
        <v>3585</v>
      </c>
      <c r="M3" s="245" t="b">
        <v>0</v>
      </c>
      <c r="N3" s="245" t="b">
        <v>0</v>
      </c>
      <c r="O3" s="246"/>
      <c r="P3" s="246"/>
      <c r="Q3" s="246"/>
      <c r="R3" s="246"/>
      <c r="S3" s="246"/>
      <c r="T3" s="246"/>
      <c r="U3" s="246"/>
      <c r="V3" s="246"/>
      <c r="W3" s="246"/>
      <c r="X3" s="246"/>
      <c r="Y3" s="246"/>
      <c r="Z3" s="246"/>
    </row>
    <row r="4" ht="15.75" customHeight="1">
      <c r="A4" s="238" t="s">
        <v>3187</v>
      </c>
      <c r="B4" s="247"/>
      <c r="C4" s="240" t="s">
        <v>3584</v>
      </c>
      <c r="D4" s="238" t="s">
        <v>3188</v>
      </c>
      <c r="E4" s="240" t="s">
        <v>3189</v>
      </c>
      <c r="F4" s="240">
        <v>1.0</v>
      </c>
      <c r="G4" s="241">
        <v>30000.0</v>
      </c>
      <c r="H4" s="242">
        <v>30000.0</v>
      </c>
      <c r="I4" s="243" t="s">
        <v>3223</v>
      </c>
      <c r="J4" s="244" t="s">
        <v>3582</v>
      </c>
      <c r="K4" s="238"/>
      <c r="L4" s="245" t="s">
        <v>3586</v>
      </c>
      <c r="M4" s="245" t="b">
        <v>0</v>
      </c>
      <c r="N4" s="245" t="b">
        <v>0</v>
      </c>
      <c r="O4" s="246"/>
      <c r="P4" s="246"/>
      <c r="Q4" s="246"/>
      <c r="R4" s="246"/>
      <c r="S4" s="246"/>
      <c r="T4" s="246"/>
      <c r="U4" s="246"/>
      <c r="V4" s="246"/>
      <c r="W4" s="246"/>
      <c r="X4" s="246"/>
      <c r="Y4" s="246"/>
      <c r="Z4" s="246"/>
    </row>
    <row r="5" ht="15.75" customHeight="1">
      <c r="A5" s="238" t="s">
        <v>3190</v>
      </c>
      <c r="B5" s="239">
        <v>45635.0</v>
      </c>
      <c r="C5" s="240" t="s">
        <v>3587</v>
      </c>
      <c r="D5" s="238" t="s">
        <v>3191</v>
      </c>
      <c r="E5" s="240" t="s">
        <v>3192</v>
      </c>
      <c r="F5" s="240">
        <v>1.0</v>
      </c>
      <c r="G5" s="241">
        <v>800000.0</v>
      </c>
      <c r="H5" s="242">
        <v>800000.0</v>
      </c>
      <c r="I5" s="243" t="s">
        <v>3181</v>
      </c>
      <c r="J5" s="244" t="s">
        <v>3582</v>
      </c>
      <c r="K5" s="238"/>
      <c r="L5" s="245" t="s">
        <v>3588</v>
      </c>
      <c r="M5" s="245" t="b">
        <v>0</v>
      </c>
      <c r="N5" s="245" t="b">
        <v>0</v>
      </c>
      <c r="O5" s="246"/>
      <c r="P5" s="246"/>
      <c r="Q5" s="246"/>
      <c r="R5" s="246"/>
      <c r="S5" s="246"/>
      <c r="T5" s="246"/>
      <c r="U5" s="246"/>
      <c r="V5" s="246"/>
      <c r="W5" s="246"/>
      <c r="X5" s="246"/>
      <c r="Y5" s="246"/>
      <c r="Z5" s="246"/>
    </row>
    <row r="6" ht="15.75" customHeight="1">
      <c r="A6" s="238" t="s">
        <v>3193</v>
      </c>
      <c r="B6" s="239">
        <v>45689.0</v>
      </c>
      <c r="C6" s="240" t="s">
        <v>3584</v>
      </c>
      <c r="D6" s="238" t="s">
        <v>3188</v>
      </c>
      <c r="E6" s="240" t="s">
        <v>3194</v>
      </c>
      <c r="F6" s="240">
        <v>1.0</v>
      </c>
      <c r="G6" s="241">
        <v>20000.0</v>
      </c>
      <c r="H6" s="242">
        <v>20000.0</v>
      </c>
      <c r="I6" s="243" t="s">
        <v>3223</v>
      </c>
      <c r="J6" s="244" t="s">
        <v>3582</v>
      </c>
      <c r="K6" s="238"/>
      <c r="L6" s="245" t="s">
        <v>3589</v>
      </c>
      <c r="M6" s="245" t="b">
        <v>0</v>
      </c>
      <c r="N6" s="245" t="b">
        <v>0</v>
      </c>
      <c r="O6" s="246"/>
      <c r="P6" s="246"/>
      <c r="Q6" s="246"/>
      <c r="R6" s="246"/>
      <c r="S6" s="246"/>
      <c r="T6" s="246"/>
      <c r="U6" s="246"/>
      <c r="V6" s="246"/>
      <c r="W6" s="246"/>
      <c r="X6" s="246"/>
      <c r="Y6" s="246"/>
      <c r="Z6" s="246"/>
    </row>
    <row r="7" ht="15.75" customHeight="1">
      <c r="A7" s="238" t="s">
        <v>3195</v>
      </c>
      <c r="B7" s="239">
        <v>45689.0</v>
      </c>
      <c r="C7" s="240" t="s">
        <v>3584</v>
      </c>
      <c r="D7" s="238" t="s">
        <v>3184</v>
      </c>
      <c r="E7" s="240" t="s">
        <v>3185</v>
      </c>
      <c r="F7" s="240">
        <v>1.0</v>
      </c>
      <c r="G7" s="241">
        <v>4000.0</v>
      </c>
      <c r="H7" s="242">
        <v>4000.0</v>
      </c>
      <c r="I7" s="243" t="s">
        <v>3223</v>
      </c>
      <c r="J7" s="244" t="s">
        <v>3582</v>
      </c>
      <c r="K7" s="238"/>
      <c r="L7" s="245" t="s">
        <v>3590</v>
      </c>
      <c r="M7" s="245" t="b">
        <v>0</v>
      </c>
      <c r="N7" s="245" t="b">
        <v>0</v>
      </c>
      <c r="O7" s="246"/>
      <c r="P7" s="246"/>
      <c r="Q7" s="246"/>
      <c r="R7" s="246"/>
      <c r="S7" s="246"/>
      <c r="T7" s="246"/>
      <c r="U7" s="246"/>
      <c r="V7" s="246"/>
      <c r="W7" s="246"/>
      <c r="X7" s="246"/>
      <c r="Y7" s="246"/>
      <c r="Z7" s="246"/>
    </row>
    <row r="8" ht="15.75" customHeight="1">
      <c r="A8" s="238" t="s">
        <v>3196</v>
      </c>
      <c r="B8" s="239">
        <v>45693.0</v>
      </c>
      <c r="C8" s="240" t="s">
        <v>3584</v>
      </c>
      <c r="D8" s="238" t="s">
        <v>3591</v>
      </c>
      <c r="E8" s="240" t="s">
        <v>3198</v>
      </c>
      <c r="F8" s="240">
        <v>1.0</v>
      </c>
      <c r="G8" s="241">
        <v>5000.0</v>
      </c>
      <c r="H8" s="242">
        <v>5000.0</v>
      </c>
      <c r="I8" s="243" t="s">
        <v>3223</v>
      </c>
      <c r="J8" s="244" t="s">
        <v>3582</v>
      </c>
      <c r="K8" s="238"/>
      <c r="L8" s="245" t="s">
        <v>3592</v>
      </c>
      <c r="M8" s="245" t="b">
        <v>0</v>
      </c>
      <c r="N8" s="245" t="b">
        <v>0</v>
      </c>
      <c r="O8" s="246"/>
      <c r="P8" s="246"/>
      <c r="Q8" s="246"/>
      <c r="R8" s="246"/>
      <c r="S8" s="246"/>
      <c r="T8" s="246"/>
      <c r="U8" s="246"/>
      <c r="V8" s="246"/>
      <c r="W8" s="246"/>
      <c r="X8" s="246"/>
      <c r="Y8" s="246"/>
      <c r="Z8" s="246"/>
    </row>
    <row r="9" ht="15.75" customHeight="1">
      <c r="A9" s="238" t="s">
        <v>3199</v>
      </c>
      <c r="B9" s="239">
        <v>45707.0</v>
      </c>
      <c r="C9" s="240" t="s">
        <v>3593</v>
      </c>
      <c r="D9" s="238" t="s">
        <v>3201</v>
      </c>
      <c r="E9" s="240" t="s">
        <v>3202</v>
      </c>
      <c r="F9" s="240">
        <v>1.0</v>
      </c>
      <c r="G9" s="241">
        <v>11100.0</v>
      </c>
      <c r="H9" s="242">
        <v>11100.0</v>
      </c>
      <c r="I9" s="243" t="s">
        <v>3223</v>
      </c>
      <c r="J9" s="244" t="s">
        <v>3582</v>
      </c>
      <c r="K9" s="238"/>
      <c r="L9" s="245" t="s">
        <v>3594</v>
      </c>
      <c r="M9" s="245" t="b">
        <v>0</v>
      </c>
      <c r="N9" s="245" t="b">
        <v>0</v>
      </c>
      <c r="O9" s="246"/>
      <c r="P9" s="246"/>
      <c r="Q9" s="246"/>
      <c r="R9" s="246"/>
      <c r="S9" s="246"/>
      <c r="T9" s="246"/>
      <c r="U9" s="246"/>
      <c r="V9" s="246"/>
      <c r="W9" s="246"/>
      <c r="X9" s="246"/>
      <c r="Y9" s="246"/>
      <c r="Z9" s="246"/>
    </row>
    <row r="10" ht="15.75" customHeight="1">
      <c r="A10" s="238" t="s">
        <v>3203</v>
      </c>
      <c r="B10" s="239">
        <v>45766.0</v>
      </c>
      <c r="C10" s="240" t="s">
        <v>3580</v>
      </c>
      <c r="D10" s="238" t="s">
        <v>3595</v>
      </c>
      <c r="E10" s="240" t="s">
        <v>3206</v>
      </c>
      <c r="F10" s="240">
        <v>1.0</v>
      </c>
      <c r="G10" s="248">
        <v>5181.43</v>
      </c>
      <c r="H10" s="242">
        <v>5181.43</v>
      </c>
      <c r="I10" s="243" t="s">
        <v>3596</v>
      </c>
      <c r="J10" s="244" t="s">
        <v>3582</v>
      </c>
      <c r="K10" s="238"/>
      <c r="L10" s="245" t="s">
        <v>3597</v>
      </c>
      <c r="M10" s="245" t="b">
        <v>0</v>
      </c>
      <c r="N10" s="245" t="b">
        <v>0</v>
      </c>
      <c r="O10" s="246"/>
      <c r="P10" s="246"/>
      <c r="Q10" s="246"/>
      <c r="R10" s="246"/>
      <c r="S10" s="246"/>
      <c r="T10" s="246"/>
      <c r="U10" s="246"/>
      <c r="V10" s="246"/>
      <c r="W10" s="246"/>
      <c r="X10" s="246"/>
      <c r="Y10" s="246"/>
      <c r="Z10" s="246"/>
    </row>
    <row r="11" ht="15.75" customHeight="1">
      <c r="A11" s="238" t="s">
        <v>3210</v>
      </c>
      <c r="B11" s="239">
        <v>45712.0</v>
      </c>
      <c r="C11" s="240" t="s">
        <v>3584</v>
      </c>
      <c r="D11" s="238" t="s">
        <v>3591</v>
      </c>
      <c r="E11" s="240" t="s">
        <v>3212</v>
      </c>
      <c r="F11" s="240">
        <v>1.0</v>
      </c>
      <c r="G11" s="241">
        <v>5000.0</v>
      </c>
      <c r="H11" s="242">
        <v>5000.0</v>
      </c>
      <c r="I11" s="243" t="s">
        <v>3223</v>
      </c>
      <c r="J11" s="244" t="s">
        <v>3582</v>
      </c>
      <c r="K11" s="238"/>
      <c r="L11" s="245" t="s">
        <v>3598</v>
      </c>
      <c r="M11" s="245" t="b">
        <v>0</v>
      </c>
      <c r="N11" s="245" t="b">
        <v>0</v>
      </c>
      <c r="O11" s="246"/>
      <c r="P11" s="246"/>
      <c r="Q11" s="246"/>
      <c r="R11" s="246"/>
      <c r="S11" s="246"/>
      <c r="T11" s="246"/>
      <c r="U11" s="246"/>
      <c r="V11" s="246"/>
      <c r="W11" s="246"/>
      <c r="X11" s="246"/>
      <c r="Y11" s="246"/>
      <c r="Z11" s="246"/>
    </row>
    <row r="12" ht="15.75" customHeight="1">
      <c r="A12" s="238" t="s">
        <v>3213</v>
      </c>
      <c r="B12" s="239">
        <v>45714.0</v>
      </c>
      <c r="C12" s="240" t="s">
        <v>3580</v>
      </c>
      <c r="D12" s="238" t="s">
        <v>3215</v>
      </c>
      <c r="E12" s="240" t="s">
        <v>3216</v>
      </c>
      <c r="F12" s="240">
        <v>1.0</v>
      </c>
      <c r="G12" s="248">
        <v>50000.0</v>
      </c>
      <c r="H12" s="242">
        <v>50000.0</v>
      </c>
      <c r="I12" s="243" t="s">
        <v>3223</v>
      </c>
      <c r="J12" s="244" t="s">
        <v>3582</v>
      </c>
      <c r="K12" s="238"/>
      <c r="L12" s="245" t="s">
        <v>3599</v>
      </c>
      <c r="M12" s="245" t="b">
        <v>0</v>
      </c>
      <c r="N12" s="245" t="b">
        <v>0</v>
      </c>
      <c r="O12" s="246"/>
      <c r="P12" s="246"/>
      <c r="Q12" s="246"/>
      <c r="R12" s="246"/>
      <c r="S12" s="246"/>
      <c r="T12" s="246"/>
      <c r="U12" s="246"/>
      <c r="V12" s="246"/>
      <c r="W12" s="246"/>
      <c r="X12" s="246"/>
      <c r="Y12" s="246"/>
      <c r="Z12" s="246"/>
    </row>
    <row r="13" ht="15.75" customHeight="1">
      <c r="A13" s="238" t="s">
        <v>3218</v>
      </c>
      <c r="B13" s="239">
        <v>45721.0</v>
      </c>
      <c r="C13" s="240" t="s">
        <v>3600</v>
      </c>
      <c r="D13" s="238" t="s">
        <v>3219</v>
      </c>
      <c r="E13" s="240" t="s">
        <v>3220</v>
      </c>
      <c r="F13" s="240">
        <v>1.0</v>
      </c>
      <c r="G13" s="248">
        <v>600.0</v>
      </c>
      <c r="H13" s="242">
        <v>600.0</v>
      </c>
      <c r="I13" s="243"/>
      <c r="J13" s="244" t="s">
        <v>3582</v>
      </c>
      <c r="K13" s="238"/>
      <c r="L13" s="245" t="s">
        <v>3601</v>
      </c>
      <c r="M13" s="245" t="b">
        <v>0</v>
      </c>
      <c r="N13" s="245" t="b">
        <v>0</v>
      </c>
      <c r="O13" s="246"/>
      <c r="P13" s="246"/>
      <c r="Q13" s="246"/>
      <c r="R13" s="246"/>
      <c r="S13" s="246"/>
      <c r="T13" s="246"/>
      <c r="U13" s="246"/>
      <c r="V13" s="246"/>
      <c r="W13" s="246"/>
      <c r="X13" s="246"/>
      <c r="Y13" s="246"/>
      <c r="Z13" s="246"/>
    </row>
    <row r="14" ht="15.75" customHeight="1">
      <c r="A14" s="238" t="s">
        <v>3221</v>
      </c>
      <c r="B14" s="239">
        <v>45721.0</v>
      </c>
      <c r="C14" s="240" t="s">
        <v>3584</v>
      </c>
      <c r="D14" s="238" t="s">
        <v>3188</v>
      </c>
      <c r="E14" s="240" t="s">
        <v>3222</v>
      </c>
      <c r="F14" s="240">
        <v>1.0</v>
      </c>
      <c r="G14" s="241">
        <v>20000.0</v>
      </c>
      <c r="H14" s="242">
        <v>20000.0</v>
      </c>
      <c r="I14" s="243" t="s">
        <v>3223</v>
      </c>
      <c r="J14" s="244" t="s">
        <v>3582</v>
      </c>
      <c r="K14" s="238"/>
      <c r="L14" s="245" t="s">
        <v>3602</v>
      </c>
      <c r="M14" s="245" t="b">
        <v>0</v>
      </c>
      <c r="N14" s="245" t="b">
        <v>0</v>
      </c>
      <c r="O14" s="246"/>
      <c r="P14" s="246"/>
      <c r="Q14" s="246"/>
      <c r="R14" s="246"/>
      <c r="S14" s="246"/>
      <c r="T14" s="246"/>
      <c r="U14" s="246"/>
      <c r="V14" s="246"/>
      <c r="W14" s="246"/>
      <c r="X14" s="246"/>
      <c r="Y14" s="246"/>
      <c r="Z14" s="246"/>
    </row>
    <row r="15" ht="15.75" customHeight="1">
      <c r="A15" s="238" t="s">
        <v>3224</v>
      </c>
      <c r="B15" s="239">
        <v>45721.0</v>
      </c>
      <c r="C15" s="240" t="s">
        <v>3603</v>
      </c>
      <c r="D15" s="238" t="s">
        <v>3225</v>
      </c>
      <c r="E15" s="240" t="s">
        <v>3226</v>
      </c>
      <c r="F15" s="240">
        <v>1.0</v>
      </c>
      <c r="G15" s="248">
        <v>4000.0</v>
      </c>
      <c r="H15" s="242">
        <v>4000.0</v>
      </c>
      <c r="I15" s="243" t="s">
        <v>3227</v>
      </c>
      <c r="J15" s="244" t="s">
        <v>3582</v>
      </c>
      <c r="K15" s="238"/>
      <c r="L15" s="245" t="s">
        <v>3604</v>
      </c>
      <c r="M15" s="245" t="b">
        <v>0</v>
      </c>
      <c r="N15" s="245" t="b">
        <v>0</v>
      </c>
      <c r="O15" s="246"/>
      <c r="P15" s="246"/>
      <c r="Q15" s="246"/>
      <c r="R15" s="246"/>
      <c r="S15" s="246"/>
      <c r="T15" s="246"/>
      <c r="U15" s="246"/>
      <c r="V15" s="246"/>
      <c r="W15" s="246"/>
      <c r="X15" s="246"/>
      <c r="Y15" s="246"/>
      <c r="Z15" s="246"/>
    </row>
    <row r="16" ht="15.75" customHeight="1">
      <c r="A16" s="238" t="s">
        <v>3228</v>
      </c>
      <c r="B16" s="239">
        <v>45737.0</v>
      </c>
      <c r="C16" s="240" t="s">
        <v>3593</v>
      </c>
      <c r="D16" s="238" t="s">
        <v>3230</v>
      </c>
      <c r="E16" s="240" t="s">
        <v>3231</v>
      </c>
      <c r="F16" s="240">
        <v>1.0</v>
      </c>
      <c r="G16" s="248">
        <v>22750.0</v>
      </c>
      <c r="H16" s="242">
        <v>22750.0</v>
      </c>
      <c r="I16" s="243" t="s">
        <v>3223</v>
      </c>
      <c r="J16" s="244" t="s">
        <v>3582</v>
      </c>
      <c r="K16" s="238"/>
      <c r="L16" s="245" t="s">
        <v>3605</v>
      </c>
      <c r="M16" s="245" t="b">
        <v>0</v>
      </c>
      <c r="N16" s="245" t="b">
        <v>0</v>
      </c>
      <c r="O16" s="246"/>
      <c r="P16" s="246"/>
      <c r="Q16" s="246"/>
      <c r="R16" s="246"/>
      <c r="S16" s="246"/>
      <c r="T16" s="246"/>
      <c r="U16" s="246"/>
      <c r="V16" s="246"/>
      <c r="W16" s="246"/>
      <c r="X16" s="246"/>
      <c r="Y16" s="246"/>
      <c r="Z16" s="246"/>
    </row>
    <row r="17" ht="15.75" customHeight="1">
      <c r="A17" s="238" t="s">
        <v>3232</v>
      </c>
      <c r="B17" s="239">
        <v>45737.0</v>
      </c>
      <c r="C17" s="240" t="s">
        <v>3593</v>
      </c>
      <c r="D17" s="238" t="s">
        <v>3188</v>
      </c>
      <c r="E17" s="240" t="s">
        <v>3233</v>
      </c>
      <c r="F17" s="240">
        <v>1.0</v>
      </c>
      <c r="G17" s="248">
        <v>12750.0</v>
      </c>
      <c r="H17" s="242">
        <v>12750.0</v>
      </c>
      <c r="I17" s="243" t="s">
        <v>3223</v>
      </c>
      <c r="J17" s="244" t="s">
        <v>3582</v>
      </c>
      <c r="K17" s="238"/>
      <c r="L17" s="245" t="s">
        <v>3606</v>
      </c>
      <c r="M17" s="245" t="b">
        <v>0</v>
      </c>
      <c r="N17" s="245" t="b">
        <v>0</v>
      </c>
      <c r="O17" s="246"/>
      <c r="P17" s="246"/>
      <c r="Q17" s="246"/>
      <c r="R17" s="246"/>
      <c r="S17" s="246"/>
      <c r="T17" s="246"/>
      <c r="U17" s="246"/>
      <c r="V17" s="246"/>
      <c r="W17" s="246"/>
      <c r="X17" s="246"/>
      <c r="Y17" s="246"/>
      <c r="Z17" s="246"/>
    </row>
    <row r="18" ht="15.75" customHeight="1">
      <c r="A18" s="238" t="s">
        <v>3234</v>
      </c>
      <c r="B18" s="239">
        <v>45752.0</v>
      </c>
      <c r="C18" s="240" t="s">
        <v>3603</v>
      </c>
      <c r="D18" s="238" t="s">
        <v>3225</v>
      </c>
      <c r="E18" s="240" t="s">
        <v>3235</v>
      </c>
      <c r="F18" s="240">
        <v>1.0</v>
      </c>
      <c r="G18" s="248">
        <v>4370.0</v>
      </c>
      <c r="H18" s="242">
        <v>4370.0</v>
      </c>
      <c r="I18" s="243" t="s">
        <v>3227</v>
      </c>
      <c r="J18" s="244" t="s">
        <v>3582</v>
      </c>
      <c r="K18" s="238"/>
      <c r="L18" s="245" t="s">
        <v>3607</v>
      </c>
      <c r="M18" s="245" t="b">
        <v>0</v>
      </c>
      <c r="N18" s="245" t="b">
        <v>0</v>
      </c>
      <c r="O18" s="246"/>
      <c r="P18" s="246"/>
      <c r="Q18" s="246"/>
      <c r="R18" s="246"/>
      <c r="S18" s="246"/>
      <c r="T18" s="246"/>
      <c r="U18" s="246"/>
      <c r="V18" s="246"/>
      <c r="W18" s="246"/>
      <c r="X18" s="246"/>
      <c r="Y18" s="246"/>
      <c r="Z18" s="246"/>
    </row>
    <row r="19" ht="15.75" customHeight="1">
      <c r="A19" s="238" t="s">
        <v>3236</v>
      </c>
      <c r="B19" s="239">
        <v>45754.0</v>
      </c>
      <c r="C19" s="240" t="s">
        <v>3593</v>
      </c>
      <c r="D19" s="238" t="s">
        <v>3230</v>
      </c>
      <c r="E19" s="240" t="s">
        <v>3237</v>
      </c>
      <c r="F19" s="240">
        <v>1.0</v>
      </c>
      <c r="G19" s="248">
        <v>22750.0</v>
      </c>
      <c r="H19" s="242">
        <v>22750.0</v>
      </c>
      <c r="I19" s="243" t="s">
        <v>3223</v>
      </c>
      <c r="J19" s="244" t="s">
        <v>3582</v>
      </c>
      <c r="K19" s="238"/>
      <c r="L19" s="245" t="s">
        <v>3608</v>
      </c>
      <c r="M19" s="245" t="b">
        <v>0</v>
      </c>
      <c r="N19" s="245" t="b">
        <v>0</v>
      </c>
      <c r="O19" s="246"/>
      <c r="P19" s="246"/>
      <c r="Q19" s="246"/>
      <c r="R19" s="246"/>
      <c r="S19" s="246"/>
      <c r="T19" s="246"/>
      <c r="U19" s="246"/>
      <c r="V19" s="246"/>
      <c r="W19" s="246"/>
      <c r="X19" s="246"/>
      <c r="Y19" s="246"/>
      <c r="Z19" s="246"/>
    </row>
    <row r="20" ht="15.75" customHeight="1">
      <c r="A20" s="238" t="s">
        <v>3238</v>
      </c>
      <c r="B20" s="239">
        <v>45755.0</v>
      </c>
      <c r="C20" s="240" t="s">
        <v>3584</v>
      </c>
      <c r="D20" s="238" t="s">
        <v>3188</v>
      </c>
      <c r="E20" s="240" t="s">
        <v>3239</v>
      </c>
      <c r="F20" s="240">
        <v>1.0</v>
      </c>
      <c r="G20" s="248">
        <v>20000.0</v>
      </c>
      <c r="H20" s="242">
        <v>20000.0</v>
      </c>
      <c r="I20" s="243"/>
      <c r="J20" s="244" t="s">
        <v>3582</v>
      </c>
      <c r="K20" s="238"/>
      <c r="L20" s="245" t="s">
        <v>3609</v>
      </c>
      <c r="M20" s="245" t="b">
        <v>0</v>
      </c>
      <c r="N20" s="245" t="b">
        <v>0</v>
      </c>
      <c r="O20" s="246"/>
      <c r="P20" s="246"/>
      <c r="Q20" s="246"/>
      <c r="R20" s="246"/>
      <c r="S20" s="246"/>
      <c r="T20" s="246"/>
      <c r="U20" s="246"/>
      <c r="V20" s="246"/>
      <c r="W20" s="246"/>
      <c r="X20" s="246"/>
      <c r="Y20" s="246"/>
      <c r="Z20" s="246"/>
    </row>
    <row r="21" ht="15.75" customHeight="1">
      <c r="A21" s="238" t="s">
        <v>3240</v>
      </c>
      <c r="B21" s="239">
        <v>45755.0</v>
      </c>
      <c r="C21" s="240" t="s">
        <v>3584</v>
      </c>
      <c r="D21" s="238" t="s">
        <v>3188</v>
      </c>
      <c r="E21" s="240" t="s">
        <v>3241</v>
      </c>
      <c r="F21" s="240">
        <v>1.0</v>
      </c>
      <c r="G21" s="248">
        <v>15810.0</v>
      </c>
      <c r="H21" s="242">
        <v>15810.0</v>
      </c>
      <c r="I21" s="243"/>
      <c r="J21" s="244" t="s">
        <v>3582</v>
      </c>
      <c r="K21" s="238"/>
      <c r="L21" s="245" t="s">
        <v>3610</v>
      </c>
      <c r="M21" s="245" t="b">
        <v>0</v>
      </c>
      <c r="N21" s="245" t="b">
        <v>0</v>
      </c>
      <c r="O21" s="246"/>
      <c r="P21" s="246"/>
      <c r="Q21" s="246"/>
      <c r="R21" s="246"/>
      <c r="S21" s="246"/>
      <c r="T21" s="246"/>
      <c r="U21" s="246"/>
      <c r="V21" s="246"/>
      <c r="W21" s="246"/>
      <c r="X21" s="246"/>
      <c r="Y21" s="246"/>
      <c r="Z21" s="246"/>
    </row>
    <row r="22" ht="15.75" customHeight="1">
      <c r="A22" s="238" t="s">
        <v>3242</v>
      </c>
      <c r="B22" s="239">
        <v>45763.0</v>
      </c>
      <c r="C22" s="240" t="s">
        <v>3580</v>
      </c>
      <c r="D22" s="238" t="s">
        <v>3179</v>
      </c>
      <c r="E22" s="240" t="s">
        <v>3244</v>
      </c>
      <c r="F22" s="240">
        <v>1.0</v>
      </c>
      <c r="G22" s="248">
        <v>50000.0</v>
      </c>
      <c r="H22" s="242">
        <v>50000.0</v>
      </c>
      <c r="I22" s="243"/>
      <c r="J22" s="244" t="s">
        <v>3582</v>
      </c>
      <c r="K22" s="238"/>
      <c r="L22" s="245" t="s">
        <v>3611</v>
      </c>
      <c r="M22" s="245" t="b">
        <v>0</v>
      </c>
      <c r="N22" s="245" t="b">
        <v>0</v>
      </c>
      <c r="O22" s="246"/>
      <c r="P22" s="246"/>
      <c r="Q22" s="246"/>
      <c r="R22" s="246"/>
      <c r="S22" s="246"/>
      <c r="T22" s="246"/>
      <c r="U22" s="246"/>
      <c r="V22" s="246"/>
      <c r="W22" s="246"/>
      <c r="X22" s="246"/>
      <c r="Y22" s="246"/>
      <c r="Z22" s="246"/>
    </row>
    <row r="23" ht="15.75" customHeight="1">
      <c r="A23" s="238" t="s">
        <v>3245</v>
      </c>
      <c r="B23" s="239">
        <v>45763.0</v>
      </c>
      <c r="C23" s="240" t="s">
        <v>3612</v>
      </c>
      <c r="D23" s="238" t="s">
        <v>3225</v>
      </c>
      <c r="E23" s="240" t="s">
        <v>3246</v>
      </c>
      <c r="F23" s="240">
        <v>5.0</v>
      </c>
      <c r="G23" s="248">
        <v>134595.0</v>
      </c>
      <c r="H23" s="242">
        <v>26919.0</v>
      </c>
      <c r="I23" s="243"/>
      <c r="J23" s="244" t="s">
        <v>3582</v>
      </c>
      <c r="K23" s="238"/>
      <c r="L23" s="245" t="s">
        <v>3613</v>
      </c>
      <c r="M23" s="245" t="b">
        <v>0</v>
      </c>
      <c r="N23" s="245" t="b">
        <v>0</v>
      </c>
      <c r="O23" s="246"/>
      <c r="P23" s="246"/>
      <c r="Q23" s="246"/>
      <c r="R23" s="246"/>
      <c r="S23" s="246"/>
      <c r="T23" s="246"/>
      <c r="U23" s="246"/>
      <c r="V23" s="246"/>
      <c r="W23" s="246"/>
      <c r="X23" s="246"/>
      <c r="Y23" s="246"/>
      <c r="Z23" s="246"/>
    </row>
    <row r="24" ht="15.75" customHeight="1">
      <c r="A24" s="238" t="s">
        <v>3247</v>
      </c>
      <c r="B24" s="239">
        <v>45763.0</v>
      </c>
      <c r="C24" s="240" t="s">
        <v>3614</v>
      </c>
      <c r="D24" s="238" t="s">
        <v>3248</v>
      </c>
      <c r="E24" s="240" t="s">
        <v>3246</v>
      </c>
      <c r="F24" s="240">
        <v>1.0</v>
      </c>
      <c r="G24" s="248">
        <v>33000.0</v>
      </c>
      <c r="H24" s="242">
        <v>33000.0</v>
      </c>
      <c r="I24" s="243"/>
      <c r="J24" s="244" t="s">
        <v>3582</v>
      </c>
      <c r="K24" s="238"/>
      <c r="L24" s="245" t="s">
        <v>3615</v>
      </c>
      <c r="M24" s="245" t="b">
        <v>0</v>
      </c>
      <c r="N24" s="245" t="b">
        <v>0</v>
      </c>
      <c r="O24" s="246"/>
      <c r="P24" s="246"/>
      <c r="Q24" s="246"/>
      <c r="R24" s="246"/>
      <c r="S24" s="246"/>
      <c r="T24" s="246"/>
      <c r="U24" s="246"/>
      <c r="V24" s="246"/>
      <c r="W24" s="246"/>
      <c r="X24" s="246"/>
      <c r="Y24" s="246"/>
      <c r="Z24" s="246"/>
    </row>
    <row r="25" ht="15.75" customHeight="1">
      <c r="A25" s="238" t="s">
        <v>3249</v>
      </c>
      <c r="B25" s="239">
        <v>45768.0</v>
      </c>
      <c r="C25" s="240" t="s">
        <v>3580</v>
      </c>
      <c r="D25" s="238" t="s">
        <v>3251</v>
      </c>
      <c r="E25" s="240" t="s">
        <v>3252</v>
      </c>
      <c r="F25" s="240">
        <v>1.0</v>
      </c>
      <c r="G25" s="248">
        <v>9800.0</v>
      </c>
      <c r="H25" s="242">
        <v>9800.0</v>
      </c>
      <c r="I25" s="243"/>
      <c r="J25" s="244" t="s">
        <v>3582</v>
      </c>
      <c r="K25" s="238"/>
      <c r="L25" s="245" t="s">
        <v>3616</v>
      </c>
      <c r="M25" s="245" t="b">
        <v>0</v>
      </c>
      <c r="N25" s="245" t="b">
        <v>0</v>
      </c>
      <c r="O25" s="246"/>
      <c r="P25" s="246"/>
      <c r="Q25" s="246"/>
      <c r="R25" s="246"/>
      <c r="S25" s="246"/>
      <c r="T25" s="246"/>
      <c r="U25" s="246"/>
      <c r="V25" s="246"/>
      <c r="W25" s="246"/>
      <c r="X25" s="246"/>
      <c r="Y25" s="246"/>
      <c r="Z25" s="246"/>
    </row>
    <row r="26" ht="15.75" customHeight="1">
      <c r="A26" s="249" t="s">
        <v>3253</v>
      </c>
      <c r="B26" s="239">
        <v>45768.0</v>
      </c>
      <c r="C26" s="240" t="s">
        <v>3580</v>
      </c>
      <c r="D26" s="238" t="s">
        <v>3254</v>
      </c>
      <c r="E26" s="240" t="s">
        <v>3617</v>
      </c>
      <c r="F26" s="240">
        <v>1.0</v>
      </c>
      <c r="G26" s="248">
        <v>18080.0</v>
      </c>
      <c r="H26" s="242">
        <v>18080.0</v>
      </c>
      <c r="I26" s="243"/>
      <c r="J26" s="244" t="s">
        <v>3582</v>
      </c>
      <c r="K26" s="238"/>
      <c r="L26" s="245" t="s">
        <v>3618</v>
      </c>
      <c r="M26" s="245" t="b">
        <v>0</v>
      </c>
      <c r="N26" s="245" t="b">
        <v>0</v>
      </c>
      <c r="O26" s="246"/>
      <c r="P26" s="246"/>
      <c r="Q26" s="246"/>
      <c r="R26" s="246"/>
      <c r="S26" s="246"/>
      <c r="T26" s="246"/>
      <c r="U26" s="246"/>
      <c r="V26" s="246"/>
      <c r="W26" s="246"/>
      <c r="X26" s="246"/>
      <c r="Y26" s="246"/>
      <c r="Z26" s="246"/>
    </row>
    <row r="27" ht="15.75" customHeight="1">
      <c r="A27" s="238" t="s">
        <v>3256</v>
      </c>
      <c r="B27" s="239">
        <v>45769.0</v>
      </c>
      <c r="C27" s="240" t="s">
        <v>3619</v>
      </c>
      <c r="D27" s="238" t="s">
        <v>3179</v>
      </c>
      <c r="E27" s="240" t="s">
        <v>3258</v>
      </c>
      <c r="F27" s="240">
        <v>1.0</v>
      </c>
      <c r="G27" s="248">
        <v>180000.0</v>
      </c>
      <c r="H27" s="242">
        <v>180000.0</v>
      </c>
      <c r="I27" s="243"/>
      <c r="J27" s="244" t="s">
        <v>3582</v>
      </c>
      <c r="K27" s="238"/>
      <c r="L27" s="245" t="s">
        <v>3620</v>
      </c>
      <c r="M27" s="245" t="b">
        <v>0</v>
      </c>
      <c r="N27" s="245" t="b">
        <v>0</v>
      </c>
      <c r="O27" s="246"/>
      <c r="P27" s="246"/>
      <c r="Q27" s="246"/>
      <c r="R27" s="246"/>
      <c r="S27" s="246"/>
      <c r="T27" s="246"/>
      <c r="U27" s="246"/>
      <c r="V27" s="246"/>
      <c r="W27" s="246"/>
      <c r="X27" s="246"/>
      <c r="Y27" s="246"/>
      <c r="Z27" s="246"/>
    </row>
    <row r="28" ht="15.75" customHeight="1">
      <c r="A28" s="249" t="s">
        <v>3259</v>
      </c>
      <c r="B28" s="239">
        <v>45769.0</v>
      </c>
      <c r="C28" s="240" t="s">
        <v>3600</v>
      </c>
      <c r="D28" s="238" t="s">
        <v>3219</v>
      </c>
      <c r="E28" s="240" t="s">
        <v>3621</v>
      </c>
      <c r="F28" s="240">
        <v>1.0</v>
      </c>
      <c r="G28" s="248">
        <v>785.0</v>
      </c>
      <c r="H28" s="242">
        <v>785.0</v>
      </c>
      <c r="I28" s="243" t="s">
        <v>54</v>
      </c>
      <c r="J28" s="244" t="s">
        <v>3582</v>
      </c>
      <c r="K28" s="238"/>
      <c r="L28" s="245" t="s">
        <v>3622</v>
      </c>
      <c r="M28" s="245" t="b">
        <v>0</v>
      </c>
      <c r="N28" s="245" t="b">
        <v>0</v>
      </c>
      <c r="O28" s="246"/>
      <c r="P28" s="246"/>
      <c r="Q28" s="246"/>
      <c r="R28" s="246"/>
      <c r="S28" s="246"/>
      <c r="T28" s="246"/>
      <c r="U28" s="246"/>
      <c r="V28" s="246"/>
      <c r="W28" s="246"/>
      <c r="X28" s="246"/>
      <c r="Y28" s="246"/>
      <c r="Z28" s="246"/>
    </row>
    <row r="29" ht="15.75" customHeight="1">
      <c r="A29" s="238" t="s">
        <v>3261</v>
      </c>
      <c r="B29" s="239">
        <v>45769.0</v>
      </c>
      <c r="C29" s="240" t="s">
        <v>3603</v>
      </c>
      <c r="D29" s="238" t="s">
        <v>3225</v>
      </c>
      <c r="E29" s="240" t="s">
        <v>3623</v>
      </c>
      <c r="F29" s="240">
        <v>1.0</v>
      </c>
      <c r="G29" s="248">
        <v>14400.0</v>
      </c>
      <c r="H29" s="242">
        <v>14400.0</v>
      </c>
      <c r="I29" s="243" t="s">
        <v>3227</v>
      </c>
      <c r="J29" s="244" t="s">
        <v>3582</v>
      </c>
      <c r="K29" s="238"/>
      <c r="L29" s="245" t="s">
        <v>3624</v>
      </c>
      <c r="M29" s="245" t="b">
        <v>0</v>
      </c>
      <c r="N29" s="245" t="b">
        <v>0</v>
      </c>
      <c r="O29" s="246"/>
      <c r="P29" s="246"/>
      <c r="Q29" s="246"/>
      <c r="R29" s="246"/>
      <c r="S29" s="246"/>
      <c r="T29" s="246"/>
      <c r="U29" s="246"/>
      <c r="V29" s="246"/>
      <c r="W29" s="246"/>
      <c r="X29" s="246"/>
      <c r="Y29" s="246"/>
      <c r="Z29" s="246"/>
    </row>
    <row r="30" ht="15.75" customHeight="1">
      <c r="A30" s="238" t="s">
        <v>3263</v>
      </c>
      <c r="B30" s="239">
        <v>45769.0</v>
      </c>
      <c r="C30" s="240" t="s">
        <v>3580</v>
      </c>
      <c r="D30" s="238" t="s">
        <v>3264</v>
      </c>
      <c r="E30" s="240" t="s">
        <v>3625</v>
      </c>
      <c r="F30" s="240">
        <v>1.0</v>
      </c>
      <c r="G30" s="248">
        <v>17000.0</v>
      </c>
      <c r="H30" s="242">
        <v>17000.0</v>
      </c>
      <c r="I30" s="243" t="s">
        <v>3266</v>
      </c>
      <c r="J30" s="244" t="s">
        <v>3582</v>
      </c>
      <c r="K30" s="238"/>
      <c r="L30" s="245" t="s">
        <v>3626</v>
      </c>
      <c r="M30" s="245" t="b">
        <v>0</v>
      </c>
      <c r="N30" s="245" t="b">
        <v>0</v>
      </c>
      <c r="O30" s="246"/>
      <c r="P30" s="246"/>
      <c r="Q30" s="246"/>
      <c r="R30" s="246"/>
      <c r="S30" s="246"/>
      <c r="T30" s="246"/>
      <c r="U30" s="246"/>
      <c r="V30" s="246"/>
      <c r="W30" s="246"/>
      <c r="X30" s="246"/>
      <c r="Y30" s="246"/>
      <c r="Z30" s="246"/>
    </row>
    <row r="31" ht="15.75" customHeight="1">
      <c r="A31" s="238" t="s">
        <v>3267</v>
      </c>
      <c r="B31" s="239">
        <v>45769.0</v>
      </c>
      <c r="C31" s="240" t="s">
        <v>3580</v>
      </c>
      <c r="D31" s="238" t="s">
        <v>3268</v>
      </c>
      <c r="E31" s="240" t="s">
        <v>3627</v>
      </c>
      <c r="F31" s="240">
        <v>1.0</v>
      </c>
      <c r="G31" s="248">
        <v>2300.0</v>
      </c>
      <c r="H31" s="242">
        <v>2300.0</v>
      </c>
      <c r="I31" s="243"/>
      <c r="J31" s="244" t="s">
        <v>3582</v>
      </c>
      <c r="K31" s="238"/>
      <c r="L31" s="245" t="s">
        <v>3628</v>
      </c>
      <c r="M31" s="245" t="b">
        <v>0</v>
      </c>
      <c r="N31" s="245" t="b">
        <v>0</v>
      </c>
      <c r="O31" s="246"/>
      <c r="P31" s="246"/>
      <c r="Q31" s="246"/>
      <c r="R31" s="246"/>
      <c r="S31" s="246"/>
      <c r="T31" s="246"/>
      <c r="U31" s="246"/>
      <c r="V31" s="246"/>
      <c r="W31" s="246"/>
      <c r="X31" s="246"/>
      <c r="Y31" s="246"/>
      <c r="Z31" s="246"/>
    </row>
    <row r="32" ht="15.75" customHeight="1">
      <c r="A32" s="238" t="s">
        <v>3270</v>
      </c>
      <c r="B32" s="239">
        <v>45792.0</v>
      </c>
      <c r="C32" s="240" t="s">
        <v>3614</v>
      </c>
      <c r="D32" s="238" t="s">
        <v>3321</v>
      </c>
      <c r="E32" s="240" t="s">
        <v>177</v>
      </c>
      <c r="F32" s="240">
        <v>1.0</v>
      </c>
      <c r="G32" s="248">
        <v>7015.0</v>
      </c>
      <c r="H32" s="242">
        <v>7015.0</v>
      </c>
      <c r="I32" s="243" t="s">
        <v>3227</v>
      </c>
      <c r="J32" s="244" t="s">
        <v>3582</v>
      </c>
      <c r="K32" s="238"/>
      <c r="L32" s="245" t="s">
        <v>3629</v>
      </c>
      <c r="M32" s="245" t="b">
        <v>0</v>
      </c>
      <c r="N32" s="245" t="b">
        <v>0</v>
      </c>
      <c r="O32" s="246"/>
      <c r="P32" s="246"/>
      <c r="Q32" s="246"/>
      <c r="R32" s="246"/>
      <c r="S32" s="246"/>
      <c r="T32" s="246"/>
      <c r="U32" s="246"/>
      <c r="V32" s="246"/>
      <c r="W32" s="246"/>
      <c r="X32" s="246"/>
      <c r="Y32" s="246"/>
      <c r="Z32" s="246"/>
    </row>
    <row r="33" ht="15.75" customHeight="1">
      <c r="A33" s="249" t="s">
        <v>3275</v>
      </c>
      <c r="B33" s="239">
        <v>45792.0</v>
      </c>
      <c r="C33" s="240" t="s">
        <v>3603</v>
      </c>
      <c r="D33" s="238" t="s">
        <v>3225</v>
      </c>
      <c r="E33" s="240" t="s">
        <v>3277</v>
      </c>
      <c r="F33" s="240">
        <v>1.0</v>
      </c>
      <c r="G33" s="248">
        <v>22806.49</v>
      </c>
      <c r="H33" s="242">
        <v>22806.49</v>
      </c>
      <c r="I33" s="243" t="s">
        <v>3227</v>
      </c>
      <c r="J33" s="244" t="s">
        <v>3582</v>
      </c>
      <c r="K33" s="238"/>
      <c r="L33" s="245" t="s">
        <v>3630</v>
      </c>
      <c r="M33" s="245" t="b">
        <v>0</v>
      </c>
      <c r="N33" s="245" t="b">
        <v>0</v>
      </c>
      <c r="O33" s="246"/>
      <c r="P33" s="246"/>
      <c r="Q33" s="246"/>
      <c r="R33" s="246"/>
      <c r="S33" s="246"/>
      <c r="T33" s="246"/>
      <c r="U33" s="246"/>
      <c r="V33" s="246"/>
      <c r="W33" s="246"/>
      <c r="X33" s="246"/>
      <c r="Y33" s="246"/>
      <c r="Z33" s="246"/>
    </row>
    <row r="34" ht="15.75" customHeight="1">
      <c r="A34" s="238" t="s">
        <v>3278</v>
      </c>
      <c r="B34" s="239">
        <v>45794.0</v>
      </c>
      <c r="C34" s="240" t="s">
        <v>3580</v>
      </c>
      <c r="D34" s="238" t="s">
        <v>3631</v>
      </c>
      <c r="E34" s="240" t="s">
        <v>3632</v>
      </c>
      <c r="F34" s="240">
        <v>1.0</v>
      </c>
      <c r="G34" s="248">
        <v>35000.0</v>
      </c>
      <c r="H34" s="242">
        <v>35000.0</v>
      </c>
      <c r="I34" s="243"/>
      <c r="J34" s="244" t="s">
        <v>3582</v>
      </c>
      <c r="K34" s="238"/>
      <c r="L34" s="245" t="s">
        <v>3633</v>
      </c>
      <c r="M34" s="245" t="b">
        <v>0</v>
      </c>
      <c r="N34" s="245" t="b">
        <v>0</v>
      </c>
      <c r="O34" s="246"/>
      <c r="P34" s="246"/>
      <c r="Q34" s="246"/>
      <c r="R34" s="246"/>
      <c r="S34" s="246"/>
      <c r="T34" s="246"/>
      <c r="U34" s="246"/>
      <c r="V34" s="246"/>
      <c r="W34" s="246"/>
      <c r="X34" s="246"/>
      <c r="Y34" s="246"/>
      <c r="Z34" s="246"/>
    </row>
    <row r="35" ht="15.75" customHeight="1">
      <c r="A35" s="238" t="s">
        <v>3282</v>
      </c>
      <c r="B35" s="239">
        <v>45795.0</v>
      </c>
      <c r="C35" s="240" t="s">
        <v>3614</v>
      </c>
      <c r="D35" s="238" t="s">
        <v>3248</v>
      </c>
      <c r="E35" s="240" t="s">
        <v>3284</v>
      </c>
      <c r="F35" s="240">
        <v>1.0</v>
      </c>
      <c r="G35" s="248">
        <v>10000.0</v>
      </c>
      <c r="H35" s="242">
        <v>10000.0</v>
      </c>
      <c r="I35" s="243" t="s">
        <v>3227</v>
      </c>
      <c r="J35" s="244" t="s">
        <v>3582</v>
      </c>
      <c r="K35" s="238"/>
      <c r="L35" s="245" t="s">
        <v>3634</v>
      </c>
      <c r="M35" s="245" t="b">
        <v>0</v>
      </c>
      <c r="N35" s="245" t="b">
        <v>0</v>
      </c>
      <c r="O35" s="246"/>
      <c r="P35" s="246"/>
      <c r="Q35" s="246"/>
      <c r="R35" s="246"/>
      <c r="S35" s="246"/>
      <c r="T35" s="246"/>
      <c r="U35" s="246"/>
      <c r="V35" s="246"/>
      <c r="W35" s="246"/>
      <c r="X35" s="246"/>
      <c r="Y35" s="246"/>
      <c r="Z35" s="246"/>
    </row>
    <row r="36" ht="15.75" customHeight="1">
      <c r="A36" s="249" t="s">
        <v>3285</v>
      </c>
      <c r="B36" s="239">
        <v>45799.0</v>
      </c>
      <c r="C36" s="240" t="s">
        <v>3600</v>
      </c>
      <c r="D36" s="238" t="s">
        <v>3219</v>
      </c>
      <c r="E36" s="240" t="s">
        <v>3635</v>
      </c>
      <c r="F36" s="240">
        <v>1.0</v>
      </c>
      <c r="G36" s="248">
        <v>850.0</v>
      </c>
      <c r="H36" s="242">
        <v>850.0</v>
      </c>
      <c r="I36" s="243" t="s">
        <v>3227</v>
      </c>
      <c r="J36" s="244" t="s">
        <v>3582</v>
      </c>
      <c r="K36" s="238"/>
      <c r="L36" s="245" t="s">
        <v>3636</v>
      </c>
      <c r="M36" s="245" t="b">
        <v>0</v>
      </c>
      <c r="N36" s="245" t="b">
        <v>0</v>
      </c>
      <c r="O36" s="246"/>
      <c r="P36" s="246"/>
      <c r="Q36" s="246"/>
      <c r="R36" s="246"/>
      <c r="S36" s="246"/>
      <c r="T36" s="246"/>
      <c r="U36" s="246"/>
      <c r="V36" s="246"/>
      <c r="W36" s="246"/>
      <c r="X36" s="246"/>
      <c r="Y36" s="246"/>
      <c r="Z36" s="246"/>
    </row>
    <row r="37" ht="15.75" customHeight="1">
      <c r="A37" s="249" t="s">
        <v>3288</v>
      </c>
      <c r="B37" s="239">
        <v>45799.0</v>
      </c>
      <c r="C37" s="240" t="s">
        <v>3584</v>
      </c>
      <c r="D37" s="238" t="s">
        <v>3184</v>
      </c>
      <c r="E37" s="240" t="s">
        <v>3637</v>
      </c>
      <c r="F37" s="240">
        <v>1.0</v>
      </c>
      <c r="G37" s="248">
        <v>19000.0</v>
      </c>
      <c r="H37" s="242">
        <v>19000.0</v>
      </c>
      <c r="I37" s="243" t="s">
        <v>3223</v>
      </c>
      <c r="J37" s="244" t="s">
        <v>3582</v>
      </c>
      <c r="K37" s="238"/>
      <c r="L37" s="245" t="s">
        <v>3638</v>
      </c>
      <c r="M37" s="245" t="b">
        <v>0</v>
      </c>
      <c r="N37" s="245" t="b">
        <v>0</v>
      </c>
      <c r="O37" s="246"/>
      <c r="P37" s="246"/>
      <c r="Q37" s="246"/>
      <c r="R37" s="246"/>
      <c r="S37" s="246"/>
      <c r="T37" s="246"/>
      <c r="U37" s="246"/>
      <c r="V37" s="246"/>
      <c r="W37" s="246"/>
      <c r="X37" s="246"/>
      <c r="Y37" s="246"/>
      <c r="Z37" s="246"/>
    </row>
    <row r="38" ht="15.75" customHeight="1">
      <c r="A38" s="249" t="s">
        <v>3290</v>
      </c>
      <c r="B38" s="239">
        <v>45800.0</v>
      </c>
      <c r="C38" s="240" t="s">
        <v>3580</v>
      </c>
      <c r="D38" s="238" t="s">
        <v>3639</v>
      </c>
      <c r="E38" s="240" t="s">
        <v>3640</v>
      </c>
      <c r="F38" s="240">
        <v>1.0</v>
      </c>
      <c r="G38" s="248">
        <v>360.0</v>
      </c>
      <c r="H38" s="242">
        <v>360.0</v>
      </c>
      <c r="I38" s="243" t="s">
        <v>54</v>
      </c>
      <c r="J38" s="244" t="s">
        <v>3582</v>
      </c>
      <c r="K38" s="238"/>
      <c r="L38" s="245" t="s">
        <v>3641</v>
      </c>
      <c r="M38" s="245" t="b">
        <v>0</v>
      </c>
      <c r="N38" s="245" t="b">
        <v>0</v>
      </c>
      <c r="O38" s="246"/>
      <c r="P38" s="246"/>
      <c r="Q38" s="246"/>
      <c r="R38" s="246"/>
      <c r="S38" s="246"/>
      <c r="T38" s="246"/>
      <c r="U38" s="246"/>
      <c r="V38" s="246"/>
      <c r="W38" s="246"/>
      <c r="X38" s="246"/>
      <c r="Y38" s="246"/>
      <c r="Z38" s="246"/>
    </row>
    <row r="39" ht="15.75" customHeight="1">
      <c r="A39" s="249" t="s">
        <v>3294</v>
      </c>
      <c r="B39" s="239">
        <v>45790.0</v>
      </c>
      <c r="C39" s="240" t="s">
        <v>3580</v>
      </c>
      <c r="D39" s="238" t="s">
        <v>3296</v>
      </c>
      <c r="E39" s="240" t="s">
        <v>3642</v>
      </c>
      <c r="F39" s="240">
        <v>1.0</v>
      </c>
      <c r="G39" s="248">
        <v>974.4</v>
      </c>
      <c r="H39" s="242">
        <v>974.4</v>
      </c>
      <c r="I39" s="243"/>
      <c r="J39" s="244" t="s">
        <v>3582</v>
      </c>
      <c r="K39" s="238"/>
      <c r="L39" s="245" t="s">
        <v>3643</v>
      </c>
      <c r="M39" s="245" t="b">
        <v>0</v>
      </c>
      <c r="N39" s="245" t="b">
        <v>0</v>
      </c>
      <c r="O39" s="246"/>
      <c r="P39" s="246"/>
      <c r="Q39" s="246"/>
      <c r="R39" s="246"/>
      <c r="S39" s="246"/>
      <c r="T39" s="246"/>
      <c r="U39" s="246"/>
      <c r="V39" s="246"/>
      <c r="W39" s="246"/>
      <c r="X39" s="246"/>
      <c r="Y39" s="246"/>
      <c r="Z39" s="246"/>
    </row>
    <row r="40" ht="15.75" customHeight="1">
      <c r="A40" s="250" t="s">
        <v>3298</v>
      </c>
      <c r="B40" s="251">
        <v>45802.0</v>
      </c>
      <c r="C40" s="252" t="s">
        <v>3603</v>
      </c>
      <c r="D40" s="253" t="s">
        <v>3225</v>
      </c>
      <c r="E40" s="252" t="s">
        <v>3301</v>
      </c>
      <c r="F40" s="252">
        <v>1.0</v>
      </c>
      <c r="G40" s="254">
        <v>5310.0</v>
      </c>
      <c r="H40" s="255">
        <v>5310.0</v>
      </c>
      <c r="I40" s="256" t="s">
        <v>3227</v>
      </c>
      <c r="J40" s="257" t="s">
        <v>3582</v>
      </c>
      <c r="K40" s="253" t="s">
        <v>3644</v>
      </c>
      <c r="L40" s="245" t="s">
        <v>3645</v>
      </c>
      <c r="M40" s="245" t="b">
        <v>0</v>
      </c>
      <c r="N40" s="245" t="b">
        <v>0</v>
      </c>
      <c r="O40" s="92"/>
      <c r="P40" s="92"/>
      <c r="Q40" s="92"/>
      <c r="R40" s="92"/>
      <c r="S40" s="92"/>
      <c r="T40" s="92"/>
      <c r="U40" s="92"/>
      <c r="V40" s="92"/>
      <c r="W40" s="92"/>
      <c r="X40" s="92"/>
      <c r="Y40" s="92"/>
      <c r="Z40" s="92"/>
    </row>
    <row r="41" ht="15.75" customHeight="1">
      <c r="A41" s="249" t="s">
        <v>3298</v>
      </c>
      <c r="B41" s="239">
        <v>45807.0</v>
      </c>
      <c r="C41" s="240" t="s">
        <v>3603</v>
      </c>
      <c r="D41" s="238" t="s">
        <v>3225</v>
      </c>
      <c r="E41" s="240" t="s">
        <v>3304</v>
      </c>
      <c r="F41" s="240">
        <v>1.0</v>
      </c>
      <c r="G41" s="241">
        <v>24590.81</v>
      </c>
      <c r="H41" s="242">
        <v>24590.81</v>
      </c>
      <c r="I41" s="243" t="s">
        <v>3227</v>
      </c>
      <c r="J41" s="244" t="s">
        <v>3582</v>
      </c>
      <c r="K41" s="238"/>
      <c r="L41" s="245" t="s">
        <v>3646</v>
      </c>
      <c r="M41" s="245" t="b">
        <v>0</v>
      </c>
      <c r="N41" s="245" t="b">
        <v>0</v>
      </c>
      <c r="O41" s="246"/>
      <c r="P41" s="246"/>
      <c r="Q41" s="246"/>
      <c r="R41" s="246"/>
      <c r="S41" s="246"/>
      <c r="T41" s="246"/>
      <c r="U41" s="246"/>
      <c r="V41" s="246"/>
      <c r="W41" s="246"/>
      <c r="X41" s="246"/>
      <c r="Y41" s="246"/>
      <c r="Z41" s="246"/>
    </row>
    <row r="42" ht="15.75" customHeight="1">
      <c r="A42" s="258" t="s">
        <v>3302</v>
      </c>
      <c r="B42" s="259">
        <v>45807.0</v>
      </c>
      <c r="C42" s="260" t="s">
        <v>3603</v>
      </c>
      <c r="D42" s="258" t="s">
        <v>3225</v>
      </c>
      <c r="E42" s="260" t="s">
        <v>3304</v>
      </c>
      <c r="F42" s="260">
        <v>1.0</v>
      </c>
      <c r="G42" s="261">
        <v>24590.81</v>
      </c>
      <c r="H42" s="262">
        <v>24590.81</v>
      </c>
      <c r="I42" s="263" t="s">
        <v>3227</v>
      </c>
      <c r="J42" s="264" t="s">
        <v>3582</v>
      </c>
      <c r="K42" s="258" t="s">
        <v>3647</v>
      </c>
      <c r="L42" s="245" t="s">
        <v>3648</v>
      </c>
      <c r="M42" s="265" t="b">
        <v>1</v>
      </c>
      <c r="N42" s="265" t="b">
        <v>1</v>
      </c>
      <c r="O42" s="266"/>
      <c r="P42" s="266"/>
      <c r="Q42" s="266"/>
      <c r="R42" s="266"/>
      <c r="S42" s="266"/>
      <c r="T42" s="266"/>
      <c r="U42" s="266"/>
      <c r="V42" s="266"/>
      <c r="W42" s="266"/>
      <c r="X42" s="266"/>
      <c r="Y42" s="266"/>
      <c r="Z42" s="266"/>
    </row>
    <row r="43" ht="15.75" customHeight="1">
      <c r="A43" s="249" t="s">
        <v>3305</v>
      </c>
      <c r="B43" s="239">
        <v>45790.0</v>
      </c>
      <c r="C43" s="240" t="s">
        <v>3587</v>
      </c>
      <c r="D43" s="238" t="s">
        <v>3649</v>
      </c>
      <c r="E43" s="240" t="s">
        <v>3307</v>
      </c>
      <c r="F43" s="240">
        <v>1.0</v>
      </c>
      <c r="G43" s="241">
        <v>132752.0</v>
      </c>
      <c r="H43" s="242">
        <v>132752.0</v>
      </c>
      <c r="I43" s="243" t="s">
        <v>3650</v>
      </c>
      <c r="J43" s="244" t="s">
        <v>3582</v>
      </c>
      <c r="K43" s="238" t="s">
        <v>3651</v>
      </c>
      <c r="L43" s="245" t="s">
        <v>3652</v>
      </c>
      <c r="M43" s="245" t="b">
        <v>0</v>
      </c>
      <c r="N43" s="245" t="b">
        <v>0</v>
      </c>
      <c r="O43" s="246"/>
      <c r="P43" s="246"/>
      <c r="Q43" s="246"/>
      <c r="R43" s="246"/>
      <c r="S43" s="246"/>
      <c r="T43" s="246"/>
      <c r="U43" s="246"/>
      <c r="V43" s="246"/>
      <c r="W43" s="246"/>
      <c r="X43" s="246"/>
      <c r="Y43" s="246"/>
      <c r="Z43" s="246"/>
    </row>
    <row r="44" ht="15.75" customHeight="1">
      <c r="A44" s="249" t="s">
        <v>3308</v>
      </c>
      <c r="B44" s="239">
        <v>45768.0</v>
      </c>
      <c r="C44" s="240" t="s">
        <v>3653</v>
      </c>
      <c r="D44" s="238" t="s">
        <v>3654</v>
      </c>
      <c r="E44" s="240" t="s">
        <v>3301</v>
      </c>
      <c r="F44" s="240">
        <v>1.0</v>
      </c>
      <c r="G44" s="248">
        <v>5371.43</v>
      </c>
      <c r="H44" s="242">
        <v>5371.43</v>
      </c>
      <c r="I44" s="243" t="s">
        <v>3227</v>
      </c>
      <c r="J44" s="244" t="s">
        <v>3582</v>
      </c>
      <c r="K44" s="238"/>
      <c r="L44" s="245" t="s">
        <v>3655</v>
      </c>
      <c r="M44" s="245" t="b">
        <v>0</v>
      </c>
      <c r="N44" s="245" t="b">
        <v>0</v>
      </c>
      <c r="O44" s="246"/>
      <c r="P44" s="246"/>
      <c r="Q44" s="246"/>
      <c r="R44" s="246"/>
      <c r="S44" s="246"/>
      <c r="T44" s="246"/>
      <c r="U44" s="246"/>
      <c r="V44" s="246"/>
      <c r="W44" s="246"/>
      <c r="X44" s="246"/>
      <c r="Y44" s="246"/>
      <c r="Z44" s="246"/>
    </row>
    <row r="45" ht="15.75" customHeight="1">
      <c r="A45" s="249" t="s">
        <v>3310</v>
      </c>
      <c r="B45" s="239">
        <v>45819.0</v>
      </c>
      <c r="C45" s="240" t="s">
        <v>3619</v>
      </c>
      <c r="D45" s="238" t="s">
        <v>3656</v>
      </c>
      <c r="E45" s="240" t="s">
        <v>3657</v>
      </c>
      <c r="F45" s="240">
        <v>1.0</v>
      </c>
      <c r="G45" s="241">
        <v>20000.0</v>
      </c>
      <c r="H45" s="242">
        <v>20000.0</v>
      </c>
      <c r="I45" s="243" t="s">
        <v>3227</v>
      </c>
      <c r="J45" s="244" t="s">
        <v>3582</v>
      </c>
      <c r="K45" s="238" t="s">
        <v>3658</v>
      </c>
      <c r="L45" s="245" t="s">
        <v>3659</v>
      </c>
      <c r="M45" s="245" t="b">
        <v>0</v>
      </c>
      <c r="N45" s="245" t="b">
        <v>0</v>
      </c>
      <c r="O45" s="246"/>
      <c r="P45" s="246"/>
      <c r="Q45" s="246"/>
      <c r="R45" s="246"/>
      <c r="S45" s="246"/>
      <c r="T45" s="246"/>
      <c r="U45" s="246"/>
      <c r="V45" s="246"/>
      <c r="W45" s="246"/>
      <c r="X45" s="246"/>
      <c r="Y45" s="246"/>
      <c r="Z45" s="246"/>
    </row>
    <row r="46" ht="15.75" customHeight="1">
      <c r="A46" s="249" t="s">
        <v>3313</v>
      </c>
      <c r="B46" s="239">
        <v>45824.0</v>
      </c>
      <c r="C46" s="240" t="s">
        <v>3603</v>
      </c>
      <c r="D46" s="238" t="s">
        <v>3225</v>
      </c>
      <c r="E46" s="240" t="s">
        <v>3315</v>
      </c>
      <c r="F46" s="240">
        <v>1.0</v>
      </c>
      <c r="G46" s="241">
        <v>33590.79</v>
      </c>
      <c r="H46" s="242">
        <v>33590.79</v>
      </c>
      <c r="I46" s="243" t="s">
        <v>3227</v>
      </c>
      <c r="J46" s="244" t="s">
        <v>3582</v>
      </c>
      <c r="K46" s="238"/>
      <c r="L46" s="245" t="s">
        <v>3660</v>
      </c>
      <c r="M46" s="245" t="b">
        <v>0</v>
      </c>
      <c r="N46" s="245" t="b">
        <v>0</v>
      </c>
      <c r="O46" s="246"/>
      <c r="P46" s="246"/>
      <c r="Q46" s="246"/>
      <c r="R46" s="246"/>
      <c r="S46" s="246"/>
      <c r="T46" s="246"/>
      <c r="U46" s="246"/>
      <c r="V46" s="246"/>
      <c r="W46" s="246"/>
      <c r="X46" s="246"/>
      <c r="Y46" s="246"/>
      <c r="Z46" s="246"/>
    </row>
    <row r="47" ht="15.75" customHeight="1">
      <c r="A47" s="249" t="s">
        <v>3316</v>
      </c>
      <c r="B47" s="239">
        <v>45828.0</v>
      </c>
      <c r="C47" s="240" t="s">
        <v>3580</v>
      </c>
      <c r="D47" s="238" t="s">
        <v>3661</v>
      </c>
      <c r="E47" s="240" t="s">
        <v>3662</v>
      </c>
      <c r="F47" s="240">
        <v>1.0</v>
      </c>
      <c r="G47" s="248">
        <v>1638.0</v>
      </c>
      <c r="H47" s="242">
        <v>1638.0</v>
      </c>
      <c r="I47" s="243" t="s">
        <v>54</v>
      </c>
      <c r="J47" s="244" t="s">
        <v>3582</v>
      </c>
      <c r="K47" s="238"/>
      <c r="L47" s="245" t="s">
        <v>3663</v>
      </c>
      <c r="M47" s="245" t="b">
        <v>0</v>
      </c>
      <c r="N47" s="245" t="b">
        <v>0</v>
      </c>
      <c r="O47" s="246"/>
      <c r="P47" s="246"/>
      <c r="Q47" s="246"/>
      <c r="R47" s="246"/>
      <c r="S47" s="246"/>
      <c r="T47" s="246"/>
      <c r="U47" s="246"/>
      <c r="V47" s="246"/>
      <c r="W47" s="246"/>
      <c r="X47" s="246"/>
      <c r="Y47" s="246"/>
      <c r="Z47" s="246"/>
    </row>
    <row r="48" ht="15.75" customHeight="1">
      <c r="A48" s="249" t="s">
        <v>3320</v>
      </c>
      <c r="B48" s="239">
        <v>45828.0</v>
      </c>
      <c r="C48" s="240" t="s">
        <v>3614</v>
      </c>
      <c r="D48" s="238" t="s">
        <v>3321</v>
      </c>
      <c r="E48" s="240" t="s">
        <v>3664</v>
      </c>
      <c r="F48" s="240">
        <v>1.0</v>
      </c>
      <c r="G48" s="248">
        <v>17000.0</v>
      </c>
      <c r="H48" s="242">
        <v>17000.0</v>
      </c>
      <c r="I48" s="243" t="s">
        <v>3227</v>
      </c>
      <c r="J48" s="244" t="s">
        <v>3582</v>
      </c>
      <c r="K48" s="238"/>
      <c r="L48" s="245" t="s">
        <v>3665</v>
      </c>
      <c r="M48" s="245" t="b">
        <v>0</v>
      </c>
      <c r="N48" s="245" t="b">
        <v>0</v>
      </c>
      <c r="O48" s="246"/>
      <c r="P48" s="246"/>
      <c r="Q48" s="246"/>
      <c r="R48" s="246"/>
      <c r="S48" s="246"/>
      <c r="T48" s="246"/>
      <c r="U48" s="246"/>
      <c r="V48" s="246"/>
      <c r="W48" s="246"/>
      <c r="X48" s="246"/>
      <c r="Y48" s="246"/>
      <c r="Z48" s="246"/>
    </row>
    <row r="49" ht="15.75" customHeight="1">
      <c r="A49" s="249" t="s">
        <v>3323</v>
      </c>
      <c r="B49" s="239">
        <v>45828.0</v>
      </c>
      <c r="C49" s="240" t="s">
        <v>3600</v>
      </c>
      <c r="D49" s="238" t="s">
        <v>3219</v>
      </c>
      <c r="E49" s="240" t="s">
        <v>3666</v>
      </c>
      <c r="F49" s="240">
        <v>1.0</v>
      </c>
      <c r="G49" s="248">
        <v>264.0</v>
      </c>
      <c r="H49" s="242">
        <v>264.0</v>
      </c>
      <c r="I49" s="243" t="s">
        <v>3227</v>
      </c>
      <c r="J49" s="244" t="s">
        <v>3582</v>
      </c>
      <c r="K49" s="238"/>
      <c r="L49" s="245" t="s">
        <v>3667</v>
      </c>
      <c r="M49" s="245" t="b">
        <v>0</v>
      </c>
      <c r="N49" s="245" t="b">
        <v>0</v>
      </c>
      <c r="O49" s="246"/>
      <c r="P49" s="246"/>
      <c r="Q49" s="246"/>
      <c r="R49" s="246"/>
      <c r="S49" s="246"/>
      <c r="T49" s="246"/>
      <c r="U49" s="246"/>
      <c r="V49" s="246"/>
      <c r="W49" s="246"/>
      <c r="X49" s="246"/>
      <c r="Y49" s="246"/>
      <c r="Z49" s="246"/>
    </row>
    <row r="50" ht="15.75" customHeight="1">
      <c r="A50" s="249" t="s">
        <v>3325</v>
      </c>
      <c r="B50" s="239">
        <v>45832.0</v>
      </c>
      <c r="C50" s="240" t="s">
        <v>3600</v>
      </c>
      <c r="D50" s="238" t="s">
        <v>3219</v>
      </c>
      <c r="E50" s="240" t="s">
        <v>3668</v>
      </c>
      <c r="F50" s="240">
        <v>1.0</v>
      </c>
      <c r="G50" s="248">
        <v>556.0</v>
      </c>
      <c r="H50" s="242">
        <v>556.0</v>
      </c>
      <c r="I50" s="243" t="s">
        <v>54</v>
      </c>
      <c r="J50" s="244" t="s">
        <v>3582</v>
      </c>
      <c r="K50" s="238"/>
      <c r="L50" s="245" t="s">
        <v>3669</v>
      </c>
      <c r="M50" s="245" t="b">
        <v>0</v>
      </c>
      <c r="N50" s="245" t="b">
        <v>0</v>
      </c>
      <c r="O50" s="246"/>
      <c r="P50" s="246"/>
      <c r="Q50" s="246"/>
      <c r="R50" s="246"/>
      <c r="S50" s="246"/>
      <c r="T50" s="246"/>
      <c r="U50" s="246"/>
      <c r="V50" s="246"/>
      <c r="W50" s="246"/>
      <c r="X50" s="246"/>
      <c r="Y50" s="246"/>
      <c r="Z50" s="246"/>
    </row>
    <row r="51" ht="15.75" customHeight="1">
      <c r="A51" s="249" t="s">
        <v>3329</v>
      </c>
      <c r="B51" s="239">
        <v>45833.0</v>
      </c>
      <c r="C51" s="240" t="s">
        <v>3600</v>
      </c>
      <c r="D51" s="238" t="s">
        <v>3219</v>
      </c>
      <c r="E51" s="240" t="s">
        <v>3670</v>
      </c>
      <c r="F51" s="240">
        <v>1.0</v>
      </c>
      <c r="G51" s="248">
        <v>152.0</v>
      </c>
      <c r="H51" s="242">
        <v>152.0</v>
      </c>
      <c r="I51" s="243" t="s">
        <v>54</v>
      </c>
      <c r="J51" s="244" t="s">
        <v>3582</v>
      </c>
      <c r="K51" s="238"/>
      <c r="L51" s="245" t="s">
        <v>3671</v>
      </c>
      <c r="M51" s="245" t="b">
        <v>0</v>
      </c>
      <c r="N51" s="245" t="b">
        <v>0</v>
      </c>
      <c r="O51" s="246"/>
      <c r="P51" s="246"/>
      <c r="Q51" s="246"/>
      <c r="R51" s="246"/>
      <c r="S51" s="246"/>
      <c r="T51" s="246"/>
      <c r="U51" s="246"/>
      <c r="V51" s="246"/>
      <c r="W51" s="246"/>
      <c r="X51" s="246"/>
      <c r="Y51" s="246"/>
      <c r="Z51" s="246"/>
    </row>
    <row r="52" ht="15.75" customHeight="1">
      <c r="A52" s="249" t="s">
        <v>3332</v>
      </c>
      <c r="B52" s="239">
        <v>45835.0</v>
      </c>
      <c r="C52" s="240" t="s">
        <v>3600</v>
      </c>
      <c r="D52" s="238" t="s">
        <v>3219</v>
      </c>
      <c r="E52" s="240" t="s">
        <v>3672</v>
      </c>
      <c r="F52" s="240">
        <v>1.0</v>
      </c>
      <c r="G52" s="248">
        <v>730.0</v>
      </c>
      <c r="H52" s="242">
        <v>730.0</v>
      </c>
      <c r="I52" s="243" t="s">
        <v>54</v>
      </c>
      <c r="J52" s="244" t="s">
        <v>3582</v>
      </c>
      <c r="K52" s="238"/>
      <c r="L52" s="245" t="s">
        <v>3673</v>
      </c>
      <c r="M52" s="245" t="b">
        <v>0</v>
      </c>
      <c r="N52" s="245" t="b">
        <v>0</v>
      </c>
      <c r="O52" s="246"/>
      <c r="P52" s="246"/>
      <c r="Q52" s="246"/>
      <c r="R52" s="246"/>
      <c r="S52" s="246"/>
      <c r="T52" s="246"/>
      <c r="U52" s="246"/>
      <c r="V52" s="246"/>
      <c r="W52" s="246"/>
      <c r="X52" s="246"/>
      <c r="Y52" s="246"/>
      <c r="Z52" s="246"/>
    </row>
    <row r="53" ht="15.75" customHeight="1">
      <c r="A53" s="249" t="s">
        <v>3335</v>
      </c>
      <c r="B53" s="239">
        <v>45835.0</v>
      </c>
      <c r="C53" s="240" t="s">
        <v>3600</v>
      </c>
      <c r="D53" s="238" t="s">
        <v>3219</v>
      </c>
      <c r="E53" s="240" t="s">
        <v>3674</v>
      </c>
      <c r="F53" s="240">
        <v>1.0</v>
      </c>
      <c r="G53" s="248">
        <v>136.0</v>
      </c>
      <c r="H53" s="242">
        <v>136.0</v>
      </c>
      <c r="I53" s="243" t="s">
        <v>54</v>
      </c>
      <c r="J53" s="244" t="s">
        <v>3582</v>
      </c>
      <c r="K53" s="238"/>
      <c r="L53" s="245" t="s">
        <v>3675</v>
      </c>
      <c r="M53" s="245" t="b">
        <v>0</v>
      </c>
      <c r="N53" s="245" t="b">
        <v>0</v>
      </c>
      <c r="O53" s="246"/>
      <c r="P53" s="246"/>
      <c r="Q53" s="246"/>
      <c r="R53" s="246"/>
      <c r="S53" s="246"/>
      <c r="T53" s="246"/>
      <c r="U53" s="246"/>
      <c r="V53" s="246"/>
      <c r="W53" s="246"/>
      <c r="X53" s="246"/>
      <c r="Y53" s="246"/>
      <c r="Z53" s="246"/>
    </row>
    <row r="54" ht="15.75" customHeight="1">
      <c r="A54" s="249" t="s">
        <v>3337</v>
      </c>
      <c r="B54" s="239">
        <v>45835.0</v>
      </c>
      <c r="C54" s="240" t="s">
        <v>3603</v>
      </c>
      <c r="D54" s="238" t="s">
        <v>3225</v>
      </c>
      <c r="E54" s="240" t="s">
        <v>3676</v>
      </c>
      <c r="F54" s="240">
        <v>6.0</v>
      </c>
      <c r="G54" s="248">
        <v>225100.8</v>
      </c>
      <c r="H54" s="242">
        <v>37516.8</v>
      </c>
      <c r="I54" s="243" t="s">
        <v>3227</v>
      </c>
      <c r="J54" s="244" t="s">
        <v>3582</v>
      </c>
      <c r="K54" s="238"/>
      <c r="L54" s="245" t="s">
        <v>3677</v>
      </c>
      <c r="M54" s="245" t="b">
        <v>0</v>
      </c>
      <c r="N54" s="245" t="b">
        <v>0</v>
      </c>
      <c r="O54" s="246"/>
      <c r="P54" s="246"/>
      <c r="Q54" s="246"/>
      <c r="R54" s="246"/>
      <c r="S54" s="246"/>
      <c r="T54" s="246"/>
      <c r="U54" s="246"/>
      <c r="V54" s="246"/>
      <c r="W54" s="246"/>
      <c r="X54" s="246"/>
      <c r="Y54" s="246"/>
      <c r="Z54" s="246"/>
    </row>
    <row r="55" ht="15.75" customHeight="1">
      <c r="A55" s="249" t="s">
        <v>3339</v>
      </c>
      <c r="B55" s="239">
        <v>45835.0</v>
      </c>
      <c r="C55" s="240" t="s">
        <v>3600</v>
      </c>
      <c r="D55" s="238" t="s">
        <v>3678</v>
      </c>
      <c r="E55" s="240" t="s">
        <v>3679</v>
      </c>
      <c r="F55" s="240">
        <v>1.0</v>
      </c>
      <c r="G55" s="248">
        <v>35.0</v>
      </c>
      <c r="H55" s="242">
        <v>35.0</v>
      </c>
      <c r="I55" s="243" t="s">
        <v>54</v>
      </c>
      <c r="J55" s="244" t="s">
        <v>3582</v>
      </c>
      <c r="K55" s="238"/>
      <c r="L55" s="245" t="s">
        <v>3680</v>
      </c>
      <c r="M55" s="245" t="b">
        <v>0</v>
      </c>
      <c r="N55" s="245" t="b">
        <v>0</v>
      </c>
      <c r="O55" s="246"/>
      <c r="P55" s="246"/>
      <c r="Q55" s="246"/>
      <c r="R55" s="246"/>
      <c r="S55" s="246"/>
      <c r="T55" s="246"/>
      <c r="U55" s="246"/>
      <c r="V55" s="246"/>
      <c r="W55" s="246"/>
      <c r="X55" s="246"/>
      <c r="Y55" s="246"/>
      <c r="Z55" s="246"/>
    </row>
    <row r="56" ht="15.75" customHeight="1">
      <c r="A56" s="238" t="s">
        <v>3342</v>
      </c>
      <c r="B56" s="239">
        <v>45835.0</v>
      </c>
      <c r="C56" s="240" t="s">
        <v>3681</v>
      </c>
      <c r="D56" s="238" t="s">
        <v>3654</v>
      </c>
      <c r="E56" s="240" t="s">
        <v>3301</v>
      </c>
      <c r="F56" s="240">
        <v>1.0</v>
      </c>
      <c r="G56" s="248">
        <v>4000.0</v>
      </c>
      <c r="H56" s="242">
        <v>4000.0</v>
      </c>
      <c r="I56" s="243" t="s">
        <v>3227</v>
      </c>
      <c r="J56" s="244" t="s">
        <v>3582</v>
      </c>
      <c r="K56" s="238"/>
      <c r="L56" s="245" t="s">
        <v>3682</v>
      </c>
      <c r="M56" s="245" t="b">
        <v>0</v>
      </c>
      <c r="N56" s="245" t="b">
        <v>0</v>
      </c>
      <c r="O56" s="246"/>
      <c r="P56" s="246"/>
      <c r="Q56" s="246"/>
      <c r="R56" s="246"/>
      <c r="S56" s="246"/>
      <c r="T56" s="246"/>
      <c r="U56" s="246"/>
      <c r="V56" s="246"/>
      <c r="W56" s="246"/>
      <c r="X56" s="246"/>
      <c r="Y56" s="246"/>
      <c r="Z56" s="246"/>
    </row>
    <row r="57" ht="15.75" customHeight="1">
      <c r="A57" s="238" t="s">
        <v>3343</v>
      </c>
      <c r="B57" s="239">
        <v>45840.0</v>
      </c>
      <c r="C57" s="240" t="s">
        <v>3600</v>
      </c>
      <c r="D57" s="238" t="s">
        <v>3219</v>
      </c>
      <c r="E57" s="240" t="s">
        <v>3683</v>
      </c>
      <c r="F57" s="240">
        <v>1.0</v>
      </c>
      <c r="G57" s="248">
        <v>354.0</v>
      </c>
      <c r="H57" s="242">
        <v>354.0</v>
      </c>
      <c r="I57" s="243" t="s">
        <v>54</v>
      </c>
      <c r="J57" s="244" t="s">
        <v>3582</v>
      </c>
      <c r="K57" s="238"/>
      <c r="L57" s="245" t="s">
        <v>3684</v>
      </c>
      <c r="M57" s="245" t="b">
        <v>0</v>
      </c>
      <c r="N57" s="245" t="b">
        <v>0</v>
      </c>
      <c r="O57" s="246"/>
      <c r="P57" s="246"/>
      <c r="Q57" s="246"/>
      <c r="R57" s="246"/>
      <c r="S57" s="246"/>
      <c r="T57" s="246"/>
      <c r="U57" s="246"/>
      <c r="V57" s="246"/>
      <c r="W57" s="246"/>
      <c r="X57" s="246"/>
      <c r="Y57" s="246"/>
      <c r="Z57" s="246"/>
    </row>
    <row r="58" ht="15.75" customHeight="1">
      <c r="A58" s="238" t="s">
        <v>3345</v>
      </c>
      <c r="B58" s="239">
        <v>45840.0</v>
      </c>
      <c r="C58" s="240" t="s">
        <v>3600</v>
      </c>
      <c r="D58" s="238" t="s">
        <v>3219</v>
      </c>
      <c r="E58" s="240" t="s">
        <v>3685</v>
      </c>
      <c r="F58" s="240">
        <v>1.0</v>
      </c>
      <c r="G58" s="248">
        <v>231.0</v>
      </c>
      <c r="H58" s="242">
        <v>231.0</v>
      </c>
      <c r="I58" s="243" t="s">
        <v>54</v>
      </c>
      <c r="J58" s="244" t="s">
        <v>3582</v>
      </c>
      <c r="K58" s="238"/>
      <c r="L58" s="245" t="s">
        <v>3686</v>
      </c>
      <c r="M58" s="245" t="b">
        <v>0</v>
      </c>
      <c r="N58" s="245" t="b">
        <v>0</v>
      </c>
      <c r="O58" s="246"/>
      <c r="P58" s="246"/>
      <c r="Q58" s="246"/>
      <c r="R58" s="246"/>
      <c r="S58" s="246"/>
      <c r="T58" s="246"/>
      <c r="U58" s="246"/>
      <c r="V58" s="246"/>
      <c r="W58" s="246"/>
      <c r="X58" s="246"/>
      <c r="Y58" s="246"/>
      <c r="Z58" s="246"/>
    </row>
    <row r="59" ht="15.75" customHeight="1">
      <c r="A59" s="238" t="s">
        <v>3347</v>
      </c>
      <c r="B59" s="239">
        <v>45840.0</v>
      </c>
      <c r="C59" s="240" t="s">
        <v>3600</v>
      </c>
      <c r="D59" s="238" t="s">
        <v>3219</v>
      </c>
      <c r="E59" s="240" t="s">
        <v>3687</v>
      </c>
      <c r="F59" s="240">
        <v>1.0</v>
      </c>
      <c r="G59" s="248">
        <v>312.0</v>
      </c>
      <c r="H59" s="242">
        <v>312.0</v>
      </c>
      <c r="I59" s="243" t="s">
        <v>54</v>
      </c>
      <c r="J59" s="244" t="s">
        <v>3582</v>
      </c>
      <c r="K59" s="238"/>
      <c r="L59" s="245" t="s">
        <v>3688</v>
      </c>
      <c r="M59" s="245" t="b">
        <v>0</v>
      </c>
      <c r="N59" s="245" t="b">
        <v>0</v>
      </c>
      <c r="O59" s="246"/>
      <c r="P59" s="246"/>
      <c r="Q59" s="246"/>
      <c r="R59" s="246"/>
      <c r="S59" s="246"/>
      <c r="T59" s="246"/>
      <c r="U59" s="246"/>
      <c r="V59" s="246"/>
      <c r="W59" s="246"/>
      <c r="X59" s="246"/>
      <c r="Y59" s="246"/>
      <c r="Z59" s="246"/>
    </row>
    <row r="60" ht="15.75" customHeight="1">
      <c r="A60" s="238" t="s">
        <v>3349</v>
      </c>
      <c r="B60" s="240" t="s">
        <v>3350</v>
      </c>
      <c r="C60" s="240" t="s">
        <v>3600</v>
      </c>
      <c r="D60" s="238" t="s">
        <v>3219</v>
      </c>
      <c r="E60" s="240" t="s">
        <v>3689</v>
      </c>
      <c r="F60" s="240">
        <v>1.0</v>
      </c>
      <c r="G60" s="248">
        <v>312.0</v>
      </c>
      <c r="H60" s="242">
        <v>312.0</v>
      </c>
      <c r="I60" s="243" t="s">
        <v>54</v>
      </c>
      <c r="J60" s="244" t="s">
        <v>3582</v>
      </c>
      <c r="K60" s="238"/>
      <c r="L60" s="245" t="s">
        <v>3690</v>
      </c>
      <c r="M60" s="245" t="b">
        <v>0</v>
      </c>
      <c r="N60" s="245" t="b">
        <v>0</v>
      </c>
      <c r="O60" s="246"/>
      <c r="P60" s="246"/>
      <c r="Q60" s="246"/>
      <c r="R60" s="246"/>
      <c r="S60" s="246"/>
      <c r="T60" s="246"/>
      <c r="U60" s="246"/>
      <c r="V60" s="246"/>
      <c r="W60" s="246"/>
      <c r="X60" s="246"/>
      <c r="Y60" s="246"/>
      <c r="Z60" s="246"/>
    </row>
    <row r="61" ht="15.75" customHeight="1">
      <c r="A61" s="238" t="s">
        <v>3352</v>
      </c>
      <c r="B61" s="239">
        <v>45840.0</v>
      </c>
      <c r="C61" s="240" t="s">
        <v>3600</v>
      </c>
      <c r="D61" s="238" t="s">
        <v>3219</v>
      </c>
      <c r="E61" s="240" t="s">
        <v>3687</v>
      </c>
      <c r="F61" s="240">
        <v>1.0</v>
      </c>
      <c r="G61" s="248">
        <v>298.0</v>
      </c>
      <c r="H61" s="242">
        <v>298.0</v>
      </c>
      <c r="I61" s="243" t="s">
        <v>54</v>
      </c>
      <c r="J61" s="244" t="s">
        <v>3582</v>
      </c>
      <c r="K61" s="238"/>
      <c r="L61" s="245" t="s">
        <v>3691</v>
      </c>
      <c r="M61" s="245" t="b">
        <v>0</v>
      </c>
      <c r="N61" s="245" t="b">
        <v>0</v>
      </c>
      <c r="O61" s="246"/>
      <c r="P61" s="246"/>
      <c r="Q61" s="246"/>
      <c r="R61" s="246"/>
      <c r="S61" s="246"/>
      <c r="T61" s="246"/>
      <c r="U61" s="246"/>
      <c r="V61" s="246"/>
      <c r="W61" s="246"/>
      <c r="X61" s="246"/>
      <c r="Y61" s="246"/>
      <c r="Z61" s="246"/>
    </row>
    <row r="62" ht="15.75" customHeight="1">
      <c r="A62" s="249" t="s">
        <v>3353</v>
      </c>
      <c r="B62" s="239">
        <v>45842.0</v>
      </c>
      <c r="C62" s="240" t="s">
        <v>3614</v>
      </c>
      <c r="D62" s="238" t="s">
        <v>3692</v>
      </c>
      <c r="E62" s="240" t="s">
        <v>3354</v>
      </c>
      <c r="F62" s="240">
        <v>1.0</v>
      </c>
      <c r="G62" s="248">
        <v>31000.0</v>
      </c>
      <c r="H62" s="242">
        <v>31000.0</v>
      </c>
      <c r="I62" s="243" t="s">
        <v>3227</v>
      </c>
      <c r="J62" s="244" t="s">
        <v>3582</v>
      </c>
      <c r="K62" s="238"/>
      <c r="L62" s="245" t="s">
        <v>3693</v>
      </c>
      <c r="M62" s="245" t="b">
        <v>0</v>
      </c>
      <c r="N62" s="245" t="b">
        <v>0</v>
      </c>
      <c r="O62" s="246"/>
      <c r="P62" s="246"/>
      <c r="Q62" s="246"/>
      <c r="R62" s="246"/>
      <c r="S62" s="246"/>
      <c r="T62" s="246"/>
      <c r="U62" s="246"/>
      <c r="V62" s="246"/>
      <c r="W62" s="246"/>
      <c r="X62" s="246"/>
      <c r="Y62" s="246"/>
      <c r="Z62" s="246"/>
    </row>
    <row r="63" ht="15.75" customHeight="1">
      <c r="A63" s="249" t="s">
        <v>3355</v>
      </c>
      <c r="B63" s="247">
        <v>45846.0</v>
      </c>
      <c r="C63" s="240" t="s">
        <v>3600</v>
      </c>
      <c r="D63" s="238" t="s">
        <v>3219</v>
      </c>
      <c r="E63" s="240" t="s">
        <v>3694</v>
      </c>
      <c r="F63" s="240">
        <v>1.0</v>
      </c>
      <c r="G63" s="248">
        <v>456.0</v>
      </c>
      <c r="H63" s="242">
        <v>456.0</v>
      </c>
      <c r="I63" s="243" t="s">
        <v>54</v>
      </c>
      <c r="J63" s="244" t="s">
        <v>3582</v>
      </c>
      <c r="K63" s="238"/>
      <c r="L63" s="245" t="s">
        <v>3695</v>
      </c>
      <c r="M63" s="245" t="b">
        <v>0</v>
      </c>
      <c r="N63" s="245" t="b">
        <v>0</v>
      </c>
      <c r="O63" s="246"/>
      <c r="P63" s="246"/>
      <c r="Q63" s="246"/>
      <c r="R63" s="246"/>
      <c r="S63" s="246"/>
      <c r="T63" s="246"/>
      <c r="U63" s="246"/>
      <c r="V63" s="246"/>
      <c r="W63" s="246"/>
      <c r="X63" s="246"/>
      <c r="Y63" s="246"/>
      <c r="Z63" s="246"/>
    </row>
    <row r="64" ht="15.75" customHeight="1">
      <c r="A64" s="249" t="s">
        <v>3357</v>
      </c>
      <c r="B64" s="247">
        <v>45835.0</v>
      </c>
      <c r="C64" s="240" t="s">
        <v>3580</v>
      </c>
      <c r="D64" s="238" t="s">
        <v>3696</v>
      </c>
      <c r="E64" s="240" t="s">
        <v>3697</v>
      </c>
      <c r="F64" s="240">
        <v>1.0</v>
      </c>
      <c r="G64" s="248">
        <v>133.0</v>
      </c>
      <c r="H64" s="242">
        <v>133.0</v>
      </c>
      <c r="I64" s="243" t="s">
        <v>54</v>
      </c>
      <c r="J64" s="244" t="s">
        <v>3582</v>
      </c>
      <c r="K64" s="238"/>
      <c r="L64" s="245" t="s">
        <v>3698</v>
      </c>
      <c r="M64" s="245" t="b">
        <v>0</v>
      </c>
      <c r="N64" s="245" t="b">
        <v>0</v>
      </c>
      <c r="O64" s="246"/>
      <c r="P64" s="246"/>
      <c r="Q64" s="246"/>
      <c r="R64" s="246"/>
      <c r="S64" s="246"/>
      <c r="T64" s="246"/>
      <c r="U64" s="246"/>
      <c r="V64" s="246"/>
      <c r="W64" s="246"/>
      <c r="X64" s="246"/>
      <c r="Y64" s="246"/>
      <c r="Z64" s="246"/>
    </row>
    <row r="65" ht="15.75" customHeight="1">
      <c r="A65" s="249" t="s">
        <v>3699</v>
      </c>
      <c r="B65" s="247">
        <v>45835.0</v>
      </c>
      <c r="C65" s="240" t="s">
        <v>3600</v>
      </c>
      <c r="D65" s="238" t="s">
        <v>3678</v>
      </c>
      <c r="E65" s="240" t="s">
        <v>3679</v>
      </c>
      <c r="F65" s="240">
        <v>1.0</v>
      </c>
      <c r="G65" s="248">
        <v>35.0</v>
      </c>
      <c r="H65" s="242">
        <v>35.0</v>
      </c>
      <c r="I65" s="243" t="s">
        <v>54</v>
      </c>
      <c r="J65" s="244" t="s">
        <v>3582</v>
      </c>
      <c r="K65" s="238"/>
      <c r="L65" s="245" t="s">
        <v>3700</v>
      </c>
      <c r="M65" s="245" t="b">
        <v>0</v>
      </c>
      <c r="N65" s="245" t="b">
        <v>0</v>
      </c>
      <c r="O65" s="246"/>
      <c r="P65" s="246"/>
      <c r="Q65" s="246"/>
      <c r="R65" s="246"/>
      <c r="S65" s="246"/>
      <c r="T65" s="246"/>
      <c r="U65" s="246"/>
      <c r="V65" s="246"/>
      <c r="W65" s="246"/>
      <c r="X65" s="246"/>
      <c r="Y65" s="246"/>
      <c r="Z65" s="246"/>
    </row>
    <row r="66" ht="15.75" customHeight="1">
      <c r="A66" s="249" t="s">
        <v>3361</v>
      </c>
      <c r="B66" s="247">
        <v>45842.0</v>
      </c>
      <c r="C66" s="240" t="s">
        <v>3681</v>
      </c>
      <c r="D66" s="238" t="s">
        <v>3654</v>
      </c>
      <c r="E66" s="240" t="s">
        <v>3301</v>
      </c>
      <c r="F66" s="240">
        <v>1.0</v>
      </c>
      <c r="G66" s="248">
        <v>5360.0</v>
      </c>
      <c r="H66" s="242">
        <v>5360.0</v>
      </c>
      <c r="I66" s="243" t="s">
        <v>54</v>
      </c>
      <c r="J66" s="244" t="s">
        <v>3582</v>
      </c>
      <c r="K66" s="238"/>
      <c r="L66" s="245" t="s">
        <v>3701</v>
      </c>
      <c r="M66" s="245" t="b">
        <v>0</v>
      </c>
      <c r="N66" s="245" t="b">
        <v>0</v>
      </c>
      <c r="O66" s="246"/>
      <c r="P66" s="246"/>
      <c r="Q66" s="246"/>
      <c r="R66" s="246"/>
      <c r="S66" s="246"/>
      <c r="T66" s="246"/>
      <c r="U66" s="246"/>
      <c r="V66" s="246"/>
      <c r="W66" s="246"/>
      <c r="X66" s="246"/>
      <c r="Y66" s="246"/>
      <c r="Z66" s="246"/>
    </row>
    <row r="67" ht="15.75" customHeight="1">
      <c r="A67" s="249" t="s">
        <v>3362</v>
      </c>
      <c r="B67" s="247">
        <v>45848.0</v>
      </c>
      <c r="C67" s="240" t="s">
        <v>3619</v>
      </c>
      <c r="D67" s="238" t="s">
        <v>3702</v>
      </c>
      <c r="E67" s="240" t="s">
        <v>3301</v>
      </c>
      <c r="F67" s="240">
        <v>1.0</v>
      </c>
      <c r="G67" s="248">
        <v>4800.0</v>
      </c>
      <c r="H67" s="242">
        <v>4800.0</v>
      </c>
      <c r="I67" s="243" t="s">
        <v>54</v>
      </c>
      <c r="J67" s="244" t="s">
        <v>3582</v>
      </c>
      <c r="K67" s="238"/>
      <c r="L67" s="245" t="s">
        <v>3703</v>
      </c>
      <c r="M67" s="245" t="b">
        <v>0</v>
      </c>
      <c r="N67" s="245" t="b">
        <v>0</v>
      </c>
      <c r="O67" s="246"/>
      <c r="P67" s="246"/>
      <c r="Q67" s="246"/>
      <c r="R67" s="246"/>
      <c r="S67" s="246"/>
      <c r="T67" s="246"/>
      <c r="U67" s="246"/>
      <c r="V67" s="246"/>
      <c r="W67" s="246"/>
      <c r="X67" s="246"/>
      <c r="Y67" s="246"/>
      <c r="Z67" s="246"/>
    </row>
    <row r="68" ht="15.75" customHeight="1">
      <c r="A68" s="249" t="s">
        <v>3364</v>
      </c>
      <c r="B68" s="239">
        <v>45853.0</v>
      </c>
      <c r="C68" s="240" t="s">
        <v>3603</v>
      </c>
      <c r="D68" s="238" t="s">
        <v>3225</v>
      </c>
      <c r="E68" s="240" t="s">
        <v>3704</v>
      </c>
      <c r="F68" s="240">
        <v>1.0</v>
      </c>
      <c r="G68" s="248">
        <v>42023.94</v>
      </c>
      <c r="H68" s="242">
        <v>42023.94</v>
      </c>
      <c r="I68" s="243" t="s">
        <v>3227</v>
      </c>
      <c r="J68" s="244" t="s">
        <v>3582</v>
      </c>
      <c r="K68" s="238"/>
      <c r="L68" s="245" t="s">
        <v>3705</v>
      </c>
      <c r="M68" s="245" t="b">
        <v>0</v>
      </c>
      <c r="N68" s="245" t="b">
        <v>0</v>
      </c>
      <c r="O68" s="246"/>
      <c r="P68" s="246"/>
      <c r="Q68" s="246"/>
      <c r="R68" s="246"/>
      <c r="S68" s="246"/>
      <c r="T68" s="246"/>
      <c r="U68" s="246"/>
      <c r="V68" s="246"/>
      <c r="W68" s="246"/>
      <c r="X68" s="246"/>
      <c r="Y68" s="246"/>
      <c r="Z68" s="246"/>
    </row>
    <row r="69" ht="15.75" customHeight="1">
      <c r="A69" s="249" t="s">
        <v>3367</v>
      </c>
      <c r="B69" s="239">
        <v>45868.0</v>
      </c>
      <c r="C69" s="240" t="s">
        <v>3681</v>
      </c>
      <c r="D69" s="238" t="s">
        <v>3369</v>
      </c>
      <c r="E69" s="240" t="s">
        <v>3370</v>
      </c>
      <c r="F69" s="240">
        <v>1.0</v>
      </c>
      <c r="G69" s="248">
        <v>5400.0</v>
      </c>
      <c r="H69" s="242">
        <v>5400.0</v>
      </c>
      <c r="I69" s="243" t="s">
        <v>3706</v>
      </c>
      <c r="J69" s="244" t="s">
        <v>3582</v>
      </c>
      <c r="K69" s="238"/>
      <c r="L69" s="245" t="s">
        <v>3707</v>
      </c>
      <c r="M69" s="245" t="b">
        <v>0</v>
      </c>
      <c r="N69" s="245" t="b">
        <v>0</v>
      </c>
      <c r="O69" s="246"/>
      <c r="P69" s="246"/>
      <c r="Q69" s="246"/>
      <c r="R69" s="246"/>
      <c r="S69" s="246"/>
      <c r="T69" s="246"/>
      <c r="U69" s="246"/>
      <c r="V69" s="246"/>
      <c r="W69" s="246"/>
      <c r="X69" s="246"/>
      <c r="Y69" s="246"/>
      <c r="Z69" s="246"/>
    </row>
    <row r="70" ht="15.75" customHeight="1">
      <c r="A70" s="249" t="s">
        <v>3374</v>
      </c>
      <c r="B70" s="239">
        <v>45868.0</v>
      </c>
      <c r="C70" s="240" t="s">
        <v>3603</v>
      </c>
      <c r="D70" s="238" t="s">
        <v>3225</v>
      </c>
      <c r="E70" s="240" t="s">
        <v>3704</v>
      </c>
      <c r="F70" s="240">
        <v>1.0</v>
      </c>
      <c r="G70" s="241">
        <v>39865.68</v>
      </c>
      <c r="H70" s="242">
        <v>39865.68</v>
      </c>
      <c r="I70" s="243" t="s">
        <v>3706</v>
      </c>
      <c r="J70" s="244" t="s">
        <v>3582</v>
      </c>
      <c r="K70" s="238"/>
      <c r="L70" s="245" t="s">
        <v>3708</v>
      </c>
      <c r="M70" s="245" t="b">
        <v>0</v>
      </c>
      <c r="N70" s="245" t="b">
        <v>0</v>
      </c>
      <c r="O70" s="246"/>
      <c r="P70" s="246"/>
      <c r="Q70" s="246"/>
      <c r="R70" s="246"/>
      <c r="S70" s="246"/>
      <c r="T70" s="246"/>
      <c r="U70" s="246"/>
      <c r="V70" s="246"/>
      <c r="W70" s="246"/>
      <c r="X70" s="246"/>
      <c r="Y70" s="246"/>
      <c r="Z70" s="246"/>
    </row>
    <row r="71" ht="15.75" customHeight="1">
      <c r="A71" s="249" t="s">
        <v>3709</v>
      </c>
      <c r="B71" s="239">
        <v>45876.0</v>
      </c>
      <c r="C71" s="240" t="s">
        <v>3614</v>
      </c>
      <c r="D71" s="238" t="s">
        <v>3710</v>
      </c>
      <c r="E71" s="240" t="s">
        <v>3377</v>
      </c>
      <c r="F71" s="240">
        <v>1.0</v>
      </c>
      <c r="G71" s="248">
        <v>21000.0</v>
      </c>
      <c r="H71" s="242">
        <v>21000.0</v>
      </c>
      <c r="I71" s="243" t="s">
        <v>3706</v>
      </c>
      <c r="J71" s="244" t="s">
        <v>3582</v>
      </c>
      <c r="K71" s="238"/>
      <c r="L71" s="245" t="s">
        <v>3711</v>
      </c>
      <c r="M71" s="245" t="b">
        <v>0</v>
      </c>
      <c r="N71" s="245" t="b">
        <v>0</v>
      </c>
      <c r="O71" s="246"/>
      <c r="P71" s="246"/>
      <c r="Q71" s="246"/>
      <c r="R71" s="246"/>
      <c r="S71" s="246"/>
      <c r="T71" s="246"/>
      <c r="U71" s="246"/>
      <c r="V71" s="246"/>
      <c r="W71" s="246"/>
      <c r="X71" s="246"/>
      <c r="Y71" s="246"/>
      <c r="Z71" s="246"/>
    </row>
    <row r="72" ht="15.75" customHeight="1">
      <c r="A72" s="249" t="s">
        <v>3378</v>
      </c>
      <c r="B72" s="247">
        <v>45876.0</v>
      </c>
      <c r="C72" s="240" t="s">
        <v>3681</v>
      </c>
      <c r="D72" s="238" t="s">
        <v>3369</v>
      </c>
      <c r="E72" s="240" t="s">
        <v>3301</v>
      </c>
      <c r="F72" s="240">
        <v>1.0</v>
      </c>
      <c r="G72" s="248">
        <v>4300.0</v>
      </c>
      <c r="H72" s="242">
        <v>4300.0</v>
      </c>
      <c r="I72" s="243" t="s">
        <v>3706</v>
      </c>
      <c r="J72" s="244" t="s">
        <v>3582</v>
      </c>
      <c r="K72" s="238"/>
      <c r="L72" s="245" t="s">
        <v>3712</v>
      </c>
      <c r="M72" s="245" t="b">
        <v>0</v>
      </c>
      <c r="N72" s="245" t="b">
        <v>0</v>
      </c>
      <c r="O72" s="246"/>
      <c r="P72" s="246"/>
      <c r="Q72" s="246"/>
      <c r="R72" s="246"/>
      <c r="S72" s="246"/>
      <c r="T72" s="246"/>
      <c r="U72" s="246"/>
      <c r="V72" s="246"/>
      <c r="W72" s="246"/>
      <c r="X72" s="246"/>
      <c r="Y72" s="246"/>
      <c r="Z72" s="246"/>
    </row>
    <row r="73" ht="15.75" customHeight="1">
      <c r="A73" s="249" t="s">
        <v>3713</v>
      </c>
      <c r="B73" s="247">
        <v>45876.0</v>
      </c>
      <c r="C73" s="240" t="s">
        <v>3580</v>
      </c>
      <c r="D73" s="238" t="s">
        <v>3714</v>
      </c>
      <c r="E73" s="240" t="s">
        <v>3715</v>
      </c>
      <c r="F73" s="240">
        <v>1.0</v>
      </c>
      <c r="G73" s="248">
        <v>2552.0</v>
      </c>
      <c r="H73" s="242">
        <v>2552.0</v>
      </c>
      <c r="I73" s="243" t="s">
        <v>54</v>
      </c>
      <c r="J73" s="244" t="s">
        <v>3582</v>
      </c>
      <c r="K73" s="238"/>
      <c r="L73" s="245" t="s">
        <v>3716</v>
      </c>
      <c r="M73" s="245" t="b">
        <v>0</v>
      </c>
      <c r="N73" s="245" t="b">
        <v>0</v>
      </c>
      <c r="O73" s="246"/>
      <c r="P73" s="246"/>
      <c r="Q73" s="246"/>
      <c r="R73" s="246"/>
      <c r="S73" s="246"/>
      <c r="T73" s="246"/>
      <c r="U73" s="246"/>
      <c r="V73" s="246"/>
      <c r="W73" s="246"/>
      <c r="X73" s="246"/>
      <c r="Y73" s="246"/>
      <c r="Z73" s="246"/>
    </row>
    <row r="74" ht="15.75" customHeight="1">
      <c r="A74" s="249" t="s">
        <v>3383</v>
      </c>
      <c r="B74" s="247">
        <v>45876.0</v>
      </c>
      <c r="C74" s="240" t="s">
        <v>3619</v>
      </c>
      <c r="D74" s="238" t="s">
        <v>3225</v>
      </c>
      <c r="E74" s="240" t="s">
        <v>3301</v>
      </c>
      <c r="F74" s="240">
        <v>1.0</v>
      </c>
      <c r="G74" s="248">
        <v>5600.0</v>
      </c>
      <c r="H74" s="242">
        <v>5600.0</v>
      </c>
      <c r="I74" s="243" t="s">
        <v>3227</v>
      </c>
      <c r="J74" s="244" t="s">
        <v>3582</v>
      </c>
      <c r="K74" s="238"/>
      <c r="L74" s="245" t="s">
        <v>3717</v>
      </c>
      <c r="M74" s="245" t="b">
        <v>0</v>
      </c>
      <c r="N74" s="245" t="b">
        <v>0</v>
      </c>
      <c r="O74" s="246"/>
      <c r="P74" s="246"/>
      <c r="Q74" s="246"/>
      <c r="R74" s="246"/>
      <c r="S74" s="246"/>
      <c r="T74" s="246"/>
      <c r="U74" s="246"/>
      <c r="V74" s="246"/>
      <c r="W74" s="246"/>
      <c r="X74" s="246"/>
      <c r="Y74" s="246"/>
      <c r="Z74" s="246"/>
    </row>
    <row r="75" ht="15.75" customHeight="1">
      <c r="A75" s="249" t="s">
        <v>3718</v>
      </c>
      <c r="B75" s="247">
        <v>45876.0</v>
      </c>
      <c r="C75" s="240" t="s">
        <v>3600</v>
      </c>
      <c r="D75" s="238" t="s">
        <v>3719</v>
      </c>
      <c r="E75" s="240" t="s">
        <v>3720</v>
      </c>
      <c r="F75" s="240">
        <v>1.0</v>
      </c>
      <c r="G75" s="248">
        <v>4041.0</v>
      </c>
      <c r="H75" s="242">
        <v>4041.0</v>
      </c>
      <c r="I75" s="243" t="s">
        <v>54</v>
      </c>
      <c r="J75" s="244" t="s">
        <v>3582</v>
      </c>
      <c r="K75" s="238"/>
      <c r="L75" s="245" t="s">
        <v>3721</v>
      </c>
      <c r="M75" s="245" t="b">
        <v>0</v>
      </c>
      <c r="N75" s="245" t="b">
        <v>0</v>
      </c>
      <c r="O75" s="246"/>
      <c r="P75" s="246"/>
      <c r="Q75" s="246"/>
      <c r="R75" s="246"/>
      <c r="S75" s="246"/>
      <c r="T75" s="246"/>
      <c r="U75" s="246"/>
      <c r="V75" s="246"/>
      <c r="W75" s="246"/>
      <c r="X75" s="246"/>
      <c r="Y75" s="246"/>
      <c r="Z75" s="246"/>
    </row>
    <row r="76" ht="15.75" customHeight="1">
      <c r="A76" s="249" t="s">
        <v>3387</v>
      </c>
      <c r="B76" s="239">
        <v>45883.0</v>
      </c>
      <c r="C76" s="240" t="s">
        <v>3614</v>
      </c>
      <c r="D76" s="238" t="s">
        <v>3722</v>
      </c>
      <c r="E76" s="240" t="s">
        <v>3389</v>
      </c>
      <c r="F76" s="240">
        <v>1.0</v>
      </c>
      <c r="G76" s="248">
        <v>7281.0</v>
      </c>
      <c r="H76" s="242">
        <v>7281.0</v>
      </c>
      <c r="I76" s="243" t="s">
        <v>3706</v>
      </c>
      <c r="J76" s="244" t="s">
        <v>3582</v>
      </c>
      <c r="K76" s="238"/>
      <c r="L76" s="245" t="s">
        <v>3723</v>
      </c>
      <c r="M76" s="245" t="b">
        <v>0</v>
      </c>
      <c r="N76" s="245" t="b">
        <v>0</v>
      </c>
      <c r="O76" s="246"/>
      <c r="P76" s="246"/>
      <c r="Q76" s="246"/>
      <c r="R76" s="246"/>
      <c r="S76" s="246"/>
      <c r="T76" s="246"/>
      <c r="U76" s="246"/>
      <c r="V76" s="246"/>
      <c r="W76" s="246"/>
      <c r="X76" s="246"/>
      <c r="Y76" s="246"/>
      <c r="Z76" s="246"/>
    </row>
    <row r="77" ht="15.75" customHeight="1">
      <c r="A77" s="249" t="s">
        <v>3390</v>
      </c>
      <c r="B77" s="239">
        <v>45884.0</v>
      </c>
      <c r="C77" s="240" t="s">
        <v>3612</v>
      </c>
      <c r="D77" s="238" t="s">
        <v>3225</v>
      </c>
      <c r="E77" s="240" t="s">
        <v>3392</v>
      </c>
      <c r="F77" s="240">
        <v>1.0</v>
      </c>
      <c r="G77" s="248">
        <v>37692.44</v>
      </c>
      <c r="H77" s="242">
        <v>37692.44</v>
      </c>
      <c r="I77" s="243" t="s">
        <v>3706</v>
      </c>
      <c r="J77" s="244" t="s">
        <v>3582</v>
      </c>
      <c r="K77" s="238"/>
      <c r="L77" s="245" t="s">
        <v>3724</v>
      </c>
      <c r="M77" s="245" t="b">
        <v>0</v>
      </c>
      <c r="N77" s="245" t="b">
        <v>0</v>
      </c>
      <c r="O77" s="246"/>
      <c r="P77" s="246"/>
      <c r="Q77" s="246"/>
      <c r="R77" s="246"/>
      <c r="S77" s="246"/>
      <c r="T77" s="246"/>
      <c r="U77" s="246"/>
      <c r="V77" s="246"/>
      <c r="W77" s="246"/>
      <c r="X77" s="246"/>
      <c r="Y77" s="246"/>
      <c r="Z77" s="246"/>
    </row>
    <row r="78" ht="15.75" customHeight="1">
      <c r="A78" s="249" t="s">
        <v>3393</v>
      </c>
      <c r="B78" s="239">
        <v>45884.0</v>
      </c>
      <c r="C78" s="240" t="s">
        <v>3681</v>
      </c>
      <c r="D78" s="238" t="s">
        <v>3369</v>
      </c>
      <c r="E78" s="240" t="s">
        <v>3370</v>
      </c>
      <c r="F78" s="240">
        <v>1.0</v>
      </c>
      <c r="G78" s="248">
        <v>4000.0</v>
      </c>
      <c r="H78" s="242">
        <v>4000.0</v>
      </c>
      <c r="I78" s="243" t="s">
        <v>3706</v>
      </c>
      <c r="J78" s="244" t="s">
        <v>3582</v>
      </c>
      <c r="K78" s="238"/>
      <c r="L78" s="245" t="s">
        <v>3725</v>
      </c>
      <c r="M78" s="245" t="b">
        <v>0</v>
      </c>
      <c r="N78" s="245" t="b">
        <v>0</v>
      </c>
      <c r="O78" s="246"/>
      <c r="P78" s="246"/>
      <c r="Q78" s="246"/>
      <c r="R78" s="246"/>
      <c r="S78" s="246"/>
      <c r="T78" s="246"/>
      <c r="U78" s="246"/>
      <c r="V78" s="246"/>
      <c r="W78" s="246"/>
      <c r="X78" s="246"/>
      <c r="Y78" s="246"/>
      <c r="Z78" s="246"/>
    </row>
    <row r="79" ht="15.75" customHeight="1">
      <c r="A79" s="249" t="s">
        <v>3394</v>
      </c>
      <c r="B79" s="239">
        <v>45897.0</v>
      </c>
      <c r="C79" s="240" t="s">
        <v>3681</v>
      </c>
      <c r="D79" s="238" t="s">
        <v>3726</v>
      </c>
      <c r="E79" s="240" t="s">
        <v>3301</v>
      </c>
      <c r="F79" s="240">
        <v>1.0</v>
      </c>
      <c r="G79" s="248">
        <v>5497.86</v>
      </c>
      <c r="H79" s="242">
        <v>5497.86</v>
      </c>
      <c r="I79" s="243" t="s">
        <v>3706</v>
      </c>
      <c r="J79" s="244" t="s">
        <v>3582</v>
      </c>
      <c r="K79" s="238"/>
      <c r="L79" s="245" t="s">
        <v>3727</v>
      </c>
      <c r="M79" s="245" t="b">
        <v>0</v>
      </c>
      <c r="N79" s="245" t="b">
        <v>0</v>
      </c>
      <c r="O79" s="246"/>
      <c r="P79" s="246"/>
      <c r="Q79" s="246"/>
      <c r="R79" s="246"/>
      <c r="S79" s="246"/>
      <c r="T79" s="246"/>
      <c r="U79" s="246"/>
      <c r="V79" s="246"/>
      <c r="W79" s="246"/>
      <c r="X79" s="246"/>
      <c r="Y79" s="246"/>
      <c r="Z79" s="246"/>
    </row>
    <row r="80" ht="15.75" customHeight="1">
      <c r="A80" s="249" t="s">
        <v>3397</v>
      </c>
      <c r="B80" s="239">
        <v>45897.0</v>
      </c>
      <c r="C80" s="240" t="s">
        <v>3593</v>
      </c>
      <c r="D80" s="238" t="s">
        <v>3728</v>
      </c>
      <c r="E80" s="240" t="s">
        <v>3729</v>
      </c>
      <c r="F80" s="240">
        <v>1.0</v>
      </c>
      <c r="G80" s="248">
        <v>15000.0</v>
      </c>
      <c r="H80" s="242">
        <v>15000.0</v>
      </c>
      <c r="I80" s="243"/>
      <c r="J80" s="244" t="s">
        <v>3582</v>
      </c>
      <c r="K80" s="238"/>
      <c r="L80" s="245" t="s">
        <v>3730</v>
      </c>
      <c r="M80" s="245" t="b">
        <v>0</v>
      </c>
      <c r="N80" s="245" t="b">
        <v>0</v>
      </c>
      <c r="O80" s="246"/>
      <c r="P80" s="246"/>
      <c r="Q80" s="246"/>
      <c r="R80" s="246"/>
      <c r="S80" s="246"/>
      <c r="T80" s="246"/>
      <c r="U80" s="246"/>
      <c r="V80" s="246"/>
      <c r="W80" s="246"/>
      <c r="X80" s="246"/>
      <c r="Y80" s="246"/>
      <c r="Z80" s="246"/>
    </row>
    <row r="81" ht="15.75" customHeight="1">
      <c r="A81" s="249" t="s">
        <v>3400</v>
      </c>
      <c r="B81" s="239">
        <v>45897.0</v>
      </c>
      <c r="C81" s="240" t="s">
        <v>3681</v>
      </c>
      <c r="D81" s="238" t="s">
        <v>3731</v>
      </c>
      <c r="E81" s="240" t="s">
        <v>3732</v>
      </c>
      <c r="F81" s="240">
        <v>1.0</v>
      </c>
      <c r="G81" s="248">
        <v>2000.0</v>
      </c>
      <c r="H81" s="242">
        <v>2000.0</v>
      </c>
      <c r="I81" s="243"/>
      <c r="J81" s="244" t="s">
        <v>3582</v>
      </c>
      <c r="K81" s="238"/>
      <c r="L81" s="245" t="s">
        <v>3733</v>
      </c>
      <c r="M81" s="245" t="b">
        <v>0</v>
      </c>
      <c r="N81" s="245" t="b">
        <v>0</v>
      </c>
      <c r="O81" s="246"/>
      <c r="P81" s="246"/>
      <c r="Q81" s="246"/>
      <c r="R81" s="246"/>
      <c r="S81" s="246"/>
      <c r="T81" s="246"/>
      <c r="U81" s="246"/>
      <c r="V81" s="246"/>
      <c r="W81" s="246"/>
      <c r="X81" s="246"/>
      <c r="Y81" s="246"/>
      <c r="Z81" s="246"/>
    </row>
    <row r="82" ht="15.75" customHeight="1">
      <c r="A82" s="249" t="s">
        <v>3734</v>
      </c>
      <c r="B82" s="239">
        <v>45897.0</v>
      </c>
      <c r="C82" s="240" t="s">
        <v>3580</v>
      </c>
      <c r="D82" s="238" t="s">
        <v>3735</v>
      </c>
      <c r="E82" s="240" t="s">
        <v>3736</v>
      </c>
      <c r="F82" s="240">
        <v>1.0</v>
      </c>
      <c r="G82" s="248">
        <v>4500.0</v>
      </c>
      <c r="H82" s="242">
        <v>4500.0</v>
      </c>
      <c r="I82" s="243" t="s">
        <v>3706</v>
      </c>
      <c r="J82" s="244" t="s">
        <v>3582</v>
      </c>
      <c r="K82" s="238"/>
      <c r="L82" s="245" t="s">
        <v>3737</v>
      </c>
      <c r="M82" s="245" t="b">
        <v>0</v>
      </c>
      <c r="N82" s="245" t="b">
        <v>0</v>
      </c>
      <c r="O82" s="246"/>
      <c r="P82" s="246"/>
      <c r="Q82" s="246"/>
      <c r="R82" s="246"/>
      <c r="S82" s="246"/>
      <c r="T82" s="246"/>
      <c r="U82" s="246"/>
      <c r="V82" s="246"/>
      <c r="W82" s="246"/>
      <c r="X82" s="246"/>
      <c r="Y82" s="246"/>
      <c r="Z82" s="246"/>
    </row>
    <row r="83" ht="15.75" customHeight="1">
      <c r="A83" s="249" t="s">
        <v>3738</v>
      </c>
      <c r="B83" s="239">
        <v>45897.0</v>
      </c>
      <c r="C83" s="240" t="s">
        <v>3603</v>
      </c>
      <c r="D83" s="238" t="s">
        <v>3225</v>
      </c>
      <c r="E83" s="240" t="s">
        <v>3392</v>
      </c>
      <c r="F83" s="240">
        <v>1.0</v>
      </c>
      <c r="G83" s="248">
        <v>42172.54</v>
      </c>
      <c r="H83" s="242">
        <v>42172.54</v>
      </c>
      <c r="I83" s="243" t="s">
        <v>3706</v>
      </c>
      <c r="J83" s="244" t="s">
        <v>3582</v>
      </c>
      <c r="K83" s="238"/>
      <c r="L83" s="245" t="s">
        <v>3739</v>
      </c>
      <c r="M83" s="245" t="b">
        <v>0</v>
      </c>
      <c r="N83" s="245" t="b">
        <v>0</v>
      </c>
      <c r="O83" s="246"/>
      <c r="P83" s="246"/>
      <c r="Q83" s="246"/>
      <c r="R83" s="246"/>
      <c r="S83" s="246"/>
      <c r="T83" s="246"/>
      <c r="U83" s="246"/>
      <c r="V83" s="246"/>
      <c r="W83" s="246"/>
      <c r="X83" s="246"/>
      <c r="Y83" s="246"/>
      <c r="Z83" s="246"/>
    </row>
    <row r="84" ht="15.75" customHeight="1">
      <c r="A84" s="249" t="s">
        <v>3740</v>
      </c>
      <c r="B84" s="239">
        <v>45897.0</v>
      </c>
      <c r="C84" s="240" t="s">
        <v>3600</v>
      </c>
      <c r="D84" s="238" t="s">
        <v>3219</v>
      </c>
      <c r="E84" s="240" t="s">
        <v>3741</v>
      </c>
      <c r="F84" s="240">
        <v>1.0</v>
      </c>
      <c r="G84" s="248">
        <v>4628.75</v>
      </c>
      <c r="H84" s="242">
        <v>4628.75</v>
      </c>
      <c r="I84" s="243"/>
      <c r="J84" s="244" t="s">
        <v>3582</v>
      </c>
      <c r="K84" s="238"/>
      <c r="L84" s="245" t="s">
        <v>3742</v>
      </c>
      <c r="M84" s="245" t="b">
        <v>0</v>
      </c>
      <c r="N84" s="245" t="b">
        <v>0</v>
      </c>
      <c r="O84" s="246"/>
      <c r="P84" s="246"/>
      <c r="Q84" s="246"/>
      <c r="R84" s="246"/>
      <c r="S84" s="246"/>
      <c r="T84" s="246"/>
      <c r="U84" s="246"/>
      <c r="V84" s="246"/>
      <c r="W84" s="246"/>
      <c r="X84" s="246"/>
      <c r="Y84" s="246"/>
      <c r="Z84" s="246"/>
    </row>
    <row r="85" ht="15.75" customHeight="1">
      <c r="A85" s="249" t="s">
        <v>3409</v>
      </c>
      <c r="B85" s="239">
        <v>45897.0</v>
      </c>
      <c r="C85" s="240" t="s">
        <v>3580</v>
      </c>
      <c r="D85" s="238" t="s">
        <v>3743</v>
      </c>
      <c r="E85" s="240" t="s">
        <v>3411</v>
      </c>
      <c r="F85" s="240">
        <v>1.0</v>
      </c>
      <c r="G85" s="248">
        <v>10340.0</v>
      </c>
      <c r="H85" s="242">
        <v>10340.0</v>
      </c>
      <c r="I85" s="243" t="s">
        <v>3744</v>
      </c>
      <c r="J85" s="244" t="s">
        <v>3582</v>
      </c>
      <c r="K85" s="238"/>
      <c r="L85" s="245" t="s">
        <v>3745</v>
      </c>
      <c r="M85" s="245" t="b">
        <v>0</v>
      </c>
      <c r="N85" s="245" t="b">
        <v>0</v>
      </c>
      <c r="O85" s="246"/>
      <c r="P85" s="246"/>
      <c r="Q85" s="246"/>
      <c r="R85" s="246"/>
      <c r="S85" s="246"/>
      <c r="T85" s="246"/>
      <c r="U85" s="246"/>
      <c r="V85" s="246"/>
      <c r="W85" s="246"/>
      <c r="X85" s="246"/>
      <c r="Y85" s="246"/>
      <c r="Z85" s="246"/>
    </row>
    <row r="86" ht="15.75" customHeight="1">
      <c r="A86" s="249" t="s">
        <v>3413</v>
      </c>
      <c r="B86" s="239">
        <v>45897.0</v>
      </c>
      <c r="C86" s="240" t="s">
        <v>3580</v>
      </c>
      <c r="D86" s="238" t="s">
        <v>3743</v>
      </c>
      <c r="E86" s="240" t="s">
        <v>3746</v>
      </c>
      <c r="F86" s="240">
        <v>1.0</v>
      </c>
      <c r="G86" s="248">
        <v>9000.0</v>
      </c>
      <c r="H86" s="242">
        <v>9000.0</v>
      </c>
      <c r="I86" s="243" t="s">
        <v>3744</v>
      </c>
      <c r="J86" s="244" t="s">
        <v>3582</v>
      </c>
      <c r="K86" s="238"/>
      <c r="L86" s="245" t="s">
        <v>3747</v>
      </c>
      <c r="M86" s="245" t="b">
        <v>0</v>
      </c>
      <c r="N86" s="245" t="b">
        <v>0</v>
      </c>
      <c r="O86" s="246"/>
      <c r="P86" s="246"/>
      <c r="Q86" s="246"/>
      <c r="R86" s="246"/>
      <c r="S86" s="246"/>
      <c r="T86" s="246"/>
      <c r="U86" s="246"/>
      <c r="V86" s="246"/>
      <c r="W86" s="246"/>
      <c r="X86" s="246"/>
      <c r="Y86" s="246"/>
      <c r="Z86" s="246"/>
    </row>
    <row r="87" ht="15.75" customHeight="1">
      <c r="A87" s="249" t="s">
        <v>3415</v>
      </c>
      <c r="B87" s="239">
        <v>45903.0</v>
      </c>
      <c r="C87" s="240" t="s">
        <v>3614</v>
      </c>
      <c r="D87" s="238" t="s">
        <v>3748</v>
      </c>
      <c r="E87" s="240" t="s">
        <v>3749</v>
      </c>
      <c r="F87" s="240">
        <v>1.0</v>
      </c>
      <c r="G87" s="248">
        <v>28000.0</v>
      </c>
      <c r="H87" s="242">
        <v>28000.0</v>
      </c>
      <c r="I87" s="243" t="s">
        <v>3706</v>
      </c>
      <c r="J87" s="244" t="s">
        <v>3582</v>
      </c>
      <c r="K87" s="238"/>
      <c r="L87" s="245" t="s">
        <v>3750</v>
      </c>
      <c r="M87" s="245" t="b">
        <v>0</v>
      </c>
      <c r="N87" s="245" t="b">
        <v>0</v>
      </c>
      <c r="O87" s="246"/>
      <c r="P87" s="246"/>
      <c r="Q87" s="246"/>
      <c r="R87" s="246"/>
      <c r="S87" s="246"/>
      <c r="T87" s="246"/>
      <c r="U87" s="246"/>
      <c r="V87" s="246"/>
      <c r="W87" s="246"/>
      <c r="X87" s="246"/>
      <c r="Y87" s="246"/>
      <c r="Z87" s="246"/>
    </row>
    <row r="88" ht="15.75" customHeight="1">
      <c r="A88" s="249" t="s">
        <v>3418</v>
      </c>
      <c r="B88" s="247">
        <v>45903.0</v>
      </c>
      <c r="C88" s="240" t="s">
        <v>3580</v>
      </c>
      <c r="D88" s="238" t="s">
        <v>3751</v>
      </c>
      <c r="E88" s="240" t="s">
        <v>3752</v>
      </c>
      <c r="F88" s="240">
        <v>1.0</v>
      </c>
      <c r="G88" s="248">
        <v>3123.2</v>
      </c>
      <c r="H88" s="242">
        <v>3123.2</v>
      </c>
      <c r="I88" s="243"/>
      <c r="J88" s="244" t="s">
        <v>3582</v>
      </c>
      <c r="K88" s="238"/>
      <c r="L88" s="245" t="s">
        <v>3753</v>
      </c>
      <c r="M88" s="245" t="b">
        <v>0</v>
      </c>
      <c r="N88" s="245" t="b">
        <v>0</v>
      </c>
      <c r="O88" s="246"/>
      <c r="P88" s="246"/>
      <c r="Q88" s="246"/>
      <c r="R88" s="246"/>
      <c r="S88" s="246"/>
      <c r="T88" s="246"/>
      <c r="U88" s="246"/>
      <c r="V88" s="246"/>
      <c r="W88" s="246"/>
      <c r="X88" s="246"/>
      <c r="Y88" s="246"/>
      <c r="Z88" s="246"/>
    </row>
    <row r="89" ht="15.75" customHeight="1">
      <c r="A89" s="249" t="s">
        <v>3421</v>
      </c>
      <c r="B89" s="247">
        <v>45903.0</v>
      </c>
      <c r="C89" s="240" t="s">
        <v>3580</v>
      </c>
      <c r="D89" s="238" t="s">
        <v>3754</v>
      </c>
      <c r="E89" s="240" t="s">
        <v>3755</v>
      </c>
      <c r="F89" s="240">
        <v>1.0</v>
      </c>
      <c r="G89" s="248">
        <v>34125.0</v>
      </c>
      <c r="H89" s="242">
        <v>34125.0</v>
      </c>
      <c r="I89" s="243" t="s">
        <v>3744</v>
      </c>
      <c r="J89" s="244" t="s">
        <v>3582</v>
      </c>
      <c r="K89" s="238"/>
      <c r="L89" s="245" t="s">
        <v>3756</v>
      </c>
      <c r="M89" s="245" t="b">
        <v>0</v>
      </c>
      <c r="N89" s="245" t="b">
        <v>0</v>
      </c>
      <c r="O89" s="246"/>
      <c r="P89" s="246"/>
      <c r="Q89" s="246"/>
      <c r="R89" s="246"/>
      <c r="S89" s="246"/>
      <c r="T89" s="246"/>
      <c r="U89" s="246"/>
      <c r="V89" s="246"/>
      <c r="W89" s="246"/>
      <c r="X89" s="246"/>
      <c r="Y89" s="246"/>
      <c r="Z89" s="246"/>
    </row>
    <row r="90" ht="15.75" customHeight="1">
      <c r="A90" s="249" t="s">
        <v>3423</v>
      </c>
      <c r="B90" s="247">
        <v>45903.0</v>
      </c>
      <c r="C90" s="240" t="s">
        <v>3593</v>
      </c>
      <c r="D90" s="238" t="s">
        <v>3757</v>
      </c>
      <c r="E90" s="240" t="s">
        <v>3758</v>
      </c>
      <c r="F90" s="240">
        <v>1.0</v>
      </c>
      <c r="G90" s="248">
        <v>975.0</v>
      </c>
      <c r="H90" s="242">
        <v>975.0</v>
      </c>
      <c r="I90" s="243" t="s">
        <v>3706</v>
      </c>
      <c r="J90" s="244" t="s">
        <v>3582</v>
      </c>
      <c r="K90" s="238"/>
      <c r="L90" s="245" t="s">
        <v>3759</v>
      </c>
      <c r="M90" s="245" t="b">
        <v>0</v>
      </c>
      <c r="N90" s="245" t="b">
        <v>0</v>
      </c>
      <c r="O90" s="246"/>
      <c r="P90" s="246"/>
      <c r="Q90" s="246"/>
      <c r="R90" s="246"/>
      <c r="S90" s="246"/>
      <c r="T90" s="246"/>
      <c r="U90" s="246"/>
      <c r="V90" s="246"/>
      <c r="W90" s="246"/>
      <c r="X90" s="246"/>
      <c r="Y90" s="246"/>
      <c r="Z90" s="246"/>
    </row>
    <row r="91" ht="15.75" customHeight="1">
      <c r="A91" s="249" t="s">
        <v>3426</v>
      </c>
      <c r="B91" s="247">
        <v>45905.0</v>
      </c>
      <c r="C91" s="240" t="s">
        <v>3619</v>
      </c>
      <c r="D91" s="238" t="s">
        <v>3760</v>
      </c>
      <c r="E91" s="240" t="s">
        <v>3369</v>
      </c>
      <c r="F91" s="240">
        <v>1.0</v>
      </c>
      <c r="G91" s="248">
        <v>4800.0</v>
      </c>
      <c r="H91" s="242">
        <v>4800.0</v>
      </c>
      <c r="I91" s="243" t="s">
        <v>3706</v>
      </c>
      <c r="J91" s="244" t="s">
        <v>3582</v>
      </c>
      <c r="K91" s="238"/>
      <c r="L91" s="245" t="s">
        <v>3761</v>
      </c>
      <c r="M91" s="245" t="b">
        <v>0</v>
      </c>
      <c r="N91" s="245" t="b">
        <v>0</v>
      </c>
      <c r="O91" s="246"/>
      <c r="P91" s="246"/>
      <c r="Q91" s="246"/>
      <c r="R91" s="246"/>
      <c r="S91" s="246"/>
      <c r="T91" s="246"/>
      <c r="U91" s="246"/>
      <c r="V91" s="246"/>
      <c r="W91" s="246"/>
      <c r="X91" s="246"/>
      <c r="Y91" s="246"/>
      <c r="Z91" s="246"/>
    </row>
    <row r="92" ht="15.75" customHeight="1">
      <c r="A92" s="249" t="s">
        <v>3762</v>
      </c>
      <c r="B92" s="247">
        <v>45909.0</v>
      </c>
      <c r="C92" s="240" t="s">
        <v>3600</v>
      </c>
      <c r="D92" s="238" t="s">
        <v>3219</v>
      </c>
      <c r="E92" s="240" t="s">
        <v>3763</v>
      </c>
      <c r="F92" s="240">
        <v>1.0</v>
      </c>
      <c r="G92" s="248">
        <v>5514.9</v>
      </c>
      <c r="H92" s="242">
        <v>5514.9</v>
      </c>
      <c r="I92" s="243" t="s">
        <v>3706</v>
      </c>
      <c r="J92" s="244" t="s">
        <v>3582</v>
      </c>
      <c r="K92" s="238"/>
      <c r="L92" s="245" t="s">
        <v>3764</v>
      </c>
      <c r="M92" s="245" t="b">
        <v>0</v>
      </c>
      <c r="N92" s="245" t="b">
        <v>0</v>
      </c>
      <c r="O92" s="246"/>
      <c r="P92" s="246"/>
      <c r="Q92" s="246"/>
      <c r="R92" s="246"/>
      <c r="S92" s="246"/>
      <c r="T92" s="246"/>
      <c r="U92" s="246"/>
      <c r="V92" s="246"/>
      <c r="W92" s="246"/>
      <c r="X92" s="246"/>
      <c r="Y92" s="246"/>
      <c r="Z92" s="246"/>
    </row>
    <row r="93" ht="15.75" customHeight="1">
      <c r="A93" s="249" t="s">
        <v>3765</v>
      </c>
      <c r="B93" s="247">
        <v>45909.0</v>
      </c>
      <c r="C93" s="240" t="s">
        <v>3580</v>
      </c>
      <c r="D93" s="238" t="s">
        <v>3766</v>
      </c>
      <c r="E93" s="240" t="s">
        <v>3767</v>
      </c>
      <c r="F93" s="240">
        <v>1.0</v>
      </c>
      <c r="G93" s="248">
        <v>750.0</v>
      </c>
      <c r="H93" s="242">
        <v>750.0</v>
      </c>
      <c r="I93" s="243" t="s">
        <v>3706</v>
      </c>
      <c r="J93" s="244" t="s">
        <v>3582</v>
      </c>
      <c r="K93" s="238"/>
      <c r="L93" s="245" t="s">
        <v>3768</v>
      </c>
      <c r="M93" s="245" t="b">
        <v>0</v>
      </c>
      <c r="N93" s="245" t="b">
        <v>0</v>
      </c>
      <c r="O93" s="246"/>
      <c r="P93" s="246"/>
      <c r="Q93" s="246"/>
      <c r="R93" s="246"/>
      <c r="S93" s="246"/>
      <c r="T93" s="246"/>
      <c r="U93" s="246"/>
      <c r="V93" s="246"/>
      <c r="W93" s="246"/>
      <c r="X93" s="246"/>
      <c r="Y93" s="246"/>
      <c r="Z93" s="246"/>
    </row>
    <row r="94" ht="15.75" customHeight="1">
      <c r="A94" s="249" t="s">
        <v>3769</v>
      </c>
      <c r="B94" s="247">
        <v>45909.0</v>
      </c>
      <c r="C94" s="240" t="s">
        <v>3580</v>
      </c>
      <c r="D94" s="238" t="s">
        <v>3770</v>
      </c>
      <c r="E94" s="240" t="s">
        <v>3771</v>
      </c>
      <c r="F94" s="240">
        <v>1.0</v>
      </c>
      <c r="G94" s="248">
        <v>7095.55</v>
      </c>
      <c r="H94" s="242">
        <v>7095.55</v>
      </c>
      <c r="I94" s="243" t="s">
        <v>3706</v>
      </c>
      <c r="J94" s="244" t="s">
        <v>3582</v>
      </c>
      <c r="K94" s="238"/>
      <c r="L94" s="245" t="s">
        <v>3772</v>
      </c>
      <c r="M94" s="245" t="b">
        <v>0</v>
      </c>
      <c r="N94" s="245" t="b">
        <v>0</v>
      </c>
      <c r="O94" s="246"/>
      <c r="P94" s="246"/>
      <c r="Q94" s="246"/>
      <c r="R94" s="246"/>
      <c r="S94" s="246"/>
      <c r="T94" s="246"/>
      <c r="U94" s="246"/>
      <c r="V94" s="246"/>
      <c r="W94" s="246"/>
      <c r="X94" s="246"/>
      <c r="Y94" s="246"/>
      <c r="Z94" s="246"/>
    </row>
    <row r="95" ht="15.75" customHeight="1">
      <c r="A95" s="249" t="s">
        <v>3773</v>
      </c>
      <c r="B95" s="247">
        <v>45909.0</v>
      </c>
      <c r="C95" s="240" t="s">
        <v>3600</v>
      </c>
      <c r="D95" s="238" t="s">
        <v>3719</v>
      </c>
      <c r="E95" s="240" t="s">
        <v>3774</v>
      </c>
      <c r="F95" s="240">
        <v>1.0</v>
      </c>
      <c r="G95" s="248">
        <v>5000.0</v>
      </c>
      <c r="H95" s="242">
        <v>5000.0</v>
      </c>
      <c r="I95" s="243" t="s">
        <v>3706</v>
      </c>
      <c r="J95" s="244" t="s">
        <v>3582</v>
      </c>
      <c r="K95" s="238"/>
      <c r="L95" s="245" t="s">
        <v>3775</v>
      </c>
      <c r="M95" s="245" t="b">
        <v>0</v>
      </c>
      <c r="N95" s="245" t="b">
        <v>0</v>
      </c>
      <c r="O95" s="246"/>
      <c r="P95" s="246"/>
      <c r="Q95" s="246"/>
      <c r="R95" s="246"/>
      <c r="S95" s="246"/>
      <c r="T95" s="246"/>
      <c r="U95" s="246"/>
      <c r="V95" s="246"/>
      <c r="W95" s="246"/>
      <c r="X95" s="246"/>
      <c r="Y95" s="246"/>
      <c r="Z95" s="246"/>
    </row>
    <row r="96" ht="15.75" customHeight="1">
      <c r="A96" s="249" t="s">
        <v>3776</v>
      </c>
      <c r="B96" s="247">
        <v>45909.0</v>
      </c>
      <c r="C96" s="240" t="s">
        <v>3612</v>
      </c>
      <c r="D96" s="238" t="s">
        <v>3225</v>
      </c>
      <c r="E96" s="240" t="s">
        <v>3777</v>
      </c>
      <c r="F96" s="240">
        <v>1.0</v>
      </c>
      <c r="G96" s="248">
        <v>35890.08</v>
      </c>
      <c r="H96" s="242">
        <v>35890.08</v>
      </c>
      <c r="I96" s="243" t="s">
        <v>3706</v>
      </c>
      <c r="J96" s="244" t="s">
        <v>3582</v>
      </c>
      <c r="K96" s="238"/>
      <c r="L96" s="245" t="s">
        <v>3778</v>
      </c>
      <c r="M96" s="245" t="b">
        <v>0</v>
      </c>
      <c r="N96" s="245" t="b">
        <v>0</v>
      </c>
      <c r="O96" s="246"/>
      <c r="P96" s="246"/>
      <c r="Q96" s="246"/>
      <c r="R96" s="246"/>
      <c r="S96" s="246"/>
      <c r="T96" s="246"/>
      <c r="U96" s="246"/>
      <c r="V96" s="246"/>
      <c r="W96" s="246"/>
      <c r="X96" s="246"/>
      <c r="Y96" s="246"/>
      <c r="Z96" s="246"/>
    </row>
    <row r="97" ht="15.75" customHeight="1">
      <c r="A97" s="249" t="s">
        <v>3779</v>
      </c>
      <c r="B97" s="247">
        <v>45911.0</v>
      </c>
      <c r="C97" s="240" t="s">
        <v>3580</v>
      </c>
      <c r="D97" s="238" t="s">
        <v>3441</v>
      </c>
      <c r="E97" s="240" t="s">
        <v>3442</v>
      </c>
      <c r="F97" s="240">
        <v>1.0</v>
      </c>
      <c r="G97" s="248">
        <v>8000.0</v>
      </c>
      <c r="H97" s="242">
        <v>8000.0</v>
      </c>
      <c r="I97" s="243" t="s">
        <v>3706</v>
      </c>
      <c r="J97" s="244" t="s">
        <v>3582</v>
      </c>
      <c r="K97" s="238"/>
      <c r="L97" s="245" t="s">
        <v>3780</v>
      </c>
      <c r="M97" s="245" t="b">
        <v>0</v>
      </c>
      <c r="N97" s="245" t="b">
        <v>0</v>
      </c>
      <c r="O97" s="246"/>
      <c r="P97" s="246"/>
      <c r="Q97" s="246"/>
      <c r="R97" s="246"/>
      <c r="S97" s="246"/>
      <c r="T97" s="246"/>
      <c r="U97" s="246"/>
      <c r="V97" s="246"/>
      <c r="W97" s="246"/>
      <c r="X97" s="246"/>
      <c r="Y97" s="246"/>
      <c r="Z97" s="246"/>
    </row>
    <row r="98" ht="15.75" customHeight="1">
      <c r="A98" s="249" t="s">
        <v>3443</v>
      </c>
      <c r="B98" s="247">
        <v>45911.0</v>
      </c>
      <c r="C98" s="240" t="s">
        <v>3593</v>
      </c>
      <c r="D98" s="238" t="s">
        <v>3781</v>
      </c>
      <c r="E98" s="240" t="s">
        <v>3782</v>
      </c>
      <c r="F98" s="240">
        <v>1.0</v>
      </c>
      <c r="G98" s="248">
        <v>57000.0</v>
      </c>
      <c r="H98" s="242">
        <v>57000.0</v>
      </c>
      <c r="I98" s="243" t="s">
        <v>3706</v>
      </c>
      <c r="J98" s="244" t="s">
        <v>3582</v>
      </c>
      <c r="K98" s="238"/>
      <c r="L98" s="245" t="s">
        <v>3783</v>
      </c>
      <c r="M98" s="245" t="b">
        <v>0</v>
      </c>
      <c r="N98" s="245" t="b">
        <v>0</v>
      </c>
      <c r="O98" s="246"/>
      <c r="P98" s="246"/>
      <c r="Q98" s="246"/>
      <c r="R98" s="246"/>
      <c r="S98" s="246"/>
      <c r="T98" s="246"/>
      <c r="U98" s="246"/>
      <c r="V98" s="246"/>
      <c r="W98" s="246"/>
      <c r="X98" s="246"/>
      <c r="Y98" s="246"/>
      <c r="Z98" s="246"/>
    </row>
    <row r="99" ht="15.75" customHeight="1">
      <c r="A99" s="249" t="s">
        <v>3446</v>
      </c>
      <c r="B99" s="239">
        <v>45918.0</v>
      </c>
      <c r="C99" s="240" t="s">
        <v>3619</v>
      </c>
      <c r="D99" s="238" t="s">
        <v>3784</v>
      </c>
      <c r="E99" s="240" t="s">
        <v>3448</v>
      </c>
      <c r="F99" s="240">
        <v>1.0</v>
      </c>
      <c r="G99" s="248">
        <v>13030.0</v>
      </c>
      <c r="H99" s="242">
        <v>13030.0</v>
      </c>
      <c r="I99" s="243" t="s">
        <v>3706</v>
      </c>
      <c r="J99" s="244" t="s">
        <v>3582</v>
      </c>
      <c r="K99" s="238"/>
      <c r="L99" s="245" t="s">
        <v>3785</v>
      </c>
      <c r="M99" s="245" t="b">
        <v>0</v>
      </c>
      <c r="N99" s="245" t="b">
        <v>0</v>
      </c>
      <c r="O99" s="246"/>
      <c r="P99" s="246"/>
      <c r="Q99" s="246"/>
      <c r="R99" s="246"/>
      <c r="S99" s="246"/>
      <c r="T99" s="246"/>
      <c r="U99" s="246"/>
      <c r="V99" s="246"/>
      <c r="W99" s="246"/>
      <c r="X99" s="246"/>
      <c r="Y99" s="246"/>
      <c r="Z99" s="246"/>
    </row>
    <row r="100" ht="15.75" customHeight="1">
      <c r="A100" s="238" t="s">
        <v>3449</v>
      </c>
      <c r="B100" s="239">
        <v>45918.0</v>
      </c>
      <c r="C100" s="240" t="s">
        <v>3580</v>
      </c>
      <c r="D100" s="238" t="s">
        <v>3631</v>
      </c>
      <c r="E100" s="240" t="s">
        <v>3786</v>
      </c>
      <c r="F100" s="240">
        <v>1.0</v>
      </c>
      <c r="G100" s="248">
        <v>11200.0</v>
      </c>
      <c r="H100" s="242">
        <v>11200.0</v>
      </c>
      <c r="I100" s="243" t="s">
        <v>3744</v>
      </c>
      <c r="J100" s="244" t="s">
        <v>3582</v>
      </c>
      <c r="K100" s="238"/>
      <c r="L100" s="245" t="s">
        <v>3787</v>
      </c>
      <c r="M100" s="245" t="b">
        <v>0</v>
      </c>
      <c r="N100" s="245" t="b">
        <v>0</v>
      </c>
      <c r="O100" s="246"/>
      <c r="P100" s="246"/>
      <c r="Q100" s="246"/>
      <c r="R100" s="246"/>
      <c r="S100" s="246"/>
      <c r="T100" s="246"/>
      <c r="U100" s="246"/>
      <c r="V100" s="246"/>
      <c r="W100" s="246"/>
      <c r="X100" s="246"/>
      <c r="Y100" s="246"/>
      <c r="Z100" s="246"/>
    </row>
    <row r="101" ht="15.75" customHeight="1">
      <c r="A101" s="249" t="s">
        <v>3453</v>
      </c>
      <c r="B101" s="239">
        <v>45918.0</v>
      </c>
      <c r="C101" s="240" t="s">
        <v>3580</v>
      </c>
      <c r="D101" s="238" t="s">
        <v>3631</v>
      </c>
      <c r="E101" s="240" t="s">
        <v>3786</v>
      </c>
      <c r="F101" s="240">
        <v>1.0</v>
      </c>
      <c r="G101" s="248">
        <v>3800.0</v>
      </c>
      <c r="H101" s="242">
        <v>3800.0</v>
      </c>
      <c r="I101" s="243" t="s">
        <v>3744</v>
      </c>
      <c r="J101" s="244" t="s">
        <v>3582</v>
      </c>
      <c r="K101" s="238"/>
      <c r="L101" s="245" t="s">
        <v>3788</v>
      </c>
      <c r="M101" s="245" t="b">
        <v>0</v>
      </c>
      <c r="N101" s="245" t="b">
        <v>0</v>
      </c>
      <c r="O101" s="246"/>
      <c r="P101" s="246"/>
      <c r="Q101" s="246"/>
      <c r="R101" s="246"/>
      <c r="S101" s="246"/>
      <c r="T101" s="246"/>
      <c r="U101" s="246"/>
      <c r="V101" s="246"/>
      <c r="W101" s="246"/>
      <c r="X101" s="246"/>
      <c r="Y101" s="246"/>
      <c r="Z101" s="246"/>
    </row>
    <row r="102" ht="15.75" customHeight="1">
      <c r="A102" s="249" t="s">
        <v>3454</v>
      </c>
      <c r="B102" s="239">
        <v>45918.0</v>
      </c>
      <c r="C102" s="240" t="s">
        <v>3681</v>
      </c>
      <c r="D102" s="238" t="s">
        <v>3789</v>
      </c>
      <c r="E102" s="240" t="s">
        <v>3369</v>
      </c>
      <c r="F102" s="240">
        <v>1.0</v>
      </c>
      <c r="G102" s="248">
        <v>3800.0</v>
      </c>
      <c r="H102" s="242">
        <v>3800.0</v>
      </c>
      <c r="I102" s="243" t="s">
        <v>3706</v>
      </c>
      <c r="J102" s="244" t="s">
        <v>3582</v>
      </c>
      <c r="K102" s="238"/>
      <c r="L102" s="245" t="s">
        <v>3790</v>
      </c>
      <c r="M102" s="245" t="b">
        <v>0</v>
      </c>
      <c r="N102" s="245" t="b">
        <v>0</v>
      </c>
      <c r="O102" s="246"/>
      <c r="P102" s="246"/>
      <c r="Q102" s="246"/>
      <c r="R102" s="246"/>
      <c r="S102" s="246"/>
      <c r="T102" s="246"/>
      <c r="U102" s="246"/>
      <c r="V102" s="246"/>
      <c r="W102" s="246"/>
      <c r="X102" s="246"/>
      <c r="Y102" s="246"/>
      <c r="Z102" s="246"/>
    </row>
    <row r="103" ht="15.75" customHeight="1">
      <c r="A103" s="249" t="s">
        <v>3791</v>
      </c>
      <c r="B103" s="239">
        <v>45918.0</v>
      </c>
      <c r="C103" s="240" t="s">
        <v>3593</v>
      </c>
      <c r="D103" s="238" t="s">
        <v>3792</v>
      </c>
      <c r="E103" s="240" t="s">
        <v>3793</v>
      </c>
      <c r="F103" s="240">
        <v>1.0</v>
      </c>
      <c r="G103" s="248">
        <v>11500.0</v>
      </c>
      <c r="H103" s="242">
        <v>11500.0</v>
      </c>
      <c r="I103" s="243"/>
      <c r="J103" s="244" t="s">
        <v>3582</v>
      </c>
      <c r="K103" s="238"/>
      <c r="L103" s="245" t="s">
        <v>3794</v>
      </c>
      <c r="M103" s="245" t="b">
        <v>0</v>
      </c>
      <c r="N103" s="245" t="b">
        <v>0</v>
      </c>
      <c r="O103" s="246"/>
      <c r="P103" s="246"/>
      <c r="Q103" s="246"/>
      <c r="R103" s="246"/>
      <c r="S103" s="246"/>
      <c r="T103" s="246"/>
      <c r="U103" s="246"/>
      <c r="V103" s="246"/>
      <c r="W103" s="246"/>
      <c r="X103" s="246"/>
      <c r="Y103" s="246"/>
      <c r="Z103" s="246"/>
    </row>
    <row r="104" ht="15.75" customHeight="1">
      <c r="A104" s="249" t="s">
        <v>3795</v>
      </c>
      <c r="B104" s="239">
        <v>45918.0</v>
      </c>
      <c r="C104" s="240" t="s">
        <v>3796</v>
      </c>
      <c r="D104" s="238" t="s">
        <v>3797</v>
      </c>
      <c r="E104" s="240" t="s">
        <v>3798</v>
      </c>
      <c r="F104" s="240">
        <v>1.0</v>
      </c>
      <c r="G104" s="248">
        <v>25100.0</v>
      </c>
      <c r="H104" s="242">
        <v>25100.0</v>
      </c>
      <c r="I104" s="243" t="s">
        <v>3744</v>
      </c>
      <c r="J104" s="244" t="s">
        <v>3582</v>
      </c>
      <c r="K104" s="238"/>
      <c r="L104" s="245" t="s">
        <v>3799</v>
      </c>
      <c r="M104" s="245" t="b">
        <v>0</v>
      </c>
      <c r="N104" s="245" t="b">
        <v>0</v>
      </c>
      <c r="O104" s="246"/>
      <c r="P104" s="246"/>
      <c r="Q104" s="246"/>
      <c r="R104" s="246"/>
      <c r="S104" s="246"/>
      <c r="T104" s="246"/>
      <c r="U104" s="246"/>
      <c r="V104" s="246"/>
      <c r="W104" s="246"/>
      <c r="X104" s="246"/>
      <c r="Y104" s="246"/>
      <c r="Z104" s="246"/>
    </row>
    <row r="105" ht="15.75" customHeight="1">
      <c r="A105" s="249" t="s">
        <v>3800</v>
      </c>
      <c r="B105" s="239">
        <v>45918.0</v>
      </c>
      <c r="C105" s="240" t="s">
        <v>3600</v>
      </c>
      <c r="D105" s="238" t="s">
        <v>3719</v>
      </c>
      <c r="E105" s="240" t="s">
        <v>3719</v>
      </c>
      <c r="F105" s="240">
        <v>1.0</v>
      </c>
      <c r="G105" s="248">
        <v>10949.23</v>
      </c>
      <c r="H105" s="242">
        <v>10949.23</v>
      </c>
      <c r="I105" s="243" t="s">
        <v>3706</v>
      </c>
      <c r="J105" s="244" t="s">
        <v>3582</v>
      </c>
      <c r="K105" s="238"/>
      <c r="L105" s="245" t="s">
        <v>3801</v>
      </c>
      <c r="M105" s="245" t="b">
        <v>0</v>
      </c>
      <c r="N105" s="245" t="b">
        <v>0</v>
      </c>
      <c r="O105" s="246"/>
      <c r="P105" s="246"/>
      <c r="Q105" s="246"/>
      <c r="R105" s="246"/>
      <c r="S105" s="246"/>
      <c r="T105" s="246"/>
      <c r="U105" s="246"/>
      <c r="V105" s="246"/>
      <c r="W105" s="246"/>
      <c r="X105" s="246"/>
      <c r="Y105" s="246"/>
      <c r="Z105" s="246"/>
    </row>
    <row r="106" ht="15.75" customHeight="1">
      <c r="A106" s="249" t="s">
        <v>3463</v>
      </c>
      <c r="B106" s="239">
        <v>45923.0</v>
      </c>
      <c r="C106" s="240" t="s">
        <v>3681</v>
      </c>
      <c r="D106" s="238" t="s">
        <v>3802</v>
      </c>
      <c r="E106" s="240" t="s">
        <v>3369</v>
      </c>
      <c r="F106" s="240">
        <v>1.0</v>
      </c>
      <c r="G106" s="248">
        <v>2000.0</v>
      </c>
      <c r="H106" s="242">
        <v>2000.0</v>
      </c>
      <c r="I106" s="243"/>
      <c r="J106" s="244" t="s">
        <v>3582</v>
      </c>
      <c r="K106" s="238"/>
      <c r="L106" s="245" t="s">
        <v>3803</v>
      </c>
      <c r="M106" s="245" t="b">
        <v>0</v>
      </c>
      <c r="N106" s="245" t="b">
        <v>0</v>
      </c>
      <c r="O106" s="246"/>
      <c r="P106" s="246"/>
      <c r="Q106" s="246"/>
      <c r="R106" s="246"/>
      <c r="S106" s="246"/>
      <c r="T106" s="246"/>
      <c r="U106" s="246"/>
      <c r="V106" s="246"/>
      <c r="W106" s="246"/>
      <c r="X106" s="246"/>
      <c r="Y106" s="246"/>
      <c r="Z106" s="246"/>
    </row>
    <row r="107" ht="15.75" customHeight="1">
      <c r="A107" s="249" t="s">
        <v>3804</v>
      </c>
      <c r="B107" s="239">
        <v>45923.0</v>
      </c>
      <c r="C107" s="240" t="s">
        <v>3580</v>
      </c>
      <c r="D107" s="238" t="s">
        <v>3467</v>
      </c>
      <c r="E107" s="240" t="s">
        <v>3805</v>
      </c>
      <c r="F107" s="240">
        <v>1.0</v>
      </c>
      <c r="G107" s="248">
        <v>4000.0</v>
      </c>
      <c r="H107" s="242">
        <v>4000.0</v>
      </c>
      <c r="I107" s="243" t="s">
        <v>3744</v>
      </c>
      <c r="J107" s="244" t="s">
        <v>3582</v>
      </c>
      <c r="K107" s="238"/>
      <c r="L107" s="245" t="s">
        <v>3806</v>
      </c>
      <c r="M107" s="245" t="b">
        <v>0</v>
      </c>
      <c r="N107" s="245" t="b">
        <v>0</v>
      </c>
      <c r="O107" s="246"/>
      <c r="P107" s="246"/>
      <c r="Q107" s="246"/>
      <c r="R107" s="246"/>
      <c r="S107" s="246"/>
      <c r="T107" s="246"/>
      <c r="U107" s="246"/>
      <c r="V107" s="246"/>
      <c r="W107" s="246"/>
      <c r="X107" s="246"/>
      <c r="Y107" s="246"/>
      <c r="Z107" s="246"/>
    </row>
    <row r="108" ht="15.75" customHeight="1">
      <c r="A108" s="249" t="s">
        <v>3469</v>
      </c>
      <c r="B108" s="239">
        <v>45923.0</v>
      </c>
      <c r="C108" s="240" t="s">
        <v>3681</v>
      </c>
      <c r="D108" s="238" t="s">
        <v>3789</v>
      </c>
      <c r="E108" s="240" t="s">
        <v>3654</v>
      </c>
      <c r="F108" s="240">
        <v>1.0</v>
      </c>
      <c r="G108" s="248">
        <v>1200.0</v>
      </c>
      <c r="H108" s="242">
        <v>1200.0</v>
      </c>
      <c r="I108" s="243" t="s">
        <v>3706</v>
      </c>
      <c r="J108" s="244" t="s">
        <v>3582</v>
      </c>
      <c r="K108" s="238"/>
      <c r="L108" s="245" t="s">
        <v>3807</v>
      </c>
      <c r="M108" s="245" t="b">
        <v>0</v>
      </c>
      <c r="N108" s="245" t="b">
        <v>0</v>
      </c>
      <c r="O108" s="246"/>
      <c r="P108" s="246"/>
      <c r="Q108" s="246"/>
      <c r="R108" s="246"/>
      <c r="S108" s="246"/>
      <c r="T108" s="246"/>
      <c r="U108" s="246"/>
      <c r="V108" s="246"/>
      <c r="W108" s="246"/>
      <c r="X108" s="246"/>
      <c r="Y108" s="246"/>
      <c r="Z108" s="246"/>
    </row>
    <row r="109" ht="15.75" customHeight="1">
      <c r="A109" s="249" t="s">
        <v>3470</v>
      </c>
      <c r="B109" s="239">
        <v>45923.0</v>
      </c>
      <c r="C109" s="240" t="s">
        <v>3681</v>
      </c>
      <c r="D109" s="238" t="s">
        <v>3808</v>
      </c>
      <c r="E109" s="240" t="s">
        <v>3809</v>
      </c>
      <c r="F109" s="240">
        <v>1.0</v>
      </c>
      <c r="G109" s="248">
        <v>2070.0</v>
      </c>
      <c r="H109" s="242">
        <v>2070.0</v>
      </c>
      <c r="I109" s="243" t="s">
        <v>3706</v>
      </c>
      <c r="J109" s="244" t="s">
        <v>3582</v>
      </c>
      <c r="K109" s="238"/>
      <c r="L109" s="245" t="s">
        <v>3810</v>
      </c>
      <c r="M109" s="245" t="b">
        <v>0</v>
      </c>
      <c r="N109" s="245" t="b">
        <v>0</v>
      </c>
      <c r="O109" s="246"/>
      <c r="P109" s="246"/>
      <c r="Q109" s="246"/>
      <c r="R109" s="246"/>
      <c r="S109" s="246"/>
      <c r="T109" s="246"/>
      <c r="U109" s="246"/>
      <c r="V109" s="246"/>
      <c r="W109" s="246"/>
      <c r="X109" s="246"/>
      <c r="Y109" s="246"/>
      <c r="Z109" s="246"/>
    </row>
    <row r="110" ht="15.75" customHeight="1">
      <c r="A110" s="249" t="s">
        <v>3472</v>
      </c>
      <c r="B110" s="239">
        <v>45930.0</v>
      </c>
      <c r="C110" s="240" t="s">
        <v>3603</v>
      </c>
      <c r="D110" s="238" t="s">
        <v>3225</v>
      </c>
      <c r="E110" s="240" t="s">
        <v>3811</v>
      </c>
      <c r="F110" s="240">
        <v>1.0</v>
      </c>
      <c r="G110" s="248">
        <v>53878.03</v>
      </c>
      <c r="H110" s="242">
        <v>53878.03</v>
      </c>
      <c r="I110" s="243" t="s">
        <v>3706</v>
      </c>
      <c r="J110" s="244" t="s">
        <v>3582</v>
      </c>
      <c r="K110" s="238"/>
      <c r="L110" s="245" t="s">
        <v>3812</v>
      </c>
      <c r="M110" s="245" t="b">
        <v>0</v>
      </c>
      <c r="N110" s="245" t="b">
        <v>0</v>
      </c>
      <c r="O110" s="246"/>
      <c r="P110" s="246"/>
      <c r="Q110" s="246"/>
      <c r="R110" s="246"/>
      <c r="S110" s="246"/>
      <c r="T110" s="246"/>
      <c r="U110" s="246"/>
      <c r="V110" s="246"/>
      <c r="W110" s="246"/>
      <c r="X110" s="246"/>
      <c r="Y110" s="246"/>
      <c r="Z110" s="246"/>
    </row>
    <row r="111" ht="15.75" customHeight="1">
      <c r="A111" s="267" t="s">
        <v>3475</v>
      </c>
      <c r="B111" s="268"/>
      <c r="C111" s="269"/>
      <c r="D111" s="267"/>
      <c r="E111" s="270" t="s">
        <v>3476</v>
      </c>
      <c r="F111" s="269">
        <v>1.0</v>
      </c>
      <c r="G111" s="271">
        <v>0.0</v>
      </c>
      <c r="H111" s="236"/>
      <c r="I111" s="272"/>
      <c r="J111" s="267"/>
      <c r="K111" s="267"/>
      <c r="L111" s="245" t="s">
        <v>3813</v>
      </c>
      <c r="M111" s="1" t="b">
        <v>1</v>
      </c>
      <c r="N111" s="1" t="b">
        <v>1</v>
      </c>
    </row>
    <row r="112" ht="15.75" customHeight="1">
      <c r="A112" s="249" t="s">
        <v>3477</v>
      </c>
      <c r="B112" s="239">
        <v>45930.0</v>
      </c>
      <c r="C112" s="240" t="s">
        <v>3796</v>
      </c>
      <c r="D112" s="238" t="s">
        <v>3478</v>
      </c>
      <c r="E112" s="240" t="s">
        <v>3814</v>
      </c>
      <c r="F112" s="240">
        <v>1.0</v>
      </c>
      <c r="G112" s="248">
        <v>16250.0</v>
      </c>
      <c r="H112" s="242">
        <v>16250.0</v>
      </c>
      <c r="I112" s="243" t="s">
        <v>3744</v>
      </c>
      <c r="J112" s="244" t="s">
        <v>3582</v>
      </c>
      <c r="K112" s="238"/>
      <c r="L112" s="245" t="s">
        <v>3815</v>
      </c>
      <c r="M112" s="245" t="b">
        <v>0</v>
      </c>
      <c r="N112" s="245" t="b">
        <v>0</v>
      </c>
      <c r="O112" s="246"/>
      <c r="P112" s="246"/>
      <c r="Q112" s="246"/>
      <c r="R112" s="246"/>
      <c r="S112" s="246"/>
      <c r="T112" s="246"/>
      <c r="U112" s="246"/>
      <c r="V112" s="246"/>
      <c r="W112" s="246"/>
      <c r="X112" s="246"/>
      <c r="Y112" s="246"/>
      <c r="Z112" s="246"/>
    </row>
    <row r="113" ht="15.75" customHeight="1">
      <c r="A113" s="249" t="s">
        <v>3482</v>
      </c>
      <c r="B113" s="239">
        <v>45933.0</v>
      </c>
      <c r="C113" s="240" t="s">
        <v>3681</v>
      </c>
      <c r="D113" s="238" t="s">
        <v>3789</v>
      </c>
      <c r="E113" s="240" t="s">
        <v>3369</v>
      </c>
      <c r="F113" s="240">
        <v>1.0</v>
      </c>
      <c r="G113" s="248">
        <v>1500.0</v>
      </c>
      <c r="H113" s="242">
        <v>1500.0</v>
      </c>
      <c r="I113" s="243" t="s">
        <v>3706</v>
      </c>
      <c r="J113" s="244" t="s">
        <v>3582</v>
      </c>
      <c r="K113" s="238"/>
      <c r="L113" s="245" t="s">
        <v>3816</v>
      </c>
      <c r="M113" s="245" t="b">
        <v>0</v>
      </c>
      <c r="N113" s="245" t="b">
        <v>0</v>
      </c>
      <c r="O113" s="246"/>
      <c r="P113" s="246"/>
      <c r="Q113" s="246"/>
      <c r="R113" s="246"/>
      <c r="S113" s="246"/>
      <c r="T113" s="246"/>
      <c r="U113" s="246"/>
      <c r="V113" s="246"/>
      <c r="W113" s="246"/>
      <c r="X113" s="246"/>
      <c r="Y113" s="246"/>
      <c r="Z113" s="246"/>
    </row>
    <row r="114" ht="15.75" customHeight="1">
      <c r="A114" s="249" t="s">
        <v>3485</v>
      </c>
      <c r="B114" s="247">
        <v>45933.0</v>
      </c>
      <c r="C114" s="240" t="s">
        <v>3681</v>
      </c>
      <c r="D114" s="238" t="s">
        <v>3802</v>
      </c>
      <c r="E114" s="240" t="s">
        <v>3369</v>
      </c>
      <c r="F114" s="240">
        <v>1.0</v>
      </c>
      <c r="G114" s="248">
        <v>3000.0</v>
      </c>
      <c r="H114" s="242">
        <v>3000.0</v>
      </c>
      <c r="I114" s="243" t="s">
        <v>3706</v>
      </c>
      <c r="J114" s="244" t="s">
        <v>3582</v>
      </c>
      <c r="K114" s="238"/>
      <c r="L114" s="245" t="s">
        <v>3817</v>
      </c>
      <c r="M114" s="245" t="b">
        <v>0</v>
      </c>
      <c r="N114" s="245" t="b">
        <v>0</v>
      </c>
      <c r="O114" s="246"/>
      <c r="P114" s="246"/>
      <c r="Q114" s="246"/>
      <c r="R114" s="246"/>
      <c r="S114" s="246"/>
      <c r="T114" s="246"/>
      <c r="U114" s="246"/>
      <c r="V114" s="246"/>
      <c r="W114" s="246"/>
      <c r="X114" s="246"/>
      <c r="Y114" s="246"/>
      <c r="Z114" s="246"/>
    </row>
    <row r="115" ht="15.75" customHeight="1">
      <c r="A115" s="249" t="s">
        <v>3486</v>
      </c>
      <c r="B115" s="247">
        <v>45933.0</v>
      </c>
      <c r="C115" s="240" t="s">
        <v>3580</v>
      </c>
      <c r="D115" s="238" t="s">
        <v>3818</v>
      </c>
      <c r="E115" s="240" t="s">
        <v>3819</v>
      </c>
      <c r="F115" s="240">
        <v>1.0</v>
      </c>
      <c r="G115" s="248">
        <v>3000.0</v>
      </c>
      <c r="H115" s="242">
        <v>3000.0</v>
      </c>
      <c r="I115" s="243" t="s">
        <v>3706</v>
      </c>
      <c r="J115" s="244" t="s">
        <v>3582</v>
      </c>
      <c r="K115" s="238"/>
      <c r="L115" s="245" t="s">
        <v>3820</v>
      </c>
      <c r="M115" s="245" t="b">
        <v>0</v>
      </c>
      <c r="N115" s="245" t="b">
        <v>0</v>
      </c>
      <c r="O115" s="246"/>
      <c r="P115" s="246"/>
      <c r="Q115" s="246"/>
      <c r="R115" s="246"/>
      <c r="S115" s="246"/>
      <c r="T115" s="246"/>
      <c r="U115" s="246"/>
      <c r="V115" s="246"/>
      <c r="W115" s="246"/>
      <c r="X115" s="246"/>
      <c r="Y115" s="246"/>
      <c r="Z115" s="246"/>
    </row>
    <row r="116" ht="15.75" customHeight="1">
      <c r="A116" s="249" t="s">
        <v>3821</v>
      </c>
      <c r="B116" s="247">
        <v>45933.0</v>
      </c>
      <c r="C116" s="240" t="s">
        <v>3681</v>
      </c>
      <c r="D116" s="238" t="s">
        <v>3822</v>
      </c>
      <c r="E116" s="240" t="s">
        <v>3369</v>
      </c>
      <c r="F116" s="240">
        <v>1.0</v>
      </c>
      <c r="G116" s="248">
        <v>3000.0</v>
      </c>
      <c r="H116" s="242">
        <v>3000.0</v>
      </c>
      <c r="I116" s="243" t="s">
        <v>3706</v>
      </c>
      <c r="J116" s="244" t="s">
        <v>3582</v>
      </c>
      <c r="K116" s="238"/>
      <c r="L116" s="245" t="s">
        <v>3823</v>
      </c>
      <c r="M116" s="245" t="b">
        <v>0</v>
      </c>
      <c r="N116" s="245" t="b">
        <v>0</v>
      </c>
      <c r="O116" s="246"/>
      <c r="P116" s="246"/>
      <c r="Q116" s="246"/>
      <c r="R116" s="246"/>
      <c r="S116" s="246"/>
      <c r="T116" s="246"/>
      <c r="U116" s="246"/>
      <c r="V116" s="246"/>
      <c r="W116" s="246"/>
      <c r="X116" s="246"/>
      <c r="Y116" s="246"/>
      <c r="Z116" s="246"/>
    </row>
    <row r="117" ht="15.75" customHeight="1">
      <c r="A117" s="249" t="s">
        <v>3491</v>
      </c>
      <c r="B117" s="247">
        <v>45933.0</v>
      </c>
      <c r="C117" s="240" t="s">
        <v>3614</v>
      </c>
      <c r="D117" s="238" t="s">
        <v>3748</v>
      </c>
      <c r="E117" s="240" t="s">
        <v>3749</v>
      </c>
      <c r="F117" s="240">
        <v>1.0</v>
      </c>
      <c r="G117" s="248">
        <v>28000.0</v>
      </c>
      <c r="H117" s="242">
        <v>28000.0</v>
      </c>
      <c r="I117" s="243" t="s">
        <v>3706</v>
      </c>
      <c r="J117" s="244" t="s">
        <v>3582</v>
      </c>
      <c r="K117" s="238"/>
      <c r="L117" s="245" t="s">
        <v>3824</v>
      </c>
      <c r="M117" s="245" t="b">
        <v>0</v>
      </c>
      <c r="N117" s="245" t="b">
        <v>0</v>
      </c>
      <c r="O117" s="246"/>
      <c r="P117" s="246"/>
      <c r="Q117" s="246"/>
      <c r="R117" s="246"/>
      <c r="S117" s="246"/>
      <c r="T117" s="246"/>
      <c r="U117" s="246"/>
      <c r="V117" s="246"/>
      <c r="W117" s="246"/>
      <c r="X117" s="246"/>
      <c r="Y117" s="246"/>
      <c r="Z117" s="246"/>
    </row>
    <row r="118" ht="15.75" customHeight="1">
      <c r="A118" s="249" t="s">
        <v>3493</v>
      </c>
      <c r="B118" s="247">
        <v>45933.0</v>
      </c>
      <c r="C118" s="240" t="s">
        <v>3619</v>
      </c>
      <c r="D118" s="238" t="s">
        <v>3802</v>
      </c>
      <c r="E118" s="240" t="s">
        <v>3825</v>
      </c>
      <c r="F118" s="240">
        <v>1.0</v>
      </c>
      <c r="G118" s="248">
        <v>3180.0</v>
      </c>
      <c r="H118" s="242">
        <v>3180.0</v>
      </c>
      <c r="I118" s="243" t="s">
        <v>3706</v>
      </c>
      <c r="J118" s="244" t="s">
        <v>3582</v>
      </c>
      <c r="K118" s="238"/>
      <c r="L118" s="245" t="s">
        <v>3826</v>
      </c>
      <c r="M118" s="245" t="b">
        <v>0</v>
      </c>
      <c r="N118" s="245" t="b">
        <v>0</v>
      </c>
      <c r="O118" s="246"/>
      <c r="P118" s="246"/>
      <c r="Q118" s="246"/>
      <c r="R118" s="246"/>
      <c r="S118" s="246"/>
      <c r="T118" s="246"/>
      <c r="U118" s="246"/>
      <c r="V118" s="246"/>
      <c r="W118" s="246"/>
      <c r="X118" s="246"/>
      <c r="Y118" s="246"/>
      <c r="Z118" s="246"/>
    </row>
    <row r="119" ht="15.75" customHeight="1">
      <c r="A119" s="249" t="s">
        <v>3495</v>
      </c>
      <c r="B119" s="247">
        <v>45933.0</v>
      </c>
      <c r="C119" s="240" t="s">
        <v>3681</v>
      </c>
      <c r="D119" s="238" t="s">
        <v>3827</v>
      </c>
      <c r="E119" s="240" t="s">
        <v>3369</v>
      </c>
      <c r="F119" s="240">
        <v>1.0</v>
      </c>
      <c r="G119" s="248">
        <v>2700.0</v>
      </c>
      <c r="H119" s="242">
        <v>2700.0</v>
      </c>
      <c r="I119" s="243" t="s">
        <v>3706</v>
      </c>
      <c r="J119" s="244" t="s">
        <v>3582</v>
      </c>
      <c r="K119" s="238"/>
      <c r="L119" s="245" t="s">
        <v>3828</v>
      </c>
      <c r="M119" s="245" t="b">
        <v>0</v>
      </c>
      <c r="N119" s="245" t="b">
        <v>0</v>
      </c>
      <c r="O119" s="246"/>
      <c r="P119" s="246"/>
      <c r="Q119" s="246"/>
      <c r="R119" s="246"/>
      <c r="S119" s="246"/>
      <c r="T119" s="246"/>
      <c r="U119" s="246"/>
      <c r="V119" s="246"/>
      <c r="W119" s="246"/>
      <c r="X119" s="246"/>
      <c r="Y119" s="246"/>
      <c r="Z119" s="246"/>
    </row>
    <row r="120" ht="15.75" customHeight="1">
      <c r="A120" s="249" t="s">
        <v>3497</v>
      </c>
      <c r="B120" s="247">
        <v>45933.0</v>
      </c>
      <c r="C120" s="240" t="s">
        <v>3600</v>
      </c>
      <c r="D120" s="238" t="s">
        <v>3219</v>
      </c>
      <c r="E120" s="240" t="s">
        <v>3829</v>
      </c>
      <c r="F120" s="240">
        <v>1.0</v>
      </c>
      <c r="G120" s="248">
        <v>3291.75</v>
      </c>
      <c r="H120" s="242">
        <v>3291.75</v>
      </c>
      <c r="I120" s="243" t="s">
        <v>3706</v>
      </c>
      <c r="J120" s="244" t="s">
        <v>3582</v>
      </c>
      <c r="K120" s="238"/>
      <c r="L120" s="245" t="s">
        <v>3830</v>
      </c>
      <c r="M120" s="245" t="b">
        <v>0</v>
      </c>
      <c r="N120" s="245" t="b">
        <v>0</v>
      </c>
      <c r="O120" s="246"/>
      <c r="P120" s="246"/>
      <c r="Q120" s="246"/>
      <c r="R120" s="246"/>
      <c r="S120" s="246"/>
      <c r="T120" s="246"/>
      <c r="U120" s="246"/>
      <c r="V120" s="246"/>
      <c r="W120" s="246"/>
      <c r="X120" s="246"/>
      <c r="Y120" s="246"/>
      <c r="Z120" s="246"/>
    </row>
    <row r="121" ht="15.75" customHeight="1">
      <c r="A121" s="249" t="s">
        <v>3500</v>
      </c>
      <c r="B121" s="247">
        <v>45933.0</v>
      </c>
      <c r="C121" s="240" t="s">
        <v>3580</v>
      </c>
      <c r="D121" s="238" t="s">
        <v>3831</v>
      </c>
      <c r="E121" s="240" t="s">
        <v>3832</v>
      </c>
      <c r="F121" s="240">
        <v>1.0</v>
      </c>
      <c r="G121" s="248">
        <v>3000.0</v>
      </c>
      <c r="H121" s="242">
        <v>3000.0</v>
      </c>
      <c r="I121" s="243" t="s">
        <v>3706</v>
      </c>
      <c r="J121" s="244" t="s">
        <v>3582</v>
      </c>
      <c r="K121" s="238"/>
      <c r="L121" s="245" t="s">
        <v>3833</v>
      </c>
      <c r="M121" s="245" t="b">
        <v>0</v>
      </c>
      <c r="N121" s="245" t="b">
        <v>0</v>
      </c>
      <c r="O121" s="246"/>
      <c r="P121" s="246"/>
      <c r="Q121" s="246"/>
      <c r="R121" s="246"/>
      <c r="S121" s="246"/>
      <c r="T121" s="246"/>
      <c r="U121" s="246"/>
      <c r="V121" s="246"/>
      <c r="W121" s="246"/>
      <c r="X121" s="246"/>
      <c r="Y121" s="246"/>
      <c r="Z121" s="246"/>
    </row>
    <row r="122" ht="15.75" customHeight="1">
      <c r="A122" s="249" t="s">
        <v>3503</v>
      </c>
      <c r="B122" s="247">
        <v>45933.0</v>
      </c>
      <c r="C122" s="240" t="s">
        <v>3580</v>
      </c>
      <c r="D122" s="238" t="s">
        <v>3504</v>
      </c>
      <c r="E122" s="240" t="s">
        <v>3834</v>
      </c>
      <c r="F122" s="240">
        <v>1.0</v>
      </c>
      <c r="G122" s="248">
        <v>7152.64</v>
      </c>
      <c r="H122" s="242">
        <v>7152.64</v>
      </c>
      <c r="I122" s="243" t="s">
        <v>3596</v>
      </c>
      <c r="J122" s="244" t="s">
        <v>3582</v>
      </c>
      <c r="K122" s="238"/>
      <c r="L122" s="245" t="s">
        <v>3835</v>
      </c>
      <c r="M122" s="245" t="b">
        <v>0</v>
      </c>
      <c r="N122" s="245" t="b">
        <v>0</v>
      </c>
      <c r="O122" s="246"/>
      <c r="P122" s="246"/>
      <c r="Q122" s="246"/>
      <c r="R122" s="246"/>
      <c r="S122" s="246"/>
      <c r="T122" s="246"/>
      <c r="U122" s="246"/>
      <c r="V122" s="246"/>
      <c r="W122" s="246"/>
      <c r="X122" s="246"/>
      <c r="Y122" s="246"/>
      <c r="Z122" s="246"/>
    </row>
    <row r="123" ht="15.75" customHeight="1">
      <c r="A123" s="249" t="s">
        <v>3506</v>
      </c>
      <c r="B123" s="247">
        <v>45933.0</v>
      </c>
      <c r="C123" s="240" t="s">
        <v>3681</v>
      </c>
      <c r="D123" s="238" t="s">
        <v>3822</v>
      </c>
      <c r="E123" s="240" t="s">
        <v>3654</v>
      </c>
      <c r="F123" s="240">
        <v>1.0</v>
      </c>
      <c r="G123" s="248">
        <v>2850.0</v>
      </c>
      <c r="H123" s="242">
        <v>2850.0</v>
      </c>
      <c r="I123" s="243" t="s">
        <v>3706</v>
      </c>
      <c r="J123" s="244" t="s">
        <v>3582</v>
      </c>
      <c r="K123" s="238"/>
      <c r="L123" s="245" t="s">
        <v>3836</v>
      </c>
      <c r="M123" s="245" t="b">
        <v>0</v>
      </c>
      <c r="N123" s="245" t="b">
        <v>0</v>
      </c>
      <c r="O123" s="246"/>
      <c r="P123" s="246"/>
      <c r="Q123" s="246"/>
      <c r="R123" s="246"/>
      <c r="S123" s="246"/>
      <c r="T123" s="246"/>
      <c r="U123" s="246"/>
      <c r="V123" s="246"/>
      <c r="W123" s="246"/>
      <c r="X123" s="246"/>
      <c r="Y123" s="246"/>
      <c r="Z123" s="246"/>
    </row>
    <row r="124" ht="15.75" customHeight="1">
      <c r="A124" s="249" t="s">
        <v>3507</v>
      </c>
      <c r="B124" s="247">
        <v>45933.0</v>
      </c>
      <c r="C124" s="240" t="s">
        <v>3580</v>
      </c>
      <c r="D124" s="238" t="s">
        <v>29</v>
      </c>
      <c r="E124" s="240" t="s">
        <v>3837</v>
      </c>
      <c r="F124" s="240">
        <v>1.0</v>
      </c>
      <c r="G124" s="248">
        <v>5844.0</v>
      </c>
      <c r="H124" s="242">
        <v>5844.0</v>
      </c>
      <c r="I124" s="243" t="s">
        <v>3744</v>
      </c>
      <c r="J124" s="244" t="s">
        <v>3582</v>
      </c>
      <c r="K124" s="238"/>
      <c r="L124" s="245" t="s">
        <v>3838</v>
      </c>
      <c r="M124" s="245" t="b">
        <v>0</v>
      </c>
      <c r="N124" s="245" t="b">
        <v>0</v>
      </c>
      <c r="O124" s="246"/>
      <c r="P124" s="246"/>
      <c r="Q124" s="246"/>
      <c r="R124" s="246"/>
      <c r="S124" s="246"/>
      <c r="T124" s="246"/>
      <c r="U124" s="246"/>
      <c r="V124" s="246"/>
      <c r="W124" s="246"/>
      <c r="X124" s="246"/>
      <c r="Y124" s="246"/>
      <c r="Z124" s="246"/>
    </row>
    <row r="125" ht="15.75" customHeight="1">
      <c r="A125" s="249" t="s">
        <v>3510</v>
      </c>
      <c r="B125" s="247">
        <v>45933.0</v>
      </c>
      <c r="C125" s="240" t="s">
        <v>3580</v>
      </c>
      <c r="D125" s="238" t="s">
        <v>3839</v>
      </c>
      <c r="E125" s="240" t="s">
        <v>3512</v>
      </c>
      <c r="F125" s="240">
        <v>1.0</v>
      </c>
      <c r="G125" s="248">
        <v>9000.0</v>
      </c>
      <c r="H125" s="242">
        <v>9000.0</v>
      </c>
      <c r="I125" s="243" t="s">
        <v>3744</v>
      </c>
      <c r="J125" s="244" t="s">
        <v>3582</v>
      </c>
      <c r="K125" s="238"/>
      <c r="L125" s="245" t="s">
        <v>3840</v>
      </c>
      <c r="M125" s="245" t="b">
        <v>0</v>
      </c>
      <c r="N125" s="245" t="b">
        <v>0</v>
      </c>
      <c r="O125" s="246"/>
      <c r="P125" s="246"/>
      <c r="Q125" s="246"/>
      <c r="R125" s="246"/>
      <c r="S125" s="246"/>
      <c r="T125" s="246"/>
      <c r="U125" s="246"/>
      <c r="V125" s="246"/>
      <c r="W125" s="246"/>
      <c r="X125" s="246"/>
      <c r="Y125" s="246"/>
      <c r="Z125" s="246"/>
    </row>
    <row r="126" ht="15.75" customHeight="1">
      <c r="A126" s="249" t="s">
        <v>3513</v>
      </c>
      <c r="B126" s="247">
        <v>45933.0</v>
      </c>
      <c r="C126" s="240" t="s">
        <v>3619</v>
      </c>
      <c r="D126" s="238" t="s">
        <v>3841</v>
      </c>
      <c r="E126" s="240" t="s">
        <v>3842</v>
      </c>
      <c r="F126" s="240">
        <v>1.0</v>
      </c>
      <c r="G126" s="248">
        <v>5560.0</v>
      </c>
      <c r="H126" s="242">
        <v>5560.0</v>
      </c>
      <c r="I126" s="243" t="s">
        <v>3706</v>
      </c>
      <c r="J126" s="244" t="s">
        <v>3582</v>
      </c>
      <c r="K126" s="238"/>
      <c r="L126" s="245" t="s">
        <v>3843</v>
      </c>
      <c r="M126" s="245" t="b">
        <v>0</v>
      </c>
      <c r="N126" s="245" t="b">
        <v>0</v>
      </c>
      <c r="O126" s="246"/>
      <c r="P126" s="246"/>
      <c r="Q126" s="246"/>
      <c r="R126" s="246"/>
      <c r="S126" s="246"/>
      <c r="T126" s="246"/>
      <c r="U126" s="246"/>
      <c r="V126" s="246"/>
      <c r="W126" s="246"/>
      <c r="X126" s="246"/>
      <c r="Y126" s="246"/>
      <c r="Z126" s="246"/>
    </row>
    <row r="127" ht="15.75" customHeight="1">
      <c r="A127" s="249" t="s">
        <v>3516</v>
      </c>
      <c r="B127" s="240" t="s">
        <v>3517</v>
      </c>
      <c r="C127" s="240" t="s">
        <v>3603</v>
      </c>
      <c r="D127" s="238" t="s">
        <v>3225</v>
      </c>
      <c r="E127" s="240" t="s">
        <v>3844</v>
      </c>
      <c r="F127" s="240">
        <v>1.0</v>
      </c>
      <c r="G127" s="248">
        <v>62906.83</v>
      </c>
      <c r="H127" s="242">
        <v>62906.83</v>
      </c>
      <c r="I127" s="243"/>
      <c r="J127" s="244" t="s">
        <v>3582</v>
      </c>
      <c r="K127" s="238"/>
      <c r="L127" s="245" t="s">
        <v>3845</v>
      </c>
      <c r="M127" s="245" t="b">
        <v>0</v>
      </c>
      <c r="N127" s="245" t="b">
        <v>0</v>
      </c>
      <c r="O127" s="246"/>
      <c r="P127" s="246"/>
      <c r="Q127" s="246"/>
      <c r="R127" s="246"/>
      <c r="S127" s="246"/>
      <c r="T127" s="246"/>
      <c r="U127" s="246"/>
      <c r="V127" s="246"/>
      <c r="W127" s="246"/>
      <c r="X127" s="246"/>
      <c r="Y127" s="246"/>
      <c r="Z127" s="246"/>
    </row>
    <row r="128" ht="15.75" customHeight="1">
      <c r="A128" s="253" t="s">
        <v>3519</v>
      </c>
      <c r="B128" s="273">
        <v>45948.0</v>
      </c>
      <c r="C128" s="252" t="s">
        <v>3580</v>
      </c>
      <c r="D128" s="253" t="s">
        <v>3520</v>
      </c>
      <c r="E128" s="252" t="s">
        <v>3846</v>
      </c>
      <c r="F128" s="252">
        <v>1.0</v>
      </c>
      <c r="G128" s="254">
        <v>4100.0</v>
      </c>
      <c r="H128" s="255">
        <v>4100.0</v>
      </c>
      <c r="I128" s="256"/>
      <c r="J128" s="257" t="s">
        <v>3847</v>
      </c>
      <c r="K128" s="253" t="s">
        <v>3848</v>
      </c>
      <c r="L128" s="245" t="s">
        <v>3849</v>
      </c>
      <c r="M128" s="245" t="b">
        <v>0</v>
      </c>
      <c r="N128" s="245" t="b">
        <v>0</v>
      </c>
      <c r="O128" s="92"/>
      <c r="P128" s="92"/>
      <c r="Q128" s="92"/>
      <c r="R128" s="92"/>
      <c r="S128" s="92"/>
      <c r="T128" s="92"/>
      <c r="U128" s="92"/>
      <c r="V128" s="92"/>
      <c r="W128" s="92"/>
      <c r="X128" s="92"/>
      <c r="Y128" s="92"/>
      <c r="Z128" s="92"/>
    </row>
    <row r="129" ht="15.75" customHeight="1">
      <c r="A129" s="274" t="s">
        <v>3522</v>
      </c>
      <c r="B129" s="275">
        <v>45958.0</v>
      </c>
      <c r="C129" s="276" t="s">
        <v>3580</v>
      </c>
      <c r="D129" s="277" t="s">
        <v>3268</v>
      </c>
      <c r="E129" s="276" t="s">
        <v>3523</v>
      </c>
      <c r="F129" s="276">
        <v>1.0</v>
      </c>
      <c r="G129" s="278">
        <v>2494.0</v>
      </c>
      <c r="H129" s="279">
        <v>2494.0</v>
      </c>
      <c r="I129" s="280"/>
      <c r="J129" s="281" t="s">
        <v>3847</v>
      </c>
      <c r="K129" s="277"/>
      <c r="L129" s="245" t="s">
        <v>3850</v>
      </c>
      <c r="M129" s="245" t="b">
        <v>0</v>
      </c>
      <c r="N129" s="245" t="b">
        <v>0</v>
      </c>
    </row>
    <row r="130" ht="15.75" customHeight="1">
      <c r="A130" s="249" t="s">
        <v>3524</v>
      </c>
      <c r="B130" s="247">
        <v>45959.0</v>
      </c>
      <c r="C130" s="240" t="s">
        <v>3796</v>
      </c>
      <c r="D130" s="238" t="s">
        <v>3525</v>
      </c>
      <c r="E130" s="240" t="s">
        <v>3851</v>
      </c>
      <c r="F130" s="240">
        <v>1.0</v>
      </c>
      <c r="G130" s="248">
        <v>19500.0</v>
      </c>
      <c r="H130" s="242">
        <v>19500.0</v>
      </c>
      <c r="I130" s="243"/>
      <c r="J130" s="244" t="s">
        <v>3847</v>
      </c>
      <c r="K130" s="238"/>
      <c r="L130" s="245" t="s">
        <v>3852</v>
      </c>
      <c r="M130" s="245" t="b">
        <v>0</v>
      </c>
      <c r="N130" s="245" t="b">
        <v>0</v>
      </c>
      <c r="O130" s="246"/>
      <c r="P130" s="246"/>
      <c r="Q130" s="246"/>
      <c r="R130" s="246"/>
      <c r="S130" s="246"/>
      <c r="T130" s="246"/>
      <c r="U130" s="246"/>
      <c r="V130" s="246"/>
      <c r="W130" s="246"/>
      <c r="X130" s="246"/>
      <c r="Y130" s="246"/>
      <c r="Z130" s="246"/>
    </row>
    <row r="131" ht="15.75" customHeight="1">
      <c r="A131" s="267" t="s">
        <v>3526</v>
      </c>
      <c r="B131" s="270" t="s">
        <v>3853</v>
      </c>
      <c r="F131" s="269"/>
      <c r="G131" s="271"/>
      <c r="H131" s="236"/>
      <c r="I131" s="272"/>
      <c r="J131" s="282" t="s">
        <v>3847</v>
      </c>
      <c r="K131" s="267"/>
      <c r="L131" s="245" t="s">
        <v>3854</v>
      </c>
      <c r="M131" s="1" t="b">
        <v>1</v>
      </c>
      <c r="N131" s="1" t="b">
        <v>1</v>
      </c>
    </row>
    <row r="132" ht="15.75" customHeight="1">
      <c r="A132" s="267" t="s">
        <v>3528</v>
      </c>
      <c r="B132" s="270" t="s">
        <v>3853</v>
      </c>
      <c r="F132" s="269"/>
      <c r="G132" s="271"/>
      <c r="H132" s="236"/>
      <c r="I132" s="272"/>
      <c r="J132" s="282" t="s">
        <v>3847</v>
      </c>
      <c r="K132" s="267"/>
      <c r="L132" s="245" t="s">
        <v>3855</v>
      </c>
      <c r="M132" s="1" t="b">
        <v>1</v>
      </c>
      <c r="N132" s="1" t="b">
        <v>1</v>
      </c>
    </row>
    <row r="133" ht="15.75" customHeight="1">
      <c r="A133" s="249" t="s">
        <v>3530</v>
      </c>
      <c r="B133" s="247">
        <v>45940.0</v>
      </c>
      <c r="C133" s="240" t="s">
        <v>3612</v>
      </c>
      <c r="D133" s="238" t="s">
        <v>3225</v>
      </c>
      <c r="E133" s="240" t="s">
        <v>3856</v>
      </c>
      <c r="F133" s="240">
        <v>1.0</v>
      </c>
      <c r="G133" s="248">
        <v>50963.29</v>
      </c>
      <c r="H133" s="242">
        <v>50963.29</v>
      </c>
      <c r="I133" s="243"/>
      <c r="J133" s="244" t="s">
        <v>3582</v>
      </c>
      <c r="K133" s="238"/>
      <c r="L133" s="245" t="s">
        <v>3857</v>
      </c>
      <c r="M133" s="245" t="b">
        <v>0</v>
      </c>
      <c r="N133" s="245" t="b">
        <v>0</v>
      </c>
      <c r="O133" s="246"/>
      <c r="P133" s="246"/>
      <c r="Q133" s="246"/>
      <c r="R133" s="246"/>
      <c r="S133" s="246"/>
      <c r="T133" s="246"/>
      <c r="U133" s="246"/>
      <c r="V133" s="246"/>
      <c r="W133" s="246"/>
      <c r="X133" s="246"/>
      <c r="Y133" s="246"/>
      <c r="Z133" s="246"/>
    </row>
    <row r="134" ht="15.75" customHeight="1">
      <c r="A134" s="267" t="s">
        <v>3532</v>
      </c>
      <c r="B134" s="270" t="s">
        <v>3853</v>
      </c>
      <c r="F134" s="269">
        <v>1.0</v>
      </c>
      <c r="G134" s="271"/>
      <c r="H134" s="236"/>
      <c r="I134" s="272"/>
      <c r="J134" s="282" t="s">
        <v>3847</v>
      </c>
      <c r="K134" s="267"/>
      <c r="L134" s="245" t="s">
        <v>3858</v>
      </c>
      <c r="M134" s="1" t="b">
        <v>1</v>
      </c>
      <c r="N134" s="1" t="b">
        <v>1</v>
      </c>
    </row>
    <row r="135" ht="15.75" customHeight="1">
      <c r="A135" s="274" t="s">
        <v>3534</v>
      </c>
      <c r="B135" s="275">
        <v>45959.0</v>
      </c>
      <c r="C135" s="276" t="s">
        <v>3580</v>
      </c>
      <c r="D135" s="277" t="s">
        <v>3859</v>
      </c>
      <c r="E135" s="276" t="s">
        <v>3860</v>
      </c>
      <c r="F135" s="276">
        <v>1.0</v>
      </c>
      <c r="G135" s="278">
        <v>3560.0</v>
      </c>
      <c r="H135" s="279">
        <v>3560.0</v>
      </c>
      <c r="I135" s="280"/>
      <c r="J135" s="281" t="s">
        <v>3847</v>
      </c>
      <c r="K135" s="277"/>
      <c r="L135" s="245" t="s">
        <v>3861</v>
      </c>
      <c r="M135" s="1" t="b">
        <v>0</v>
      </c>
      <c r="N135" s="1" t="b">
        <v>0</v>
      </c>
    </row>
    <row r="136" ht="15.75" customHeight="1">
      <c r="A136" s="249" t="s">
        <v>3536</v>
      </c>
      <c r="B136" s="247">
        <v>45957.0</v>
      </c>
      <c r="C136" s="240" t="s">
        <v>3681</v>
      </c>
      <c r="D136" s="238" t="s">
        <v>3537</v>
      </c>
      <c r="E136" s="240" t="s">
        <v>3862</v>
      </c>
      <c r="F136" s="240">
        <v>1.0</v>
      </c>
      <c r="G136" s="248">
        <v>3000.0</v>
      </c>
      <c r="H136" s="242">
        <v>3000.0</v>
      </c>
      <c r="I136" s="243"/>
      <c r="J136" s="244" t="s">
        <v>3847</v>
      </c>
      <c r="K136" s="238"/>
      <c r="L136" s="245" t="s">
        <v>3863</v>
      </c>
      <c r="M136" s="245" t="b">
        <v>0</v>
      </c>
      <c r="N136" s="245" t="b">
        <v>0</v>
      </c>
      <c r="O136" s="246"/>
      <c r="P136" s="246"/>
      <c r="Q136" s="246"/>
      <c r="R136" s="246"/>
      <c r="S136" s="246"/>
      <c r="T136" s="246"/>
      <c r="U136" s="246"/>
      <c r="V136" s="246"/>
      <c r="W136" s="246"/>
      <c r="X136" s="246"/>
      <c r="Y136" s="246"/>
      <c r="Z136" s="246"/>
    </row>
    <row r="137" ht="15.75" customHeight="1">
      <c r="A137" s="249" t="s">
        <v>3540</v>
      </c>
      <c r="B137" s="247">
        <v>45957.0</v>
      </c>
      <c r="C137" s="240"/>
      <c r="D137" s="238" t="s">
        <v>3541</v>
      </c>
      <c r="E137" s="240" t="s">
        <v>3542</v>
      </c>
      <c r="F137" s="240">
        <v>1.0</v>
      </c>
      <c r="G137" s="248">
        <v>396768.68</v>
      </c>
      <c r="H137" s="242">
        <v>396768.68</v>
      </c>
      <c r="I137" s="243"/>
      <c r="J137" s="244" t="s">
        <v>3847</v>
      </c>
      <c r="K137" s="238"/>
      <c r="L137" s="245" t="s">
        <v>3864</v>
      </c>
      <c r="M137" s="245" t="b">
        <v>0</v>
      </c>
      <c r="N137" s="245" t="b">
        <v>0</v>
      </c>
      <c r="O137" s="246"/>
      <c r="P137" s="246"/>
      <c r="Q137" s="246"/>
      <c r="R137" s="246"/>
      <c r="S137" s="246"/>
      <c r="T137" s="246"/>
      <c r="U137" s="246"/>
      <c r="V137" s="246"/>
      <c r="W137" s="246"/>
      <c r="X137" s="246"/>
      <c r="Y137" s="246"/>
      <c r="Z137" s="246"/>
    </row>
    <row r="138" ht="15.75" customHeight="1">
      <c r="A138" s="274" t="s">
        <v>3543</v>
      </c>
      <c r="B138" s="275">
        <v>45964.0</v>
      </c>
      <c r="C138" s="276" t="s">
        <v>3681</v>
      </c>
      <c r="D138" s="277" t="s">
        <v>3537</v>
      </c>
      <c r="E138" s="276" t="s">
        <v>3862</v>
      </c>
      <c r="F138" s="276">
        <v>1.0</v>
      </c>
      <c r="G138" s="278">
        <v>1000.0</v>
      </c>
      <c r="H138" s="279">
        <v>1000.0</v>
      </c>
      <c r="I138" s="280"/>
      <c r="J138" s="281" t="s">
        <v>3847</v>
      </c>
      <c r="K138" s="277"/>
      <c r="L138" s="245" t="s">
        <v>3865</v>
      </c>
      <c r="M138" s="245" t="b">
        <v>0</v>
      </c>
      <c r="N138" s="245" t="b">
        <v>0</v>
      </c>
    </row>
    <row r="139" ht="15.75" customHeight="1">
      <c r="A139" s="274" t="s">
        <v>3544</v>
      </c>
      <c r="B139" s="275">
        <v>45975.0</v>
      </c>
      <c r="C139" s="276" t="s">
        <v>3612</v>
      </c>
      <c r="D139" s="277" t="s">
        <v>3612</v>
      </c>
      <c r="E139" s="283" t="s">
        <v>3866</v>
      </c>
      <c r="F139" s="276">
        <v>1.0</v>
      </c>
      <c r="G139" s="278">
        <v>59850.78</v>
      </c>
      <c r="H139" s="279">
        <v>59850.78</v>
      </c>
      <c r="I139" s="280"/>
      <c r="J139" s="281" t="s">
        <v>3847</v>
      </c>
      <c r="K139" s="277"/>
      <c r="L139" s="245" t="s">
        <v>3867</v>
      </c>
      <c r="M139" s="245" t="b">
        <v>0</v>
      </c>
      <c r="N139" s="245" t="b">
        <v>0</v>
      </c>
    </row>
    <row r="140" ht="15.75" customHeight="1">
      <c r="A140" s="274" t="s">
        <v>3545</v>
      </c>
      <c r="B140" s="275">
        <v>45979.0</v>
      </c>
      <c r="C140" s="276" t="s">
        <v>3600</v>
      </c>
      <c r="D140" s="277" t="s">
        <v>3868</v>
      </c>
      <c r="E140" s="276" t="s">
        <v>3869</v>
      </c>
      <c r="F140" s="276">
        <v>1.0</v>
      </c>
      <c r="G140" s="278">
        <v>2273.09</v>
      </c>
      <c r="H140" s="279">
        <v>2273.09</v>
      </c>
      <c r="I140" s="280"/>
      <c r="J140" s="281" t="s">
        <v>3847</v>
      </c>
      <c r="K140" s="277"/>
      <c r="L140" s="245" t="s">
        <v>3870</v>
      </c>
      <c r="M140" s="245" t="b">
        <v>0</v>
      </c>
      <c r="N140" s="245" t="b">
        <v>0</v>
      </c>
    </row>
    <row r="141" ht="15.75" customHeight="1">
      <c r="A141" s="274" t="s">
        <v>3546</v>
      </c>
      <c r="B141" s="275">
        <v>45976.0</v>
      </c>
      <c r="C141" s="276" t="s">
        <v>3796</v>
      </c>
      <c r="D141" s="277" t="s">
        <v>3871</v>
      </c>
      <c r="E141" s="276" t="s">
        <v>3872</v>
      </c>
      <c r="F141" s="276">
        <v>3.0</v>
      </c>
      <c r="G141" s="278">
        <v>4800.0</v>
      </c>
      <c r="H141" s="279">
        <v>14400.0</v>
      </c>
      <c r="I141" s="280"/>
      <c r="J141" s="281" t="s">
        <v>3847</v>
      </c>
      <c r="K141" s="277"/>
      <c r="L141" s="245" t="s">
        <v>3873</v>
      </c>
      <c r="M141" s="245" t="b">
        <v>0</v>
      </c>
      <c r="N141" s="245" t="b">
        <v>0</v>
      </c>
    </row>
    <row r="142" ht="15.75" customHeight="1">
      <c r="A142" s="274" t="s">
        <v>3547</v>
      </c>
      <c r="B142" s="275">
        <v>45974.0</v>
      </c>
      <c r="C142" s="276" t="s">
        <v>3600</v>
      </c>
      <c r="D142" s="277" t="s">
        <v>3874</v>
      </c>
      <c r="E142" s="276" t="s">
        <v>3875</v>
      </c>
      <c r="F142" s="276">
        <v>1.0</v>
      </c>
      <c r="G142" s="278">
        <v>683.1</v>
      </c>
      <c r="H142" s="279">
        <v>683.1</v>
      </c>
      <c r="I142" s="280"/>
      <c r="J142" s="281" t="s">
        <v>3847</v>
      </c>
      <c r="K142" s="277"/>
      <c r="L142" s="245" t="s">
        <v>3876</v>
      </c>
      <c r="M142" s="245" t="b">
        <v>0</v>
      </c>
      <c r="N142" s="245" t="b">
        <v>0</v>
      </c>
    </row>
    <row r="143" ht="15.75" customHeight="1">
      <c r="A143" s="274" t="s">
        <v>3548</v>
      </c>
      <c r="B143" s="275">
        <v>45975.0</v>
      </c>
      <c r="C143" s="276" t="s">
        <v>3593</v>
      </c>
      <c r="D143" s="277" t="s">
        <v>3877</v>
      </c>
      <c r="E143" s="276" t="s">
        <v>3878</v>
      </c>
      <c r="F143" s="276">
        <v>100.0</v>
      </c>
      <c r="G143" s="278">
        <v>100.0</v>
      </c>
      <c r="H143" s="279">
        <v>10000.0</v>
      </c>
      <c r="I143" s="280"/>
      <c r="J143" s="281" t="s">
        <v>3847</v>
      </c>
      <c r="K143" s="277"/>
      <c r="L143" s="245" t="s">
        <v>3879</v>
      </c>
      <c r="M143" s="245" t="b">
        <v>0</v>
      </c>
      <c r="N143" s="245" t="b">
        <v>0</v>
      </c>
    </row>
    <row r="144" ht="15.75" customHeight="1">
      <c r="A144" s="253" t="s">
        <v>3549</v>
      </c>
      <c r="B144" s="252" t="s">
        <v>3880</v>
      </c>
      <c r="C144" s="252" t="s">
        <v>3580</v>
      </c>
      <c r="D144" s="253" t="s">
        <v>3881</v>
      </c>
      <c r="E144" s="252" t="s">
        <v>3882</v>
      </c>
      <c r="F144" s="252">
        <v>1.0</v>
      </c>
      <c r="G144" s="254">
        <v>8049.97</v>
      </c>
      <c r="H144" s="255">
        <v>8049.97</v>
      </c>
      <c r="I144" s="256"/>
      <c r="J144" s="257" t="s">
        <v>3883</v>
      </c>
      <c r="K144" s="253"/>
      <c r="L144" s="245" t="s">
        <v>3884</v>
      </c>
      <c r="M144" s="245" t="b">
        <v>0</v>
      </c>
      <c r="N144" s="245" t="b">
        <v>0</v>
      </c>
    </row>
    <row r="145" ht="15.75" customHeight="1">
      <c r="A145" s="267" t="s">
        <v>3550</v>
      </c>
      <c r="B145" s="270" t="s">
        <v>3853</v>
      </c>
      <c r="F145" s="269"/>
      <c r="G145" s="271"/>
      <c r="H145" s="236">
        <v>0.0</v>
      </c>
      <c r="I145" s="272"/>
      <c r="J145" s="282" t="s">
        <v>3847</v>
      </c>
      <c r="K145" s="267"/>
      <c r="L145" s="245" t="s">
        <v>3885</v>
      </c>
      <c r="M145" s="1" t="b">
        <v>1</v>
      </c>
      <c r="N145" s="1" t="b">
        <v>1</v>
      </c>
    </row>
    <row r="146" ht="15.75" customHeight="1">
      <c r="A146" s="253" t="s">
        <v>3551</v>
      </c>
      <c r="B146" s="273">
        <v>45941.0</v>
      </c>
      <c r="C146" s="252" t="s">
        <v>3600</v>
      </c>
      <c r="D146" s="253" t="s">
        <v>3886</v>
      </c>
      <c r="E146" s="252" t="s">
        <v>3887</v>
      </c>
      <c r="F146" s="252">
        <v>1.0</v>
      </c>
      <c r="G146" s="254">
        <v>287.0</v>
      </c>
      <c r="H146" s="255">
        <v>287.0</v>
      </c>
      <c r="I146" s="256"/>
      <c r="J146" s="257" t="s">
        <v>3883</v>
      </c>
      <c r="K146" s="253"/>
      <c r="L146" s="245" t="s">
        <v>3888</v>
      </c>
      <c r="M146" s="245" t="b">
        <v>0</v>
      </c>
      <c r="N146" s="245" t="b">
        <v>0</v>
      </c>
    </row>
    <row r="147" ht="15.75" customHeight="1">
      <c r="A147" s="274" t="s">
        <v>3552</v>
      </c>
      <c r="B147" s="275">
        <v>45978.0</v>
      </c>
      <c r="C147" s="276" t="s">
        <v>3681</v>
      </c>
      <c r="D147" s="277" t="s">
        <v>3889</v>
      </c>
      <c r="E147" s="276" t="s">
        <v>3890</v>
      </c>
      <c r="F147" s="276">
        <v>6.0</v>
      </c>
      <c r="G147" s="278">
        <v>1000.0</v>
      </c>
      <c r="H147" s="279">
        <v>6000.0</v>
      </c>
      <c r="I147" s="280"/>
      <c r="J147" s="281" t="s">
        <v>3847</v>
      </c>
      <c r="K147" s="277"/>
      <c r="L147" s="245" t="s">
        <v>3891</v>
      </c>
      <c r="M147" s="245" t="b">
        <v>0</v>
      </c>
      <c r="N147" s="245" t="b">
        <v>0</v>
      </c>
    </row>
    <row r="148" ht="15.75" customHeight="1">
      <c r="A148" s="274" t="s">
        <v>3553</v>
      </c>
      <c r="B148" s="276" t="s">
        <v>3892</v>
      </c>
      <c r="C148" s="276" t="s">
        <v>3893</v>
      </c>
      <c r="D148" s="276" t="s">
        <v>3894</v>
      </c>
      <c r="E148" s="283" t="s">
        <v>3895</v>
      </c>
      <c r="F148" s="276">
        <v>1.0</v>
      </c>
      <c r="G148" s="278">
        <v>48500.0</v>
      </c>
      <c r="H148" s="279">
        <v>48500.0</v>
      </c>
      <c r="I148" s="280"/>
      <c r="J148" s="281" t="s">
        <v>3847</v>
      </c>
      <c r="K148" s="277"/>
      <c r="L148" s="245" t="s">
        <v>3896</v>
      </c>
      <c r="M148" s="245" t="b">
        <v>0</v>
      </c>
      <c r="N148" s="245" t="b">
        <v>0</v>
      </c>
    </row>
    <row r="149" ht="15.75" customHeight="1">
      <c r="A149" s="267" t="s">
        <v>3554</v>
      </c>
      <c r="B149" s="268">
        <v>45667.0</v>
      </c>
      <c r="C149" s="269" t="s">
        <v>3580</v>
      </c>
      <c r="D149" s="269" t="s">
        <v>3881</v>
      </c>
      <c r="E149" s="284" t="s">
        <v>3897</v>
      </c>
      <c r="F149" s="269">
        <v>1.0</v>
      </c>
      <c r="G149" s="271">
        <v>120000.0</v>
      </c>
      <c r="H149" s="236">
        <v>120000.0</v>
      </c>
      <c r="I149" s="272"/>
      <c r="J149" s="282" t="s">
        <v>3847</v>
      </c>
      <c r="K149" s="267"/>
      <c r="L149" s="245" t="s">
        <v>3898</v>
      </c>
      <c r="M149" s="245" t="b">
        <v>0</v>
      </c>
      <c r="N149" s="245" t="b">
        <v>0</v>
      </c>
    </row>
    <row r="150" ht="15.75" customHeight="1">
      <c r="A150" s="285" t="s">
        <v>3555</v>
      </c>
      <c r="B150" s="286" t="s">
        <v>3899</v>
      </c>
      <c r="C150" s="286" t="s">
        <v>3603</v>
      </c>
      <c r="D150" s="286" t="s">
        <v>3619</v>
      </c>
      <c r="E150" s="286" t="s">
        <v>3900</v>
      </c>
      <c r="F150" s="286">
        <v>3.0</v>
      </c>
      <c r="G150" s="287">
        <v>60000.0</v>
      </c>
      <c r="H150" s="288">
        <v>180000.0</v>
      </c>
      <c r="I150" s="289"/>
      <c r="J150" s="290" t="s">
        <v>3582</v>
      </c>
      <c r="K150" s="285"/>
      <c r="L150" s="245" t="s">
        <v>3901</v>
      </c>
      <c r="M150" s="245" t="b">
        <v>0</v>
      </c>
      <c r="N150" s="245" t="b">
        <v>0</v>
      </c>
    </row>
    <row r="151" ht="15.75" customHeight="1">
      <c r="A151" s="285" t="s">
        <v>3556</v>
      </c>
      <c r="B151" s="286" t="s">
        <v>3899</v>
      </c>
      <c r="C151" s="286" t="s">
        <v>3587</v>
      </c>
      <c r="D151" s="285" t="s">
        <v>3902</v>
      </c>
      <c r="E151" s="286" t="s">
        <v>3903</v>
      </c>
      <c r="F151" s="286">
        <v>1.0</v>
      </c>
      <c r="G151" s="287">
        <v>832841.92</v>
      </c>
      <c r="H151" s="288">
        <v>832841.92</v>
      </c>
      <c r="I151" s="289"/>
      <c r="J151" s="290" t="s">
        <v>3582</v>
      </c>
      <c r="K151" s="285"/>
      <c r="L151" s="245" t="s">
        <v>3904</v>
      </c>
      <c r="M151" s="245" t="b">
        <v>0</v>
      </c>
      <c r="N151" s="245" t="b">
        <v>0</v>
      </c>
    </row>
    <row r="152" ht="15.75" customHeight="1">
      <c r="A152" s="274" t="s">
        <v>3557</v>
      </c>
      <c r="B152" s="291" t="s">
        <v>3905</v>
      </c>
      <c r="C152" s="291" t="s">
        <v>3893</v>
      </c>
      <c r="D152" s="274" t="s">
        <v>3894</v>
      </c>
      <c r="E152" s="292" t="s">
        <v>3906</v>
      </c>
      <c r="F152" s="291">
        <v>1.0</v>
      </c>
      <c r="G152" s="293">
        <v>20245.0</v>
      </c>
      <c r="H152" s="294">
        <v>20245.0</v>
      </c>
      <c r="I152" s="295"/>
      <c r="J152" s="296" t="s">
        <v>3847</v>
      </c>
      <c r="K152" s="274"/>
      <c r="L152" s="245" t="s">
        <v>3907</v>
      </c>
      <c r="M152" s="245" t="b">
        <v>0</v>
      </c>
      <c r="N152" s="245" t="b">
        <v>0</v>
      </c>
    </row>
    <row r="153" ht="15.75" customHeight="1">
      <c r="A153" s="274" t="s">
        <v>3558</v>
      </c>
      <c r="B153" s="291" t="s">
        <v>3905</v>
      </c>
      <c r="C153" s="291" t="s">
        <v>3593</v>
      </c>
      <c r="D153" s="274" t="s">
        <v>3908</v>
      </c>
      <c r="E153" s="291" t="s">
        <v>3909</v>
      </c>
      <c r="F153" s="291">
        <v>1800.0</v>
      </c>
      <c r="G153" s="293">
        <v>3.0</v>
      </c>
      <c r="H153" s="294">
        <v>5400.0</v>
      </c>
      <c r="I153" s="295"/>
      <c r="J153" s="296" t="s">
        <v>3847</v>
      </c>
      <c r="K153" s="274"/>
      <c r="L153" s="245" t="s">
        <v>3910</v>
      </c>
      <c r="M153" s="245" t="b">
        <v>0</v>
      </c>
      <c r="N153" s="245" t="b">
        <v>0</v>
      </c>
    </row>
    <row r="154" ht="15.75" customHeight="1">
      <c r="A154" s="253" t="s">
        <v>3559</v>
      </c>
      <c r="B154" s="252" t="s">
        <v>3905</v>
      </c>
      <c r="C154" s="252" t="s">
        <v>3580</v>
      </c>
      <c r="D154" s="253" t="s">
        <v>3911</v>
      </c>
      <c r="E154" s="297" t="s">
        <v>3912</v>
      </c>
      <c r="F154" s="252">
        <v>2.0</v>
      </c>
      <c r="G154" s="254">
        <v>3000.0</v>
      </c>
      <c r="H154" s="255">
        <v>6000.0</v>
      </c>
      <c r="I154" s="256"/>
      <c r="J154" s="257" t="s">
        <v>3883</v>
      </c>
      <c r="K154" s="253"/>
      <c r="L154" s="245" t="s">
        <v>3913</v>
      </c>
      <c r="M154" s="245" t="b">
        <v>0</v>
      </c>
      <c r="N154" s="245" t="b">
        <v>0</v>
      </c>
    </row>
    <row r="155" ht="15.75" customHeight="1">
      <c r="A155" s="267" t="s">
        <v>3560</v>
      </c>
      <c r="B155" s="269" t="s">
        <v>3905</v>
      </c>
      <c r="C155" s="269" t="s">
        <v>3580</v>
      </c>
      <c r="D155" s="267" t="s">
        <v>3881</v>
      </c>
      <c r="E155" s="269" t="s">
        <v>3914</v>
      </c>
      <c r="F155" s="269">
        <v>1.0</v>
      </c>
      <c r="G155" s="271">
        <v>1732.5</v>
      </c>
      <c r="H155" s="236">
        <v>1732.5</v>
      </c>
      <c r="I155" s="272"/>
      <c r="J155" s="282" t="s">
        <v>3847</v>
      </c>
      <c r="K155" s="267"/>
      <c r="L155" s="245" t="s">
        <v>3915</v>
      </c>
      <c r="M155" s="245" t="b">
        <v>0</v>
      </c>
      <c r="N155" s="245" t="b">
        <v>0</v>
      </c>
    </row>
    <row r="156" ht="15.75" customHeight="1">
      <c r="A156" s="274" t="s">
        <v>3561</v>
      </c>
      <c r="B156" s="291" t="s">
        <v>3905</v>
      </c>
      <c r="C156" s="291" t="s">
        <v>3580</v>
      </c>
      <c r="D156" s="274" t="s">
        <v>3916</v>
      </c>
      <c r="E156" s="291" t="s">
        <v>3917</v>
      </c>
      <c r="F156" s="291">
        <v>1.0</v>
      </c>
      <c r="G156" s="293">
        <v>6015.0</v>
      </c>
      <c r="H156" s="294">
        <v>6015.0</v>
      </c>
      <c r="I156" s="295"/>
      <c r="J156" s="296" t="s">
        <v>3847</v>
      </c>
      <c r="K156" s="274"/>
      <c r="L156" s="245" t="s">
        <v>3918</v>
      </c>
      <c r="M156" s="245" t="b">
        <v>0</v>
      </c>
      <c r="N156" s="245" t="b">
        <v>0</v>
      </c>
    </row>
    <row r="157" ht="15.75" customHeight="1">
      <c r="A157" s="274" t="s">
        <v>3562</v>
      </c>
      <c r="B157" s="291" t="s">
        <v>3905</v>
      </c>
      <c r="C157" s="291" t="s">
        <v>3603</v>
      </c>
      <c r="D157" s="274" t="s">
        <v>3612</v>
      </c>
      <c r="E157" s="291" t="s">
        <v>3919</v>
      </c>
      <c r="F157" s="291">
        <v>1.0</v>
      </c>
      <c r="G157" s="293">
        <v>6255.0</v>
      </c>
      <c r="H157" s="294">
        <v>6255.0</v>
      </c>
      <c r="I157" s="295"/>
      <c r="J157" s="296" t="s">
        <v>3847</v>
      </c>
      <c r="K157" s="274"/>
      <c r="L157" s="245" t="s">
        <v>3920</v>
      </c>
      <c r="M157" s="245" t="b">
        <v>0</v>
      </c>
      <c r="N157" s="245" t="b">
        <v>0</v>
      </c>
    </row>
    <row r="158" ht="15.75" customHeight="1">
      <c r="A158" s="267" t="s">
        <v>3563</v>
      </c>
      <c r="B158" s="270" t="s">
        <v>3853</v>
      </c>
      <c r="F158" s="269"/>
      <c r="G158" s="271"/>
      <c r="H158" s="236">
        <v>0.0</v>
      </c>
      <c r="I158" s="272"/>
      <c r="J158" s="282" t="s">
        <v>3847</v>
      </c>
      <c r="K158" s="267"/>
      <c r="L158" s="245" t="s">
        <v>3921</v>
      </c>
      <c r="M158" s="1" t="b">
        <v>1</v>
      </c>
      <c r="N158" s="1" t="b">
        <v>1</v>
      </c>
    </row>
    <row r="159" ht="15.75" customHeight="1">
      <c r="A159" s="267" t="s">
        <v>3564</v>
      </c>
      <c r="B159" s="269" t="s">
        <v>3922</v>
      </c>
      <c r="C159" s="269" t="s">
        <v>3796</v>
      </c>
      <c r="D159" s="267" t="s">
        <v>3923</v>
      </c>
      <c r="E159" s="269" t="s">
        <v>3924</v>
      </c>
      <c r="F159" s="269">
        <v>1.0</v>
      </c>
      <c r="G159" s="271">
        <v>13696.0</v>
      </c>
      <c r="H159" s="236">
        <v>13696.0</v>
      </c>
      <c r="I159" s="272"/>
      <c r="J159" s="282" t="s">
        <v>3847</v>
      </c>
      <c r="K159" s="267"/>
      <c r="L159" s="245" t="s">
        <v>3925</v>
      </c>
      <c r="M159" s="245" t="b">
        <v>0</v>
      </c>
      <c r="N159" s="245" t="b">
        <v>0</v>
      </c>
    </row>
    <row r="160" ht="15.75" customHeight="1">
      <c r="A160" s="267" t="s">
        <v>3565</v>
      </c>
      <c r="B160" s="270" t="s">
        <v>3853</v>
      </c>
      <c r="F160" s="269"/>
      <c r="G160" s="271"/>
      <c r="H160" s="236">
        <v>0.0</v>
      </c>
      <c r="I160" s="272"/>
      <c r="J160" s="282" t="s">
        <v>3847</v>
      </c>
      <c r="K160" s="267"/>
      <c r="L160" s="245" t="s">
        <v>3926</v>
      </c>
      <c r="M160" s="1" t="b">
        <v>1</v>
      </c>
      <c r="N160" s="1" t="b">
        <v>1</v>
      </c>
    </row>
    <row r="161" ht="15.75" customHeight="1">
      <c r="A161" s="274" t="s">
        <v>3566</v>
      </c>
      <c r="B161" s="298">
        <v>45700.0</v>
      </c>
      <c r="C161" s="291" t="s">
        <v>3681</v>
      </c>
      <c r="D161" s="274" t="s">
        <v>3927</v>
      </c>
      <c r="E161" s="299" t="s">
        <v>3928</v>
      </c>
      <c r="F161" s="291">
        <v>1.0</v>
      </c>
      <c r="G161" s="293">
        <v>4800.0</v>
      </c>
      <c r="H161" s="294">
        <v>4800.0</v>
      </c>
      <c r="I161" s="295"/>
      <c r="J161" s="296" t="s">
        <v>3847</v>
      </c>
      <c r="K161" s="274"/>
      <c r="L161" s="245" t="s">
        <v>3929</v>
      </c>
      <c r="M161" s="245" t="b">
        <v>0</v>
      </c>
      <c r="N161" s="245" t="b">
        <v>0</v>
      </c>
    </row>
    <row r="162" ht="15.75" customHeight="1">
      <c r="A162" s="274" t="s">
        <v>3567</v>
      </c>
      <c r="B162" s="291" t="s">
        <v>3922</v>
      </c>
      <c r="C162" s="291" t="s">
        <v>3603</v>
      </c>
      <c r="D162" s="274" t="s">
        <v>3619</v>
      </c>
      <c r="E162" s="299" t="s">
        <v>3930</v>
      </c>
      <c r="F162" s="291">
        <v>1.0</v>
      </c>
      <c r="G162" s="293">
        <v>20825.0</v>
      </c>
      <c r="H162" s="294">
        <v>20825.0</v>
      </c>
      <c r="I162" s="295"/>
      <c r="J162" s="296" t="s">
        <v>3847</v>
      </c>
      <c r="K162" s="274"/>
      <c r="L162" s="245" t="s">
        <v>3931</v>
      </c>
      <c r="M162" s="245" t="b">
        <v>0</v>
      </c>
      <c r="N162" s="245" t="b">
        <v>0</v>
      </c>
    </row>
    <row r="163" ht="15.75" customHeight="1">
      <c r="A163" s="274" t="s">
        <v>3932</v>
      </c>
      <c r="B163" s="298">
        <v>45728.0</v>
      </c>
      <c r="C163" s="291" t="s">
        <v>3600</v>
      </c>
      <c r="D163" s="274" t="s">
        <v>3886</v>
      </c>
      <c r="E163" s="291" t="s">
        <v>3933</v>
      </c>
      <c r="F163" s="291">
        <v>1.0</v>
      </c>
      <c r="G163" s="293">
        <v>945.0</v>
      </c>
      <c r="H163" s="294">
        <v>945.0</v>
      </c>
      <c r="I163" s="295"/>
      <c r="J163" s="296" t="s">
        <v>3847</v>
      </c>
      <c r="K163" s="300"/>
      <c r="L163" s="245" t="s">
        <v>3934</v>
      </c>
      <c r="M163" s="245" t="b">
        <v>0</v>
      </c>
      <c r="N163" s="245" t="b">
        <v>0</v>
      </c>
    </row>
    <row r="164" ht="15.75" customHeight="1">
      <c r="A164" s="274" t="s">
        <v>3935</v>
      </c>
      <c r="B164" s="298">
        <v>45759.0</v>
      </c>
      <c r="C164" s="291" t="s">
        <v>3893</v>
      </c>
      <c r="D164" s="274" t="s">
        <v>3936</v>
      </c>
      <c r="E164" s="291" t="s">
        <v>3937</v>
      </c>
      <c r="F164" s="291">
        <v>1.0</v>
      </c>
      <c r="G164" s="293">
        <v>2565.0</v>
      </c>
      <c r="H164" s="294">
        <v>2565.0</v>
      </c>
      <c r="I164" s="295"/>
      <c r="J164" s="296" t="s">
        <v>3847</v>
      </c>
      <c r="K164" s="300"/>
      <c r="L164" s="245" t="s">
        <v>3938</v>
      </c>
      <c r="M164" s="245" t="b">
        <v>0</v>
      </c>
      <c r="N164" s="245" t="b">
        <v>0</v>
      </c>
    </row>
    <row r="165" ht="15.75" customHeight="1">
      <c r="A165" s="253" t="s">
        <v>3939</v>
      </c>
      <c r="B165" s="251">
        <v>45912.0</v>
      </c>
      <c r="C165" s="252" t="s">
        <v>3600</v>
      </c>
      <c r="D165" s="253" t="s">
        <v>3940</v>
      </c>
      <c r="E165" s="252" t="s">
        <v>3941</v>
      </c>
      <c r="F165" s="252">
        <v>6.0</v>
      </c>
      <c r="G165" s="254">
        <v>45.0</v>
      </c>
      <c r="H165" s="255">
        <v>270.0</v>
      </c>
      <c r="I165" s="256"/>
      <c r="J165" s="257" t="s">
        <v>3883</v>
      </c>
      <c r="K165" s="301"/>
      <c r="L165" s="245" t="s">
        <v>3942</v>
      </c>
      <c r="M165" s="245" t="b">
        <v>0</v>
      </c>
      <c r="N165" s="245" t="b">
        <v>0</v>
      </c>
    </row>
    <row r="166" ht="15.75" customHeight="1">
      <c r="A166" s="253" t="s">
        <v>3943</v>
      </c>
      <c r="B166" s="251">
        <v>45912.0</v>
      </c>
      <c r="C166" s="252" t="s">
        <v>3893</v>
      </c>
      <c r="D166" s="253" t="s">
        <v>3936</v>
      </c>
      <c r="E166" s="252" t="s">
        <v>3944</v>
      </c>
      <c r="F166" s="252">
        <v>1.0</v>
      </c>
      <c r="G166" s="254">
        <v>489.29</v>
      </c>
      <c r="H166" s="255">
        <v>489.29</v>
      </c>
      <c r="I166" s="256"/>
      <c r="J166" s="257" t="s">
        <v>3883</v>
      </c>
      <c r="K166" s="301"/>
      <c r="L166" s="245" t="s">
        <v>3945</v>
      </c>
      <c r="M166" s="245" t="b">
        <v>0</v>
      </c>
      <c r="N166" s="245" t="b">
        <v>0</v>
      </c>
    </row>
    <row r="167" ht="15.75" customHeight="1">
      <c r="A167" s="274" t="s">
        <v>3946</v>
      </c>
      <c r="B167" s="298">
        <v>45912.0</v>
      </c>
      <c r="C167" s="291" t="s">
        <v>3681</v>
      </c>
      <c r="D167" s="274" t="s">
        <v>3947</v>
      </c>
      <c r="E167" s="291" t="s">
        <v>3948</v>
      </c>
      <c r="F167" s="291">
        <v>1.0</v>
      </c>
      <c r="G167" s="293">
        <v>4000.0</v>
      </c>
      <c r="H167" s="294">
        <v>4000.0</v>
      </c>
      <c r="I167" s="295"/>
      <c r="J167" s="296" t="s">
        <v>3847</v>
      </c>
      <c r="K167" s="300"/>
      <c r="L167" s="245" t="s">
        <v>3949</v>
      </c>
      <c r="M167" s="245" t="b">
        <v>0</v>
      </c>
      <c r="N167" s="245" t="b">
        <v>0</v>
      </c>
    </row>
    <row r="168" ht="15.75" customHeight="1">
      <c r="A168" s="274" t="s">
        <v>3950</v>
      </c>
      <c r="B168" s="298">
        <v>45912.0</v>
      </c>
      <c r="C168" s="291" t="s">
        <v>3580</v>
      </c>
      <c r="D168" s="274" t="s">
        <v>3951</v>
      </c>
      <c r="E168" s="291" t="s">
        <v>3952</v>
      </c>
      <c r="F168" s="291">
        <v>1.0</v>
      </c>
      <c r="G168" s="293">
        <v>248.0</v>
      </c>
      <c r="H168" s="294">
        <v>248.0</v>
      </c>
      <c r="I168" s="295"/>
      <c r="J168" s="296" t="s">
        <v>3847</v>
      </c>
      <c r="K168" s="300"/>
      <c r="L168" s="245" t="s">
        <v>3953</v>
      </c>
      <c r="M168" s="245" t="b">
        <v>0</v>
      </c>
      <c r="N168" s="245" t="b">
        <v>0</v>
      </c>
    </row>
    <row r="169" ht="15.75" customHeight="1">
      <c r="A169" s="274" t="s">
        <v>3954</v>
      </c>
      <c r="B169" s="298">
        <v>45912.0</v>
      </c>
      <c r="C169" s="291" t="s">
        <v>3893</v>
      </c>
      <c r="D169" s="274" t="s">
        <v>3894</v>
      </c>
      <c r="E169" s="291" t="s">
        <v>3955</v>
      </c>
      <c r="F169" s="291">
        <v>1.0</v>
      </c>
      <c r="G169" s="293">
        <v>6400.0</v>
      </c>
      <c r="H169" s="294">
        <v>6400.0</v>
      </c>
      <c r="I169" s="295"/>
      <c r="J169" s="296" t="s">
        <v>3847</v>
      </c>
      <c r="K169" s="300"/>
      <c r="L169" s="245" t="s">
        <v>3956</v>
      </c>
      <c r="M169" s="245" t="b">
        <v>0</v>
      </c>
      <c r="N169" s="245" t="b">
        <v>0</v>
      </c>
    </row>
    <row r="170" ht="15.75" customHeight="1">
      <c r="A170" s="253" t="s">
        <v>3957</v>
      </c>
      <c r="B170" s="251">
        <v>45912.0</v>
      </c>
      <c r="C170" s="252" t="s">
        <v>3893</v>
      </c>
      <c r="D170" s="253" t="s">
        <v>3894</v>
      </c>
      <c r="E170" s="252" t="s">
        <v>3958</v>
      </c>
      <c r="F170" s="252">
        <v>1.0</v>
      </c>
      <c r="G170" s="254">
        <v>47500.0</v>
      </c>
      <c r="H170" s="255">
        <v>47500.0</v>
      </c>
      <c r="I170" s="256"/>
      <c r="J170" s="257" t="s">
        <v>3883</v>
      </c>
      <c r="K170" s="301"/>
      <c r="L170" s="245" t="s">
        <v>3959</v>
      </c>
      <c r="M170" s="245" t="b">
        <v>0</v>
      </c>
      <c r="N170" s="245" t="b">
        <v>0</v>
      </c>
    </row>
    <row r="171" ht="15.75" customHeight="1">
      <c r="A171" s="253" t="s">
        <v>3960</v>
      </c>
      <c r="B171" s="251">
        <v>45912.0</v>
      </c>
      <c r="C171" s="252" t="s">
        <v>3796</v>
      </c>
      <c r="D171" s="253" t="s">
        <v>3478</v>
      </c>
      <c r="E171" s="252" t="s">
        <v>3961</v>
      </c>
      <c r="F171" s="252">
        <v>1.0</v>
      </c>
      <c r="G171" s="254">
        <v>20400.0</v>
      </c>
      <c r="H171" s="255">
        <v>20400.0</v>
      </c>
      <c r="I171" s="256" t="s">
        <v>3962</v>
      </c>
      <c r="J171" s="257" t="s">
        <v>3883</v>
      </c>
      <c r="K171" s="301"/>
      <c r="L171" s="245" t="s">
        <v>3963</v>
      </c>
      <c r="M171" s="245" t="b">
        <v>0</v>
      </c>
      <c r="N171" s="245" t="b">
        <v>0</v>
      </c>
    </row>
    <row r="172" ht="15.75" customHeight="1">
      <c r="A172" s="274" t="s">
        <v>3964</v>
      </c>
      <c r="B172" s="298">
        <v>45912.0</v>
      </c>
      <c r="C172" s="291" t="s">
        <v>3796</v>
      </c>
      <c r="D172" s="274" t="s">
        <v>3923</v>
      </c>
      <c r="E172" s="291" t="s">
        <v>3965</v>
      </c>
      <c r="F172" s="291">
        <v>1.0</v>
      </c>
      <c r="G172" s="293">
        <v>32680.0</v>
      </c>
      <c r="H172" s="294">
        <v>32680.0</v>
      </c>
      <c r="I172" s="295" t="s">
        <v>3966</v>
      </c>
      <c r="J172" s="296" t="s">
        <v>3847</v>
      </c>
      <c r="K172" s="300"/>
      <c r="L172" s="245" t="s">
        <v>3967</v>
      </c>
      <c r="M172" s="245" t="b">
        <v>0</v>
      </c>
      <c r="N172" s="245" t="b">
        <v>0</v>
      </c>
    </row>
    <row r="173" ht="15.75" customHeight="1">
      <c r="A173" s="274" t="s">
        <v>3968</v>
      </c>
      <c r="B173" s="298">
        <v>45912.0</v>
      </c>
      <c r="C173" s="291" t="s">
        <v>3796</v>
      </c>
      <c r="D173" s="274" t="s">
        <v>3969</v>
      </c>
      <c r="E173" s="291" t="s">
        <v>3970</v>
      </c>
      <c r="F173" s="291">
        <v>1.0</v>
      </c>
      <c r="G173" s="293">
        <v>18400.0</v>
      </c>
      <c r="H173" s="294">
        <v>18400.0</v>
      </c>
      <c r="I173" s="295"/>
      <c r="J173" s="296" t="s">
        <v>3847</v>
      </c>
      <c r="K173" s="300"/>
      <c r="L173" s="245" t="s">
        <v>3971</v>
      </c>
      <c r="M173" s="245" t="b">
        <v>0</v>
      </c>
      <c r="N173" s="245" t="b">
        <v>0</v>
      </c>
    </row>
    <row r="174" ht="15.75" customHeight="1">
      <c r="A174" s="253" t="s">
        <v>3972</v>
      </c>
      <c r="B174" s="251">
        <v>45912.0</v>
      </c>
      <c r="C174" s="252" t="s">
        <v>3593</v>
      </c>
      <c r="D174" s="253" t="s">
        <v>3973</v>
      </c>
      <c r="E174" s="252" t="s">
        <v>3974</v>
      </c>
      <c r="F174" s="252">
        <v>1.0</v>
      </c>
      <c r="G174" s="254">
        <v>1300.0</v>
      </c>
      <c r="H174" s="255">
        <v>1300.0</v>
      </c>
      <c r="I174" s="256"/>
      <c r="J174" s="257" t="s">
        <v>3883</v>
      </c>
      <c r="K174" s="301"/>
      <c r="L174" s="245" t="s">
        <v>3975</v>
      </c>
      <c r="M174" s="245" t="b">
        <v>0</v>
      </c>
      <c r="N174" s="245" t="b">
        <v>0</v>
      </c>
    </row>
    <row r="175" ht="15.75" customHeight="1">
      <c r="A175" s="274" t="s">
        <v>3976</v>
      </c>
      <c r="B175" s="298">
        <v>45912.0</v>
      </c>
      <c r="C175" s="291" t="s">
        <v>3893</v>
      </c>
      <c r="D175" s="274" t="s">
        <v>3936</v>
      </c>
      <c r="E175" s="291" t="s">
        <v>3977</v>
      </c>
      <c r="F175" s="291">
        <v>1.0</v>
      </c>
      <c r="G175" s="293">
        <v>1080.0</v>
      </c>
      <c r="H175" s="294">
        <v>1080.0</v>
      </c>
      <c r="I175" s="295"/>
      <c r="J175" s="296" t="s">
        <v>3847</v>
      </c>
      <c r="K175" s="300"/>
      <c r="L175" s="245" t="s">
        <v>3978</v>
      </c>
      <c r="M175" s="245" t="b">
        <v>0</v>
      </c>
      <c r="N175" s="245" t="b">
        <v>0</v>
      </c>
    </row>
    <row r="176" ht="15.75" customHeight="1">
      <c r="A176" s="267" t="s">
        <v>3979</v>
      </c>
      <c r="B176" s="268">
        <v>45912.0</v>
      </c>
      <c r="C176" s="269" t="s">
        <v>3580</v>
      </c>
      <c r="D176" s="267" t="s">
        <v>3980</v>
      </c>
      <c r="E176" s="269" t="s">
        <v>3981</v>
      </c>
      <c r="F176" s="269">
        <v>1.0</v>
      </c>
      <c r="G176" s="271">
        <v>930.0</v>
      </c>
      <c r="H176" s="236">
        <v>930.0</v>
      </c>
      <c r="I176" s="272" t="s">
        <v>3982</v>
      </c>
      <c r="J176" s="282" t="s">
        <v>3847</v>
      </c>
      <c r="K176" s="302"/>
      <c r="L176" s="245" t="s">
        <v>3983</v>
      </c>
      <c r="M176" s="245" t="b">
        <v>0</v>
      </c>
      <c r="N176" s="245" t="b">
        <v>0</v>
      </c>
    </row>
    <row r="177" ht="15.75" customHeight="1">
      <c r="A177" s="274" t="s">
        <v>3984</v>
      </c>
      <c r="B177" s="303">
        <v>45942.0</v>
      </c>
      <c r="C177" s="291" t="s">
        <v>3603</v>
      </c>
      <c r="D177" s="274" t="s">
        <v>3619</v>
      </c>
      <c r="E177" s="291" t="s">
        <v>3985</v>
      </c>
      <c r="F177" s="291">
        <v>1.0</v>
      </c>
      <c r="G177" s="293">
        <v>207360.0</v>
      </c>
      <c r="H177" s="294">
        <v>207360.0</v>
      </c>
      <c r="I177" s="295"/>
      <c r="J177" s="296" t="s">
        <v>3847</v>
      </c>
      <c r="K177" s="300"/>
      <c r="L177" s="245" t="s">
        <v>3986</v>
      </c>
      <c r="M177" s="245" t="b">
        <v>0</v>
      </c>
      <c r="N177" s="245" t="b">
        <v>0</v>
      </c>
    </row>
    <row r="178" ht="15.75" customHeight="1">
      <c r="A178" s="250" t="s">
        <v>3987</v>
      </c>
      <c r="B178" s="304">
        <v>46003.0</v>
      </c>
      <c r="C178" s="305" t="s">
        <v>3603</v>
      </c>
      <c r="D178" s="250" t="s">
        <v>3619</v>
      </c>
      <c r="E178" s="305" t="s">
        <v>3988</v>
      </c>
      <c r="F178" s="305">
        <v>1.0</v>
      </c>
      <c r="G178" s="306">
        <v>42591.9</v>
      </c>
      <c r="H178" s="307">
        <v>42591.9</v>
      </c>
      <c r="I178" s="308"/>
      <c r="J178" s="257" t="s">
        <v>3883</v>
      </c>
      <c r="K178" s="309"/>
      <c r="L178" s="245" t="s">
        <v>3989</v>
      </c>
      <c r="M178" s="245" t="b">
        <v>0</v>
      </c>
      <c r="N178" s="245" t="b">
        <v>0</v>
      </c>
    </row>
    <row r="179" ht="15.75" customHeight="1">
      <c r="A179" s="250" t="s">
        <v>3990</v>
      </c>
      <c r="B179" s="304">
        <v>46003.0</v>
      </c>
      <c r="C179" s="305" t="s">
        <v>3603</v>
      </c>
      <c r="D179" s="250" t="s">
        <v>3612</v>
      </c>
      <c r="E179" s="305" t="s">
        <v>3991</v>
      </c>
      <c r="F179" s="305">
        <v>1.0</v>
      </c>
      <c r="G179" s="306">
        <v>74636.22</v>
      </c>
      <c r="H179" s="307">
        <v>74636.22</v>
      </c>
      <c r="I179" s="308"/>
      <c r="J179" s="257" t="s">
        <v>3883</v>
      </c>
      <c r="K179" s="309"/>
      <c r="L179" s="245" t="s">
        <v>3992</v>
      </c>
      <c r="M179" s="245" t="b">
        <v>0</v>
      </c>
      <c r="N179" s="245" t="b">
        <v>0</v>
      </c>
    </row>
    <row r="180" ht="15.75" customHeight="1">
      <c r="A180" s="250" t="s">
        <v>3990</v>
      </c>
      <c r="B180" s="304">
        <v>46003.0</v>
      </c>
      <c r="C180" s="305" t="s">
        <v>3603</v>
      </c>
      <c r="D180" s="250" t="s">
        <v>3612</v>
      </c>
      <c r="E180" s="305" t="s">
        <v>3991</v>
      </c>
      <c r="F180" s="305">
        <v>1.0</v>
      </c>
      <c r="G180" s="306">
        <v>74636.22</v>
      </c>
      <c r="H180" s="307">
        <v>74636.22</v>
      </c>
      <c r="I180" s="308"/>
      <c r="J180" s="257" t="s">
        <v>3883</v>
      </c>
      <c r="K180" s="309"/>
      <c r="L180" s="245" t="s">
        <v>3993</v>
      </c>
      <c r="M180" s="245" t="b">
        <v>0</v>
      </c>
      <c r="N180" s="245" t="b">
        <v>0</v>
      </c>
    </row>
    <row r="181" ht="15.75" customHeight="1">
      <c r="A181" s="310" t="s">
        <v>3994</v>
      </c>
      <c r="B181" s="311">
        <v>46010.0</v>
      </c>
      <c r="C181" s="312" t="s">
        <v>3587</v>
      </c>
      <c r="D181" s="313" t="s">
        <v>3995</v>
      </c>
      <c r="E181" s="313" t="s">
        <v>3996</v>
      </c>
      <c r="F181" s="312">
        <v>1.0</v>
      </c>
      <c r="G181" s="314">
        <v>111050.0</v>
      </c>
      <c r="H181" s="315">
        <v>111050.0</v>
      </c>
      <c r="I181" s="316" t="s">
        <v>3997</v>
      </c>
      <c r="J181" s="317" t="s">
        <v>3847</v>
      </c>
      <c r="K181" s="143"/>
      <c r="L181" s="245" t="s">
        <v>3998</v>
      </c>
      <c r="M181" s="245" t="b">
        <v>0</v>
      </c>
      <c r="N181" s="245" t="b">
        <v>0</v>
      </c>
    </row>
    <row r="182" ht="15.75" customHeight="1">
      <c r="A182" s="310" t="s">
        <v>3999</v>
      </c>
      <c r="B182" s="312"/>
      <c r="C182" s="312"/>
      <c r="D182" s="313"/>
      <c r="E182" s="313"/>
      <c r="F182" s="312"/>
      <c r="G182" s="314"/>
      <c r="H182" s="315"/>
      <c r="I182" s="316"/>
      <c r="J182" s="317" t="s">
        <v>3847</v>
      </c>
      <c r="K182" s="143"/>
      <c r="L182" s="245" t="s">
        <v>4000</v>
      </c>
      <c r="M182" s="245" t="b">
        <v>0</v>
      </c>
      <c r="N182" s="245" t="b">
        <v>0</v>
      </c>
    </row>
    <row r="183" ht="15.75" customHeight="1">
      <c r="A183" s="310" t="s">
        <v>4001</v>
      </c>
      <c r="B183" s="311">
        <v>46010.0</v>
      </c>
      <c r="C183" s="312" t="s">
        <v>3681</v>
      </c>
      <c r="D183" s="313" t="s">
        <v>4002</v>
      </c>
      <c r="E183" s="313" t="s">
        <v>4003</v>
      </c>
      <c r="F183" s="312">
        <v>1.0</v>
      </c>
      <c r="G183" s="314">
        <v>5940.0</v>
      </c>
      <c r="H183" s="315">
        <v>5940.0</v>
      </c>
      <c r="I183" s="316" t="s">
        <v>4004</v>
      </c>
      <c r="J183" s="317" t="s">
        <v>3847</v>
      </c>
      <c r="K183" s="143"/>
      <c r="L183" s="245" t="s">
        <v>4005</v>
      </c>
      <c r="M183" s="245" t="b">
        <v>0</v>
      </c>
      <c r="N183" s="245" t="b">
        <v>0</v>
      </c>
    </row>
    <row r="184" ht="15.75" customHeight="1">
      <c r="A184" s="310" t="s">
        <v>4006</v>
      </c>
      <c r="B184" s="311">
        <v>46010.0</v>
      </c>
      <c r="C184" s="312" t="s">
        <v>3612</v>
      </c>
      <c r="D184" s="313" t="s">
        <v>4007</v>
      </c>
      <c r="E184" s="313" t="s">
        <v>4008</v>
      </c>
      <c r="F184" s="312">
        <v>1.0</v>
      </c>
      <c r="G184" s="314">
        <v>70098.1</v>
      </c>
      <c r="H184" s="315">
        <v>70098.1</v>
      </c>
      <c r="I184" s="316" t="s">
        <v>4009</v>
      </c>
      <c r="J184" s="317" t="s">
        <v>3847</v>
      </c>
      <c r="K184" s="143"/>
      <c r="L184" s="245" t="s">
        <v>4010</v>
      </c>
      <c r="M184" s="245" t="b">
        <v>0</v>
      </c>
      <c r="N184" s="245" t="b">
        <v>0</v>
      </c>
    </row>
    <row r="185" ht="15.75" customHeight="1">
      <c r="A185" s="310"/>
      <c r="B185" s="312"/>
      <c r="C185" s="312"/>
      <c r="D185" s="313"/>
      <c r="E185" s="313"/>
      <c r="F185" s="312"/>
      <c r="G185" s="314"/>
      <c r="H185" s="315"/>
      <c r="I185" s="316"/>
      <c r="J185" s="313"/>
      <c r="K185" s="143"/>
    </row>
    <row r="186" ht="15.75" customHeight="1">
      <c r="A186" s="310"/>
      <c r="B186" s="312"/>
      <c r="C186" s="312"/>
      <c r="D186" s="313"/>
      <c r="E186" s="313"/>
      <c r="F186" s="312"/>
      <c r="G186" s="314"/>
      <c r="H186" s="315"/>
      <c r="I186" s="316"/>
      <c r="J186" s="313"/>
      <c r="K186" s="143"/>
    </row>
    <row r="187" ht="15.75" customHeight="1">
      <c r="A187" s="310"/>
      <c r="B187" s="312"/>
      <c r="C187" s="312"/>
      <c r="D187" s="313"/>
      <c r="E187" s="313"/>
      <c r="F187" s="312"/>
      <c r="G187" s="314"/>
      <c r="H187" s="315"/>
      <c r="I187" s="316"/>
      <c r="J187" s="313"/>
      <c r="K187" s="143"/>
    </row>
    <row r="188" ht="15.75" customHeight="1">
      <c r="A188" s="313"/>
      <c r="B188" s="312"/>
      <c r="C188" s="312"/>
      <c r="D188" s="313"/>
      <c r="E188" s="313"/>
      <c r="F188" s="312"/>
      <c r="G188" s="314"/>
      <c r="H188" s="315"/>
      <c r="I188" s="316"/>
      <c r="J188" s="313"/>
      <c r="K188" s="143"/>
    </row>
    <row r="189" ht="15.75" customHeight="1">
      <c r="A189" s="313"/>
      <c r="B189" s="312"/>
      <c r="C189" s="312"/>
      <c r="D189" s="313"/>
      <c r="E189" s="313"/>
      <c r="F189" s="312"/>
      <c r="G189" s="314"/>
      <c r="H189" s="315"/>
      <c r="I189" s="316"/>
      <c r="J189" s="313"/>
      <c r="K189" s="143"/>
    </row>
    <row r="190" ht="15.75" customHeight="1">
      <c r="A190" s="313"/>
      <c r="B190" s="312"/>
      <c r="C190" s="312"/>
      <c r="D190" s="313"/>
      <c r="E190" s="313"/>
      <c r="F190" s="312"/>
      <c r="G190" s="314"/>
      <c r="H190" s="315"/>
      <c r="I190" s="316"/>
      <c r="J190" s="313"/>
      <c r="K190" s="143"/>
    </row>
    <row r="191" ht="15.75" customHeight="1">
      <c r="A191" s="313"/>
      <c r="B191" s="312"/>
      <c r="C191" s="312"/>
      <c r="D191" s="313"/>
      <c r="E191" s="313"/>
      <c r="F191" s="312"/>
      <c r="G191" s="314"/>
      <c r="H191" s="315"/>
      <c r="I191" s="316"/>
      <c r="J191" s="313"/>
      <c r="K191" s="143"/>
    </row>
    <row r="192" ht="15.75" customHeight="1">
      <c r="A192" s="313"/>
      <c r="B192" s="312"/>
      <c r="C192" s="312"/>
      <c r="D192" s="313"/>
      <c r="E192" s="313"/>
      <c r="F192" s="312"/>
      <c r="G192" s="314"/>
      <c r="H192" s="315"/>
      <c r="I192" s="316"/>
      <c r="J192" s="313"/>
      <c r="K192" s="143"/>
    </row>
    <row r="193" ht="15.75" customHeight="1">
      <c r="A193" s="313"/>
      <c r="B193" s="312"/>
      <c r="C193" s="312"/>
      <c r="D193" s="313"/>
      <c r="E193" s="313"/>
      <c r="F193" s="312"/>
      <c r="G193" s="314"/>
      <c r="H193" s="315"/>
      <c r="I193" s="316"/>
      <c r="J193" s="313"/>
      <c r="K193" s="143"/>
    </row>
    <row r="194" ht="15.75" customHeight="1">
      <c r="A194" s="313"/>
      <c r="B194" s="312"/>
      <c r="C194" s="312"/>
      <c r="D194" s="313"/>
      <c r="E194" s="313"/>
      <c r="F194" s="312"/>
      <c r="G194" s="314"/>
      <c r="H194" s="315"/>
      <c r="I194" s="316"/>
      <c r="J194" s="313"/>
      <c r="K194" s="143"/>
    </row>
    <row r="195" ht="15.75" customHeight="1">
      <c r="A195" s="313"/>
      <c r="B195" s="312"/>
      <c r="C195" s="312"/>
      <c r="D195" s="313"/>
      <c r="E195" s="313"/>
      <c r="F195" s="312"/>
      <c r="G195" s="314"/>
      <c r="H195" s="315"/>
      <c r="I195" s="316"/>
      <c r="J195" s="313"/>
      <c r="K195" s="143"/>
    </row>
    <row r="196" ht="15.75" customHeight="1">
      <c r="A196" s="313"/>
      <c r="B196" s="312"/>
      <c r="C196" s="312"/>
      <c r="D196" s="313"/>
      <c r="E196" s="313"/>
      <c r="F196" s="312"/>
      <c r="G196" s="314"/>
      <c r="H196" s="315"/>
      <c r="I196" s="316"/>
      <c r="J196" s="313"/>
      <c r="K196" s="143"/>
    </row>
    <row r="197" ht="15.75" customHeight="1">
      <c r="A197" s="313"/>
      <c r="B197" s="312"/>
      <c r="C197" s="312"/>
      <c r="D197" s="313"/>
      <c r="E197" s="313"/>
      <c r="F197" s="312"/>
      <c r="G197" s="314"/>
      <c r="H197" s="315"/>
      <c r="I197" s="316"/>
      <c r="J197" s="313"/>
      <c r="K197" s="143"/>
    </row>
    <row r="198" ht="15.75" customHeight="1">
      <c r="A198" s="313"/>
      <c r="B198" s="312"/>
      <c r="C198" s="312"/>
      <c r="D198" s="313"/>
      <c r="E198" s="313"/>
      <c r="F198" s="312"/>
      <c r="G198" s="314"/>
      <c r="H198" s="315"/>
      <c r="I198" s="316"/>
      <c r="J198" s="313"/>
      <c r="K198" s="143"/>
    </row>
    <row r="199" ht="15.75" customHeight="1">
      <c r="A199" s="313"/>
      <c r="B199" s="312"/>
      <c r="C199" s="312"/>
      <c r="D199" s="313"/>
      <c r="E199" s="313"/>
      <c r="F199" s="312"/>
      <c r="G199" s="314"/>
      <c r="H199" s="315"/>
      <c r="I199" s="316"/>
      <c r="J199" s="313"/>
      <c r="K199" s="143"/>
    </row>
    <row r="200" ht="15.75" customHeight="1">
      <c r="A200" s="313"/>
      <c r="B200" s="312"/>
      <c r="C200" s="312"/>
      <c r="D200" s="313"/>
      <c r="E200" s="313"/>
      <c r="F200" s="312"/>
      <c r="G200" s="314"/>
      <c r="H200" s="315"/>
      <c r="I200" s="316"/>
      <c r="J200" s="313"/>
      <c r="K200" s="143"/>
    </row>
    <row r="201" ht="15.75" customHeight="1">
      <c r="A201" s="313"/>
      <c r="B201" s="312"/>
      <c r="C201" s="312"/>
      <c r="D201" s="313"/>
      <c r="E201" s="313"/>
      <c r="F201" s="312"/>
      <c r="G201" s="314"/>
      <c r="H201" s="315"/>
      <c r="I201" s="316"/>
      <c r="J201" s="313"/>
      <c r="K201" s="143"/>
    </row>
    <row r="202" ht="15.75" customHeight="1">
      <c r="A202" s="313"/>
      <c r="B202" s="312"/>
      <c r="C202" s="312"/>
      <c r="D202" s="313"/>
      <c r="E202" s="313"/>
      <c r="F202" s="312"/>
      <c r="G202" s="314"/>
      <c r="H202" s="315"/>
      <c r="I202" s="316"/>
      <c r="J202" s="313"/>
      <c r="K202" s="143"/>
    </row>
    <row r="203" ht="15.75" customHeight="1">
      <c r="A203" s="313"/>
      <c r="B203" s="312"/>
      <c r="C203" s="312"/>
      <c r="D203" s="313"/>
      <c r="E203" s="313"/>
      <c r="F203" s="312"/>
      <c r="G203" s="314"/>
      <c r="H203" s="315"/>
      <c r="I203" s="316"/>
      <c r="J203" s="313"/>
      <c r="K203" s="143"/>
    </row>
    <row r="204" ht="15.75" customHeight="1">
      <c r="A204" s="313"/>
      <c r="B204" s="312"/>
      <c r="C204" s="312"/>
      <c r="D204" s="313"/>
      <c r="E204" s="313"/>
      <c r="F204" s="312"/>
      <c r="G204" s="314"/>
      <c r="H204" s="315"/>
      <c r="I204" s="316"/>
      <c r="J204" s="313"/>
      <c r="K204" s="143"/>
    </row>
    <row r="205" ht="15.75" customHeight="1">
      <c r="A205" s="313"/>
      <c r="B205" s="312"/>
      <c r="C205" s="312"/>
      <c r="D205" s="313"/>
      <c r="E205" s="313"/>
      <c r="F205" s="312"/>
      <c r="G205" s="314"/>
      <c r="H205" s="315"/>
      <c r="I205" s="316"/>
      <c r="J205" s="313"/>
      <c r="K205" s="143"/>
    </row>
    <row r="206" ht="15.75" customHeight="1">
      <c r="A206" s="313"/>
      <c r="B206" s="312"/>
      <c r="C206" s="312"/>
      <c r="D206" s="313"/>
      <c r="E206" s="313"/>
      <c r="F206" s="312"/>
      <c r="G206" s="314"/>
      <c r="H206" s="315"/>
      <c r="I206" s="316"/>
      <c r="J206" s="313"/>
      <c r="K206" s="143"/>
    </row>
    <row r="207" ht="15.75" customHeight="1">
      <c r="A207" s="313"/>
      <c r="B207" s="312"/>
      <c r="C207" s="312"/>
      <c r="D207" s="313"/>
      <c r="E207" s="313"/>
      <c r="F207" s="312"/>
      <c r="G207" s="314"/>
      <c r="H207" s="315"/>
      <c r="I207" s="316"/>
      <c r="J207" s="313"/>
      <c r="K207" s="143"/>
    </row>
    <row r="208" ht="15.75" customHeight="1">
      <c r="A208" s="313"/>
      <c r="B208" s="312"/>
      <c r="C208" s="312"/>
      <c r="D208" s="313"/>
      <c r="E208" s="313"/>
      <c r="F208" s="312"/>
      <c r="G208" s="314"/>
      <c r="H208" s="315"/>
      <c r="I208" s="316"/>
      <c r="J208" s="313"/>
      <c r="K208" s="143"/>
    </row>
    <row r="209" ht="15.75" customHeight="1">
      <c r="A209" s="313"/>
      <c r="B209" s="312"/>
      <c r="C209" s="312"/>
      <c r="D209" s="313"/>
      <c r="E209" s="313"/>
      <c r="F209" s="312"/>
      <c r="G209" s="314"/>
      <c r="H209" s="315"/>
      <c r="I209" s="316"/>
      <c r="J209" s="313"/>
      <c r="K209" s="143"/>
    </row>
    <row r="210" ht="15.75" customHeight="1">
      <c r="A210" s="313"/>
      <c r="B210" s="312"/>
      <c r="C210" s="312"/>
      <c r="D210" s="313"/>
      <c r="E210" s="313"/>
      <c r="F210" s="312"/>
      <c r="G210" s="314"/>
      <c r="H210" s="315"/>
      <c r="I210" s="316"/>
      <c r="J210" s="313"/>
      <c r="K210" s="143"/>
    </row>
    <row r="211" ht="15.75" customHeight="1">
      <c r="A211" s="313"/>
      <c r="B211" s="312"/>
      <c r="C211" s="312"/>
      <c r="D211" s="313"/>
      <c r="E211" s="313"/>
      <c r="F211" s="312"/>
      <c r="G211" s="314"/>
      <c r="H211" s="315"/>
      <c r="I211" s="316"/>
      <c r="J211" s="313"/>
      <c r="K211" s="143"/>
    </row>
    <row r="212" ht="15.75" customHeight="1">
      <c r="A212" s="313"/>
      <c r="B212" s="312"/>
      <c r="C212" s="312"/>
      <c r="D212" s="313"/>
      <c r="E212" s="313"/>
      <c r="F212" s="312"/>
      <c r="G212" s="314"/>
      <c r="H212" s="315"/>
      <c r="I212" s="316"/>
      <c r="J212" s="313"/>
      <c r="K212" s="143"/>
    </row>
    <row r="213" ht="15.75" customHeight="1">
      <c r="A213" s="313"/>
      <c r="B213" s="312"/>
      <c r="C213" s="312"/>
      <c r="D213" s="313"/>
      <c r="E213" s="313"/>
      <c r="F213" s="312"/>
      <c r="G213" s="314"/>
      <c r="H213" s="315"/>
      <c r="I213" s="316"/>
      <c r="J213" s="313"/>
      <c r="K213" s="143"/>
    </row>
    <row r="214" ht="15.75" customHeight="1">
      <c r="A214" s="313"/>
      <c r="B214" s="312"/>
      <c r="C214" s="312"/>
      <c r="D214" s="313"/>
      <c r="E214" s="313"/>
      <c r="F214" s="312"/>
      <c r="G214" s="314"/>
      <c r="H214" s="315"/>
      <c r="I214" s="316"/>
      <c r="J214" s="313"/>
      <c r="K214" s="143"/>
    </row>
    <row r="215" ht="15.75" customHeight="1">
      <c r="A215" s="313"/>
      <c r="B215" s="312"/>
      <c r="C215" s="312"/>
      <c r="D215" s="313"/>
      <c r="E215" s="313"/>
      <c r="F215" s="312"/>
      <c r="G215" s="314"/>
      <c r="H215" s="315"/>
      <c r="I215" s="316"/>
      <c r="J215" s="313"/>
      <c r="K215" s="143"/>
    </row>
    <row r="216" ht="15.75" customHeight="1">
      <c r="A216" s="313"/>
      <c r="B216" s="312"/>
      <c r="C216" s="312"/>
      <c r="D216" s="313"/>
      <c r="E216" s="313"/>
      <c r="F216" s="312"/>
      <c r="G216" s="314"/>
      <c r="H216" s="315"/>
      <c r="I216" s="316"/>
      <c r="J216" s="313"/>
      <c r="K216" s="143"/>
    </row>
    <row r="217" ht="15.75" customHeight="1">
      <c r="A217" s="313"/>
      <c r="B217" s="312"/>
      <c r="C217" s="312"/>
      <c r="D217" s="313"/>
      <c r="E217" s="313"/>
      <c r="F217" s="312"/>
      <c r="G217" s="314"/>
      <c r="H217" s="315"/>
      <c r="I217" s="316"/>
      <c r="J217" s="313"/>
      <c r="K217" s="143"/>
    </row>
    <row r="218" ht="15.75" customHeight="1">
      <c r="A218" s="313"/>
      <c r="B218" s="312"/>
      <c r="C218" s="312"/>
      <c r="D218" s="313"/>
      <c r="E218" s="313"/>
      <c r="F218" s="312"/>
      <c r="G218" s="314"/>
      <c r="H218" s="315"/>
      <c r="I218" s="316"/>
      <c r="J218" s="313"/>
      <c r="K218" s="143"/>
    </row>
    <row r="219" ht="15.75" customHeight="1">
      <c r="A219" s="313"/>
      <c r="B219" s="312"/>
      <c r="C219" s="312"/>
      <c r="D219" s="313"/>
      <c r="E219" s="313"/>
      <c r="F219" s="312"/>
      <c r="G219" s="314"/>
      <c r="H219" s="315"/>
      <c r="I219" s="316"/>
      <c r="J219" s="313"/>
      <c r="K219" s="143"/>
    </row>
    <row r="220" ht="15.75" customHeight="1">
      <c r="A220" s="313"/>
      <c r="B220" s="312"/>
      <c r="C220" s="312"/>
      <c r="D220" s="313"/>
      <c r="E220" s="313"/>
      <c r="F220" s="312"/>
      <c r="G220" s="314"/>
      <c r="H220" s="315"/>
      <c r="I220" s="316"/>
      <c r="J220" s="313"/>
      <c r="K220" s="143"/>
    </row>
    <row r="221" ht="15.75" customHeight="1">
      <c r="A221" s="313"/>
      <c r="B221" s="312"/>
      <c r="C221" s="312"/>
      <c r="D221" s="313"/>
      <c r="E221" s="313"/>
      <c r="F221" s="312"/>
      <c r="G221" s="314"/>
      <c r="H221" s="315"/>
      <c r="I221" s="316"/>
      <c r="J221" s="313"/>
      <c r="K221" s="143"/>
    </row>
    <row r="222" ht="15.75" customHeight="1">
      <c r="A222" s="313"/>
      <c r="B222" s="312"/>
      <c r="C222" s="312"/>
      <c r="D222" s="313"/>
      <c r="E222" s="313"/>
      <c r="F222" s="312"/>
      <c r="G222" s="314"/>
      <c r="H222" s="315"/>
      <c r="I222" s="316"/>
      <c r="J222" s="313"/>
      <c r="K222" s="143"/>
    </row>
    <row r="223" ht="15.75" customHeight="1">
      <c r="A223" s="313"/>
      <c r="B223" s="312"/>
      <c r="C223" s="312"/>
      <c r="D223" s="313"/>
      <c r="E223" s="313"/>
      <c r="F223" s="312"/>
      <c r="G223" s="314"/>
      <c r="H223" s="315"/>
      <c r="I223" s="316"/>
      <c r="J223" s="313"/>
      <c r="K223" s="143"/>
    </row>
    <row r="224" ht="15.75" customHeight="1">
      <c r="A224" s="313"/>
      <c r="B224" s="312"/>
      <c r="C224" s="312"/>
      <c r="D224" s="313"/>
      <c r="E224" s="313"/>
      <c r="F224" s="312"/>
      <c r="G224" s="314"/>
      <c r="H224" s="315"/>
      <c r="I224" s="316"/>
      <c r="J224" s="313"/>
      <c r="K224" s="143"/>
    </row>
    <row r="225" ht="15.75" customHeight="1">
      <c r="A225" s="313"/>
      <c r="B225" s="312"/>
      <c r="C225" s="312"/>
      <c r="D225" s="313"/>
      <c r="E225" s="313"/>
      <c r="F225" s="312"/>
      <c r="G225" s="314"/>
      <c r="H225" s="315"/>
      <c r="I225" s="316"/>
      <c r="J225" s="313"/>
      <c r="K225" s="143"/>
    </row>
    <row r="226" ht="15.75" customHeight="1">
      <c r="A226" s="313"/>
      <c r="B226" s="312"/>
      <c r="C226" s="312"/>
      <c r="D226" s="313"/>
      <c r="E226" s="313"/>
      <c r="F226" s="312"/>
      <c r="G226" s="314"/>
      <c r="H226" s="315"/>
      <c r="I226" s="316"/>
      <c r="J226" s="313"/>
      <c r="K226" s="143"/>
    </row>
    <row r="227" ht="15.75" customHeight="1">
      <c r="A227" s="313"/>
      <c r="B227" s="312"/>
      <c r="C227" s="312"/>
      <c r="D227" s="313"/>
      <c r="E227" s="313"/>
      <c r="F227" s="312"/>
      <c r="G227" s="314"/>
      <c r="H227" s="315"/>
      <c r="I227" s="316"/>
      <c r="J227" s="313"/>
      <c r="K227" s="143"/>
    </row>
    <row r="228" ht="15.75" customHeight="1">
      <c r="A228" s="313"/>
      <c r="B228" s="312"/>
      <c r="C228" s="312"/>
      <c r="D228" s="313"/>
      <c r="E228" s="313"/>
      <c r="F228" s="312"/>
      <c r="G228" s="314"/>
      <c r="H228" s="315"/>
      <c r="I228" s="316"/>
      <c r="J228" s="313"/>
      <c r="K228" s="143"/>
    </row>
    <row r="229" ht="15.75" customHeight="1">
      <c r="A229" s="313"/>
      <c r="B229" s="312"/>
      <c r="C229" s="312"/>
      <c r="D229" s="313"/>
      <c r="E229" s="313"/>
      <c r="F229" s="312"/>
      <c r="G229" s="314"/>
      <c r="H229" s="315"/>
      <c r="I229" s="316"/>
      <c r="J229" s="313"/>
      <c r="K229" s="143"/>
    </row>
    <row r="230" ht="15.75" customHeight="1">
      <c r="A230" s="313"/>
      <c r="B230" s="312"/>
      <c r="C230" s="312"/>
      <c r="D230" s="313"/>
      <c r="E230" s="313"/>
      <c r="F230" s="312"/>
      <c r="G230" s="314"/>
      <c r="H230" s="315"/>
      <c r="I230" s="316"/>
      <c r="J230" s="313"/>
      <c r="K230" s="143"/>
    </row>
    <row r="231" ht="15.75" customHeight="1">
      <c r="A231" s="313"/>
      <c r="B231" s="312"/>
      <c r="C231" s="312"/>
      <c r="D231" s="313"/>
      <c r="E231" s="313"/>
      <c r="F231" s="312"/>
      <c r="G231" s="314"/>
      <c r="H231" s="315"/>
      <c r="I231" s="316"/>
      <c r="J231" s="313"/>
      <c r="K231" s="143"/>
    </row>
    <row r="232" ht="15.75" customHeight="1">
      <c r="A232" s="313"/>
      <c r="B232" s="312"/>
      <c r="C232" s="312"/>
      <c r="D232" s="313"/>
      <c r="E232" s="313"/>
      <c r="F232" s="312"/>
      <c r="G232" s="314"/>
      <c r="H232" s="315"/>
      <c r="I232" s="316"/>
      <c r="J232" s="313"/>
      <c r="K232" s="143"/>
    </row>
    <row r="233" ht="15.75" customHeight="1">
      <c r="A233" s="313"/>
      <c r="B233" s="312"/>
      <c r="C233" s="312"/>
      <c r="D233" s="313"/>
      <c r="E233" s="313"/>
      <c r="F233" s="312"/>
      <c r="G233" s="314"/>
      <c r="H233" s="315"/>
      <c r="I233" s="316"/>
      <c r="J233" s="313"/>
      <c r="K233" s="143"/>
    </row>
    <row r="234" ht="15.75" customHeight="1">
      <c r="A234" s="313"/>
      <c r="B234" s="312"/>
      <c r="C234" s="312"/>
      <c r="D234" s="313"/>
      <c r="E234" s="313"/>
      <c r="F234" s="312"/>
      <c r="G234" s="314"/>
      <c r="H234" s="315"/>
      <c r="I234" s="316"/>
      <c r="J234" s="313"/>
      <c r="K234" s="143"/>
    </row>
    <row r="235" ht="15.75" customHeight="1">
      <c r="A235" s="313"/>
      <c r="B235" s="312"/>
      <c r="C235" s="312"/>
      <c r="D235" s="313"/>
      <c r="E235" s="313"/>
      <c r="F235" s="312"/>
      <c r="G235" s="314"/>
      <c r="H235" s="315"/>
      <c r="I235" s="316"/>
      <c r="J235" s="313"/>
      <c r="K235" s="143"/>
    </row>
    <row r="236" ht="15.75" customHeight="1">
      <c r="A236" s="313"/>
      <c r="B236" s="312"/>
      <c r="C236" s="312"/>
      <c r="D236" s="313"/>
      <c r="E236" s="313"/>
      <c r="F236" s="312"/>
      <c r="G236" s="314"/>
      <c r="H236" s="315"/>
      <c r="I236" s="316"/>
      <c r="J236" s="313"/>
      <c r="K236" s="143"/>
    </row>
    <row r="237" ht="15.75" customHeight="1">
      <c r="A237" s="313"/>
      <c r="B237" s="312"/>
      <c r="C237" s="312"/>
      <c r="D237" s="313"/>
      <c r="E237" s="313"/>
      <c r="F237" s="312"/>
      <c r="G237" s="314"/>
      <c r="H237" s="315"/>
      <c r="I237" s="316"/>
      <c r="J237" s="313"/>
      <c r="K237" s="143"/>
    </row>
    <row r="238" ht="15.75" customHeight="1">
      <c r="A238" s="313"/>
      <c r="B238" s="312"/>
      <c r="C238" s="312"/>
      <c r="D238" s="313"/>
      <c r="E238" s="313"/>
      <c r="F238" s="312"/>
      <c r="G238" s="314"/>
      <c r="H238" s="315"/>
      <c r="I238" s="316"/>
      <c r="J238" s="313"/>
      <c r="K238" s="143"/>
    </row>
    <row r="239" ht="15.75" customHeight="1">
      <c r="A239" s="313"/>
      <c r="B239" s="312"/>
      <c r="C239" s="312"/>
      <c r="D239" s="313"/>
      <c r="E239" s="313"/>
      <c r="F239" s="312"/>
      <c r="G239" s="314"/>
      <c r="H239" s="315"/>
      <c r="I239" s="316"/>
      <c r="J239" s="313"/>
      <c r="K239" s="143"/>
    </row>
    <row r="240" ht="15.75" customHeight="1">
      <c r="A240" s="313"/>
      <c r="B240" s="312"/>
      <c r="C240" s="312"/>
      <c r="D240" s="313"/>
      <c r="E240" s="313"/>
      <c r="F240" s="312"/>
      <c r="G240" s="314"/>
      <c r="H240" s="315"/>
      <c r="I240" s="316"/>
      <c r="J240" s="313"/>
      <c r="K240" s="143"/>
    </row>
    <row r="241" ht="15.75" customHeight="1">
      <c r="A241" s="313"/>
      <c r="B241" s="312"/>
      <c r="C241" s="312"/>
      <c r="D241" s="313"/>
      <c r="E241" s="313"/>
      <c r="F241" s="312"/>
      <c r="G241" s="314"/>
      <c r="H241" s="315"/>
      <c r="I241" s="316"/>
      <c r="J241" s="313"/>
      <c r="K241" s="143"/>
    </row>
    <row r="242" ht="15.75" customHeight="1">
      <c r="A242" s="313"/>
      <c r="B242" s="312"/>
      <c r="C242" s="312"/>
      <c r="D242" s="313"/>
      <c r="E242" s="313"/>
      <c r="F242" s="312"/>
      <c r="G242" s="314"/>
      <c r="H242" s="315"/>
      <c r="I242" s="316"/>
      <c r="J242" s="313"/>
      <c r="K242" s="143"/>
    </row>
    <row r="243" ht="15.75" customHeight="1">
      <c r="A243" s="313"/>
      <c r="B243" s="312"/>
      <c r="C243" s="312"/>
      <c r="D243" s="313"/>
      <c r="E243" s="313"/>
      <c r="F243" s="312"/>
      <c r="G243" s="314"/>
      <c r="H243" s="315"/>
      <c r="I243" s="316"/>
      <c r="J243" s="313"/>
      <c r="K243" s="143"/>
    </row>
    <row r="244" ht="15.75" customHeight="1">
      <c r="A244" s="313"/>
      <c r="B244" s="312"/>
      <c r="C244" s="312"/>
      <c r="D244" s="313"/>
      <c r="E244" s="313"/>
      <c r="F244" s="312"/>
      <c r="G244" s="314"/>
      <c r="H244" s="315"/>
      <c r="I244" s="316"/>
      <c r="J244" s="313"/>
      <c r="K244" s="143"/>
    </row>
    <row r="245" ht="15.75" customHeight="1">
      <c r="A245" s="313"/>
      <c r="B245" s="312"/>
      <c r="C245" s="312"/>
      <c r="D245" s="313"/>
      <c r="E245" s="313"/>
      <c r="F245" s="312"/>
      <c r="G245" s="314"/>
      <c r="H245" s="315"/>
      <c r="I245" s="316"/>
      <c r="J245" s="313"/>
      <c r="K245" s="143"/>
    </row>
    <row r="246" ht="15.75" customHeight="1">
      <c r="A246" s="313"/>
      <c r="B246" s="312"/>
      <c r="C246" s="312"/>
      <c r="D246" s="313"/>
      <c r="E246" s="313"/>
      <c r="F246" s="312"/>
      <c r="G246" s="314"/>
      <c r="H246" s="315"/>
      <c r="I246" s="316"/>
      <c r="J246" s="313"/>
      <c r="K246" s="143"/>
    </row>
    <row r="247" ht="15.75" customHeight="1">
      <c r="A247" s="313"/>
      <c r="B247" s="312"/>
      <c r="C247" s="312"/>
      <c r="D247" s="313"/>
      <c r="E247" s="313"/>
      <c r="F247" s="312"/>
      <c r="G247" s="314"/>
      <c r="H247" s="315"/>
      <c r="I247" s="316"/>
      <c r="J247" s="313"/>
      <c r="K247" s="143"/>
    </row>
    <row r="248" ht="15.75" customHeight="1">
      <c r="A248" s="313"/>
      <c r="B248" s="312"/>
      <c r="C248" s="312"/>
      <c r="D248" s="313"/>
      <c r="E248" s="313"/>
      <c r="F248" s="312"/>
      <c r="G248" s="314"/>
      <c r="H248" s="315"/>
      <c r="I248" s="316"/>
      <c r="J248" s="313"/>
      <c r="K248" s="143"/>
    </row>
    <row r="249" ht="15.75" customHeight="1">
      <c r="A249" s="313"/>
      <c r="B249" s="312"/>
      <c r="C249" s="312"/>
      <c r="D249" s="313"/>
      <c r="E249" s="313"/>
      <c r="F249" s="312"/>
      <c r="G249" s="314"/>
      <c r="H249" s="315"/>
      <c r="I249" s="316"/>
      <c r="J249" s="313"/>
      <c r="K249" s="143"/>
    </row>
    <row r="250" ht="15.75" customHeight="1">
      <c r="A250" s="313"/>
      <c r="B250" s="312"/>
      <c r="C250" s="312"/>
      <c r="D250" s="313"/>
      <c r="E250" s="313"/>
      <c r="F250" s="312"/>
      <c r="G250" s="314"/>
      <c r="H250" s="315"/>
      <c r="I250" s="316"/>
      <c r="J250" s="313"/>
      <c r="K250" s="143"/>
    </row>
    <row r="251" ht="15.75" customHeight="1">
      <c r="A251" s="313"/>
      <c r="B251" s="312"/>
      <c r="C251" s="312"/>
      <c r="D251" s="313"/>
      <c r="E251" s="313"/>
      <c r="F251" s="312"/>
      <c r="G251" s="314"/>
      <c r="H251" s="315"/>
      <c r="I251" s="316"/>
      <c r="J251" s="313"/>
      <c r="K251" s="143"/>
    </row>
    <row r="252" ht="15.75" customHeight="1">
      <c r="A252" s="313"/>
      <c r="B252" s="312"/>
      <c r="C252" s="312"/>
      <c r="D252" s="313"/>
      <c r="E252" s="313"/>
      <c r="F252" s="312"/>
      <c r="G252" s="314"/>
      <c r="H252" s="315"/>
      <c r="I252" s="316"/>
      <c r="J252" s="313"/>
      <c r="K252" s="143"/>
    </row>
    <row r="253" ht="15.75" customHeight="1">
      <c r="A253" s="313"/>
      <c r="B253" s="312"/>
      <c r="C253" s="312"/>
      <c r="D253" s="313"/>
      <c r="E253" s="313"/>
      <c r="F253" s="312"/>
      <c r="G253" s="314"/>
      <c r="H253" s="315"/>
      <c r="I253" s="316"/>
      <c r="J253" s="313"/>
      <c r="K253" s="143"/>
    </row>
    <row r="254" ht="15.75" customHeight="1">
      <c r="A254" s="313"/>
      <c r="B254" s="312"/>
      <c r="C254" s="312"/>
      <c r="D254" s="313"/>
      <c r="E254" s="313"/>
      <c r="F254" s="312"/>
      <c r="G254" s="314"/>
      <c r="H254" s="315"/>
      <c r="I254" s="316"/>
      <c r="J254" s="313"/>
      <c r="K254" s="143"/>
    </row>
    <row r="255" ht="15.75" customHeight="1">
      <c r="A255" s="313"/>
      <c r="B255" s="312"/>
      <c r="C255" s="312"/>
      <c r="D255" s="313"/>
      <c r="E255" s="313"/>
      <c r="F255" s="312"/>
      <c r="G255" s="314"/>
      <c r="H255" s="315"/>
      <c r="I255" s="316"/>
      <c r="J255" s="313"/>
      <c r="K255" s="143"/>
    </row>
    <row r="256" ht="15.75" customHeight="1">
      <c r="A256" s="313"/>
      <c r="B256" s="312"/>
      <c r="C256" s="312"/>
      <c r="D256" s="313"/>
      <c r="E256" s="313"/>
      <c r="F256" s="312"/>
      <c r="G256" s="314"/>
      <c r="H256" s="315"/>
      <c r="I256" s="316"/>
      <c r="J256" s="313"/>
      <c r="K256" s="143"/>
    </row>
    <row r="257" ht="15.75" customHeight="1">
      <c r="A257" s="313"/>
      <c r="B257" s="312"/>
      <c r="C257" s="312"/>
      <c r="D257" s="313"/>
      <c r="E257" s="313"/>
      <c r="F257" s="312"/>
      <c r="G257" s="314"/>
      <c r="H257" s="315"/>
      <c r="I257" s="316"/>
      <c r="J257" s="313"/>
      <c r="K257" s="143"/>
    </row>
    <row r="258" ht="15.75" customHeight="1">
      <c r="A258" s="313"/>
      <c r="B258" s="312"/>
      <c r="C258" s="312"/>
      <c r="D258" s="313"/>
      <c r="E258" s="313"/>
      <c r="F258" s="312"/>
      <c r="G258" s="314"/>
      <c r="H258" s="315"/>
      <c r="I258" s="316"/>
      <c r="J258" s="313"/>
      <c r="K258" s="143"/>
    </row>
    <row r="259" ht="15.75" customHeight="1">
      <c r="A259" s="313"/>
      <c r="B259" s="312"/>
      <c r="C259" s="312"/>
      <c r="D259" s="313"/>
      <c r="E259" s="313"/>
      <c r="F259" s="312"/>
      <c r="G259" s="314"/>
      <c r="H259" s="315"/>
      <c r="I259" s="316"/>
      <c r="J259" s="313"/>
      <c r="K259" s="143"/>
    </row>
    <row r="260" ht="15.75" customHeight="1">
      <c r="A260" s="313"/>
      <c r="B260" s="312"/>
      <c r="C260" s="312"/>
      <c r="D260" s="313"/>
      <c r="E260" s="313"/>
      <c r="F260" s="312"/>
      <c r="G260" s="314"/>
      <c r="H260" s="315"/>
      <c r="I260" s="316"/>
      <c r="J260" s="313"/>
      <c r="K260" s="143"/>
    </row>
    <row r="261" ht="15.75" customHeight="1">
      <c r="A261" s="313"/>
      <c r="B261" s="312"/>
      <c r="C261" s="312"/>
      <c r="D261" s="313"/>
      <c r="E261" s="313"/>
      <c r="F261" s="312"/>
      <c r="G261" s="314"/>
      <c r="H261" s="315"/>
      <c r="I261" s="316"/>
      <c r="J261" s="313"/>
      <c r="K261" s="143"/>
    </row>
    <row r="262" ht="15.75" customHeight="1">
      <c r="A262" s="313"/>
      <c r="B262" s="312"/>
      <c r="C262" s="312"/>
      <c r="D262" s="313"/>
      <c r="E262" s="313"/>
      <c r="F262" s="312"/>
      <c r="G262" s="314"/>
      <c r="H262" s="315"/>
      <c r="I262" s="316"/>
      <c r="J262" s="313"/>
      <c r="K262" s="143"/>
    </row>
    <row r="263" ht="15.75" customHeight="1">
      <c r="A263" s="313"/>
      <c r="B263" s="312"/>
      <c r="C263" s="312"/>
      <c r="D263" s="313"/>
      <c r="E263" s="313"/>
      <c r="F263" s="312"/>
      <c r="G263" s="314"/>
      <c r="H263" s="315"/>
      <c r="I263" s="316"/>
      <c r="J263" s="313"/>
      <c r="K263" s="143"/>
    </row>
    <row r="264" ht="15.75" customHeight="1">
      <c r="A264" s="313"/>
      <c r="B264" s="312"/>
      <c r="C264" s="312"/>
      <c r="D264" s="313"/>
      <c r="E264" s="313"/>
      <c r="F264" s="312"/>
      <c r="G264" s="314"/>
      <c r="H264" s="315"/>
      <c r="I264" s="316"/>
      <c r="J264" s="313"/>
      <c r="K264" s="143"/>
    </row>
    <row r="265" ht="15.75" customHeight="1">
      <c r="A265" s="313"/>
      <c r="B265" s="312"/>
      <c r="C265" s="312"/>
      <c r="D265" s="313"/>
      <c r="E265" s="313"/>
      <c r="F265" s="312"/>
      <c r="G265" s="314"/>
      <c r="H265" s="315"/>
      <c r="I265" s="316"/>
      <c r="J265" s="313"/>
      <c r="K265" s="143"/>
    </row>
    <row r="266" ht="15.75" customHeight="1">
      <c r="A266" s="313"/>
      <c r="B266" s="312"/>
      <c r="C266" s="312"/>
      <c r="D266" s="313"/>
      <c r="E266" s="313"/>
      <c r="F266" s="312"/>
      <c r="G266" s="314"/>
      <c r="H266" s="315"/>
      <c r="I266" s="316"/>
      <c r="J266" s="313"/>
      <c r="K266" s="143"/>
    </row>
    <row r="267" ht="15.75" customHeight="1">
      <c r="A267" s="313"/>
      <c r="B267" s="312"/>
      <c r="C267" s="312"/>
      <c r="D267" s="313"/>
      <c r="E267" s="313"/>
      <c r="F267" s="312"/>
      <c r="G267" s="314"/>
      <c r="H267" s="315"/>
      <c r="I267" s="316"/>
      <c r="J267" s="313"/>
      <c r="K267" s="143"/>
    </row>
    <row r="268" ht="15.75" customHeight="1">
      <c r="A268" s="313"/>
      <c r="B268" s="312"/>
      <c r="C268" s="312"/>
      <c r="D268" s="313"/>
      <c r="E268" s="313"/>
      <c r="F268" s="312"/>
      <c r="G268" s="314"/>
      <c r="H268" s="315"/>
      <c r="I268" s="316"/>
      <c r="J268" s="313"/>
      <c r="K268" s="143"/>
    </row>
    <row r="269" ht="15.75" customHeight="1">
      <c r="A269" s="313"/>
      <c r="B269" s="312"/>
      <c r="C269" s="312"/>
      <c r="D269" s="313"/>
      <c r="E269" s="313"/>
      <c r="F269" s="312"/>
      <c r="G269" s="314"/>
      <c r="H269" s="315"/>
      <c r="I269" s="316"/>
      <c r="J269" s="313"/>
      <c r="K269" s="143"/>
    </row>
    <row r="270" ht="15.75" customHeight="1">
      <c r="A270" s="313"/>
      <c r="B270" s="312"/>
      <c r="C270" s="312"/>
      <c r="D270" s="313"/>
      <c r="E270" s="313"/>
      <c r="F270" s="312"/>
      <c r="G270" s="314"/>
      <c r="H270" s="315"/>
      <c r="I270" s="316"/>
      <c r="J270" s="313"/>
      <c r="K270" s="143"/>
    </row>
    <row r="271" ht="15.75" customHeight="1">
      <c r="A271" s="313"/>
      <c r="B271" s="312"/>
      <c r="C271" s="312"/>
      <c r="D271" s="313"/>
      <c r="E271" s="313"/>
      <c r="F271" s="312"/>
      <c r="G271" s="314"/>
      <c r="H271" s="315"/>
      <c r="I271" s="316"/>
      <c r="J271" s="313"/>
      <c r="K271" s="143"/>
    </row>
    <row r="272" ht="15.75" customHeight="1">
      <c r="A272" s="313"/>
      <c r="B272" s="312"/>
      <c r="C272" s="312"/>
      <c r="D272" s="313"/>
      <c r="E272" s="313"/>
      <c r="F272" s="312"/>
      <c r="G272" s="314"/>
      <c r="H272" s="315"/>
      <c r="I272" s="316"/>
      <c r="J272" s="313"/>
      <c r="K272" s="143"/>
    </row>
    <row r="273" ht="15.75" customHeight="1">
      <c r="A273" s="313"/>
      <c r="B273" s="312"/>
      <c r="C273" s="312"/>
      <c r="D273" s="313"/>
      <c r="E273" s="313"/>
      <c r="F273" s="312"/>
      <c r="G273" s="314"/>
      <c r="H273" s="315"/>
      <c r="I273" s="316"/>
      <c r="J273" s="313"/>
      <c r="K273" s="143"/>
    </row>
    <row r="274" ht="15.75" customHeight="1">
      <c r="A274" s="313"/>
      <c r="B274" s="312"/>
      <c r="C274" s="312"/>
      <c r="D274" s="313"/>
      <c r="E274" s="313"/>
      <c r="F274" s="312"/>
      <c r="G274" s="314"/>
      <c r="H274" s="315"/>
      <c r="I274" s="316"/>
      <c r="J274" s="313"/>
      <c r="K274" s="143"/>
    </row>
    <row r="275" ht="15.75" customHeight="1">
      <c r="A275" s="313"/>
      <c r="B275" s="312"/>
      <c r="C275" s="312"/>
      <c r="D275" s="313"/>
      <c r="E275" s="313"/>
      <c r="F275" s="312"/>
      <c r="G275" s="314"/>
      <c r="H275" s="315"/>
      <c r="I275" s="316"/>
      <c r="J275" s="313"/>
      <c r="K275" s="143"/>
    </row>
    <row r="276" ht="15.75" customHeight="1">
      <c r="A276" s="313"/>
      <c r="B276" s="312"/>
      <c r="C276" s="312"/>
      <c r="D276" s="313"/>
      <c r="E276" s="313"/>
      <c r="F276" s="312"/>
      <c r="G276" s="314"/>
      <c r="H276" s="315"/>
      <c r="I276" s="316"/>
      <c r="J276" s="313"/>
      <c r="K276" s="143"/>
    </row>
    <row r="277" ht="15.75" customHeight="1">
      <c r="A277" s="313"/>
      <c r="B277" s="312"/>
      <c r="C277" s="312"/>
      <c r="D277" s="313"/>
      <c r="E277" s="313"/>
      <c r="F277" s="312"/>
      <c r="G277" s="314"/>
      <c r="H277" s="315"/>
      <c r="I277" s="316"/>
      <c r="J277" s="313"/>
      <c r="K277" s="143"/>
    </row>
    <row r="278" ht="15.75" customHeight="1">
      <c r="A278" s="313"/>
      <c r="B278" s="312"/>
      <c r="C278" s="312"/>
      <c r="D278" s="313"/>
      <c r="E278" s="313"/>
      <c r="F278" s="312"/>
      <c r="G278" s="314"/>
      <c r="H278" s="315"/>
      <c r="I278" s="316"/>
      <c r="J278" s="313"/>
      <c r="K278" s="143"/>
    </row>
    <row r="279" ht="15.75" customHeight="1">
      <c r="A279" s="313"/>
      <c r="B279" s="312"/>
      <c r="C279" s="312"/>
      <c r="D279" s="313"/>
      <c r="E279" s="313"/>
      <c r="F279" s="312"/>
      <c r="G279" s="314"/>
      <c r="H279" s="315"/>
      <c r="I279" s="316"/>
      <c r="J279" s="313"/>
      <c r="K279" s="143"/>
    </row>
    <row r="280" ht="15.75" customHeight="1">
      <c r="A280" s="313"/>
      <c r="B280" s="312"/>
      <c r="C280" s="312"/>
      <c r="D280" s="313"/>
      <c r="E280" s="313"/>
      <c r="F280" s="312"/>
      <c r="G280" s="314"/>
      <c r="H280" s="315"/>
      <c r="I280" s="316"/>
      <c r="J280" s="313"/>
      <c r="K280" s="143"/>
    </row>
    <row r="281" ht="15.75" customHeight="1">
      <c r="A281" s="313"/>
      <c r="B281" s="312"/>
      <c r="C281" s="312"/>
      <c r="D281" s="313"/>
      <c r="E281" s="313"/>
      <c r="F281" s="312"/>
      <c r="G281" s="314"/>
      <c r="H281" s="315"/>
      <c r="I281" s="316"/>
      <c r="J281" s="313"/>
      <c r="K281" s="143"/>
    </row>
    <row r="282" ht="15.75" customHeight="1">
      <c r="A282" s="313"/>
      <c r="B282" s="312"/>
      <c r="C282" s="312"/>
      <c r="D282" s="313"/>
      <c r="E282" s="313"/>
      <c r="F282" s="312"/>
      <c r="G282" s="314"/>
      <c r="H282" s="315"/>
      <c r="I282" s="316"/>
      <c r="J282" s="313"/>
      <c r="K282" s="143"/>
    </row>
    <row r="283" ht="15.75" customHeight="1">
      <c r="A283" s="313"/>
      <c r="B283" s="312"/>
      <c r="C283" s="312"/>
      <c r="D283" s="313"/>
      <c r="E283" s="313"/>
      <c r="F283" s="312"/>
      <c r="G283" s="314"/>
      <c r="H283" s="315"/>
      <c r="I283" s="316"/>
      <c r="J283" s="313"/>
      <c r="K283" s="143"/>
    </row>
    <row r="284" ht="15.75" customHeight="1">
      <c r="A284" s="313"/>
      <c r="B284" s="312"/>
      <c r="C284" s="312"/>
      <c r="D284" s="313"/>
      <c r="E284" s="313"/>
      <c r="F284" s="312"/>
      <c r="G284" s="314"/>
      <c r="H284" s="315"/>
      <c r="I284" s="316"/>
      <c r="J284" s="313"/>
      <c r="K284" s="143"/>
    </row>
    <row r="285" ht="15.75" customHeight="1">
      <c r="A285" s="313"/>
      <c r="B285" s="312"/>
      <c r="C285" s="312"/>
      <c r="D285" s="313"/>
      <c r="E285" s="313"/>
      <c r="F285" s="312"/>
      <c r="G285" s="314"/>
      <c r="H285" s="315"/>
      <c r="I285" s="316"/>
      <c r="J285" s="313"/>
      <c r="K285" s="143"/>
    </row>
    <row r="286" ht="15.75" customHeight="1">
      <c r="A286" s="313"/>
      <c r="B286" s="312"/>
      <c r="C286" s="312"/>
      <c r="D286" s="313"/>
      <c r="E286" s="313"/>
      <c r="F286" s="312"/>
      <c r="G286" s="314"/>
      <c r="H286" s="315"/>
      <c r="I286" s="316"/>
      <c r="J286" s="313"/>
      <c r="K286" s="143"/>
    </row>
    <row r="287" ht="15.75" customHeight="1">
      <c r="A287" s="313"/>
      <c r="B287" s="312"/>
      <c r="C287" s="312"/>
      <c r="D287" s="313"/>
      <c r="E287" s="313"/>
      <c r="F287" s="312"/>
      <c r="G287" s="314"/>
      <c r="H287" s="315"/>
      <c r="I287" s="316"/>
      <c r="J287" s="313"/>
      <c r="K287" s="143"/>
    </row>
    <row r="288" ht="15.75" customHeight="1">
      <c r="A288" s="313"/>
      <c r="B288" s="312"/>
      <c r="C288" s="312"/>
      <c r="D288" s="313"/>
      <c r="E288" s="313"/>
      <c r="F288" s="312"/>
      <c r="G288" s="314"/>
      <c r="H288" s="315"/>
      <c r="I288" s="316"/>
      <c r="J288" s="313"/>
      <c r="K288" s="143"/>
    </row>
    <row r="289" ht="15.75" customHeight="1">
      <c r="A289" s="313"/>
      <c r="B289" s="312"/>
      <c r="C289" s="312"/>
      <c r="D289" s="313"/>
      <c r="E289" s="313"/>
      <c r="F289" s="312"/>
      <c r="G289" s="314"/>
      <c r="H289" s="315"/>
      <c r="I289" s="316"/>
      <c r="J289" s="313"/>
      <c r="K289" s="143"/>
    </row>
    <row r="290" ht="15.75" customHeight="1">
      <c r="A290" s="313"/>
      <c r="B290" s="312"/>
      <c r="C290" s="312"/>
      <c r="D290" s="313"/>
      <c r="E290" s="313"/>
      <c r="F290" s="312"/>
      <c r="G290" s="314"/>
      <c r="H290" s="315"/>
      <c r="I290" s="316"/>
      <c r="J290" s="313"/>
      <c r="K290" s="143"/>
    </row>
    <row r="291" ht="15.75" customHeight="1">
      <c r="A291" s="313"/>
      <c r="B291" s="312"/>
      <c r="C291" s="312"/>
      <c r="D291" s="313"/>
      <c r="E291" s="313"/>
      <c r="F291" s="312"/>
      <c r="G291" s="314"/>
      <c r="H291" s="315"/>
      <c r="I291" s="316"/>
      <c r="J291" s="313"/>
      <c r="K291" s="143"/>
    </row>
    <row r="292" ht="15.75" customHeight="1">
      <c r="A292" s="313"/>
      <c r="B292" s="312"/>
      <c r="C292" s="312"/>
      <c r="D292" s="313"/>
      <c r="E292" s="313"/>
      <c r="F292" s="312"/>
      <c r="G292" s="314"/>
      <c r="H292" s="315"/>
      <c r="I292" s="316"/>
      <c r="J292" s="313"/>
      <c r="K292" s="143"/>
    </row>
    <row r="293" ht="15.75" customHeight="1">
      <c r="A293" s="313"/>
      <c r="B293" s="312"/>
      <c r="C293" s="312"/>
      <c r="D293" s="313"/>
      <c r="E293" s="313"/>
      <c r="F293" s="312"/>
      <c r="G293" s="314"/>
      <c r="H293" s="315"/>
      <c r="I293" s="316"/>
      <c r="J293" s="313"/>
      <c r="K293" s="143"/>
    </row>
    <row r="294" ht="15.75" customHeight="1">
      <c r="A294" s="313"/>
      <c r="B294" s="312"/>
      <c r="C294" s="312"/>
      <c r="D294" s="313"/>
      <c r="E294" s="313"/>
      <c r="F294" s="312"/>
      <c r="G294" s="314"/>
      <c r="H294" s="315"/>
      <c r="I294" s="316"/>
      <c r="J294" s="313"/>
      <c r="K294" s="143"/>
    </row>
    <row r="295" ht="15.75" customHeight="1">
      <c r="A295" s="313"/>
      <c r="B295" s="312"/>
      <c r="C295" s="312"/>
      <c r="D295" s="313"/>
      <c r="E295" s="313"/>
      <c r="F295" s="312"/>
      <c r="G295" s="314"/>
      <c r="H295" s="315"/>
      <c r="I295" s="316"/>
      <c r="J295" s="313"/>
      <c r="K295" s="143"/>
    </row>
    <row r="296" ht="15.75" customHeight="1">
      <c r="A296" s="313"/>
      <c r="B296" s="312"/>
      <c r="C296" s="312"/>
      <c r="D296" s="313"/>
      <c r="E296" s="313"/>
      <c r="F296" s="312"/>
      <c r="G296" s="314"/>
      <c r="H296" s="315"/>
      <c r="I296" s="316"/>
      <c r="J296" s="313"/>
      <c r="K296" s="143"/>
    </row>
    <row r="297" ht="15.75" customHeight="1">
      <c r="A297" s="313"/>
      <c r="B297" s="312"/>
      <c r="C297" s="312"/>
      <c r="D297" s="313"/>
      <c r="E297" s="313"/>
      <c r="F297" s="312"/>
      <c r="G297" s="314"/>
      <c r="H297" s="315"/>
      <c r="I297" s="316"/>
      <c r="J297" s="313"/>
      <c r="K297" s="143"/>
    </row>
    <row r="298" ht="15.75" customHeight="1">
      <c r="A298" s="313"/>
      <c r="B298" s="312"/>
      <c r="C298" s="312"/>
      <c r="D298" s="313"/>
      <c r="E298" s="313"/>
      <c r="F298" s="312"/>
      <c r="G298" s="314"/>
      <c r="H298" s="315"/>
      <c r="I298" s="316"/>
      <c r="J298" s="313"/>
      <c r="K298" s="143"/>
    </row>
    <row r="299" ht="15.75" customHeight="1">
      <c r="A299" s="313"/>
      <c r="B299" s="312"/>
      <c r="C299" s="312"/>
      <c r="D299" s="313"/>
      <c r="E299" s="313"/>
      <c r="F299" s="312"/>
      <c r="G299" s="314"/>
      <c r="H299" s="315"/>
      <c r="I299" s="316"/>
      <c r="J299" s="313"/>
      <c r="K299" s="143"/>
    </row>
    <row r="300" ht="15.75" customHeight="1">
      <c r="A300" s="313"/>
      <c r="B300" s="312"/>
      <c r="C300" s="312"/>
      <c r="D300" s="313"/>
      <c r="E300" s="313"/>
      <c r="F300" s="312"/>
      <c r="G300" s="314"/>
      <c r="H300" s="315"/>
      <c r="I300" s="316"/>
      <c r="J300" s="313"/>
      <c r="K300" s="143"/>
    </row>
    <row r="301" ht="15.75" customHeight="1">
      <c r="A301" s="313"/>
      <c r="B301" s="312"/>
      <c r="C301" s="312"/>
      <c r="D301" s="313"/>
      <c r="E301" s="313"/>
      <c r="F301" s="312"/>
      <c r="G301" s="314"/>
      <c r="H301" s="315"/>
      <c r="I301" s="316"/>
      <c r="J301" s="313"/>
      <c r="K301" s="143"/>
    </row>
    <row r="302" ht="15.75" customHeight="1">
      <c r="A302" s="313"/>
      <c r="B302" s="312"/>
      <c r="C302" s="312"/>
      <c r="D302" s="313"/>
      <c r="E302" s="313"/>
      <c r="F302" s="312"/>
      <c r="G302" s="314"/>
      <c r="H302" s="315"/>
      <c r="I302" s="316"/>
      <c r="J302" s="313"/>
      <c r="K302" s="143"/>
    </row>
    <row r="303" ht="15.75" customHeight="1">
      <c r="A303" s="313"/>
      <c r="B303" s="312"/>
      <c r="C303" s="312"/>
      <c r="D303" s="313"/>
      <c r="E303" s="313"/>
      <c r="F303" s="312"/>
      <c r="G303" s="314"/>
      <c r="H303" s="315"/>
      <c r="I303" s="316"/>
      <c r="J303" s="313"/>
      <c r="K303" s="143"/>
    </row>
    <row r="304" ht="15.75" customHeight="1">
      <c r="A304" s="313"/>
      <c r="B304" s="312"/>
      <c r="C304" s="312"/>
      <c r="D304" s="313"/>
      <c r="E304" s="313"/>
      <c r="F304" s="312"/>
      <c r="G304" s="314"/>
      <c r="H304" s="315"/>
      <c r="I304" s="316"/>
      <c r="J304" s="313"/>
      <c r="K304" s="143"/>
    </row>
    <row r="305" ht="15.75" customHeight="1">
      <c r="A305" s="313"/>
      <c r="B305" s="312"/>
      <c r="C305" s="312"/>
      <c r="D305" s="313"/>
      <c r="E305" s="313"/>
      <c r="F305" s="312"/>
      <c r="G305" s="314"/>
      <c r="H305" s="315"/>
      <c r="I305" s="316"/>
      <c r="J305" s="313"/>
      <c r="K305" s="143"/>
    </row>
    <row r="306" ht="15.75" customHeight="1">
      <c r="A306" s="313"/>
      <c r="B306" s="312"/>
      <c r="C306" s="312"/>
      <c r="D306" s="313"/>
      <c r="E306" s="313"/>
      <c r="F306" s="312"/>
      <c r="G306" s="314"/>
      <c r="H306" s="315"/>
      <c r="I306" s="316"/>
      <c r="J306" s="313"/>
      <c r="K306" s="143"/>
    </row>
    <row r="307" ht="15.75" customHeight="1">
      <c r="A307" s="313"/>
      <c r="B307" s="312"/>
      <c r="C307" s="312"/>
      <c r="D307" s="313"/>
      <c r="E307" s="313"/>
      <c r="F307" s="312"/>
      <c r="G307" s="314"/>
      <c r="H307" s="315"/>
      <c r="I307" s="316"/>
      <c r="J307" s="313"/>
      <c r="K307" s="143"/>
    </row>
    <row r="308" ht="15.75" customHeight="1">
      <c r="A308" s="313"/>
      <c r="B308" s="312"/>
      <c r="C308" s="312"/>
      <c r="D308" s="313"/>
      <c r="E308" s="313"/>
      <c r="F308" s="312"/>
      <c r="G308" s="314"/>
      <c r="H308" s="315"/>
      <c r="I308" s="316"/>
      <c r="J308" s="313"/>
      <c r="K308" s="143"/>
    </row>
    <row r="309" ht="15.75" customHeight="1">
      <c r="A309" s="313"/>
      <c r="B309" s="312"/>
      <c r="C309" s="312"/>
      <c r="D309" s="313"/>
      <c r="E309" s="313"/>
      <c r="F309" s="312"/>
      <c r="G309" s="314"/>
      <c r="H309" s="315"/>
      <c r="I309" s="316"/>
      <c r="J309" s="313"/>
      <c r="K309" s="143"/>
    </row>
    <row r="310" ht="15.75" customHeight="1">
      <c r="A310" s="313"/>
      <c r="B310" s="312"/>
      <c r="C310" s="312"/>
      <c r="D310" s="313"/>
      <c r="E310" s="313"/>
      <c r="F310" s="312"/>
      <c r="G310" s="314"/>
      <c r="H310" s="315"/>
      <c r="I310" s="316"/>
      <c r="J310" s="313"/>
      <c r="K310" s="143"/>
    </row>
    <row r="311" ht="15.75" customHeight="1">
      <c r="A311" s="313"/>
      <c r="B311" s="312"/>
      <c r="C311" s="312"/>
      <c r="D311" s="313"/>
      <c r="E311" s="313"/>
      <c r="F311" s="312"/>
      <c r="G311" s="314"/>
      <c r="H311" s="315"/>
      <c r="I311" s="316"/>
      <c r="J311" s="313"/>
      <c r="K311" s="143"/>
    </row>
    <row r="312" ht="15.75" customHeight="1">
      <c r="A312" s="313"/>
      <c r="B312" s="312"/>
      <c r="C312" s="312"/>
      <c r="D312" s="313"/>
      <c r="E312" s="313"/>
      <c r="F312" s="312"/>
      <c r="G312" s="314"/>
      <c r="H312" s="315"/>
      <c r="I312" s="316"/>
      <c r="J312" s="313"/>
      <c r="K312" s="143"/>
    </row>
    <row r="313" ht="15.75" customHeight="1">
      <c r="A313" s="313"/>
      <c r="B313" s="312"/>
      <c r="C313" s="312"/>
      <c r="D313" s="313"/>
      <c r="E313" s="313"/>
      <c r="F313" s="312"/>
      <c r="G313" s="314"/>
      <c r="H313" s="315"/>
      <c r="I313" s="316"/>
      <c r="J313" s="313"/>
      <c r="K313" s="143"/>
    </row>
    <row r="314" ht="15.75" customHeight="1">
      <c r="A314" s="313"/>
      <c r="B314" s="312"/>
      <c r="C314" s="312"/>
      <c r="D314" s="313"/>
      <c r="E314" s="313"/>
      <c r="F314" s="312"/>
      <c r="G314" s="314"/>
      <c r="H314" s="315"/>
      <c r="I314" s="316"/>
      <c r="J314" s="313"/>
      <c r="K314" s="143"/>
    </row>
    <row r="315" ht="15.75" customHeight="1">
      <c r="A315" s="313"/>
      <c r="B315" s="312"/>
      <c r="C315" s="312"/>
      <c r="D315" s="313"/>
      <c r="E315" s="313"/>
      <c r="F315" s="312"/>
      <c r="G315" s="314"/>
      <c r="H315" s="315"/>
      <c r="I315" s="316"/>
      <c r="J315" s="313"/>
      <c r="K315" s="143"/>
    </row>
    <row r="316" ht="15.75" customHeight="1">
      <c r="A316" s="313"/>
      <c r="B316" s="312"/>
      <c r="C316" s="312"/>
      <c r="D316" s="313"/>
      <c r="E316" s="313"/>
      <c r="F316" s="312"/>
      <c r="G316" s="314"/>
      <c r="H316" s="315"/>
      <c r="I316" s="316"/>
      <c r="J316" s="313"/>
      <c r="K316" s="143"/>
    </row>
    <row r="317" ht="15.75" customHeight="1">
      <c r="A317" s="313"/>
      <c r="B317" s="312"/>
      <c r="C317" s="312"/>
      <c r="D317" s="313"/>
      <c r="E317" s="313"/>
      <c r="F317" s="312"/>
      <c r="G317" s="314"/>
      <c r="H317" s="315"/>
      <c r="I317" s="316"/>
      <c r="J317" s="313"/>
      <c r="K317" s="143"/>
    </row>
    <row r="318" ht="15.75" customHeight="1">
      <c r="A318" s="313"/>
      <c r="B318" s="312"/>
      <c r="C318" s="312"/>
      <c r="D318" s="313"/>
      <c r="E318" s="313"/>
      <c r="F318" s="312"/>
      <c r="G318" s="314"/>
      <c r="H318" s="315"/>
      <c r="I318" s="316"/>
      <c r="J318" s="313"/>
      <c r="K318" s="143"/>
    </row>
    <row r="319" ht="15.75" customHeight="1">
      <c r="A319" s="313"/>
      <c r="B319" s="312"/>
      <c r="C319" s="312"/>
      <c r="D319" s="313"/>
      <c r="E319" s="313"/>
      <c r="F319" s="312"/>
      <c r="G319" s="314"/>
      <c r="H319" s="315"/>
      <c r="I319" s="316"/>
      <c r="J319" s="313"/>
      <c r="K319" s="143"/>
    </row>
    <row r="320" ht="15.75" customHeight="1">
      <c r="A320" s="313"/>
      <c r="B320" s="312"/>
      <c r="C320" s="312"/>
      <c r="D320" s="313"/>
      <c r="E320" s="313"/>
      <c r="F320" s="312"/>
      <c r="G320" s="314"/>
      <c r="H320" s="315"/>
      <c r="I320" s="316"/>
      <c r="J320" s="313"/>
      <c r="K320" s="143"/>
    </row>
    <row r="321" ht="15.75" customHeight="1">
      <c r="A321" s="313"/>
      <c r="B321" s="312"/>
      <c r="C321" s="312"/>
      <c r="D321" s="313"/>
      <c r="E321" s="313"/>
      <c r="F321" s="312"/>
      <c r="G321" s="314"/>
      <c r="H321" s="315"/>
      <c r="I321" s="316"/>
      <c r="J321" s="313"/>
      <c r="K321" s="143"/>
    </row>
    <row r="322" ht="15.75" customHeight="1">
      <c r="A322" s="313"/>
      <c r="B322" s="312"/>
      <c r="C322" s="312"/>
      <c r="D322" s="313"/>
      <c r="E322" s="313"/>
      <c r="F322" s="312"/>
      <c r="G322" s="314"/>
      <c r="H322" s="315"/>
      <c r="I322" s="316"/>
      <c r="J322" s="313"/>
      <c r="K322" s="143"/>
    </row>
    <row r="323" ht="15.75" customHeight="1">
      <c r="A323" s="313"/>
      <c r="B323" s="312"/>
      <c r="C323" s="312"/>
      <c r="D323" s="313"/>
      <c r="E323" s="313"/>
      <c r="F323" s="312"/>
      <c r="G323" s="314"/>
      <c r="H323" s="315"/>
      <c r="I323" s="316"/>
      <c r="J323" s="313"/>
      <c r="K323" s="143"/>
    </row>
    <row r="324" ht="15.75" customHeight="1">
      <c r="A324" s="313"/>
      <c r="B324" s="312"/>
      <c r="C324" s="312"/>
      <c r="D324" s="313"/>
      <c r="E324" s="313"/>
      <c r="F324" s="312"/>
      <c r="G324" s="314"/>
      <c r="H324" s="315"/>
      <c r="I324" s="316"/>
      <c r="J324" s="313"/>
      <c r="K324" s="143"/>
    </row>
    <row r="325" ht="15.75" customHeight="1">
      <c r="A325" s="313"/>
      <c r="B325" s="312"/>
      <c r="C325" s="312"/>
      <c r="D325" s="313"/>
      <c r="E325" s="313"/>
      <c r="F325" s="312"/>
      <c r="G325" s="314"/>
      <c r="H325" s="315"/>
      <c r="I325" s="316"/>
      <c r="J325" s="313"/>
      <c r="K325" s="143"/>
    </row>
    <row r="326" ht="15.75" customHeight="1">
      <c r="A326" s="313"/>
      <c r="B326" s="312"/>
      <c r="C326" s="312"/>
      <c r="D326" s="313"/>
      <c r="E326" s="313"/>
      <c r="F326" s="312"/>
      <c r="G326" s="314"/>
      <c r="H326" s="315"/>
      <c r="I326" s="316"/>
      <c r="J326" s="313"/>
      <c r="K326" s="143"/>
    </row>
    <row r="327" ht="15.75" customHeight="1">
      <c r="A327" s="313"/>
      <c r="B327" s="312"/>
      <c r="C327" s="312"/>
      <c r="D327" s="313"/>
      <c r="E327" s="313"/>
      <c r="F327" s="312"/>
      <c r="G327" s="314"/>
      <c r="H327" s="315"/>
      <c r="I327" s="316"/>
      <c r="J327" s="313"/>
      <c r="K327" s="143"/>
    </row>
    <row r="328" ht="15.75" customHeight="1">
      <c r="A328" s="313"/>
      <c r="B328" s="312"/>
      <c r="C328" s="312"/>
      <c r="D328" s="313"/>
      <c r="E328" s="313"/>
      <c r="F328" s="312"/>
      <c r="G328" s="314"/>
      <c r="H328" s="315"/>
      <c r="I328" s="316"/>
      <c r="J328" s="313"/>
      <c r="K328" s="143"/>
    </row>
    <row r="329" ht="15.75" customHeight="1">
      <c r="A329" s="313"/>
      <c r="B329" s="312"/>
      <c r="C329" s="312"/>
      <c r="D329" s="313"/>
      <c r="E329" s="313"/>
      <c r="F329" s="312"/>
      <c r="G329" s="314"/>
      <c r="H329" s="315"/>
      <c r="I329" s="316"/>
      <c r="J329" s="313"/>
      <c r="K329" s="143"/>
    </row>
    <row r="330" ht="15.75" customHeight="1">
      <c r="A330" s="313"/>
      <c r="B330" s="312"/>
      <c r="C330" s="312"/>
      <c r="D330" s="313"/>
      <c r="E330" s="313"/>
      <c r="F330" s="312"/>
      <c r="G330" s="314"/>
      <c r="H330" s="315"/>
      <c r="I330" s="316"/>
      <c r="J330" s="313"/>
      <c r="K330" s="143"/>
    </row>
    <row r="331" ht="15.75" customHeight="1">
      <c r="A331" s="313"/>
      <c r="B331" s="312"/>
      <c r="C331" s="312"/>
      <c r="D331" s="313"/>
      <c r="E331" s="313"/>
      <c r="F331" s="312"/>
      <c r="G331" s="314"/>
      <c r="H331" s="315"/>
      <c r="I331" s="316"/>
      <c r="J331" s="313"/>
      <c r="K331" s="143"/>
    </row>
    <row r="332" ht="15.75" customHeight="1">
      <c r="A332" s="313"/>
      <c r="B332" s="312"/>
      <c r="C332" s="312"/>
      <c r="D332" s="313"/>
      <c r="E332" s="313"/>
      <c r="F332" s="312"/>
      <c r="G332" s="314"/>
      <c r="H332" s="315"/>
      <c r="I332" s="316"/>
      <c r="J332" s="313"/>
      <c r="K332" s="143"/>
    </row>
    <row r="333" ht="15.75" customHeight="1">
      <c r="A333" s="313"/>
      <c r="B333" s="312"/>
      <c r="C333" s="312"/>
      <c r="D333" s="313"/>
      <c r="E333" s="313"/>
      <c r="F333" s="312"/>
      <c r="G333" s="314"/>
      <c r="H333" s="315"/>
      <c r="I333" s="316"/>
      <c r="J333" s="313"/>
      <c r="K333" s="143"/>
    </row>
    <row r="334" ht="15.75" customHeight="1">
      <c r="A334" s="313"/>
      <c r="B334" s="312"/>
      <c r="C334" s="312"/>
      <c r="D334" s="313"/>
      <c r="E334" s="313"/>
      <c r="F334" s="312"/>
      <c r="G334" s="314"/>
      <c r="H334" s="315"/>
      <c r="I334" s="316"/>
      <c r="J334" s="313"/>
      <c r="K334" s="143"/>
    </row>
    <row r="335" ht="15.75" customHeight="1">
      <c r="A335" s="313"/>
      <c r="B335" s="312"/>
      <c r="C335" s="312"/>
      <c r="D335" s="313"/>
      <c r="E335" s="313"/>
      <c r="F335" s="312"/>
      <c r="G335" s="314"/>
      <c r="H335" s="315"/>
      <c r="I335" s="316"/>
      <c r="J335" s="313"/>
      <c r="K335" s="143"/>
    </row>
    <row r="336" ht="15.75" customHeight="1">
      <c r="A336" s="313"/>
      <c r="B336" s="312"/>
      <c r="C336" s="312"/>
      <c r="D336" s="313"/>
      <c r="E336" s="313"/>
      <c r="F336" s="312"/>
      <c r="G336" s="314"/>
      <c r="H336" s="315"/>
      <c r="I336" s="316"/>
      <c r="J336" s="313"/>
      <c r="K336" s="143"/>
    </row>
    <row r="337" ht="15.75" customHeight="1">
      <c r="A337" s="313"/>
      <c r="B337" s="312"/>
      <c r="C337" s="312"/>
      <c r="D337" s="313"/>
      <c r="E337" s="313"/>
      <c r="F337" s="312"/>
      <c r="G337" s="314"/>
      <c r="H337" s="315"/>
      <c r="I337" s="316"/>
      <c r="J337" s="313"/>
      <c r="K337" s="143"/>
    </row>
    <row r="338" ht="15.75" customHeight="1">
      <c r="A338" s="313"/>
      <c r="B338" s="312"/>
      <c r="C338" s="312"/>
      <c r="D338" s="313"/>
      <c r="E338" s="313"/>
      <c r="F338" s="312"/>
      <c r="G338" s="314"/>
      <c r="H338" s="315"/>
      <c r="I338" s="316"/>
      <c r="J338" s="313"/>
      <c r="K338" s="143"/>
    </row>
    <row r="339" ht="15.75" customHeight="1">
      <c r="A339" s="313"/>
      <c r="B339" s="312"/>
      <c r="C339" s="312"/>
      <c r="D339" s="313"/>
      <c r="E339" s="313"/>
      <c r="F339" s="312"/>
      <c r="G339" s="314"/>
      <c r="H339" s="315"/>
      <c r="I339" s="316"/>
      <c r="J339" s="313"/>
      <c r="K339" s="143"/>
    </row>
    <row r="340" ht="15.75" customHeight="1">
      <c r="A340" s="313"/>
      <c r="B340" s="312"/>
      <c r="C340" s="312"/>
      <c r="D340" s="313"/>
      <c r="E340" s="313"/>
      <c r="F340" s="312"/>
      <c r="G340" s="314"/>
      <c r="H340" s="315"/>
      <c r="I340" s="316"/>
      <c r="J340" s="313"/>
      <c r="K340" s="143"/>
    </row>
    <row r="341" ht="15.75" customHeight="1">
      <c r="A341" s="313"/>
      <c r="B341" s="312"/>
      <c r="C341" s="312"/>
      <c r="D341" s="313"/>
      <c r="E341" s="313"/>
      <c r="F341" s="312"/>
      <c r="G341" s="314"/>
      <c r="H341" s="315"/>
      <c r="I341" s="316"/>
      <c r="J341" s="313"/>
      <c r="K341" s="143"/>
    </row>
    <row r="342" ht="15.75" customHeight="1">
      <c r="A342" s="313"/>
      <c r="B342" s="312"/>
      <c r="C342" s="312"/>
      <c r="D342" s="313"/>
      <c r="E342" s="313"/>
      <c r="F342" s="312"/>
      <c r="G342" s="314"/>
      <c r="H342" s="315"/>
      <c r="I342" s="316"/>
      <c r="J342" s="313"/>
      <c r="K342" s="143"/>
    </row>
    <row r="343" ht="15.75" customHeight="1">
      <c r="A343" s="313"/>
      <c r="B343" s="312"/>
      <c r="C343" s="312"/>
      <c r="D343" s="313"/>
      <c r="E343" s="313"/>
      <c r="F343" s="312"/>
      <c r="G343" s="314"/>
      <c r="H343" s="315"/>
      <c r="I343" s="316"/>
      <c r="J343" s="313"/>
      <c r="K343" s="143"/>
    </row>
    <row r="344" ht="15.75" customHeight="1">
      <c r="A344" s="313"/>
      <c r="B344" s="312"/>
      <c r="C344" s="312"/>
      <c r="D344" s="313"/>
      <c r="E344" s="313"/>
      <c r="F344" s="312"/>
      <c r="G344" s="314"/>
      <c r="H344" s="315"/>
      <c r="I344" s="316"/>
      <c r="J344" s="313"/>
      <c r="K344" s="143"/>
    </row>
    <row r="345" ht="15.75" customHeight="1">
      <c r="A345" s="313"/>
      <c r="B345" s="312"/>
      <c r="C345" s="312"/>
      <c r="D345" s="313"/>
      <c r="E345" s="313"/>
      <c r="F345" s="312"/>
      <c r="G345" s="314"/>
      <c r="H345" s="315"/>
      <c r="I345" s="316"/>
      <c r="J345" s="313"/>
      <c r="K345" s="143"/>
    </row>
    <row r="346" ht="15.75" customHeight="1">
      <c r="A346" s="313"/>
      <c r="B346" s="312"/>
      <c r="C346" s="312"/>
      <c r="D346" s="313"/>
      <c r="E346" s="313"/>
      <c r="F346" s="312"/>
      <c r="G346" s="314"/>
      <c r="H346" s="315"/>
      <c r="I346" s="316"/>
      <c r="J346" s="313"/>
      <c r="K346" s="143"/>
    </row>
    <row r="347" ht="15.75" customHeight="1">
      <c r="A347" s="313"/>
      <c r="B347" s="312"/>
      <c r="C347" s="312"/>
      <c r="D347" s="313"/>
      <c r="E347" s="313"/>
      <c r="F347" s="312"/>
      <c r="G347" s="314"/>
      <c r="H347" s="315"/>
      <c r="I347" s="316"/>
      <c r="J347" s="313"/>
      <c r="K347" s="143"/>
    </row>
    <row r="348" ht="15.75" customHeight="1">
      <c r="A348" s="313"/>
      <c r="B348" s="312"/>
      <c r="C348" s="312"/>
      <c r="D348" s="313"/>
      <c r="E348" s="313"/>
      <c r="F348" s="312"/>
      <c r="G348" s="314"/>
      <c r="H348" s="315"/>
      <c r="I348" s="316"/>
      <c r="J348" s="313"/>
      <c r="K348" s="143"/>
    </row>
    <row r="349" ht="15.75" customHeight="1">
      <c r="A349" s="313"/>
      <c r="B349" s="312"/>
      <c r="C349" s="312"/>
      <c r="D349" s="313"/>
      <c r="E349" s="313"/>
      <c r="F349" s="312"/>
      <c r="G349" s="314"/>
      <c r="H349" s="315"/>
      <c r="I349" s="316"/>
      <c r="J349" s="313"/>
      <c r="K349" s="143"/>
    </row>
    <row r="350" ht="15.75" customHeight="1">
      <c r="A350" s="313"/>
      <c r="B350" s="312"/>
      <c r="C350" s="312"/>
      <c r="D350" s="313"/>
      <c r="E350" s="313"/>
      <c r="F350" s="312"/>
      <c r="G350" s="314"/>
      <c r="H350" s="315"/>
      <c r="I350" s="316"/>
      <c r="J350" s="313"/>
      <c r="K350" s="143"/>
    </row>
    <row r="351" ht="15.75" customHeight="1">
      <c r="A351" s="313"/>
      <c r="B351" s="312"/>
      <c r="C351" s="312"/>
      <c r="D351" s="313"/>
      <c r="E351" s="313"/>
      <c r="F351" s="312"/>
      <c r="G351" s="314"/>
      <c r="H351" s="315"/>
      <c r="I351" s="316"/>
      <c r="J351" s="313"/>
      <c r="K351" s="143"/>
    </row>
    <row r="352" ht="15.75" customHeight="1">
      <c r="A352" s="313"/>
      <c r="B352" s="312"/>
      <c r="C352" s="312"/>
      <c r="D352" s="313"/>
      <c r="E352" s="313"/>
      <c r="F352" s="312"/>
      <c r="G352" s="314"/>
      <c r="H352" s="315"/>
      <c r="I352" s="316"/>
      <c r="J352" s="313"/>
      <c r="K352" s="143"/>
    </row>
    <row r="353" ht="15.75" customHeight="1">
      <c r="A353" s="313"/>
      <c r="B353" s="312"/>
      <c r="C353" s="312"/>
      <c r="D353" s="313"/>
      <c r="E353" s="313"/>
      <c r="F353" s="312"/>
      <c r="G353" s="314"/>
      <c r="H353" s="315"/>
      <c r="I353" s="316"/>
      <c r="J353" s="313"/>
      <c r="K353" s="143"/>
    </row>
    <row r="354" ht="15.75" customHeight="1">
      <c r="A354" s="313"/>
      <c r="B354" s="312"/>
      <c r="C354" s="312"/>
      <c r="D354" s="313"/>
      <c r="E354" s="313"/>
      <c r="F354" s="312"/>
      <c r="G354" s="314"/>
      <c r="H354" s="315"/>
      <c r="I354" s="316"/>
      <c r="J354" s="313"/>
      <c r="K354" s="143"/>
    </row>
    <row r="355" ht="15.75" customHeight="1">
      <c r="A355" s="313"/>
      <c r="B355" s="312"/>
      <c r="C355" s="312"/>
      <c r="D355" s="313"/>
      <c r="E355" s="313"/>
      <c r="F355" s="312"/>
      <c r="G355" s="314"/>
      <c r="H355" s="315"/>
      <c r="I355" s="316"/>
      <c r="J355" s="313"/>
      <c r="K355" s="143"/>
    </row>
    <row r="356" ht="15.75" customHeight="1">
      <c r="A356" s="313"/>
      <c r="B356" s="312"/>
      <c r="C356" s="312"/>
      <c r="D356" s="313"/>
      <c r="E356" s="313"/>
      <c r="F356" s="312"/>
      <c r="G356" s="314"/>
      <c r="H356" s="315"/>
      <c r="I356" s="316"/>
      <c r="J356" s="313"/>
      <c r="K356" s="143"/>
    </row>
    <row r="357" ht="15.75" customHeight="1">
      <c r="A357" s="313"/>
      <c r="B357" s="312"/>
      <c r="C357" s="312"/>
      <c r="D357" s="313"/>
      <c r="E357" s="313"/>
      <c r="F357" s="312"/>
      <c r="G357" s="314"/>
      <c r="H357" s="315"/>
      <c r="I357" s="316"/>
      <c r="J357" s="313"/>
      <c r="K357" s="143"/>
    </row>
    <row r="358" ht="15.75" customHeight="1">
      <c r="A358" s="313"/>
      <c r="B358" s="312"/>
      <c r="C358" s="312"/>
      <c r="D358" s="313"/>
      <c r="E358" s="313"/>
      <c r="F358" s="312"/>
      <c r="G358" s="314"/>
      <c r="H358" s="315"/>
      <c r="I358" s="316"/>
      <c r="J358" s="313"/>
      <c r="K358" s="143"/>
    </row>
    <row r="359" ht="15.75" customHeight="1">
      <c r="A359" s="313"/>
      <c r="B359" s="312"/>
      <c r="C359" s="312"/>
      <c r="D359" s="313"/>
      <c r="E359" s="313"/>
      <c r="F359" s="312"/>
      <c r="G359" s="314"/>
      <c r="H359" s="315"/>
      <c r="I359" s="316"/>
      <c r="J359" s="313"/>
      <c r="K359" s="143"/>
    </row>
    <row r="360" ht="15.75" customHeight="1">
      <c r="A360" s="313"/>
      <c r="B360" s="312"/>
      <c r="C360" s="312"/>
      <c r="D360" s="313"/>
      <c r="E360" s="313"/>
      <c r="F360" s="312"/>
      <c r="G360" s="314"/>
      <c r="H360" s="315"/>
      <c r="I360" s="316"/>
      <c r="J360" s="313"/>
      <c r="K360" s="143"/>
    </row>
    <row r="361" ht="15.75" customHeight="1">
      <c r="A361" s="313"/>
      <c r="B361" s="312"/>
      <c r="C361" s="312"/>
      <c r="D361" s="313"/>
      <c r="E361" s="313"/>
      <c r="F361" s="312"/>
      <c r="G361" s="314"/>
      <c r="H361" s="315"/>
      <c r="I361" s="316"/>
      <c r="J361" s="313"/>
      <c r="K361" s="143"/>
    </row>
    <row r="362" ht="15.75" customHeight="1">
      <c r="A362" s="313"/>
      <c r="B362" s="312"/>
      <c r="C362" s="312"/>
      <c r="D362" s="313"/>
      <c r="E362" s="313"/>
      <c r="F362" s="312"/>
      <c r="G362" s="314"/>
      <c r="H362" s="315"/>
      <c r="I362" s="316"/>
      <c r="J362" s="313"/>
      <c r="K362" s="143"/>
    </row>
    <row r="363" ht="15.75" customHeight="1">
      <c r="A363" s="313"/>
      <c r="B363" s="312"/>
      <c r="C363" s="312"/>
      <c r="D363" s="313"/>
      <c r="E363" s="313"/>
      <c r="F363" s="312"/>
      <c r="G363" s="314"/>
      <c r="H363" s="315"/>
      <c r="I363" s="316"/>
      <c r="J363" s="313"/>
      <c r="K363" s="143"/>
    </row>
    <row r="364" ht="15.75" customHeight="1">
      <c r="A364" s="313"/>
      <c r="B364" s="312"/>
      <c r="C364" s="312"/>
      <c r="D364" s="313"/>
      <c r="E364" s="313"/>
      <c r="F364" s="312"/>
      <c r="G364" s="314"/>
      <c r="H364" s="315"/>
      <c r="I364" s="316"/>
      <c r="J364" s="313"/>
      <c r="K364" s="143"/>
    </row>
    <row r="365" ht="15.75" customHeight="1">
      <c r="A365" s="313"/>
      <c r="B365" s="312"/>
      <c r="C365" s="312"/>
      <c r="D365" s="313"/>
      <c r="E365" s="313"/>
      <c r="F365" s="312"/>
      <c r="G365" s="314"/>
      <c r="H365" s="315"/>
      <c r="I365" s="316"/>
      <c r="J365" s="313"/>
      <c r="K365" s="143"/>
    </row>
    <row r="366" ht="15.75" customHeight="1">
      <c r="A366" s="313"/>
      <c r="B366" s="312"/>
      <c r="C366" s="312"/>
      <c r="D366" s="313"/>
      <c r="E366" s="313"/>
      <c r="F366" s="312"/>
      <c r="G366" s="314"/>
      <c r="H366" s="315"/>
      <c r="I366" s="316"/>
      <c r="J366" s="313"/>
      <c r="K366" s="143"/>
    </row>
    <row r="367" ht="15.75" customHeight="1">
      <c r="A367" s="313"/>
      <c r="B367" s="312"/>
      <c r="C367" s="312"/>
      <c r="D367" s="313"/>
      <c r="E367" s="313"/>
      <c r="F367" s="312"/>
      <c r="G367" s="314"/>
      <c r="H367" s="315"/>
      <c r="I367" s="316"/>
      <c r="J367" s="313"/>
      <c r="K367" s="143"/>
    </row>
    <row r="368" ht="15.75" customHeight="1">
      <c r="A368" s="313"/>
      <c r="B368" s="312"/>
      <c r="C368" s="312"/>
      <c r="D368" s="313"/>
      <c r="E368" s="313"/>
      <c r="F368" s="312"/>
      <c r="G368" s="314"/>
      <c r="H368" s="315"/>
      <c r="I368" s="316"/>
      <c r="J368" s="313"/>
      <c r="K368" s="143"/>
    </row>
    <row r="369" ht="15.75" customHeight="1">
      <c r="A369" s="313"/>
      <c r="B369" s="312"/>
      <c r="C369" s="312"/>
      <c r="D369" s="313"/>
      <c r="E369" s="313"/>
      <c r="F369" s="312"/>
      <c r="G369" s="314"/>
      <c r="H369" s="315"/>
      <c r="I369" s="316"/>
      <c r="J369" s="313"/>
      <c r="K369" s="143"/>
    </row>
    <row r="370" ht="15.75" customHeight="1">
      <c r="A370" s="313"/>
      <c r="B370" s="312"/>
      <c r="C370" s="312"/>
      <c r="D370" s="313"/>
      <c r="E370" s="313"/>
      <c r="F370" s="312"/>
      <c r="G370" s="314"/>
      <c r="H370" s="315"/>
      <c r="I370" s="316"/>
      <c r="J370" s="313"/>
      <c r="K370" s="143"/>
    </row>
    <row r="371" ht="15.75" customHeight="1">
      <c r="A371" s="313"/>
      <c r="B371" s="312"/>
      <c r="C371" s="312"/>
      <c r="D371" s="313"/>
      <c r="E371" s="313"/>
      <c r="F371" s="312"/>
      <c r="G371" s="314"/>
      <c r="H371" s="315"/>
      <c r="I371" s="316"/>
      <c r="J371" s="313"/>
      <c r="K371" s="143"/>
    </row>
    <row r="372" ht="15.75" customHeight="1">
      <c r="A372" s="313"/>
      <c r="B372" s="312"/>
      <c r="C372" s="312"/>
      <c r="D372" s="313"/>
      <c r="E372" s="313"/>
      <c r="F372" s="312"/>
      <c r="G372" s="314"/>
      <c r="H372" s="315"/>
      <c r="I372" s="316"/>
      <c r="J372" s="313"/>
      <c r="K372" s="143"/>
    </row>
    <row r="373" ht="15.75" customHeight="1">
      <c r="A373" s="313"/>
      <c r="B373" s="312"/>
      <c r="C373" s="312"/>
      <c r="D373" s="313"/>
      <c r="E373" s="313"/>
      <c r="F373" s="312"/>
      <c r="G373" s="314"/>
      <c r="H373" s="315"/>
      <c r="I373" s="316"/>
      <c r="J373" s="313"/>
      <c r="K373" s="143"/>
    </row>
    <row r="374" ht="15.75" customHeight="1">
      <c r="A374" s="313"/>
      <c r="B374" s="312"/>
      <c r="C374" s="312"/>
      <c r="D374" s="313"/>
      <c r="E374" s="313"/>
      <c r="F374" s="312"/>
      <c r="G374" s="314"/>
      <c r="H374" s="315"/>
      <c r="I374" s="316"/>
      <c r="J374" s="313"/>
      <c r="K374" s="143"/>
    </row>
    <row r="375" ht="15.75" customHeight="1">
      <c r="A375" s="313"/>
      <c r="B375" s="312"/>
      <c r="C375" s="312"/>
      <c r="D375" s="313"/>
      <c r="E375" s="313"/>
      <c r="F375" s="312"/>
      <c r="G375" s="314"/>
      <c r="H375" s="315"/>
      <c r="I375" s="316"/>
      <c r="J375" s="313"/>
      <c r="K375" s="143"/>
    </row>
    <row r="376" ht="15.75" customHeight="1">
      <c r="A376" s="313"/>
      <c r="B376" s="312"/>
      <c r="C376" s="312"/>
      <c r="D376" s="313"/>
      <c r="E376" s="313"/>
      <c r="F376" s="312"/>
      <c r="G376" s="314"/>
      <c r="H376" s="315"/>
      <c r="I376" s="316"/>
      <c r="J376" s="313"/>
      <c r="K376" s="143"/>
    </row>
    <row r="377" ht="15.75" customHeight="1">
      <c r="A377" s="313"/>
      <c r="B377" s="312"/>
      <c r="C377" s="312"/>
      <c r="D377" s="313"/>
      <c r="E377" s="313"/>
      <c r="F377" s="312"/>
      <c r="G377" s="314"/>
      <c r="H377" s="315"/>
      <c r="I377" s="316"/>
      <c r="J377" s="313"/>
      <c r="K377" s="143"/>
    </row>
    <row r="378" ht="15.75" customHeight="1">
      <c r="A378" s="313"/>
      <c r="B378" s="312"/>
      <c r="C378" s="312"/>
      <c r="D378" s="313"/>
      <c r="E378" s="313"/>
      <c r="F378" s="312"/>
      <c r="G378" s="314"/>
      <c r="H378" s="315"/>
      <c r="I378" s="316"/>
      <c r="J378" s="313"/>
      <c r="K378" s="143"/>
    </row>
    <row r="379" ht="15.75" customHeight="1">
      <c r="A379" s="313"/>
      <c r="B379" s="312"/>
      <c r="C379" s="312"/>
      <c r="D379" s="313"/>
      <c r="E379" s="313"/>
      <c r="F379" s="312"/>
      <c r="G379" s="314"/>
      <c r="H379" s="315"/>
      <c r="I379" s="316"/>
      <c r="J379" s="313"/>
      <c r="K379" s="143"/>
    </row>
    <row r="380" ht="15.75" customHeight="1">
      <c r="A380" s="313"/>
      <c r="B380" s="312"/>
      <c r="C380" s="312"/>
      <c r="D380" s="313"/>
      <c r="E380" s="313"/>
      <c r="F380" s="312"/>
      <c r="G380" s="314"/>
      <c r="H380" s="315"/>
      <c r="I380" s="316"/>
      <c r="J380" s="313"/>
      <c r="K380" s="143"/>
    </row>
    <row r="381" ht="15.75" customHeight="1">
      <c r="A381" s="313"/>
      <c r="B381" s="312"/>
      <c r="C381" s="312"/>
      <c r="D381" s="313"/>
      <c r="E381" s="313"/>
      <c r="F381" s="312"/>
      <c r="G381" s="314"/>
      <c r="H381" s="315"/>
      <c r="I381" s="316"/>
      <c r="J381" s="313"/>
      <c r="K381" s="143"/>
    </row>
    <row r="382" ht="15.75" customHeight="1">
      <c r="A382" s="313"/>
      <c r="B382" s="312"/>
      <c r="C382" s="312"/>
      <c r="D382" s="313"/>
      <c r="E382" s="313"/>
      <c r="F382" s="312"/>
      <c r="G382" s="314"/>
      <c r="H382" s="315"/>
      <c r="I382" s="316"/>
      <c r="J382" s="313"/>
      <c r="K382" s="143"/>
    </row>
    <row r="383" ht="15.75" customHeight="1">
      <c r="A383" s="313"/>
      <c r="B383" s="312"/>
      <c r="C383" s="312"/>
      <c r="D383" s="313"/>
      <c r="E383" s="313"/>
      <c r="F383" s="312"/>
      <c r="G383" s="314"/>
      <c r="H383" s="315"/>
      <c r="I383" s="316"/>
      <c r="J383" s="313"/>
      <c r="K383" s="143"/>
    </row>
    <row r="384" ht="15.75" customHeight="1">
      <c r="A384" s="313"/>
      <c r="B384" s="312"/>
      <c r="C384" s="312"/>
      <c r="D384" s="313"/>
      <c r="E384" s="313"/>
      <c r="F384" s="312"/>
      <c r="G384" s="314"/>
      <c r="H384" s="315"/>
      <c r="I384" s="316"/>
      <c r="J384" s="313"/>
      <c r="K384" s="143"/>
    </row>
    <row r="385" ht="15.75" customHeight="1">
      <c r="A385" s="313"/>
      <c r="B385" s="312"/>
      <c r="C385" s="312"/>
      <c r="D385" s="313"/>
      <c r="E385" s="313"/>
      <c r="F385" s="312"/>
      <c r="G385" s="314"/>
      <c r="H385" s="315"/>
      <c r="I385" s="316"/>
      <c r="J385" s="313"/>
      <c r="K385" s="143"/>
    </row>
    <row r="386" ht="15.75" customHeight="1">
      <c r="A386" s="313"/>
      <c r="B386" s="312"/>
      <c r="C386" s="312"/>
      <c r="D386" s="313"/>
      <c r="E386" s="313"/>
      <c r="F386" s="312"/>
      <c r="G386" s="314"/>
      <c r="H386" s="315"/>
      <c r="I386" s="316"/>
      <c r="J386" s="313"/>
      <c r="K386" s="143"/>
    </row>
    <row r="387" ht="15.75" customHeight="1">
      <c r="A387" s="313"/>
      <c r="B387" s="312"/>
      <c r="C387" s="312"/>
      <c r="D387" s="313"/>
      <c r="E387" s="313"/>
      <c r="F387" s="312"/>
      <c r="G387" s="314"/>
      <c r="H387" s="315"/>
      <c r="I387" s="316"/>
      <c r="J387" s="313"/>
      <c r="K387" s="143"/>
    </row>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31:E131"/>
    <mergeCell ref="B132:E132"/>
    <mergeCell ref="B134:E134"/>
    <mergeCell ref="B145:E145"/>
    <mergeCell ref="B158:E158"/>
    <mergeCell ref="B160:E16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25"/>
    <col customWidth="1" min="2" max="2" width="60.13"/>
    <col customWidth="1" min="3" max="3" width="31.63"/>
    <col customWidth="1" min="4" max="4" width="19.88"/>
    <col customWidth="1" min="5" max="6" width="12.63"/>
  </cols>
  <sheetData>
    <row r="1" ht="15.75" customHeight="1">
      <c r="A1" s="318" t="s">
        <v>4011</v>
      </c>
      <c r="B1" s="318" t="s">
        <v>4012</v>
      </c>
      <c r="C1" s="318"/>
      <c r="D1" s="318"/>
      <c r="E1" s="318"/>
      <c r="F1" s="318"/>
      <c r="G1" s="318"/>
      <c r="H1" s="318"/>
      <c r="I1" s="318"/>
      <c r="J1" s="318"/>
      <c r="K1" s="318"/>
      <c r="L1" s="318"/>
      <c r="M1" s="318"/>
      <c r="N1" s="318"/>
      <c r="O1" s="318"/>
      <c r="P1" s="318"/>
      <c r="Q1" s="318"/>
      <c r="R1" s="318"/>
      <c r="S1" s="318"/>
      <c r="T1" s="318"/>
      <c r="U1" s="318"/>
      <c r="V1" s="318"/>
      <c r="W1" s="318"/>
      <c r="X1" s="318"/>
    </row>
    <row r="2" ht="15.75" customHeight="1">
      <c r="A2" s="318"/>
      <c r="B2" s="318"/>
      <c r="C2" s="318"/>
      <c r="D2" s="318"/>
      <c r="E2" s="318"/>
      <c r="F2" s="318"/>
      <c r="G2" s="318"/>
      <c r="H2" s="318"/>
      <c r="I2" s="318"/>
      <c r="J2" s="318"/>
      <c r="K2" s="318"/>
      <c r="L2" s="318"/>
      <c r="M2" s="318"/>
      <c r="N2" s="318"/>
      <c r="O2" s="318"/>
      <c r="P2" s="318"/>
      <c r="Q2" s="318"/>
      <c r="R2" s="318"/>
      <c r="S2" s="318"/>
      <c r="T2" s="318"/>
      <c r="U2" s="318"/>
      <c r="V2" s="318"/>
      <c r="W2" s="318"/>
      <c r="X2" s="318"/>
    </row>
    <row r="3" ht="15.75" customHeight="1">
      <c r="A3" s="319" t="s">
        <v>4013</v>
      </c>
      <c r="B3" s="319" t="s">
        <v>4014</v>
      </c>
      <c r="C3" s="319" t="s">
        <v>4015</v>
      </c>
      <c r="D3" s="319" t="s">
        <v>4016</v>
      </c>
      <c r="E3" s="318"/>
      <c r="F3" s="318"/>
      <c r="G3" s="318"/>
      <c r="H3" s="318"/>
      <c r="I3" s="318"/>
      <c r="J3" s="318"/>
      <c r="K3" s="318"/>
      <c r="L3" s="318"/>
      <c r="M3" s="318"/>
      <c r="N3" s="318"/>
      <c r="O3" s="318"/>
      <c r="P3" s="318"/>
      <c r="Q3" s="318"/>
      <c r="R3" s="318"/>
      <c r="S3" s="318"/>
      <c r="T3" s="318"/>
      <c r="U3" s="318"/>
      <c r="V3" s="318"/>
      <c r="W3" s="318"/>
      <c r="X3" s="318"/>
    </row>
    <row r="4" ht="15.75" customHeight="1">
      <c r="A4" s="320" t="s">
        <v>4017</v>
      </c>
      <c r="B4" s="320" t="s">
        <v>4018</v>
      </c>
      <c r="C4" s="318" t="s">
        <v>4019</v>
      </c>
      <c r="D4" s="318"/>
      <c r="E4" s="318"/>
      <c r="F4" s="318"/>
      <c r="G4" s="318"/>
      <c r="H4" s="318"/>
      <c r="I4" s="318"/>
      <c r="J4" s="318"/>
      <c r="K4" s="318"/>
      <c r="L4" s="318"/>
      <c r="M4" s="318"/>
      <c r="N4" s="318"/>
      <c r="O4" s="318"/>
      <c r="P4" s="318"/>
      <c r="Q4" s="318"/>
      <c r="R4" s="318"/>
      <c r="S4" s="318"/>
      <c r="T4" s="318"/>
      <c r="U4" s="318"/>
      <c r="V4" s="318"/>
      <c r="W4" s="318"/>
      <c r="X4" s="318"/>
    </row>
    <row r="5" ht="15.75" customHeight="1">
      <c r="A5" s="320" t="s">
        <v>4020</v>
      </c>
      <c r="B5" s="320" t="s">
        <v>4021</v>
      </c>
      <c r="C5" s="318" t="s">
        <v>4022</v>
      </c>
      <c r="D5" s="318"/>
      <c r="E5" s="318"/>
      <c r="F5" s="318"/>
      <c r="G5" s="318"/>
      <c r="H5" s="318"/>
      <c r="I5" s="318"/>
      <c r="J5" s="318"/>
      <c r="K5" s="318"/>
      <c r="L5" s="318"/>
      <c r="M5" s="318"/>
      <c r="N5" s="318"/>
      <c r="O5" s="318"/>
      <c r="P5" s="318"/>
      <c r="Q5" s="318"/>
      <c r="R5" s="318"/>
      <c r="S5" s="318"/>
      <c r="T5" s="318"/>
      <c r="U5" s="318"/>
      <c r="V5" s="318"/>
      <c r="W5" s="318"/>
      <c r="X5" s="318"/>
    </row>
    <row r="6" ht="15.75" customHeight="1">
      <c r="A6" s="320" t="s">
        <v>4023</v>
      </c>
      <c r="B6" s="320" t="s">
        <v>4024</v>
      </c>
      <c r="C6" s="318" t="s">
        <v>4025</v>
      </c>
      <c r="D6" s="318"/>
      <c r="E6" s="318"/>
      <c r="F6" s="318"/>
      <c r="G6" s="318"/>
      <c r="H6" s="318"/>
      <c r="I6" s="318"/>
      <c r="J6" s="318"/>
      <c r="K6" s="318"/>
      <c r="L6" s="318"/>
      <c r="M6" s="318"/>
      <c r="N6" s="318"/>
      <c r="O6" s="318"/>
      <c r="P6" s="318"/>
      <c r="Q6" s="318"/>
      <c r="R6" s="318"/>
      <c r="S6" s="318"/>
      <c r="T6" s="318"/>
      <c r="U6" s="318"/>
      <c r="V6" s="318"/>
      <c r="W6" s="318"/>
      <c r="X6" s="318"/>
    </row>
    <row r="7" ht="15.75" customHeight="1">
      <c r="A7" s="320" t="s">
        <v>4026</v>
      </c>
      <c r="B7" s="320" t="s">
        <v>4027</v>
      </c>
      <c r="C7" s="318" t="s">
        <v>4028</v>
      </c>
      <c r="D7" s="318"/>
      <c r="E7" s="318"/>
      <c r="F7" s="318"/>
      <c r="G7" s="318"/>
      <c r="H7" s="318"/>
      <c r="I7" s="318"/>
      <c r="J7" s="318"/>
      <c r="K7" s="318"/>
      <c r="L7" s="318"/>
      <c r="M7" s="318"/>
      <c r="N7" s="318"/>
      <c r="O7" s="318"/>
      <c r="P7" s="318"/>
      <c r="Q7" s="318"/>
      <c r="R7" s="318"/>
      <c r="S7" s="318"/>
      <c r="T7" s="318"/>
      <c r="U7" s="318"/>
      <c r="V7" s="318"/>
      <c r="W7" s="318"/>
      <c r="X7" s="318"/>
    </row>
    <row r="8" ht="15.75" customHeight="1">
      <c r="A8" s="181" t="s">
        <v>4029</v>
      </c>
      <c r="B8" s="181" t="s">
        <v>4030</v>
      </c>
      <c r="C8" s="318" t="s">
        <v>4031</v>
      </c>
      <c r="D8" s="318"/>
      <c r="E8" s="318"/>
      <c r="F8" s="318"/>
      <c r="G8" s="318"/>
      <c r="H8" s="318"/>
      <c r="I8" s="318"/>
      <c r="J8" s="318"/>
      <c r="K8" s="318"/>
      <c r="L8" s="318"/>
      <c r="M8" s="318"/>
      <c r="N8" s="318"/>
      <c r="O8" s="318"/>
      <c r="P8" s="318"/>
      <c r="Q8" s="318"/>
      <c r="R8" s="318"/>
      <c r="S8" s="318"/>
      <c r="T8" s="318"/>
      <c r="U8" s="318"/>
      <c r="V8" s="318"/>
      <c r="W8" s="318"/>
      <c r="X8" s="318"/>
    </row>
    <row r="9" ht="15.75" customHeight="1">
      <c r="A9" s="321" t="s">
        <v>4032</v>
      </c>
      <c r="B9" s="321" t="s">
        <v>4033</v>
      </c>
      <c r="C9" s="322" t="s">
        <v>4034</v>
      </c>
      <c r="D9" s="322"/>
      <c r="E9" s="322"/>
      <c r="F9" s="322"/>
      <c r="G9" s="322"/>
      <c r="H9" s="322"/>
      <c r="I9" s="322"/>
      <c r="J9" s="322"/>
      <c r="K9" s="322"/>
      <c r="L9" s="322"/>
      <c r="M9" s="322"/>
      <c r="N9" s="322"/>
      <c r="O9" s="322"/>
      <c r="P9" s="322"/>
      <c r="Q9" s="322"/>
      <c r="R9" s="322"/>
      <c r="S9" s="322"/>
      <c r="T9" s="322"/>
      <c r="U9" s="322"/>
      <c r="V9" s="322"/>
      <c r="W9" s="322"/>
      <c r="X9" s="322"/>
    </row>
    <row r="10" ht="15.75" customHeight="1">
      <c r="A10" s="321" t="s">
        <v>4035</v>
      </c>
      <c r="B10" s="321" t="s">
        <v>4036</v>
      </c>
      <c r="C10" s="322" t="s">
        <v>4037</v>
      </c>
      <c r="D10" s="322"/>
      <c r="E10" s="322"/>
      <c r="F10" s="322"/>
      <c r="G10" s="322"/>
      <c r="H10" s="322"/>
      <c r="I10" s="322"/>
      <c r="J10" s="322"/>
      <c r="K10" s="322"/>
      <c r="L10" s="322"/>
      <c r="M10" s="322"/>
      <c r="N10" s="322"/>
      <c r="O10" s="322"/>
      <c r="P10" s="322"/>
      <c r="Q10" s="322"/>
      <c r="R10" s="322"/>
      <c r="S10" s="322"/>
      <c r="T10" s="322"/>
      <c r="U10" s="322"/>
      <c r="V10" s="322"/>
      <c r="W10" s="322"/>
      <c r="X10" s="322"/>
    </row>
    <row r="11" ht="15.75" customHeight="1">
      <c r="A11" s="181" t="s">
        <v>4038</v>
      </c>
      <c r="B11" s="181" t="s">
        <v>4039</v>
      </c>
      <c r="C11" s="318" t="s">
        <v>4040</v>
      </c>
      <c r="D11" s="318"/>
      <c r="E11" s="318"/>
      <c r="F11" s="318"/>
      <c r="G11" s="318"/>
      <c r="H11" s="318"/>
      <c r="I11" s="318"/>
      <c r="J11" s="318"/>
      <c r="K11" s="318"/>
      <c r="L11" s="318"/>
      <c r="M11" s="318"/>
      <c r="N11" s="318"/>
      <c r="O11" s="318"/>
      <c r="P11" s="318"/>
      <c r="Q11" s="318"/>
      <c r="R11" s="318"/>
      <c r="S11" s="318"/>
      <c r="T11" s="318"/>
      <c r="U11" s="318"/>
      <c r="V11" s="318"/>
      <c r="W11" s="318"/>
      <c r="X11" s="318"/>
    </row>
    <row r="12" ht="15.75" customHeight="1">
      <c r="A12" s="181" t="s">
        <v>4041</v>
      </c>
      <c r="B12" s="181" t="s">
        <v>4042</v>
      </c>
      <c r="C12" s="318"/>
      <c r="D12" s="318"/>
      <c r="E12" s="318"/>
      <c r="F12" s="318"/>
      <c r="G12" s="318"/>
      <c r="H12" s="318"/>
      <c r="I12" s="318"/>
      <c r="J12" s="318"/>
      <c r="K12" s="318"/>
      <c r="L12" s="318"/>
      <c r="M12" s="318"/>
      <c r="N12" s="318"/>
      <c r="O12" s="318"/>
      <c r="P12" s="318"/>
      <c r="Q12" s="318"/>
      <c r="R12" s="318"/>
      <c r="S12" s="318"/>
      <c r="T12" s="318"/>
      <c r="U12" s="318"/>
      <c r="V12" s="318"/>
      <c r="W12" s="318"/>
      <c r="X12" s="318"/>
    </row>
    <row r="13" ht="15.75" customHeight="1">
      <c r="A13" s="181" t="s">
        <v>4043</v>
      </c>
      <c r="B13" s="181" t="s">
        <v>4044</v>
      </c>
      <c r="C13" s="318" t="s">
        <v>4045</v>
      </c>
      <c r="D13" s="318"/>
      <c r="E13" s="318"/>
      <c r="F13" s="318"/>
      <c r="G13" s="318"/>
      <c r="H13" s="318"/>
      <c r="I13" s="318"/>
      <c r="J13" s="318"/>
      <c r="K13" s="318"/>
      <c r="L13" s="318"/>
      <c r="M13" s="318"/>
      <c r="N13" s="318"/>
      <c r="O13" s="318"/>
      <c r="P13" s="318"/>
      <c r="Q13" s="318"/>
      <c r="R13" s="318"/>
      <c r="S13" s="318"/>
      <c r="T13" s="318"/>
      <c r="U13" s="318"/>
      <c r="V13" s="318"/>
      <c r="W13" s="318"/>
      <c r="X13" s="318"/>
    </row>
    <row r="14" ht="15.75" customHeight="1">
      <c r="A14" s="181" t="s">
        <v>4046</v>
      </c>
      <c r="B14" s="181" t="s">
        <v>4047</v>
      </c>
      <c r="C14" s="318" t="s">
        <v>4048</v>
      </c>
      <c r="D14" s="318"/>
      <c r="E14" s="318"/>
      <c r="F14" s="318"/>
      <c r="G14" s="318"/>
      <c r="H14" s="318"/>
      <c r="I14" s="318"/>
      <c r="J14" s="318"/>
      <c r="K14" s="318"/>
      <c r="L14" s="318"/>
      <c r="M14" s="318"/>
      <c r="N14" s="318"/>
      <c r="O14" s="318"/>
      <c r="P14" s="318"/>
      <c r="Q14" s="318"/>
      <c r="R14" s="318"/>
      <c r="S14" s="318"/>
      <c r="T14" s="318"/>
      <c r="U14" s="318"/>
      <c r="V14" s="318"/>
      <c r="W14" s="318"/>
      <c r="X14" s="318"/>
    </row>
    <row r="15" ht="15.75" customHeight="1">
      <c r="A15" s="181" t="s">
        <v>4049</v>
      </c>
      <c r="B15" s="181" t="s">
        <v>4050</v>
      </c>
      <c r="C15" s="318" t="s">
        <v>4051</v>
      </c>
      <c r="D15" s="318"/>
      <c r="E15" s="318"/>
      <c r="F15" s="318"/>
      <c r="G15" s="318"/>
      <c r="H15" s="318"/>
      <c r="I15" s="318"/>
      <c r="J15" s="318"/>
      <c r="K15" s="318"/>
      <c r="L15" s="318"/>
      <c r="M15" s="318"/>
      <c r="N15" s="318"/>
      <c r="O15" s="318"/>
      <c r="P15" s="318"/>
      <c r="Q15" s="318"/>
      <c r="R15" s="318"/>
      <c r="S15" s="318"/>
      <c r="T15" s="318"/>
      <c r="U15" s="318"/>
      <c r="V15" s="318"/>
      <c r="W15" s="318"/>
      <c r="X15" s="318"/>
    </row>
    <row r="16" ht="15.75" customHeight="1">
      <c r="A16" s="181" t="s">
        <v>4052</v>
      </c>
      <c r="B16" s="181" t="s">
        <v>4053</v>
      </c>
      <c r="C16" s="318" t="s">
        <v>4054</v>
      </c>
      <c r="D16" s="318"/>
      <c r="E16" s="318"/>
      <c r="F16" s="318"/>
      <c r="G16" s="318"/>
      <c r="H16" s="318"/>
      <c r="I16" s="318"/>
      <c r="J16" s="318"/>
      <c r="K16" s="318"/>
      <c r="L16" s="318"/>
      <c r="M16" s="318"/>
      <c r="N16" s="318"/>
      <c r="O16" s="318"/>
      <c r="P16" s="318"/>
      <c r="Q16" s="318"/>
      <c r="R16" s="318"/>
      <c r="S16" s="318"/>
      <c r="T16" s="318"/>
      <c r="U16" s="318"/>
      <c r="V16" s="318"/>
      <c r="W16" s="318"/>
      <c r="X16" s="318"/>
    </row>
    <row r="17" ht="15.75" customHeight="1">
      <c r="A17" s="181" t="s">
        <v>4055</v>
      </c>
      <c r="B17" s="181" t="s">
        <v>4056</v>
      </c>
      <c r="C17" s="318" t="s">
        <v>4057</v>
      </c>
      <c r="D17" s="318"/>
      <c r="E17" s="318"/>
      <c r="F17" s="318"/>
      <c r="G17" s="318"/>
      <c r="H17" s="318"/>
      <c r="I17" s="318"/>
      <c r="J17" s="318"/>
      <c r="K17" s="318"/>
      <c r="L17" s="318"/>
      <c r="M17" s="318"/>
      <c r="N17" s="318"/>
      <c r="O17" s="318"/>
      <c r="P17" s="318"/>
      <c r="Q17" s="318"/>
      <c r="R17" s="318"/>
      <c r="S17" s="318"/>
      <c r="T17" s="318"/>
      <c r="U17" s="318"/>
      <c r="V17" s="318"/>
      <c r="W17" s="318"/>
      <c r="X17" s="318"/>
    </row>
    <row r="18" ht="15.75" customHeight="1">
      <c r="A18" s="181" t="s">
        <v>4058</v>
      </c>
      <c r="B18" s="181" t="s">
        <v>4059</v>
      </c>
      <c r="C18" s="318" t="s">
        <v>4060</v>
      </c>
      <c r="D18" s="318"/>
      <c r="E18" s="318"/>
      <c r="F18" s="318"/>
      <c r="G18" s="318"/>
      <c r="H18" s="318"/>
      <c r="I18" s="318"/>
      <c r="J18" s="318"/>
      <c r="K18" s="318"/>
      <c r="L18" s="318"/>
      <c r="M18" s="318"/>
      <c r="N18" s="318"/>
      <c r="O18" s="318"/>
      <c r="P18" s="318"/>
      <c r="Q18" s="318"/>
      <c r="R18" s="318"/>
      <c r="S18" s="318"/>
      <c r="T18" s="318"/>
      <c r="U18" s="318"/>
      <c r="V18" s="318"/>
      <c r="W18" s="318"/>
      <c r="X18" s="318"/>
    </row>
    <row r="19" ht="15.75" customHeight="1">
      <c r="A19" s="181" t="s">
        <v>4061</v>
      </c>
      <c r="B19" s="181" t="s">
        <v>4062</v>
      </c>
      <c r="C19" s="318" t="s">
        <v>4063</v>
      </c>
      <c r="D19" s="318"/>
      <c r="E19" s="318"/>
      <c r="F19" s="318"/>
      <c r="G19" s="318"/>
      <c r="H19" s="318"/>
      <c r="I19" s="318"/>
      <c r="J19" s="318"/>
      <c r="K19" s="318"/>
      <c r="L19" s="318"/>
      <c r="M19" s="318"/>
      <c r="N19" s="318"/>
      <c r="O19" s="318"/>
      <c r="P19" s="318"/>
      <c r="Q19" s="318"/>
      <c r="R19" s="318"/>
      <c r="S19" s="318"/>
      <c r="T19" s="318"/>
      <c r="U19" s="318"/>
      <c r="V19" s="318"/>
      <c r="W19" s="318"/>
      <c r="X19" s="318"/>
    </row>
    <row r="20" ht="15.75" customHeight="1">
      <c r="A20" s="181" t="s">
        <v>4064</v>
      </c>
      <c r="B20" s="181" t="s">
        <v>4065</v>
      </c>
      <c r="C20" s="318" t="s">
        <v>4066</v>
      </c>
      <c r="D20" s="318"/>
      <c r="E20" s="318"/>
      <c r="F20" s="318"/>
      <c r="G20" s="318"/>
      <c r="H20" s="318"/>
      <c r="I20" s="318"/>
      <c r="J20" s="318"/>
      <c r="K20" s="318"/>
      <c r="L20" s="318"/>
      <c r="M20" s="318"/>
      <c r="N20" s="318"/>
      <c r="O20" s="318"/>
      <c r="P20" s="318"/>
      <c r="Q20" s="318"/>
      <c r="R20" s="318"/>
      <c r="S20" s="318"/>
      <c r="T20" s="318"/>
      <c r="U20" s="318"/>
      <c r="V20" s="318"/>
      <c r="W20" s="318"/>
      <c r="X20" s="318"/>
    </row>
    <row r="21" ht="15.75" customHeight="1">
      <c r="A21" s="181" t="s">
        <v>4067</v>
      </c>
      <c r="B21" s="181" t="s">
        <v>4068</v>
      </c>
      <c r="C21" s="318" t="s">
        <v>4069</v>
      </c>
      <c r="D21" s="318"/>
      <c r="E21" s="318"/>
      <c r="F21" s="318"/>
      <c r="G21" s="318"/>
      <c r="H21" s="318"/>
      <c r="I21" s="318"/>
      <c r="J21" s="318"/>
      <c r="K21" s="318"/>
      <c r="L21" s="318"/>
      <c r="M21" s="318"/>
      <c r="N21" s="318"/>
      <c r="O21" s="318"/>
      <c r="P21" s="318"/>
      <c r="Q21" s="318"/>
      <c r="R21" s="318"/>
      <c r="S21" s="318"/>
      <c r="T21" s="318"/>
      <c r="U21" s="318"/>
      <c r="V21" s="318"/>
      <c r="W21" s="318"/>
      <c r="X21" s="318"/>
    </row>
    <row r="22" ht="15.75" customHeight="1">
      <c r="A22" s="320" t="s">
        <v>4070</v>
      </c>
      <c r="B22" s="320" t="s">
        <v>4071</v>
      </c>
      <c r="C22" s="318" t="s">
        <v>4072</v>
      </c>
      <c r="D22" s="318"/>
      <c r="E22" s="318"/>
      <c r="F22" s="318"/>
      <c r="G22" s="318"/>
      <c r="H22" s="318"/>
      <c r="I22" s="318"/>
      <c r="J22" s="318"/>
      <c r="K22" s="318"/>
      <c r="L22" s="318"/>
      <c r="M22" s="318"/>
      <c r="N22" s="318"/>
      <c r="O22" s="318"/>
      <c r="P22" s="318"/>
      <c r="Q22" s="318"/>
      <c r="R22" s="318"/>
      <c r="S22" s="318"/>
      <c r="T22" s="318"/>
      <c r="U22" s="318"/>
      <c r="V22" s="318"/>
      <c r="W22" s="318"/>
      <c r="X22" s="318"/>
    </row>
    <row r="23" ht="15.75" customHeight="1">
      <c r="A23" s="320" t="s">
        <v>4073</v>
      </c>
      <c r="B23" s="320" t="s">
        <v>4074</v>
      </c>
      <c r="C23" s="318" t="s">
        <v>4075</v>
      </c>
      <c r="D23" s="318"/>
      <c r="E23" s="318"/>
      <c r="F23" s="318"/>
      <c r="G23" s="318"/>
      <c r="H23" s="318"/>
      <c r="I23" s="318"/>
      <c r="J23" s="318"/>
      <c r="K23" s="318"/>
      <c r="L23" s="318"/>
      <c r="M23" s="318"/>
      <c r="N23" s="318"/>
      <c r="O23" s="318"/>
      <c r="P23" s="318"/>
      <c r="Q23" s="318"/>
      <c r="R23" s="318"/>
      <c r="S23" s="318"/>
      <c r="T23" s="318"/>
      <c r="U23" s="318"/>
      <c r="V23" s="318"/>
      <c r="W23" s="318"/>
      <c r="X23" s="318"/>
    </row>
    <row r="24" ht="15.75" customHeight="1">
      <c r="A24" s="320" t="s">
        <v>4076</v>
      </c>
      <c r="B24" s="320" t="s">
        <v>4077</v>
      </c>
      <c r="C24" s="318" t="s">
        <v>4078</v>
      </c>
      <c r="D24" s="318"/>
      <c r="E24" s="318"/>
      <c r="F24" s="318"/>
      <c r="G24" s="318"/>
      <c r="H24" s="318"/>
      <c r="I24" s="318"/>
      <c r="J24" s="318"/>
      <c r="K24" s="318"/>
      <c r="L24" s="318"/>
      <c r="M24" s="318"/>
      <c r="N24" s="318"/>
      <c r="O24" s="318"/>
      <c r="P24" s="318"/>
      <c r="Q24" s="318"/>
      <c r="R24" s="318"/>
      <c r="S24" s="318"/>
      <c r="T24" s="318"/>
      <c r="U24" s="318"/>
      <c r="V24" s="318"/>
      <c r="W24" s="318"/>
      <c r="X24" s="318"/>
    </row>
    <row r="25" ht="15.75" customHeight="1">
      <c r="A25" s="320" t="s">
        <v>595</v>
      </c>
      <c r="B25" s="320" t="s">
        <v>4079</v>
      </c>
      <c r="C25" s="318"/>
      <c r="D25" s="318"/>
      <c r="E25" s="318"/>
      <c r="F25" s="318"/>
      <c r="G25" s="318"/>
      <c r="H25" s="318"/>
      <c r="I25" s="318"/>
      <c r="J25" s="318"/>
      <c r="K25" s="318"/>
      <c r="L25" s="318"/>
      <c r="M25" s="318"/>
      <c r="N25" s="318"/>
      <c r="O25" s="318"/>
      <c r="P25" s="318"/>
      <c r="Q25" s="318"/>
      <c r="R25" s="318"/>
      <c r="S25" s="318"/>
      <c r="T25" s="318"/>
      <c r="U25" s="318"/>
      <c r="V25" s="318"/>
      <c r="W25" s="318"/>
      <c r="X25" s="318"/>
    </row>
    <row r="26" ht="15.75" customHeight="1">
      <c r="A26" s="320" t="s">
        <v>4080</v>
      </c>
      <c r="B26" s="320" t="s">
        <v>4081</v>
      </c>
      <c r="C26" s="318"/>
      <c r="D26" s="318"/>
      <c r="E26" s="318"/>
      <c r="F26" s="318"/>
      <c r="G26" s="318"/>
      <c r="H26" s="318"/>
      <c r="I26" s="318"/>
      <c r="J26" s="318"/>
      <c r="K26" s="318"/>
      <c r="L26" s="318"/>
      <c r="M26" s="318"/>
      <c r="N26" s="318"/>
      <c r="O26" s="318"/>
      <c r="P26" s="318"/>
      <c r="Q26" s="318"/>
      <c r="R26" s="318"/>
      <c r="S26" s="318"/>
      <c r="T26" s="318"/>
      <c r="U26" s="318"/>
      <c r="V26" s="318"/>
      <c r="W26" s="318"/>
      <c r="X26" s="318"/>
    </row>
    <row r="27" ht="15.75" customHeight="1">
      <c r="A27" s="320" t="s">
        <v>4082</v>
      </c>
      <c r="B27" s="320" t="s">
        <v>4083</v>
      </c>
      <c r="C27" s="318"/>
      <c r="D27" s="318"/>
      <c r="E27" s="318"/>
      <c r="F27" s="318"/>
      <c r="G27" s="318"/>
      <c r="H27" s="318"/>
      <c r="I27" s="318"/>
      <c r="J27" s="318"/>
      <c r="K27" s="318"/>
      <c r="L27" s="318"/>
      <c r="M27" s="318"/>
      <c r="N27" s="318"/>
      <c r="O27" s="318"/>
      <c r="P27" s="318"/>
      <c r="Q27" s="318"/>
      <c r="R27" s="318"/>
      <c r="S27" s="318"/>
      <c r="T27" s="318"/>
      <c r="U27" s="318"/>
      <c r="V27" s="318"/>
      <c r="W27" s="318"/>
      <c r="X27" s="318"/>
    </row>
    <row r="28" ht="15.75" customHeight="1">
      <c r="A28" s="318" t="s">
        <v>4084</v>
      </c>
      <c r="B28" s="318" t="s">
        <v>4085</v>
      </c>
      <c r="C28" s="318" t="s">
        <v>4086</v>
      </c>
      <c r="D28" s="318"/>
      <c r="E28" s="318"/>
      <c r="F28" s="318"/>
      <c r="G28" s="318"/>
      <c r="H28" s="318"/>
      <c r="I28" s="318"/>
      <c r="J28" s="318"/>
      <c r="K28" s="318"/>
      <c r="L28" s="318"/>
      <c r="M28" s="318"/>
      <c r="N28" s="318"/>
      <c r="O28" s="318"/>
      <c r="P28" s="318"/>
      <c r="Q28" s="318"/>
      <c r="R28" s="318"/>
      <c r="S28" s="318"/>
      <c r="T28" s="318"/>
      <c r="U28" s="318"/>
      <c r="V28" s="318"/>
      <c r="W28" s="318"/>
      <c r="X28" s="318"/>
    </row>
    <row r="29" ht="15.75" customHeight="1">
      <c r="A29" s="318" t="s">
        <v>4087</v>
      </c>
      <c r="B29" s="318" t="s">
        <v>4088</v>
      </c>
      <c r="C29" s="318" t="s">
        <v>4089</v>
      </c>
      <c r="D29" s="318"/>
      <c r="E29" s="318"/>
      <c r="F29" s="318"/>
      <c r="G29" s="318"/>
      <c r="H29" s="318"/>
      <c r="I29" s="318"/>
      <c r="J29" s="318"/>
      <c r="K29" s="318"/>
      <c r="L29" s="318"/>
      <c r="M29" s="318"/>
      <c r="N29" s="318"/>
      <c r="O29" s="318"/>
      <c r="P29" s="318"/>
      <c r="Q29" s="318"/>
      <c r="R29" s="318"/>
      <c r="S29" s="318"/>
      <c r="T29" s="318"/>
      <c r="U29" s="318"/>
      <c r="V29" s="318"/>
      <c r="W29" s="318"/>
      <c r="X29" s="318"/>
    </row>
    <row r="30" ht="16.5" customHeight="1">
      <c r="A30" s="323" t="s">
        <v>4090</v>
      </c>
      <c r="B30" s="323" t="s">
        <v>4091</v>
      </c>
      <c r="C30" s="323" t="s">
        <v>4092</v>
      </c>
      <c r="D30" s="323"/>
      <c r="E30" s="323"/>
      <c r="F30" s="323"/>
      <c r="G30" s="323"/>
      <c r="H30" s="323"/>
      <c r="I30" s="323"/>
      <c r="J30" s="323"/>
      <c r="K30" s="323"/>
      <c r="L30" s="323"/>
      <c r="M30" s="323"/>
      <c r="N30" s="323"/>
      <c r="O30" s="323"/>
      <c r="P30" s="323"/>
      <c r="Q30" s="323"/>
      <c r="R30" s="323"/>
      <c r="S30" s="323"/>
      <c r="T30" s="323"/>
      <c r="U30" s="323"/>
      <c r="V30" s="323"/>
      <c r="W30" s="323"/>
      <c r="X30" s="323"/>
    </row>
    <row r="31" ht="15.75" customHeight="1">
      <c r="A31" s="323" t="s">
        <v>4093</v>
      </c>
      <c r="B31" s="323" t="s">
        <v>4094</v>
      </c>
      <c r="C31" s="323" t="s">
        <v>4095</v>
      </c>
      <c r="D31" s="323"/>
      <c r="E31" s="323"/>
      <c r="F31" s="323"/>
      <c r="G31" s="323"/>
      <c r="H31" s="323"/>
      <c r="I31" s="323"/>
      <c r="J31" s="323"/>
      <c r="K31" s="323"/>
      <c r="L31" s="323"/>
      <c r="M31" s="323"/>
      <c r="N31" s="323"/>
      <c r="O31" s="323"/>
      <c r="P31" s="323"/>
      <c r="Q31" s="323"/>
      <c r="R31" s="323"/>
      <c r="S31" s="323"/>
      <c r="T31" s="323"/>
      <c r="U31" s="323"/>
      <c r="V31" s="323"/>
      <c r="W31" s="323"/>
      <c r="X31" s="323"/>
    </row>
    <row r="32" ht="15.75" customHeight="1">
      <c r="A32" s="323" t="s">
        <v>4096</v>
      </c>
      <c r="B32" s="323" t="s">
        <v>4097</v>
      </c>
      <c r="C32" s="323" t="s">
        <v>4098</v>
      </c>
      <c r="D32" s="323"/>
      <c r="E32" s="323"/>
      <c r="F32" s="323"/>
      <c r="G32" s="323"/>
      <c r="H32" s="323"/>
      <c r="I32" s="323"/>
      <c r="J32" s="323"/>
      <c r="K32" s="323"/>
      <c r="L32" s="323"/>
      <c r="M32" s="323"/>
      <c r="N32" s="323"/>
      <c r="O32" s="323"/>
      <c r="P32" s="323"/>
      <c r="Q32" s="323"/>
      <c r="R32" s="323"/>
      <c r="S32" s="323"/>
      <c r="T32" s="323"/>
      <c r="U32" s="323"/>
      <c r="V32" s="323"/>
      <c r="W32" s="323"/>
      <c r="X32" s="323"/>
    </row>
    <row r="33" ht="15.75" customHeight="1">
      <c r="A33" s="323" t="s">
        <v>4099</v>
      </c>
      <c r="B33" s="323" t="s">
        <v>4100</v>
      </c>
      <c r="C33" s="323" t="s">
        <v>4101</v>
      </c>
      <c r="D33" s="323"/>
      <c r="E33" s="323"/>
      <c r="F33" s="323"/>
      <c r="G33" s="323"/>
      <c r="H33" s="323"/>
      <c r="I33" s="323"/>
      <c r="J33" s="323"/>
      <c r="K33" s="323"/>
      <c r="L33" s="323"/>
      <c r="M33" s="323"/>
      <c r="N33" s="323"/>
      <c r="O33" s="323"/>
      <c r="P33" s="323"/>
      <c r="Q33" s="323"/>
      <c r="R33" s="323"/>
      <c r="S33" s="323"/>
      <c r="T33" s="323"/>
      <c r="U33" s="323"/>
      <c r="V33" s="323"/>
      <c r="W33" s="323"/>
      <c r="X33" s="323"/>
    </row>
    <row r="34" ht="15.75" customHeight="1">
      <c r="A34" s="323" t="s">
        <v>4102</v>
      </c>
      <c r="B34" s="323" t="s">
        <v>4103</v>
      </c>
      <c r="C34" s="323" t="s">
        <v>4104</v>
      </c>
      <c r="D34" s="323"/>
      <c r="E34" s="323"/>
      <c r="F34" s="323"/>
      <c r="G34" s="323"/>
      <c r="H34" s="323"/>
      <c r="I34" s="323"/>
      <c r="J34" s="323"/>
      <c r="K34" s="323"/>
      <c r="L34" s="323"/>
      <c r="M34" s="323"/>
      <c r="N34" s="323"/>
      <c r="O34" s="323"/>
      <c r="P34" s="323"/>
      <c r="Q34" s="323"/>
      <c r="R34" s="323"/>
      <c r="S34" s="323"/>
      <c r="T34" s="323"/>
      <c r="U34" s="323"/>
      <c r="V34" s="323"/>
      <c r="W34" s="323"/>
      <c r="X34" s="323"/>
    </row>
    <row r="35" ht="15.75" customHeight="1">
      <c r="A35" s="323" t="s">
        <v>4105</v>
      </c>
      <c r="B35" s="323" t="s">
        <v>4106</v>
      </c>
      <c r="C35" s="323" t="s">
        <v>4107</v>
      </c>
      <c r="D35" s="323"/>
      <c r="E35" s="323"/>
      <c r="F35" s="323"/>
      <c r="G35" s="323"/>
      <c r="H35" s="323"/>
      <c r="I35" s="323"/>
      <c r="J35" s="323"/>
      <c r="K35" s="323"/>
      <c r="L35" s="323"/>
      <c r="M35" s="323"/>
      <c r="N35" s="323"/>
      <c r="O35" s="323"/>
      <c r="P35" s="323"/>
      <c r="Q35" s="323"/>
      <c r="R35" s="323"/>
      <c r="S35" s="323"/>
      <c r="T35" s="323"/>
      <c r="U35" s="323"/>
      <c r="V35" s="323"/>
      <c r="W35" s="323"/>
      <c r="X35" s="323"/>
    </row>
    <row r="36" ht="15.75" customHeight="1">
      <c r="A36" s="323" t="s">
        <v>4108</v>
      </c>
      <c r="B36" s="323" t="s">
        <v>4109</v>
      </c>
      <c r="C36" s="323" t="s">
        <v>4110</v>
      </c>
      <c r="D36" s="323"/>
      <c r="E36" s="323"/>
      <c r="F36" s="323"/>
      <c r="G36" s="323"/>
      <c r="H36" s="323"/>
      <c r="I36" s="323"/>
      <c r="J36" s="323"/>
      <c r="K36" s="323"/>
      <c r="L36" s="323"/>
      <c r="M36" s="323"/>
      <c r="N36" s="323"/>
      <c r="O36" s="323"/>
      <c r="P36" s="323"/>
      <c r="Q36" s="323"/>
      <c r="R36" s="323"/>
      <c r="S36" s="323"/>
      <c r="T36" s="323"/>
      <c r="U36" s="323"/>
      <c r="V36" s="323"/>
      <c r="W36" s="323"/>
      <c r="X36" s="323"/>
    </row>
    <row r="37" ht="15.75" customHeight="1">
      <c r="A37" s="323" t="s">
        <v>4111</v>
      </c>
      <c r="B37" s="323" t="s">
        <v>4112</v>
      </c>
      <c r="C37" s="323" t="s">
        <v>4113</v>
      </c>
      <c r="D37" s="323"/>
      <c r="E37" s="323"/>
      <c r="F37" s="323"/>
      <c r="G37" s="323"/>
      <c r="H37" s="323"/>
      <c r="I37" s="323"/>
      <c r="J37" s="323"/>
      <c r="K37" s="323"/>
      <c r="L37" s="323"/>
      <c r="M37" s="323"/>
      <c r="N37" s="323"/>
      <c r="O37" s="323"/>
      <c r="P37" s="323"/>
      <c r="Q37" s="323"/>
      <c r="R37" s="323"/>
      <c r="S37" s="323"/>
      <c r="T37" s="323"/>
      <c r="U37" s="323"/>
      <c r="V37" s="323"/>
      <c r="W37" s="323"/>
      <c r="X37" s="323"/>
    </row>
    <row r="38" ht="15.75" customHeight="1">
      <c r="A38" s="323" t="s">
        <v>4114</v>
      </c>
      <c r="B38" s="323" t="s">
        <v>4115</v>
      </c>
      <c r="C38" s="323" t="s">
        <v>4116</v>
      </c>
      <c r="D38" s="323"/>
      <c r="E38" s="323"/>
      <c r="F38" s="323"/>
      <c r="G38" s="323"/>
      <c r="H38" s="323"/>
      <c r="I38" s="323"/>
      <c r="J38" s="323"/>
      <c r="K38" s="323"/>
      <c r="L38" s="323"/>
      <c r="M38" s="323"/>
      <c r="N38" s="323"/>
      <c r="O38" s="323"/>
      <c r="P38" s="323"/>
      <c r="Q38" s="323"/>
      <c r="R38" s="323"/>
      <c r="S38" s="323"/>
      <c r="T38" s="323"/>
      <c r="U38" s="323"/>
      <c r="V38" s="323"/>
      <c r="W38" s="323"/>
      <c r="X38" s="323"/>
    </row>
    <row r="39" ht="15.75" customHeight="1">
      <c r="A39" s="318"/>
      <c r="B39" s="318"/>
      <c r="C39" s="318"/>
      <c r="D39" s="318"/>
      <c r="E39" s="318"/>
      <c r="F39" s="318"/>
      <c r="G39" s="318"/>
      <c r="H39" s="318"/>
      <c r="I39" s="318"/>
      <c r="J39" s="318"/>
      <c r="K39" s="318"/>
      <c r="L39" s="318"/>
      <c r="M39" s="318"/>
      <c r="N39" s="318"/>
      <c r="O39" s="318"/>
      <c r="P39" s="318"/>
      <c r="Q39" s="318"/>
      <c r="R39" s="318"/>
      <c r="S39" s="318"/>
      <c r="T39" s="318"/>
      <c r="U39" s="318"/>
      <c r="V39" s="318"/>
      <c r="W39" s="318"/>
      <c r="X39" s="318"/>
    </row>
    <row r="40" ht="15.75" customHeight="1">
      <c r="A40" s="318"/>
      <c r="B40" s="318"/>
      <c r="C40" s="318"/>
      <c r="D40" s="318"/>
      <c r="E40" s="318"/>
      <c r="F40" s="318"/>
      <c r="G40" s="318"/>
      <c r="H40" s="318"/>
      <c r="I40" s="318"/>
      <c r="J40" s="318"/>
      <c r="K40" s="318"/>
      <c r="L40" s="318"/>
      <c r="M40" s="318"/>
      <c r="N40" s="318"/>
      <c r="O40" s="318"/>
      <c r="P40" s="318"/>
      <c r="Q40" s="318"/>
      <c r="R40" s="318"/>
      <c r="S40" s="318"/>
      <c r="T40" s="318"/>
      <c r="U40" s="318"/>
      <c r="V40" s="318"/>
      <c r="W40" s="318"/>
      <c r="X40" s="318"/>
    </row>
    <row r="41" ht="15.75" customHeight="1">
      <c r="A41" s="318"/>
      <c r="B41" s="318"/>
      <c r="C41" s="318"/>
      <c r="D41" s="318"/>
      <c r="E41" s="318"/>
      <c r="F41" s="318"/>
      <c r="G41" s="318"/>
      <c r="H41" s="318"/>
      <c r="I41" s="318"/>
      <c r="J41" s="318"/>
      <c r="K41" s="318"/>
      <c r="L41" s="318"/>
      <c r="M41" s="318"/>
      <c r="N41" s="318"/>
      <c r="O41" s="318"/>
      <c r="P41" s="318"/>
      <c r="Q41" s="318"/>
      <c r="R41" s="318"/>
      <c r="S41" s="318"/>
      <c r="T41" s="318"/>
      <c r="U41" s="318"/>
      <c r="V41" s="318"/>
      <c r="W41" s="318"/>
      <c r="X41" s="318"/>
    </row>
    <row r="42" ht="15.75" customHeight="1">
      <c r="A42" s="318"/>
      <c r="B42" s="318" t="s">
        <v>376</v>
      </c>
      <c r="C42" s="318"/>
      <c r="D42" s="318"/>
      <c r="E42" s="318"/>
      <c r="F42" s="318"/>
      <c r="G42" s="318"/>
      <c r="H42" s="318"/>
      <c r="I42" s="318"/>
      <c r="J42" s="318"/>
      <c r="K42" s="318"/>
      <c r="L42" s="318"/>
      <c r="M42" s="318"/>
      <c r="N42" s="318"/>
      <c r="O42" s="318"/>
      <c r="P42" s="318"/>
      <c r="Q42" s="318"/>
      <c r="R42" s="318"/>
      <c r="S42" s="318"/>
      <c r="T42" s="318"/>
      <c r="U42" s="318"/>
      <c r="V42" s="318"/>
      <c r="W42" s="318"/>
      <c r="X42" s="318"/>
    </row>
    <row r="43" ht="15.75" customHeight="1">
      <c r="A43" s="318"/>
      <c r="B43" s="318"/>
      <c r="C43" s="318"/>
      <c r="D43" s="318"/>
      <c r="E43" s="318"/>
      <c r="F43" s="318"/>
      <c r="G43" s="318"/>
      <c r="H43" s="318"/>
      <c r="I43" s="318"/>
      <c r="J43" s="318"/>
      <c r="K43" s="318"/>
      <c r="L43" s="318"/>
      <c r="M43" s="318"/>
      <c r="N43" s="318"/>
      <c r="O43" s="318"/>
      <c r="P43" s="318"/>
      <c r="Q43" s="318"/>
      <c r="R43" s="318"/>
      <c r="S43" s="318"/>
      <c r="T43" s="318"/>
      <c r="U43" s="318"/>
      <c r="V43" s="318"/>
      <c r="W43" s="318"/>
      <c r="X43" s="318"/>
    </row>
    <row r="44" ht="15.75" customHeight="1">
      <c r="A44" s="318"/>
      <c r="B44" s="318"/>
      <c r="C44" s="318"/>
      <c r="D44" s="318"/>
      <c r="E44" s="318"/>
      <c r="F44" s="318"/>
      <c r="G44" s="318"/>
      <c r="H44" s="318"/>
      <c r="I44" s="318"/>
      <c r="J44" s="318"/>
      <c r="K44" s="318"/>
      <c r="L44" s="318"/>
      <c r="M44" s="318"/>
      <c r="N44" s="318"/>
      <c r="O44" s="318"/>
      <c r="P44" s="318"/>
      <c r="Q44" s="318"/>
      <c r="R44" s="318"/>
      <c r="S44" s="318"/>
      <c r="T44" s="318"/>
      <c r="U44" s="318"/>
      <c r="V44" s="318"/>
      <c r="W44" s="318"/>
      <c r="X44" s="318"/>
    </row>
    <row r="45" ht="15.75" customHeight="1">
      <c r="A45" s="318"/>
      <c r="B45" s="318"/>
      <c r="C45" s="318"/>
      <c r="D45" s="318"/>
      <c r="E45" s="318"/>
      <c r="F45" s="318"/>
      <c r="G45" s="318"/>
      <c r="H45" s="318"/>
      <c r="I45" s="318"/>
      <c r="J45" s="318"/>
      <c r="K45" s="318"/>
      <c r="L45" s="318"/>
      <c r="M45" s="318"/>
      <c r="N45" s="318"/>
      <c r="O45" s="318"/>
      <c r="P45" s="318"/>
      <c r="Q45" s="318"/>
      <c r="R45" s="318"/>
      <c r="S45" s="318"/>
      <c r="T45" s="318"/>
      <c r="U45" s="318"/>
      <c r="V45" s="318"/>
      <c r="W45" s="318"/>
      <c r="X45" s="318"/>
    </row>
    <row r="46" ht="15.75" customHeight="1">
      <c r="A46" s="318"/>
      <c r="B46" s="318"/>
      <c r="C46" s="318"/>
      <c r="D46" s="318"/>
      <c r="E46" s="318"/>
      <c r="F46" s="318"/>
      <c r="G46" s="318"/>
      <c r="H46" s="318"/>
      <c r="I46" s="318"/>
      <c r="J46" s="318"/>
      <c r="K46" s="318"/>
      <c r="L46" s="318"/>
      <c r="M46" s="318"/>
      <c r="N46" s="318"/>
      <c r="O46" s="318"/>
      <c r="P46" s="318"/>
      <c r="Q46" s="318"/>
      <c r="R46" s="318"/>
      <c r="S46" s="318"/>
      <c r="T46" s="318"/>
      <c r="U46" s="318"/>
      <c r="V46" s="318"/>
      <c r="W46" s="318"/>
      <c r="X46" s="318"/>
    </row>
    <row r="47" ht="15.75" customHeight="1">
      <c r="A47" s="318"/>
      <c r="B47" s="318"/>
      <c r="C47" s="318"/>
      <c r="D47" s="318"/>
      <c r="E47" s="318"/>
      <c r="F47" s="318"/>
      <c r="G47" s="318"/>
      <c r="H47" s="318"/>
      <c r="I47" s="318"/>
      <c r="J47" s="318"/>
      <c r="K47" s="318"/>
      <c r="L47" s="318"/>
      <c r="M47" s="318"/>
      <c r="N47" s="318"/>
      <c r="O47" s="318"/>
      <c r="P47" s="318"/>
      <c r="Q47" s="318"/>
      <c r="R47" s="318"/>
      <c r="S47" s="318"/>
      <c r="T47" s="318"/>
      <c r="U47" s="318"/>
      <c r="V47" s="318"/>
      <c r="W47" s="318"/>
      <c r="X47" s="318"/>
    </row>
    <row r="48" ht="15.75" customHeight="1">
      <c r="A48" s="318"/>
      <c r="B48" s="318"/>
      <c r="C48" s="318"/>
      <c r="D48" s="318"/>
      <c r="E48" s="318"/>
      <c r="F48" s="318"/>
      <c r="G48" s="318"/>
      <c r="H48" s="318"/>
      <c r="I48" s="318"/>
      <c r="J48" s="318"/>
      <c r="K48" s="318"/>
      <c r="L48" s="318"/>
      <c r="M48" s="318"/>
      <c r="N48" s="318"/>
      <c r="O48" s="318"/>
      <c r="P48" s="318"/>
      <c r="Q48" s="318"/>
      <c r="R48" s="318"/>
      <c r="S48" s="318"/>
      <c r="T48" s="318"/>
      <c r="U48" s="318"/>
      <c r="V48" s="318"/>
      <c r="W48" s="318"/>
      <c r="X48" s="318"/>
    </row>
    <row r="49" ht="15.75" customHeight="1">
      <c r="A49" s="318"/>
      <c r="B49" s="318"/>
      <c r="C49" s="318"/>
      <c r="D49" s="318"/>
      <c r="E49" s="318"/>
      <c r="F49" s="318"/>
      <c r="G49" s="318"/>
      <c r="H49" s="318"/>
      <c r="I49" s="318"/>
      <c r="J49" s="318"/>
      <c r="K49" s="318"/>
      <c r="L49" s="318"/>
      <c r="M49" s="318"/>
      <c r="N49" s="318"/>
      <c r="O49" s="318"/>
      <c r="P49" s="318"/>
      <c r="Q49" s="318"/>
      <c r="R49" s="318"/>
      <c r="S49" s="318"/>
      <c r="T49" s="318"/>
      <c r="U49" s="318"/>
      <c r="V49" s="318"/>
      <c r="W49" s="318"/>
      <c r="X49" s="318"/>
    </row>
    <row r="50" ht="15.75" customHeight="1">
      <c r="A50" s="318"/>
      <c r="B50" s="318"/>
      <c r="C50" s="318"/>
      <c r="D50" s="318"/>
      <c r="E50" s="318"/>
      <c r="F50" s="318"/>
      <c r="G50" s="318"/>
      <c r="H50" s="318"/>
      <c r="I50" s="318"/>
      <c r="J50" s="318"/>
      <c r="K50" s="318"/>
      <c r="L50" s="318"/>
      <c r="M50" s="318"/>
      <c r="N50" s="318"/>
      <c r="O50" s="318"/>
      <c r="P50" s="318"/>
      <c r="Q50" s="318"/>
      <c r="R50" s="318"/>
      <c r="S50" s="318"/>
      <c r="T50" s="318"/>
      <c r="U50" s="318"/>
      <c r="V50" s="318"/>
      <c r="W50" s="318"/>
      <c r="X50" s="318"/>
    </row>
    <row r="51" ht="15.75" customHeight="1">
      <c r="A51" s="318"/>
      <c r="B51" s="318"/>
      <c r="C51" s="318"/>
      <c r="D51" s="318"/>
      <c r="E51" s="318"/>
      <c r="F51" s="318"/>
      <c r="G51" s="318"/>
      <c r="H51" s="318"/>
      <c r="I51" s="318"/>
      <c r="J51" s="318"/>
      <c r="K51" s="318"/>
      <c r="L51" s="318"/>
      <c r="M51" s="318"/>
      <c r="N51" s="318"/>
      <c r="O51" s="318"/>
      <c r="P51" s="318"/>
      <c r="Q51" s="318"/>
      <c r="R51" s="318"/>
      <c r="S51" s="318"/>
      <c r="T51" s="318"/>
      <c r="U51" s="318"/>
      <c r="V51" s="318"/>
      <c r="W51" s="318"/>
      <c r="X51" s="318"/>
    </row>
    <row r="52" ht="15.75" customHeight="1">
      <c r="A52" s="318"/>
      <c r="B52" s="318"/>
      <c r="C52" s="318"/>
      <c r="D52" s="318"/>
      <c r="E52" s="318"/>
      <c r="F52" s="318"/>
      <c r="G52" s="318"/>
      <c r="H52" s="318"/>
      <c r="I52" s="318"/>
      <c r="J52" s="318"/>
      <c r="K52" s="318"/>
      <c r="L52" s="318"/>
      <c r="M52" s="318"/>
      <c r="N52" s="318"/>
      <c r="O52" s="318"/>
      <c r="P52" s="318"/>
      <c r="Q52" s="318"/>
      <c r="R52" s="318"/>
      <c r="S52" s="318"/>
      <c r="T52" s="318"/>
      <c r="U52" s="318"/>
      <c r="V52" s="318"/>
      <c r="W52" s="318"/>
      <c r="X52" s="318"/>
    </row>
    <row r="53" ht="15.75" customHeight="1">
      <c r="A53" s="318"/>
      <c r="B53" s="318"/>
      <c r="C53" s="318"/>
      <c r="D53" s="318"/>
      <c r="E53" s="318"/>
      <c r="F53" s="318"/>
      <c r="G53" s="318"/>
      <c r="H53" s="318"/>
      <c r="I53" s="318"/>
      <c r="J53" s="318"/>
      <c r="K53" s="318"/>
      <c r="L53" s="318"/>
      <c r="M53" s="318"/>
      <c r="N53" s="318"/>
      <c r="O53" s="318"/>
      <c r="P53" s="318"/>
      <c r="Q53" s="318"/>
      <c r="R53" s="318"/>
      <c r="S53" s="318"/>
      <c r="T53" s="318"/>
      <c r="U53" s="318"/>
      <c r="V53" s="318"/>
      <c r="W53" s="318"/>
      <c r="X53" s="318"/>
    </row>
    <row r="54" ht="15.75" customHeight="1">
      <c r="A54" s="318"/>
      <c r="B54" s="318"/>
      <c r="C54" s="318"/>
      <c r="D54" s="318"/>
      <c r="E54" s="318"/>
      <c r="F54" s="318"/>
      <c r="G54" s="318"/>
      <c r="H54" s="318"/>
      <c r="I54" s="318"/>
      <c r="J54" s="318"/>
      <c r="K54" s="318"/>
      <c r="L54" s="318"/>
      <c r="M54" s="318"/>
      <c r="N54" s="318"/>
      <c r="O54" s="318"/>
      <c r="P54" s="318"/>
      <c r="Q54" s="318"/>
      <c r="R54" s="318"/>
      <c r="S54" s="318"/>
      <c r="T54" s="318"/>
      <c r="U54" s="318"/>
      <c r="V54" s="318"/>
      <c r="W54" s="318"/>
      <c r="X54" s="318"/>
    </row>
    <row r="55" ht="15.75" customHeight="1">
      <c r="A55" s="318"/>
      <c r="B55" s="318"/>
      <c r="C55" s="318"/>
      <c r="D55" s="318"/>
      <c r="E55" s="318"/>
      <c r="F55" s="318"/>
      <c r="G55" s="318"/>
      <c r="H55" s="318"/>
      <c r="I55" s="318"/>
      <c r="J55" s="318"/>
      <c r="K55" s="318"/>
      <c r="L55" s="318"/>
      <c r="M55" s="318"/>
      <c r="N55" s="318"/>
      <c r="O55" s="318"/>
      <c r="P55" s="318"/>
      <c r="Q55" s="318"/>
      <c r="R55" s="318"/>
      <c r="S55" s="318"/>
      <c r="T55" s="318"/>
      <c r="U55" s="318"/>
      <c r="V55" s="318"/>
      <c r="W55" s="318"/>
      <c r="X55" s="318"/>
    </row>
    <row r="56" ht="15.75" customHeight="1">
      <c r="A56" s="318"/>
      <c r="B56" s="318"/>
      <c r="C56" s="318"/>
      <c r="D56" s="318"/>
      <c r="E56" s="318"/>
      <c r="F56" s="318"/>
      <c r="G56" s="318"/>
      <c r="H56" s="318"/>
      <c r="I56" s="318"/>
      <c r="J56" s="318"/>
      <c r="K56" s="318"/>
      <c r="L56" s="318"/>
      <c r="M56" s="318"/>
      <c r="N56" s="318"/>
      <c r="O56" s="318"/>
      <c r="P56" s="318"/>
      <c r="Q56" s="318"/>
      <c r="R56" s="318"/>
      <c r="S56" s="318"/>
      <c r="T56" s="318"/>
      <c r="U56" s="318"/>
      <c r="V56" s="318"/>
      <c r="W56" s="318"/>
      <c r="X56" s="318"/>
    </row>
    <row r="57" ht="15.75" customHeight="1">
      <c r="A57" s="318"/>
      <c r="B57" s="318"/>
      <c r="C57" s="318"/>
      <c r="D57" s="318"/>
      <c r="E57" s="318"/>
      <c r="F57" s="318"/>
      <c r="G57" s="318"/>
      <c r="H57" s="318"/>
      <c r="I57" s="318"/>
      <c r="J57" s="318"/>
      <c r="K57" s="318"/>
      <c r="L57" s="318"/>
      <c r="M57" s="318"/>
      <c r="N57" s="318"/>
      <c r="O57" s="318"/>
      <c r="P57" s="318"/>
      <c r="Q57" s="318"/>
      <c r="R57" s="318"/>
      <c r="S57" s="318"/>
      <c r="T57" s="318"/>
      <c r="U57" s="318"/>
      <c r="V57" s="318"/>
      <c r="W57" s="318"/>
      <c r="X57" s="318"/>
    </row>
    <row r="58" ht="15.75" customHeight="1">
      <c r="A58" s="318"/>
      <c r="B58" s="318"/>
      <c r="C58" s="318"/>
      <c r="D58" s="318"/>
      <c r="E58" s="318"/>
      <c r="F58" s="318"/>
      <c r="G58" s="318"/>
      <c r="H58" s="318"/>
      <c r="I58" s="318"/>
      <c r="J58" s="318"/>
      <c r="K58" s="318"/>
      <c r="L58" s="318"/>
      <c r="M58" s="318"/>
      <c r="N58" s="318"/>
      <c r="O58" s="318"/>
      <c r="P58" s="318"/>
      <c r="Q58" s="318"/>
      <c r="R58" s="318"/>
      <c r="S58" s="318"/>
      <c r="T58" s="318"/>
      <c r="U58" s="318"/>
      <c r="V58" s="318"/>
      <c r="W58" s="318"/>
      <c r="X58" s="318"/>
    </row>
    <row r="59" ht="15.75" customHeight="1">
      <c r="A59" s="318"/>
      <c r="B59" s="318"/>
      <c r="C59" s="318"/>
      <c r="D59" s="318"/>
      <c r="E59" s="318"/>
      <c r="F59" s="318"/>
      <c r="G59" s="318"/>
      <c r="H59" s="318"/>
      <c r="I59" s="318"/>
      <c r="J59" s="318"/>
      <c r="K59" s="318"/>
      <c r="L59" s="318"/>
      <c r="M59" s="318"/>
      <c r="N59" s="318"/>
      <c r="O59" s="318"/>
      <c r="P59" s="318"/>
      <c r="Q59" s="318"/>
      <c r="R59" s="318"/>
      <c r="S59" s="318"/>
      <c r="T59" s="318"/>
      <c r="U59" s="318"/>
      <c r="V59" s="318"/>
      <c r="W59" s="318"/>
      <c r="X59" s="318"/>
    </row>
    <row r="60" ht="15.75" customHeight="1">
      <c r="A60" s="318"/>
      <c r="B60" s="318"/>
      <c r="C60" s="318"/>
      <c r="D60" s="318"/>
      <c r="E60" s="318"/>
      <c r="F60" s="318"/>
      <c r="G60" s="318"/>
      <c r="H60" s="318"/>
      <c r="I60" s="318"/>
      <c r="J60" s="318"/>
      <c r="K60" s="318"/>
      <c r="L60" s="318"/>
      <c r="M60" s="318"/>
      <c r="N60" s="318"/>
      <c r="O60" s="318"/>
      <c r="P60" s="318"/>
      <c r="Q60" s="318"/>
      <c r="R60" s="318"/>
      <c r="S60" s="318"/>
      <c r="T60" s="318"/>
      <c r="U60" s="318"/>
      <c r="V60" s="318"/>
      <c r="W60" s="318"/>
      <c r="X60" s="318"/>
    </row>
    <row r="61" ht="15.75" customHeight="1">
      <c r="A61" s="318"/>
      <c r="B61" s="318"/>
      <c r="C61" s="318"/>
      <c r="D61" s="318"/>
      <c r="E61" s="318"/>
      <c r="F61" s="318"/>
      <c r="G61" s="318"/>
      <c r="H61" s="318"/>
      <c r="I61" s="318"/>
      <c r="J61" s="318"/>
      <c r="K61" s="318"/>
      <c r="L61" s="318"/>
      <c r="M61" s="318"/>
      <c r="N61" s="318"/>
      <c r="O61" s="318"/>
      <c r="P61" s="318"/>
      <c r="Q61" s="318"/>
      <c r="R61" s="318"/>
      <c r="S61" s="318"/>
      <c r="T61" s="318"/>
      <c r="U61" s="318"/>
      <c r="V61" s="318"/>
      <c r="W61" s="318"/>
      <c r="X61" s="318"/>
    </row>
    <row r="62" ht="15.75" customHeight="1">
      <c r="A62" s="318"/>
      <c r="B62" s="318"/>
      <c r="C62" s="318"/>
      <c r="D62" s="318"/>
      <c r="E62" s="318"/>
      <c r="F62" s="318"/>
      <c r="G62" s="318"/>
      <c r="H62" s="318"/>
      <c r="I62" s="318"/>
      <c r="J62" s="318"/>
      <c r="K62" s="318"/>
      <c r="L62" s="318"/>
      <c r="M62" s="318"/>
      <c r="N62" s="318"/>
      <c r="O62" s="318"/>
      <c r="P62" s="318"/>
      <c r="Q62" s="318"/>
      <c r="R62" s="318"/>
      <c r="S62" s="318"/>
      <c r="T62" s="318"/>
      <c r="U62" s="318"/>
      <c r="V62" s="318"/>
      <c r="W62" s="318"/>
      <c r="X62" s="318"/>
    </row>
    <row r="63" ht="15.75" customHeight="1">
      <c r="A63" s="318"/>
      <c r="B63" s="318"/>
      <c r="C63" s="318"/>
      <c r="D63" s="318"/>
      <c r="E63" s="318"/>
      <c r="F63" s="318"/>
      <c r="G63" s="318"/>
      <c r="H63" s="318"/>
      <c r="I63" s="318"/>
      <c r="J63" s="318"/>
      <c r="K63" s="318"/>
      <c r="L63" s="318"/>
      <c r="M63" s="318"/>
      <c r="N63" s="318"/>
      <c r="O63" s="318"/>
      <c r="P63" s="318"/>
      <c r="Q63" s="318"/>
      <c r="R63" s="318"/>
      <c r="S63" s="318"/>
      <c r="T63" s="318"/>
      <c r="U63" s="318"/>
      <c r="V63" s="318"/>
      <c r="W63" s="318"/>
      <c r="X63" s="318"/>
    </row>
    <row r="64" ht="15.75" customHeight="1">
      <c r="A64" s="318"/>
      <c r="B64" s="318"/>
      <c r="C64" s="318"/>
      <c r="D64" s="318"/>
      <c r="E64" s="318"/>
      <c r="F64" s="318"/>
      <c r="G64" s="318"/>
      <c r="H64" s="318"/>
      <c r="I64" s="318"/>
      <c r="J64" s="318"/>
      <c r="K64" s="318"/>
      <c r="L64" s="318"/>
      <c r="M64" s="318"/>
      <c r="N64" s="318"/>
      <c r="O64" s="318"/>
      <c r="P64" s="318"/>
      <c r="Q64" s="318"/>
      <c r="R64" s="318"/>
      <c r="S64" s="318"/>
      <c r="T64" s="318"/>
      <c r="U64" s="318"/>
      <c r="V64" s="318"/>
      <c r="W64" s="318"/>
      <c r="X64" s="318"/>
    </row>
    <row r="65" ht="15.75" customHeight="1">
      <c r="A65" s="318"/>
      <c r="B65" s="318"/>
      <c r="C65" s="318"/>
      <c r="D65" s="318"/>
      <c r="E65" s="318"/>
      <c r="F65" s="318"/>
      <c r="G65" s="318"/>
      <c r="H65" s="318"/>
      <c r="I65" s="318"/>
      <c r="J65" s="318"/>
      <c r="K65" s="318"/>
      <c r="L65" s="318"/>
      <c r="M65" s="318"/>
      <c r="N65" s="318"/>
      <c r="O65" s="318"/>
      <c r="P65" s="318"/>
      <c r="Q65" s="318"/>
      <c r="R65" s="318"/>
      <c r="S65" s="318"/>
      <c r="T65" s="318"/>
      <c r="U65" s="318"/>
      <c r="V65" s="318"/>
      <c r="W65" s="318"/>
      <c r="X65" s="318"/>
    </row>
    <row r="66" ht="15.75" customHeight="1">
      <c r="A66" s="318"/>
      <c r="B66" s="318"/>
      <c r="C66" s="318"/>
      <c r="D66" s="318"/>
      <c r="E66" s="318"/>
      <c r="F66" s="318"/>
      <c r="G66" s="318"/>
      <c r="H66" s="318"/>
      <c r="I66" s="318"/>
      <c r="J66" s="318"/>
      <c r="K66" s="318"/>
      <c r="L66" s="318"/>
      <c r="M66" s="318"/>
      <c r="N66" s="318"/>
      <c r="O66" s="318"/>
      <c r="P66" s="318"/>
      <c r="Q66" s="318"/>
      <c r="R66" s="318"/>
      <c r="S66" s="318"/>
      <c r="T66" s="318"/>
      <c r="U66" s="318"/>
      <c r="V66" s="318"/>
      <c r="W66" s="318"/>
      <c r="X66" s="318"/>
    </row>
    <row r="67" ht="15.75" customHeight="1">
      <c r="A67" s="318"/>
      <c r="B67" s="318"/>
      <c r="C67" s="318"/>
      <c r="D67" s="318"/>
      <c r="E67" s="318"/>
      <c r="F67" s="318"/>
      <c r="G67" s="318"/>
      <c r="H67" s="318"/>
      <c r="I67" s="318"/>
      <c r="J67" s="318"/>
      <c r="K67" s="318"/>
      <c r="L67" s="318"/>
      <c r="M67" s="318"/>
      <c r="N67" s="318"/>
      <c r="O67" s="318"/>
      <c r="P67" s="318"/>
      <c r="Q67" s="318"/>
      <c r="R67" s="318"/>
      <c r="S67" s="318"/>
      <c r="T67" s="318"/>
      <c r="U67" s="318"/>
      <c r="V67" s="318"/>
      <c r="W67" s="318"/>
      <c r="X67" s="318"/>
    </row>
    <row r="68" ht="15.75" customHeight="1">
      <c r="A68" s="318"/>
      <c r="B68" s="318"/>
      <c r="C68" s="318"/>
      <c r="D68" s="318"/>
      <c r="E68" s="318"/>
      <c r="F68" s="318"/>
      <c r="G68" s="318"/>
      <c r="H68" s="318"/>
      <c r="I68" s="318"/>
      <c r="J68" s="318"/>
      <c r="K68" s="318"/>
      <c r="L68" s="318"/>
      <c r="M68" s="318"/>
      <c r="N68" s="318"/>
      <c r="O68" s="318"/>
      <c r="P68" s="318"/>
      <c r="Q68" s="318"/>
      <c r="R68" s="318"/>
      <c r="S68" s="318"/>
      <c r="T68" s="318"/>
      <c r="U68" s="318"/>
      <c r="V68" s="318"/>
      <c r="W68" s="318"/>
      <c r="X68" s="318"/>
    </row>
    <row r="69" ht="15.75" customHeight="1">
      <c r="A69" s="318"/>
      <c r="B69" s="318"/>
      <c r="C69" s="318"/>
      <c r="D69" s="318"/>
      <c r="E69" s="318"/>
      <c r="F69" s="318"/>
      <c r="G69" s="318"/>
      <c r="H69" s="318"/>
      <c r="I69" s="318"/>
      <c r="J69" s="318"/>
      <c r="K69" s="318"/>
      <c r="L69" s="318"/>
      <c r="M69" s="318"/>
      <c r="N69" s="318"/>
      <c r="O69" s="318"/>
      <c r="P69" s="318"/>
      <c r="Q69" s="318"/>
      <c r="R69" s="318"/>
      <c r="S69" s="318"/>
      <c r="T69" s="318"/>
      <c r="U69" s="318"/>
      <c r="V69" s="318"/>
      <c r="W69" s="318"/>
      <c r="X69" s="318"/>
    </row>
    <row r="70" ht="15.75" customHeight="1">
      <c r="A70" s="318"/>
      <c r="B70" s="318"/>
      <c r="C70" s="318"/>
      <c r="D70" s="318"/>
      <c r="E70" s="318"/>
      <c r="F70" s="318"/>
      <c r="G70" s="318"/>
      <c r="H70" s="318"/>
      <c r="I70" s="318"/>
      <c r="J70" s="318"/>
      <c r="K70" s="318"/>
      <c r="L70" s="318"/>
      <c r="M70" s="318"/>
      <c r="N70" s="318"/>
      <c r="O70" s="318"/>
      <c r="P70" s="318"/>
      <c r="Q70" s="318"/>
      <c r="R70" s="318"/>
      <c r="S70" s="318"/>
      <c r="T70" s="318"/>
      <c r="U70" s="318"/>
      <c r="V70" s="318"/>
      <c r="W70" s="318"/>
      <c r="X70" s="318"/>
    </row>
    <row r="71" ht="15.75" customHeight="1">
      <c r="A71" s="318"/>
      <c r="B71" s="318"/>
      <c r="C71" s="318"/>
      <c r="D71" s="318"/>
      <c r="E71" s="318"/>
      <c r="F71" s="318"/>
      <c r="G71" s="318"/>
      <c r="H71" s="318"/>
      <c r="I71" s="318"/>
      <c r="J71" s="318"/>
      <c r="K71" s="318"/>
      <c r="L71" s="318"/>
      <c r="M71" s="318"/>
      <c r="N71" s="318"/>
      <c r="O71" s="318"/>
      <c r="P71" s="318"/>
      <c r="Q71" s="318"/>
      <c r="R71" s="318"/>
      <c r="S71" s="318"/>
      <c r="T71" s="318"/>
      <c r="U71" s="318"/>
      <c r="V71" s="318"/>
      <c r="W71" s="318"/>
      <c r="X71" s="318"/>
    </row>
    <row r="72" ht="15.75" customHeight="1">
      <c r="A72" s="318"/>
      <c r="B72" s="318"/>
      <c r="C72" s="318"/>
      <c r="D72" s="318"/>
      <c r="E72" s="318"/>
      <c r="F72" s="318"/>
      <c r="G72" s="318"/>
      <c r="H72" s="318"/>
      <c r="I72" s="318"/>
      <c r="J72" s="318"/>
      <c r="K72" s="318"/>
      <c r="L72" s="318"/>
      <c r="M72" s="318"/>
      <c r="N72" s="318"/>
      <c r="O72" s="318"/>
      <c r="P72" s="318"/>
      <c r="Q72" s="318"/>
      <c r="R72" s="318"/>
      <c r="S72" s="318"/>
      <c r="T72" s="318"/>
      <c r="U72" s="318"/>
      <c r="V72" s="318"/>
      <c r="W72" s="318"/>
      <c r="X72" s="318"/>
    </row>
    <row r="73" ht="15.75" customHeight="1">
      <c r="A73" s="318"/>
      <c r="B73" s="318"/>
      <c r="C73" s="318"/>
      <c r="D73" s="318"/>
      <c r="E73" s="318"/>
      <c r="F73" s="318"/>
      <c r="G73" s="318"/>
      <c r="H73" s="318"/>
      <c r="I73" s="318"/>
      <c r="J73" s="318"/>
      <c r="K73" s="318"/>
      <c r="L73" s="318"/>
      <c r="M73" s="318"/>
      <c r="N73" s="318"/>
      <c r="O73" s="318"/>
      <c r="P73" s="318"/>
      <c r="Q73" s="318"/>
      <c r="R73" s="318"/>
      <c r="S73" s="318"/>
      <c r="T73" s="318"/>
      <c r="U73" s="318"/>
      <c r="V73" s="318"/>
      <c r="W73" s="318"/>
      <c r="X73" s="318"/>
    </row>
    <row r="74" ht="15.75" customHeight="1">
      <c r="A74" s="318"/>
      <c r="B74" s="318"/>
      <c r="C74" s="318"/>
      <c r="D74" s="318"/>
      <c r="E74" s="318"/>
      <c r="F74" s="318"/>
      <c r="G74" s="318"/>
      <c r="H74" s="318"/>
      <c r="I74" s="318"/>
      <c r="J74" s="318"/>
      <c r="K74" s="318"/>
      <c r="L74" s="318"/>
      <c r="M74" s="318"/>
      <c r="N74" s="318"/>
      <c r="O74" s="318"/>
      <c r="P74" s="318"/>
      <c r="Q74" s="318"/>
      <c r="R74" s="318"/>
      <c r="S74" s="318"/>
      <c r="T74" s="318"/>
      <c r="U74" s="318"/>
      <c r="V74" s="318"/>
      <c r="W74" s="318"/>
      <c r="X74" s="318"/>
    </row>
    <row r="75" ht="15.75" customHeight="1">
      <c r="A75" s="318"/>
      <c r="B75" s="318"/>
      <c r="C75" s="318"/>
      <c r="D75" s="318"/>
      <c r="E75" s="318"/>
      <c r="F75" s="318"/>
      <c r="G75" s="318"/>
      <c r="H75" s="318"/>
      <c r="I75" s="318"/>
      <c r="J75" s="318"/>
      <c r="K75" s="318"/>
      <c r="L75" s="318"/>
      <c r="M75" s="318"/>
      <c r="N75" s="318"/>
      <c r="O75" s="318"/>
      <c r="P75" s="318"/>
      <c r="Q75" s="318"/>
      <c r="R75" s="318"/>
      <c r="S75" s="318"/>
      <c r="T75" s="318"/>
      <c r="U75" s="318"/>
      <c r="V75" s="318"/>
      <c r="W75" s="318"/>
      <c r="X75" s="318"/>
    </row>
    <row r="76" ht="15.75" customHeight="1">
      <c r="A76" s="318"/>
      <c r="B76" s="318"/>
      <c r="C76" s="318"/>
      <c r="D76" s="318"/>
      <c r="E76" s="318"/>
      <c r="F76" s="318"/>
      <c r="G76" s="318"/>
      <c r="H76" s="318"/>
      <c r="I76" s="318"/>
      <c r="J76" s="318"/>
      <c r="K76" s="318"/>
      <c r="L76" s="318"/>
      <c r="M76" s="318"/>
      <c r="N76" s="318"/>
      <c r="O76" s="318"/>
      <c r="P76" s="318"/>
      <c r="Q76" s="318"/>
      <c r="R76" s="318"/>
      <c r="S76" s="318"/>
      <c r="T76" s="318"/>
      <c r="U76" s="318"/>
      <c r="V76" s="318"/>
      <c r="W76" s="318"/>
      <c r="X76" s="318"/>
    </row>
    <row r="77" ht="15.75" customHeight="1">
      <c r="A77" s="318"/>
      <c r="B77" s="318"/>
      <c r="C77" s="318"/>
      <c r="D77" s="318"/>
      <c r="E77" s="318"/>
      <c r="F77" s="318"/>
      <c r="G77" s="318"/>
      <c r="H77" s="318"/>
      <c r="I77" s="318"/>
      <c r="J77" s="318"/>
      <c r="K77" s="318"/>
      <c r="L77" s="318"/>
      <c r="M77" s="318"/>
      <c r="N77" s="318"/>
      <c r="O77" s="318"/>
      <c r="P77" s="318"/>
      <c r="Q77" s="318"/>
      <c r="R77" s="318"/>
      <c r="S77" s="318"/>
      <c r="T77" s="318"/>
      <c r="U77" s="318"/>
      <c r="V77" s="318"/>
      <c r="W77" s="318"/>
      <c r="X77" s="318"/>
    </row>
    <row r="78" ht="15.75" customHeight="1">
      <c r="A78" s="318"/>
      <c r="B78" s="318"/>
      <c r="C78" s="318"/>
      <c r="D78" s="318"/>
      <c r="E78" s="318"/>
      <c r="F78" s="318"/>
      <c r="G78" s="318"/>
      <c r="H78" s="318"/>
      <c r="I78" s="318"/>
      <c r="J78" s="318"/>
      <c r="K78" s="318"/>
      <c r="L78" s="318"/>
      <c r="M78" s="318"/>
      <c r="N78" s="318"/>
      <c r="O78" s="318"/>
      <c r="P78" s="318"/>
      <c r="Q78" s="318"/>
      <c r="R78" s="318"/>
      <c r="S78" s="318"/>
      <c r="T78" s="318"/>
      <c r="U78" s="318"/>
      <c r="V78" s="318"/>
      <c r="W78" s="318"/>
      <c r="X78" s="318"/>
    </row>
    <row r="79" ht="15.75" customHeight="1">
      <c r="A79" s="318"/>
      <c r="B79" s="318"/>
      <c r="C79" s="318"/>
      <c r="D79" s="318"/>
      <c r="E79" s="318"/>
      <c r="F79" s="318"/>
      <c r="G79" s="318"/>
      <c r="H79" s="318"/>
      <c r="I79" s="318"/>
      <c r="J79" s="318"/>
      <c r="K79" s="318"/>
      <c r="L79" s="318"/>
      <c r="M79" s="318"/>
      <c r="N79" s="318"/>
      <c r="O79" s="318"/>
      <c r="P79" s="318"/>
      <c r="Q79" s="318"/>
      <c r="R79" s="318"/>
      <c r="S79" s="318"/>
      <c r="T79" s="318"/>
      <c r="U79" s="318"/>
      <c r="V79" s="318"/>
      <c r="W79" s="318"/>
      <c r="X79" s="318"/>
    </row>
    <row r="80" ht="15.75" customHeight="1">
      <c r="A80" s="318"/>
      <c r="B80" s="318"/>
      <c r="C80" s="318"/>
      <c r="D80" s="318"/>
      <c r="E80" s="318"/>
      <c r="F80" s="318"/>
      <c r="G80" s="318"/>
      <c r="H80" s="318"/>
      <c r="I80" s="318"/>
      <c r="J80" s="318"/>
      <c r="K80" s="318"/>
      <c r="L80" s="318"/>
      <c r="M80" s="318"/>
      <c r="N80" s="318"/>
      <c r="O80" s="318"/>
      <c r="P80" s="318"/>
      <c r="Q80" s="318"/>
      <c r="R80" s="318"/>
      <c r="S80" s="318"/>
      <c r="T80" s="318"/>
      <c r="U80" s="318"/>
      <c r="V80" s="318"/>
      <c r="W80" s="318"/>
      <c r="X80" s="318"/>
    </row>
    <row r="81" ht="15.75" customHeight="1">
      <c r="A81" s="318"/>
      <c r="B81" s="318"/>
      <c r="C81" s="318"/>
      <c r="D81" s="318"/>
      <c r="E81" s="318"/>
      <c r="F81" s="318"/>
      <c r="G81" s="318"/>
      <c r="H81" s="318"/>
      <c r="I81" s="318"/>
      <c r="J81" s="318"/>
      <c r="K81" s="318"/>
      <c r="L81" s="318"/>
      <c r="M81" s="318"/>
      <c r="N81" s="318"/>
      <c r="O81" s="318"/>
      <c r="P81" s="318"/>
      <c r="Q81" s="318"/>
      <c r="R81" s="318"/>
      <c r="S81" s="318"/>
      <c r="T81" s="318"/>
      <c r="U81" s="318"/>
      <c r="V81" s="318"/>
      <c r="W81" s="318"/>
      <c r="X81" s="318"/>
    </row>
    <row r="82" ht="15.75" customHeight="1">
      <c r="A82" s="318"/>
      <c r="B82" s="318"/>
      <c r="C82" s="318"/>
      <c r="D82" s="318"/>
      <c r="E82" s="318"/>
      <c r="F82" s="318"/>
      <c r="G82" s="318"/>
      <c r="H82" s="318"/>
      <c r="I82" s="318"/>
      <c r="J82" s="318"/>
      <c r="K82" s="318"/>
      <c r="L82" s="318"/>
      <c r="M82" s="318"/>
      <c r="N82" s="318"/>
      <c r="O82" s="318"/>
      <c r="P82" s="318"/>
      <c r="Q82" s="318"/>
      <c r="R82" s="318"/>
      <c r="S82" s="318"/>
      <c r="T82" s="318"/>
      <c r="U82" s="318"/>
      <c r="V82" s="318"/>
      <c r="W82" s="318"/>
      <c r="X82" s="318"/>
    </row>
    <row r="83" ht="15.75" customHeight="1">
      <c r="A83" s="318"/>
      <c r="B83" s="318"/>
      <c r="C83" s="318"/>
      <c r="D83" s="318"/>
      <c r="E83" s="318"/>
      <c r="F83" s="318"/>
      <c r="G83" s="318"/>
      <c r="H83" s="318"/>
      <c r="I83" s="318"/>
      <c r="J83" s="318"/>
      <c r="K83" s="318"/>
      <c r="L83" s="318"/>
      <c r="M83" s="318"/>
      <c r="N83" s="318"/>
      <c r="O83" s="318"/>
      <c r="P83" s="318"/>
      <c r="Q83" s="318"/>
      <c r="R83" s="318"/>
      <c r="S83" s="318"/>
      <c r="T83" s="318"/>
      <c r="U83" s="318"/>
      <c r="V83" s="318"/>
      <c r="W83" s="318"/>
      <c r="X83" s="318"/>
    </row>
    <row r="84" ht="15.75" customHeight="1">
      <c r="A84" s="318"/>
      <c r="B84" s="318"/>
      <c r="C84" s="318"/>
      <c r="D84" s="318"/>
      <c r="E84" s="318"/>
      <c r="F84" s="318"/>
      <c r="G84" s="318"/>
      <c r="H84" s="318"/>
      <c r="I84" s="318"/>
      <c r="J84" s="318"/>
      <c r="K84" s="318"/>
      <c r="L84" s="318"/>
      <c r="M84" s="318"/>
      <c r="N84" s="318"/>
      <c r="O84" s="318"/>
      <c r="P84" s="318"/>
      <c r="Q84" s="318"/>
      <c r="R84" s="318"/>
      <c r="S84" s="318"/>
      <c r="T84" s="318"/>
      <c r="U84" s="318"/>
      <c r="V84" s="318"/>
      <c r="W84" s="318"/>
      <c r="X84" s="318"/>
    </row>
    <row r="85" ht="15.75" customHeight="1">
      <c r="A85" s="318"/>
      <c r="B85" s="318"/>
      <c r="C85" s="318"/>
      <c r="D85" s="318"/>
      <c r="E85" s="318"/>
      <c r="F85" s="318"/>
      <c r="G85" s="318"/>
      <c r="H85" s="318"/>
      <c r="I85" s="318"/>
      <c r="J85" s="318"/>
      <c r="K85" s="318"/>
      <c r="L85" s="318"/>
      <c r="M85" s="318"/>
      <c r="N85" s="318"/>
      <c r="O85" s="318"/>
      <c r="P85" s="318"/>
      <c r="Q85" s="318"/>
      <c r="R85" s="318"/>
      <c r="S85" s="318"/>
      <c r="T85" s="318"/>
      <c r="U85" s="318"/>
      <c r="V85" s="318"/>
      <c r="W85" s="318"/>
      <c r="X85" s="318"/>
    </row>
    <row r="86" ht="15.75" customHeight="1">
      <c r="A86" s="318"/>
      <c r="B86" s="318"/>
      <c r="C86" s="318"/>
      <c r="D86" s="318"/>
      <c r="E86" s="318"/>
      <c r="F86" s="318"/>
      <c r="G86" s="318"/>
      <c r="H86" s="318"/>
      <c r="I86" s="318"/>
      <c r="J86" s="318"/>
      <c r="K86" s="318"/>
      <c r="L86" s="318"/>
      <c r="M86" s="318"/>
      <c r="N86" s="318"/>
      <c r="O86" s="318"/>
      <c r="P86" s="318"/>
      <c r="Q86" s="318"/>
      <c r="R86" s="318"/>
      <c r="S86" s="318"/>
      <c r="T86" s="318"/>
      <c r="U86" s="318"/>
      <c r="V86" s="318"/>
      <c r="W86" s="318"/>
      <c r="X86" s="318"/>
    </row>
    <row r="87" ht="15.75" customHeight="1">
      <c r="A87" s="318"/>
      <c r="B87" s="318"/>
      <c r="C87" s="318"/>
      <c r="D87" s="318"/>
      <c r="E87" s="318"/>
      <c r="F87" s="318"/>
      <c r="G87" s="318"/>
      <c r="H87" s="318"/>
      <c r="I87" s="318"/>
      <c r="J87" s="318"/>
      <c r="K87" s="318"/>
      <c r="L87" s="318"/>
      <c r="M87" s="318"/>
      <c r="N87" s="318"/>
      <c r="O87" s="318"/>
      <c r="P87" s="318"/>
      <c r="Q87" s="318"/>
      <c r="R87" s="318"/>
      <c r="S87" s="318"/>
      <c r="T87" s="318"/>
      <c r="U87" s="318"/>
      <c r="V87" s="318"/>
      <c r="W87" s="318"/>
      <c r="X87" s="318"/>
    </row>
    <row r="88" ht="15.75" customHeight="1">
      <c r="A88" s="318"/>
      <c r="B88" s="318"/>
      <c r="C88" s="318"/>
      <c r="D88" s="318"/>
      <c r="E88" s="318"/>
      <c r="F88" s="318"/>
      <c r="G88" s="318"/>
      <c r="H88" s="318"/>
      <c r="I88" s="318"/>
      <c r="J88" s="318"/>
      <c r="K88" s="318"/>
      <c r="L88" s="318"/>
      <c r="M88" s="318"/>
      <c r="N88" s="318"/>
      <c r="O88" s="318"/>
      <c r="P88" s="318"/>
      <c r="Q88" s="318"/>
      <c r="R88" s="318"/>
      <c r="S88" s="318"/>
      <c r="T88" s="318"/>
      <c r="U88" s="318"/>
      <c r="V88" s="318"/>
      <c r="W88" s="318"/>
      <c r="X88" s="318"/>
    </row>
    <row r="89" ht="15.75" customHeight="1">
      <c r="A89" s="318"/>
      <c r="B89" s="318"/>
      <c r="C89" s="318"/>
      <c r="D89" s="318"/>
      <c r="E89" s="318"/>
      <c r="F89" s="318"/>
      <c r="G89" s="318"/>
      <c r="H89" s="318"/>
      <c r="I89" s="318"/>
      <c r="J89" s="318"/>
      <c r="K89" s="318"/>
      <c r="L89" s="318"/>
      <c r="M89" s="318"/>
      <c r="N89" s="318"/>
      <c r="O89" s="318"/>
      <c r="P89" s="318"/>
      <c r="Q89" s="318"/>
      <c r="R89" s="318"/>
      <c r="S89" s="318"/>
      <c r="T89" s="318"/>
      <c r="U89" s="318"/>
      <c r="V89" s="318"/>
      <c r="W89" s="318"/>
      <c r="X89" s="318"/>
    </row>
    <row r="90" ht="15.75" customHeight="1">
      <c r="A90" s="318"/>
      <c r="B90" s="318"/>
      <c r="C90" s="318"/>
      <c r="D90" s="318"/>
      <c r="E90" s="318"/>
      <c r="F90" s="318"/>
      <c r="G90" s="318"/>
      <c r="H90" s="318"/>
      <c r="I90" s="318"/>
      <c r="J90" s="318"/>
      <c r="K90" s="318"/>
      <c r="L90" s="318"/>
      <c r="M90" s="318"/>
      <c r="N90" s="318"/>
      <c r="O90" s="318"/>
      <c r="P90" s="318"/>
      <c r="Q90" s="318"/>
      <c r="R90" s="318"/>
      <c r="S90" s="318"/>
      <c r="T90" s="318"/>
      <c r="U90" s="318"/>
      <c r="V90" s="318"/>
      <c r="W90" s="318"/>
      <c r="X90" s="318"/>
    </row>
    <row r="91" ht="15.75" customHeight="1">
      <c r="A91" s="318"/>
      <c r="B91" s="318"/>
      <c r="C91" s="318"/>
      <c r="D91" s="318"/>
      <c r="E91" s="318"/>
      <c r="F91" s="318"/>
      <c r="G91" s="318"/>
      <c r="H91" s="318"/>
      <c r="I91" s="318"/>
      <c r="J91" s="318"/>
      <c r="K91" s="318"/>
      <c r="L91" s="318"/>
      <c r="M91" s="318"/>
      <c r="N91" s="318"/>
      <c r="O91" s="318"/>
      <c r="P91" s="318"/>
      <c r="Q91" s="318"/>
      <c r="R91" s="318"/>
      <c r="S91" s="318"/>
      <c r="T91" s="318"/>
      <c r="U91" s="318"/>
      <c r="V91" s="318"/>
      <c r="W91" s="318"/>
      <c r="X91" s="318"/>
    </row>
    <row r="92" ht="15.75" customHeight="1">
      <c r="A92" s="318"/>
      <c r="B92" s="318"/>
      <c r="C92" s="318"/>
      <c r="D92" s="318"/>
      <c r="E92" s="318"/>
      <c r="F92" s="318"/>
      <c r="G92" s="318"/>
      <c r="H92" s="318"/>
      <c r="I92" s="318"/>
      <c r="J92" s="318"/>
      <c r="K92" s="318"/>
      <c r="L92" s="318"/>
      <c r="M92" s="318"/>
      <c r="N92" s="318"/>
      <c r="O92" s="318"/>
      <c r="P92" s="318"/>
      <c r="Q92" s="318"/>
      <c r="R92" s="318"/>
      <c r="S92" s="318"/>
      <c r="T92" s="318"/>
      <c r="U92" s="318"/>
      <c r="V92" s="318"/>
      <c r="W92" s="318"/>
      <c r="X92" s="318"/>
    </row>
    <row r="93" ht="15.75" customHeight="1">
      <c r="A93" s="318"/>
      <c r="B93" s="318"/>
      <c r="C93" s="318"/>
      <c r="D93" s="318"/>
      <c r="E93" s="318"/>
      <c r="F93" s="318"/>
      <c r="G93" s="318"/>
      <c r="H93" s="318"/>
      <c r="I93" s="318"/>
      <c r="J93" s="318"/>
      <c r="K93" s="318"/>
      <c r="L93" s="318"/>
      <c r="M93" s="318"/>
      <c r="N93" s="318"/>
      <c r="O93" s="318"/>
      <c r="P93" s="318"/>
      <c r="Q93" s="318"/>
      <c r="R93" s="318"/>
      <c r="S93" s="318"/>
      <c r="T93" s="318"/>
      <c r="U93" s="318"/>
      <c r="V93" s="318"/>
      <c r="W93" s="318"/>
      <c r="X93" s="318"/>
    </row>
    <row r="94" ht="15.75" customHeight="1">
      <c r="A94" s="318"/>
      <c r="B94" s="318"/>
      <c r="C94" s="318"/>
      <c r="D94" s="318"/>
      <c r="E94" s="318"/>
      <c r="F94" s="318"/>
      <c r="G94" s="318"/>
      <c r="H94" s="318"/>
      <c r="I94" s="318"/>
      <c r="J94" s="318"/>
      <c r="K94" s="318"/>
      <c r="L94" s="318"/>
      <c r="M94" s="318"/>
      <c r="N94" s="318"/>
      <c r="O94" s="318"/>
      <c r="P94" s="318"/>
      <c r="Q94" s="318"/>
      <c r="R94" s="318"/>
      <c r="S94" s="318"/>
      <c r="T94" s="318"/>
      <c r="U94" s="318"/>
      <c r="V94" s="318"/>
      <c r="W94" s="318"/>
      <c r="X94" s="318"/>
    </row>
    <row r="95" ht="15.75" customHeight="1">
      <c r="A95" s="318"/>
      <c r="B95" s="318"/>
      <c r="C95" s="318"/>
      <c r="D95" s="318"/>
      <c r="E95" s="318"/>
      <c r="F95" s="318"/>
      <c r="G95" s="318"/>
      <c r="H95" s="318"/>
      <c r="I95" s="318"/>
      <c r="J95" s="318"/>
      <c r="K95" s="318"/>
      <c r="L95" s="318"/>
      <c r="M95" s="318"/>
      <c r="N95" s="318"/>
      <c r="O95" s="318"/>
      <c r="P95" s="318"/>
      <c r="Q95" s="318"/>
      <c r="R95" s="318"/>
      <c r="S95" s="318"/>
      <c r="T95" s="318"/>
      <c r="U95" s="318"/>
      <c r="V95" s="318"/>
      <c r="W95" s="318"/>
      <c r="X95" s="318"/>
    </row>
    <row r="96" ht="15.75" customHeight="1">
      <c r="A96" s="318"/>
      <c r="B96" s="318"/>
      <c r="C96" s="318"/>
      <c r="D96" s="318"/>
      <c r="E96" s="318"/>
      <c r="F96" s="318"/>
      <c r="G96" s="318"/>
      <c r="H96" s="318"/>
      <c r="I96" s="318"/>
      <c r="J96" s="318"/>
      <c r="K96" s="318"/>
      <c r="L96" s="318"/>
      <c r="M96" s="318"/>
      <c r="N96" s="318"/>
      <c r="O96" s="318"/>
      <c r="P96" s="318"/>
      <c r="Q96" s="318"/>
      <c r="R96" s="318"/>
      <c r="S96" s="318"/>
      <c r="T96" s="318"/>
      <c r="U96" s="318"/>
      <c r="V96" s="318"/>
      <c r="W96" s="318"/>
      <c r="X96" s="318"/>
    </row>
    <row r="97" ht="15.75" customHeight="1">
      <c r="A97" s="318"/>
      <c r="B97" s="318"/>
      <c r="C97" s="318"/>
      <c r="D97" s="318"/>
      <c r="E97" s="318"/>
      <c r="F97" s="318"/>
      <c r="G97" s="318"/>
      <c r="H97" s="318"/>
      <c r="I97" s="318"/>
      <c r="J97" s="318"/>
      <c r="K97" s="318"/>
      <c r="L97" s="318"/>
      <c r="M97" s="318"/>
      <c r="N97" s="318"/>
      <c r="O97" s="318"/>
      <c r="P97" s="318"/>
      <c r="Q97" s="318"/>
      <c r="R97" s="318"/>
      <c r="S97" s="318"/>
      <c r="T97" s="318"/>
      <c r="U97" s="318"/>
      <c r="V97" s="318"/>
      <c r="W97" s="318"/>
      <c r="X97" s="318"/>
    </row>
    <row r="98" ht="15.75" customHeight="1">
      <c r="A98" s="318"/>
      <c r="B98" s="318"/>
      <c r="C98" s="318"/>
      <c r="D98" s="318"/>
      <c r="E98" s="318"/>
      <c r="F98" s="318"/>
      <c r="G98" s="318"/>
      <c r="H98" s="318"/>
      <c r="I98" s="318"/>
      <c r="J98" s="318"/>
      <c r="K98" s="318"/>
      <c r="L98" s="318"/>
      <c r="M98" s="318"/>
      <c r="N98" s="318"/>
      <c r="O98" s="318"/>
      <c r="P98" s="318"/>
      <c r="Q98" s="318"/>
      <c r="R98" s="318"/>
      <c r="S98" s="318"/>
      <c r="T98" s="318"/>
      <c r="U98" s="318"/>
      <c r="V98" s="318"/>
      <c r="W98" s="318"/>
      <c r="X98" s="318"/>
    </row>
    <row r="99" ht="15.75" customHeight="1">
      <c r="A99" s="318"/>
      <c r="B99" s="318"/>
      <c r="C99" s="318"/>
      <c r="D99" s="318"/>
      <c r="E99" s="318"/>
      <c r="F99" s="318"/>
      <c r="G99" s="318"/>
      <c r="H99" s="318"/>
      <c r="I99" s="318"/>
      <c r="J99" s="318"/>
      <c r="K99" s="318"/>
      <c r="L99" s="318"/>
      <c r="M99" s="318"/>
      <c r="N99" s="318"/>
      <c r="O99" s="318"/>
      <c r="P99" s="318"/>
      <c r="Q99" s="318"/>
      <c r="R99" s="318"/>
      <c r="S99" s="318"/>
      <c r="T99" s="318"/>
      <c r="U99" s="318"/>
      <c r="V99" s="318"/>
      <c r="W99" s="318"/>
      <c r="X99" s="318"/>
    </row>
    <row r="100" ht="15.75" customHeight="1">
      <c r="A100" s="318"/>
      <c r="B100" s="318"/>
      <c r="C100" s="318"/>
      <c r="D100" s="318"/>
      <c r="E100" s="318"/>
      <c r="F100" s="318"/>
      <c r="G100" s="318"/>
      <c r="H100" s="318"/>
      <c r="I100" s="318"/>
      <c r="J100" s="318"/>
      <c r="K100" s="318"/>
      <c r="L100" s="318"/>
      <c r="M100" s="318"/>
      <c r="N100" s="318"/>
      <c r="O100" s="318"/>
      <c r="P100" s="318"/>
      <c r="Q100" s="318"/>
      <c r="R100" s="318"/>
      <c r="S100" s="318"/>
      <c r="T100" s="318"/>
      <c r="U100" s="318"/>
      <c r="V100" s="318"/>
      <c r="W100" s="318"/>
      <c r="X100" s="318"/>
    </row>
    <row r="101" ht="15.75" customHeight="1">
      <c r="A101" s="318"/>
      <c r="B101" s="318"/>
      <c r="C101" s="318"/>
      <c r="D101" s="318"/>
      <c r="E101" s="318"/>
      <c r="F101" s="318"/>
      <c r="G101" s="318"/>
      <c r="H101" s="318"/>
      <c r="I101" s="318"/>
      <c r="J101" s="318"/>
      <c r="K101" s="318"/>
      <c r="L101" s="318"/>
      <c r="M101" s="318"/>
      <c r="N101" s="318"/>
      <c r="O101" s="318"/>
      <c r="P101" s="318"/>
      <c r="Q101" s="318"/>
      <c r="R101" s="318"/>
      <c r="S101" s="318"/>
      <c r="T101" s="318"/>
      <c r="U101" s="318"/>
      <c r="V101" s="318"/>
      <c r="W101" s="318"/>
      <c r="X101" s="318"/>
    </row>
    <row r="102" ht="15.75" customHeight="1">
      <c r="A102" s="318"/>
      <c r="B102" s="318"/>
      <c r="C102" s="318"/>
      <c r="D102" s="318"/>
      <c r="E102" s="318"/>
      <c r="F102" s="318"/>
      <c r="G102" s="318"/>
      <c r="H102" s="318"/>
      <c r="I102" s="318"/>
      <c r="J102" s="318"/>
      <c r="K102" s="318"/>
      <c r="L102" s="318"/>
      <c r="M102" s="318"/>
      <c r="N102" s="318"/>
      <c r="O102" s="318"/>
      <c r="P102" s="318"/>
      <c r="Q102" s="318"/>
      <c r="R102" s="318"/>
      <c r="S102" s="318"/>
      <c r="T102" s="318"/>
      <c r="U102" s="318"/>
      <c r="V102" s="318"/>
      <c r="W102" s="318"/>
      <c r="X102" s="318"/>
    </row>
    <row r="103" ht="15.75" customHeight="1">
      <c r="A103" s="318"/>
      <c r="B103" s="318"/>
      <c r="C103" s="318"/>
      <c r="D103" s="318"/>
      <c r="E103" s="318"/>
      <c r="F103" s="318"/>
      <c r="G103" s="318"/>
      <c r="H103" s="318"/>
      <c r="I103" s="318"/>
      <c r="J103" s="318"/>
      <c r="K103" s="318"/>
      <c r="L103" s="318"/>
      <c r="M103" s="318"/>
      <c r="N103" s="318"/>
      <c r="O103" s="318"/>
      <c r="P103" s="318"/>
      <c r="Q103" s="318"/>
      <c r="R103" s="318"/>
      <c r="S103" s="318"/>
      <c r="T103" s="318"/>
      <c r="U103" s="318"/>
      <c r="V103" s="318"/>
      <c r="W103" s="318"/>
      <c r="X103" s="318"/>
    </row>
    <row r="104" ht="15.75" customHeight="1">
      <c r="A104" s="318"/>
      <c r="B104" s="318"/>
      <c r="C104" s="318"/>
      <c r="D104" s="318"/>
      <c r="E104" s="318"/>
      <c r="F104" s="318"/>
      <c r="G104" s="318"/>
      <c r="H104" s="318"/>
      <c r="I104" s="318"/>
      <c r="J104" s="318"/>
      <c r="K104" s="318"/>
      <c r="L104" s="318"/>
      <c r="M104" s="318"/>
      <c r="N104" s="318"/>
      <c r="O104" s="318"/>
      <c r="P104" s="318"/>
      <c r="Q104" s="318"/>
      <c r="R104" s="318"/>
      <c r="S104" s="318"/>
      <c r="T104" s="318"/>
      <c r="U104" s="318"/>
      <c r="V104" s="318"/>
      <c r="W104" s="318"/>
      <c r="X104" s="318"/>
    </row>
    <row r="105" ht="15.75" customHeight="1">
      <c r="A105" s="318"/>
      <c r="B105" s="318"/>
      <c r="C105" s="318"/>
      <c r="D105" s="318"/>
      <c r="E105" s="318"/>
      <c r="F105" s="318"/>
      <c r="G105" s="318"/>
      <c r="H105" s="318"/>
      <c r="I105" s="318"/>
      <c r="J105" s="318"/>
      <c r="K105" s="318"/>
      <c r="L105" s="318"/>
      <c r="M105" s="318"/>
      <c r="N105" s="318"/>
      <c r="O105" s="318"/>
      <c r="P105" s="318"/>
      <c r="Q105" s="318"/>
      <c r="R105" s="318"/>
      <c r="S105" s="318"/>
      <c r="T105" s="318"/>
      <c r="U105" s="318"/>
      <c r="V105" s="318"/>
      <c r="W105" s="318"/>
      <c r="X105" s="318"/>
    </row>
    <row r="106" ht="15.75" customHeight="1">
      <c r="A106" s="318"/>
      <c r="B106" s="318"/>
      <c r="C106" s="318"/>
      <c r="D106" s="318"/>
      <c r="E106" s="318"/>
      <c r="F106" s="318"/>
      <c r="G106" s="318"/>
      <c r="H106" s="318"/>
      <c r="I106" s="318"/>
      <c r="J106" s="318"/>
      <c r="K106" s="318"/>
      <c r="L106" s="318"/>
      <c r="M106" s="318"/>
      <c r="N106" s="318"/>
      <c r="O106" s="318"/>
      <c r="P106" s="318"/>
      <c r="Q106" s="318"/>
      <c r="R106" s="318"/>
      <c r="S106" s="318"/>
      <c r="T106" s="318"/>
      <c r="U106" s="318"/>
      <c r="V106" s="318"/>
      <c r="W106" s="318"/>
      <c r="X106" s="318"/>
    </row>
    <row r="107" ht="15.75" customHeight="1">
      <c r="A107" s="318"/>
      <c r="B107" s="318"/>
      <c r="C107" s="318"/>
      <c r="D107" s="318"/>
      <c r="E107" s="318"/>
      <c r="F107" s="318"/>
      <c r="G107" s="318"/>
      <c r="H107" s="318"/>
      <c r="I107" s="318"/>
      <c r="J107" s="318"/>
      <c r="K107" s="318"/>
      <c r="L107" s="318"/>
      <c r="M107" s="318"/>
      <c r="N107" s="318"/>
      <c r="O107" s="318"/>
      <c r="P107" s="318"/>
      <c r="Q107" s="318"/>
      <c r="R107" s="318"/>
      <c r="S107" s="318"/>
      <c r="T107" s="318"/>
      <c r="U107" s="318"/>
      <c r="V107" s="318"/>
      <c r="W107" s="318"/>
      <c r="X107" s="318"/>
    </row>
    <row r="108" ht="15.75" customHeight="1">
      <c r="A108" s="318"/>
      <c r="B108" s="318"/>
      <c r="C108" s="318"/>
      <c r="D108" s="318"/>
      <c r="E108" s="318"/>
      <c r="F108" s="318"/>
      <c r="G108" s="318"/>
      <c r="H108" s="318"/>
      <c r="I108" s="318"/>
      <c r="J108" s="318"/>
      <c r="K108" s="318"/>
      <c r="L108" s="318"/>
      <c r="M108" s="318"/>
      <c r="N108" s="318"/>
      <c r="O108" s="318"/>
      <c r="P108" s="318"/>
      <c r="Q108" s="318"/>
      <c r="R108" s="318"/>
      <c r="S108" s="318"/>
      <c r="T108" s="318"/>
      <c r="U108" s="318"/>
      <c r="V108" s="318"/>
      <c r="W108" s="318"/>
      <c r="X108" s="318"/>
    </row>
    <row r="109" ht="15.75" customHeight="1">
      <c r="A109" s="318"/>
      <c r="B109" s="318"/>
      <c r="C109" s="318"/>
      <c r="D109" s="318"/>
      <c r="E109" s="318"/>
      <c r="F109" s="318"/>
      <c r="G109" s="318"/>
      <c r="H109" s="318"/>
      <c r="I109" s="318"/>
      <c r="J109" s="318"/>
      <c r="K109" s="318"/>
      <c r="L109" s="318"/>
      <c r="M109" s="318"/>
      <c r="N109" s="318"/>
      <c r="O109" s="318"/>
      <c r="P109" s="318"/>
      <c r="Q109" s="318"/>
      <c r="R109" s="318"/>
      <c r="S109" s="318"/>
      <c r="T109" s="318"/>
      <c r="U109" s="318"/>
      <c r="V109" s="318"/>
      <c r="W109" s="318"/>
      <c r="X109" s="318"/>
    </row>
    <row r="110" ht="15.75" customHeight="1">
      <c r="A110" s="318"/>
      <c r="B110" s="318"/>
      <c r="C110" s="318"/>
      <c r="D110" s="318"/>
      <c r="E110" s="318"/>
      <c r="F110" s="318"/>
      <c r="G110" s="318"/>
      <c r="H110" s="318"/>
      <c r="I110" s="318"/>
      <c r="J110" s="318"/>
      <c r="K110" s="318"/>
      <c r="L110" s="318"/>
      <c r="M110" s="318"/>
      <c r="N110" s="318"/>
      <c r="O110" s="318"/>
      <c r="P110" s="318"/>
      <c r="Q110" s="318"/>
      <c r="R110" s="318"/>
      <c r="S110" s="318"/>
      <c r="T110" s="318"/>
      <c r="U110" s="318"/>
      <c r="V110" s="318"/>
      <c r="W110" s="318"/>
      <c r="X110" s="318"/>
    </row>
    <row r="111" ht="15.75" customHeight="1">
      <c r="A111" s="318"/>
      <c r="B111" s="318"/>
      <c r="C111" s="318"/>
      <c r="D111" s="318"/>
      <c r="E111" s="318"/>
      <c r="F111" s="318"/>
      <c r="G111" s="318"/>
      <c r="H111" s="318"/>
      <c r="I111" s="318"/>
      <c r="J111" s="318"/>
      <c r="K111" s="318"/>
      <c r="L111" s="318"/>
      <c r="M111" s="318"/>
      <c r="N111" s="318"/>
      <c r="O111" s="318"/>
      <c r="P111" s="318"/>
      <c r="Q111" s="318"/>
      <c r="R111" s="318"/>
      <c r="S111" s="318"/>
      <c r="T111" s="318"/>
      <c r="U111" s="318"/>
      <c r="V111" s="318"/>
      <c r="W111" s="318"/>
      <c r="X111" s="318"/>
    </row>
    <row r="112" ht="15.75" customHeight="1">
      <c r="A112" s="318"/>
      <c r="B112" s="318"/>
      <c r="C112" s="318"/>
      <c r="D112" s="318"/>
      <c r="E112" s="318"/>
      <c r="F112" s="318"/>
      <c r="G112" s="318"/>
      <c r="H112" s="318"/>
      <c r="I112" s="318"/>
      <c r="J112" s="318"/>
      <c r="K112" s="318"/>
      <c r="L112" s="318"/>
      <c r="M112" s="318"/>
      <c r="N112" s="318"/>
      <c r="O112" s="318"/>
      <c r="P112" s="318"/>
      <c r="Q112" s="318"/>
      <c r="R112" s="318"/>
      <c r="S112" s="318"/>
      <c r="T112" s="318"/>
      <c r="U112" s="318"/>
      <c r="V112" s="318"/>
      <c r="W112" s="318"/>
      <c r="X112" s="318"/>
    </row>
    <row r="113" ht="15.75" customHeight="1">
      <c r="A113" s="318"/>
      <c r="B113" s="318"/>
      <c r="C113" s="318"/>
      <c r="D113" s="318"/>
      <c r="E113" s="318"/>
      <c r="F113" s="318"/>
      <c r="G113" s="318"/>
      <c r="H113" s="318"/>
      <c r="I113" s="318"/>
      <c r="J113" s="318"/>
      <c r="K113" s="318"/>
      <c r="L113" s="318"/>
      <c r="M113" s="318"/>
      <c r="N113" s="318"/>
      <c r="O113" s="318"/>
      <c r="P113" s="318"/>
      <c r="Q113" s="318"/>
      <c r="R113" s="318"/>
      <c r="S113" s="318"/>
      <c r="T113" s="318"/>
      <c r="U113" s="318"/>
      <c r="V113" s="318"/>
      <c r="W113" s="318"/>
      <c r="X113" s="318"/>
    </row>
    <row r="114" ht="15.75" customHeight="1">
      <c r="A114" s="318"/>
      <c r="B114" s="318"/>
      <c r="C114" s="318"/>
      <c r="D114" s="318"/>
      <c r="E114" s="318"/>
      <c r="F114" s="318"/>
      <c r="G114" s="318"/>
      <c r="H114" s="318"/>
      <c r="I114" s="318"/>
      <c r="J114" s="318"/>
      <c r="K114" s="318"/>
      <c r="L114" s="318"/>
      <c r="M114" s="318"/>
      <c r="N114" s="318"/>
      <c r="O114" s="318"/>
      <c r="P114" s="318"/>
      <c r="Q114" s="318"/>
      <c r="R114" s="318"/>
      <c r="S114" s="318"/>
      <c r="T114" s="318"/>
      <c r="U114" s="318"/>
      <c r="V114" s="318"/>
      <c r="W114" s="318"/>
      <c r="X114" s="318"/>
    </row>
    <row r="115" ht="15.75" customHeight="1">
      <c r="A115" s="318"/>
      <c r="B115" s="318"/>
      <c r="C115" s="318"/>
      <c r="D115" s="318"/>
      <c r="E115" s="318"/>
      <c r="F115" s="318"/>
      <c r="G115" s="318"/>
      <c r="H115" s="318"/>
      <c r="I115" s="318"/>
      <c r="J115" s="318"/>
      <c r="K115" s="318"/>
      <c r="L115" s="318"/>
      <c r="M115" s="318"/>
      <c r="N115" s="318"/>
      <c r="O115" s="318"/>
      <c r="P115" s="318"/>
      <c r="Q115" s="318"/>
      <c r="R115" s="318"/>
      <c r="S115" s="318"/>
      <c r="T115" s="318"/>
      <c r="U115" s="318"/>
      <c r="V115" s="318"/>
      <c r="W115" s="318"/>
      <c r="X115" s="318"/>
    </row>
    <row r="116" ht="15.75" customHeight="1">
      <c r="A116" s="318"/>
      <c r="B116" s="318"/>
      <c r="C116" s="318"/>
      <c r="D116" s="318"/>
      <c r="E116" s="318"/>
      <c r="F116" s="318"/>
      <c r="G116" s="318"/>
      <c r="H116" s="318"/>
      <c r="I116" s="318"/>
      <c r="J116" s="318"/>
      <c r="K116" s="318"/>
      <c r="L116" s="318"/>
      <c r="M116" s="318"/>
      <c r="N116" s="318"/>
      <c r="O116" s="318"/>
      <c r="P116" s="318"/>
      <c r="Q116" s="318"/>
      <c r="R116" s="318"/>
      <c r="S116" s="318"/>
      <c r="T116" s="318"/>
      <c r="U116" s="318"/>
      <c r="V116" s="318"/>
      <c r="W116" s="318"/>
      <c r="X116" s="318"/>
    </row>
    <row r="117" ht="15.75" customHeight="1">
      <c r="A117" s="318"/>
      <c r="B117" s="318"/>
      <c r="C117" s="318"/>
      <c r="D117" s="318"/>
      <c r="E117" s="318"/>
      <c r="F117" s="318"/>
      <c r="G117" s="318"/>
      <c r="H117" s="318"/>
      <c r="I117" s="318"/>
      <c r="J117" s="318"/>
      <c r="K117" s="318"/>
      <c r="L117" s="318"/>
      <c r="M117" s="318"/>
      <c r="N117" s="318"/>
      <c r="O117" s="318"/>
      <c r="P117" s="318"/>
      <c r="Q117" s="318"/>
      <c r="R117" s="318"/>
      <c r="S117" s="318"/>
      <c r="T117" s="318"/>
      <c r="U117" s="318"/>
      <c r="V117" s="318"/>
      <c r="W117" s="318"/>
      <c r="X117" s="318"/>
    </row>
    <row r="118" ht="15.75" customHeight="1">
      <c r="A118" s="318"/>
      <c r="B118" s="318"/>
      <c r="C118" s="318"/>
      <c r="D118" s="318"/>
      <c r="E118" s="318"/>
      <c r="F118" s="318"/>
      <c r="G118" s="318"/>
      <c r="H118" s="318"/>
      <c r="I118" s="318"/>
      <c r="J118" s="318"/>
      <c r="K118" s="318"/>
      <c r="L118" s="318"/>
      <c r="M118" s="318"/>
      <c r="N118" s="318"/>
      <c r="O118" s="318"/>
      <c r="P118" s="318"/>
      <c r="Q118" s="318"/>
      <c r="R118" s="318"/>
      <c r="S118" s="318"/>
      <c r="T118" s="318"/>
      <c r="U118" s="318"/>
      <c r="V118" s="318"/>
      <c r="W118" s="318"/>
      <c r="X118" s="318"/>
    </row>
    <row r="119" ht="15.75" customHeight="1">
      <c r="A119" s="318"/>
      <c r="B119" s="318"/>
      <c r="C119" s="318"/>
      <c r="D119" s="318"/>
      <c r="E119" s="318"/>
      <c r="F119" s="318"/>
      <c r="G119" s="318"/>
      <c r="H119" s="318"/>
      <c r="I119" s="318"/>
      <c r="J119" s="318"/>
      <c r="K119" s="318"/>
      <c r="L119" s="318"/>
      <c r="M119" s="318"/>
      <c r="N119" s="318"/>
      <c r="O119" s="318"/>
      <c r="P119" s="318"/>
      <c r="Q119" s="318"/>
      <c r="R119" s="318"/>
      <c r="S119" s="318"/>
      <c r="T119" s="318"/>
      <c r="U119" s="318"/>
      <c r="V119" s="318"/>
      <c r="W119" s="318"/>
      <c r="X119" s="318"/>
    </row>
    <row r="120" ht="15.75" customHeight="1">
      <c r="A120" s="318"/>
      <c r="B120" s="318"/>
      <c r="C120" s="318"/>
      <c r="D120" s="318"/>
      <c r="E120" s="318"/>
      <c r="F120" s="318"/>
      <c r="G120" s="318"/>
      <c r="H120" s="318"/>
      <c r="I120" s="318"/>
      <c r="J120" s="318"/>
      <c r="K120" s="318"/>
      <c r="L120" s="318"/>
      <c r="M120" s="318"/>
      <c r="N120" s="318"/>
      <c r="O120" s="318"/>
      <c r="P120" s="318"/>
      <c r="Q120" s="318"/>
      <c r="R120" s="318"/>
      <c r="S120" s="318"/>
      <c r="T120" s="318"/>
      <c r="U120" s="318"/>
      <c r="V120" s="318"/>
      <c r="W120" s="318"/>
      <c r="X120" s="318"/>
    </row>
    <row r="121" ht="15.75" customHeight="1">
      <c r="A121" s="318"/>
      <c r="B121" s="318"/>
      <c r="C121" s="318"/>
      <c r="D121" s="318"/>
      <c r="E121" s="318"/>
      <c r="F121" s="318"/>
      <c r="G121" s="318"/>
      <c r="H121" s="318"/>
      <c r="I121" s="318"/>
      <c r="J121" s="318"/>
      <c r="K121" s="318"/>
      <c r="L121" s="318"/>
      <c r="M121" s="318"/>
      <c r="N121" s="318"/>
      <c r="O121" s="318"/>
      <c r="P121" s="318"/>
      <c r="Q121" s="318"/>
      <c r="R121" s="318"/>
      <c r="S121" s="318"/>
      <c r="T121" s="318"/>
      <c r="U121" s="318"/>
      <c r="V121" s="318"/>
      <c r="W121" s="318"/>
      <c r="X121" s="318"/>
    </row>
    <row r="122" ht="15.75" customHeight="1">
      <c r="A122" s="318"/>
      <c r="B122" s="318"/>
      <c r="C122" s="318"/>
      <c r="D122" s="318"/>
      <c r="E122" s="318"/>
      <c r="F122" s="318"/>
      <c r="G122" s="318"/>
      <c r="H122" s="318"/>
      <c r="I122" s="318"/>
      <c r="J122" s="318"/>
      <c r="K122" s="318"/>
      <c r="L122" s="318"/>
      <c r="M122" s="318"/>
      <c r="N122" s="318"/>
      <c r="O122" s="318"/>
      <c r="P122" s="318"/>
      <c r="Q122" s="318"/>
      <c r="R122" s="318"/>
      <c r="S122" s="318"/>
      <c r="T122" s="318"/>
      <c r="U122" s="318"/>
      <c r="V122" s="318"/>
      <c r="W122" s="318"/>
      <c r="X122" s="318"/>
    </row>
    <row r="123" ht="15.75" customHeight="1">
      <c r="A123" s="318"/>
      <c r="B123" s="318"/>
      <c r="C123" s="318"/>
      <c r="D123" s="318"/>
      <c r="E123" s="318"/>
      <c r="F123" s="318"/>
      <c r="G123" s="318"/>
      <c r="H123" s="318"/>
      <c r="I123" s="318"/>
      <c r="J123" s="318"/>
      <c r="K123" s="318"/>
      <c r="L123" s="318"/>
      <c r="M123" s="318"/>
      <c r="N123" s="318"/>
      <c r="O123" s="318"/>
      <c r="P123" s="318"/>
      <c r="Q123" s="318"/>
      <c r="R123" s="318"/>
      <c r="S123" s="318"/>
      <c r="T123" s="318"/>
      <c r="U123" s="318"/>
      <c r="V123" s="318"/>
      <c r="W123" s="318"/>
      <c r="X123" s="318"/>
    </row>
    <row r="124" ht="15.75" customHeight="1">
      <c r="A124" s="318"/>
      <c r="B124" s="318"/>
      <c r="C124" s="318"/>
      <c r="D124" s="318"/>
      <c r="E124" s="318"/>
      <c r="F124" s="318"/>
      <c r="G124" s="318"/>
      <c r="H124" s="318"/>
      <c r="I124" s="318"/>
      <c r="J124" s="318"/>
      <c r="K124" s="318"/>
      <c r="L124" s="318"/>
      <c r="M124" s="318"/>
      <c r="N124" s="318"/>
      <c r="O124" s="318"/>
      <c r="P124" s="318"/>
      <c r="Q124" s="318"/>
      <c r="R124" s="318"/>
      <c r="S124" s="318"/>
      <c r="T124" s="318"/>
      <c r="U124" s="318"/>
      <c r="V124" s="318"/>
      <c r="W124" s="318"/>
      <c r="X124" s="318"/>
    </row>
    <row r="125" ht="15.75" customHeight="1">
      <c r="A125" s="318"/>
      <c r="B125" s="318"/>
      <c r="C125" s="318"/>
      <c r="D125" s="318"/>
      <c r="E125" s="318"/>
      <c r="F125" s="318"/>
      <c r="G125" s="318"/>
      <c r="H125" s="318"/>
      <c r="I125" s="318"/>
      <c r="J125" s="318"/>
      <c r="K125" s="318"/>
      <c r="L125" s="318"/>
      <c r="M125" s="318"/>
      <c r="N125" s="318"/>
      <c r="O125" s="318"/>
      <c r="P125" s="318"/>
      <c r="Q125" s="318"/>
      <c r="R125" s="318"/>
      <c r="S125" s="318"/>
      <c r="T125" s="318"/>
      <c r="U125" s="318"/>
      <c r="V125" s="318"/>
      <c r="W125" s="318"/>
      <c r="X125" s="318"/>
    </row>
    <row r="126" ht="15.75" customHeight="1">
      <c r="A126" s="318"/>
      <c r="B126" s="318"/>
      <c r="C126" s="318"/>
      <c r="D126" s="318"/>
      <c r="E126" s="318"/>
      <c r="F126" s="318"/>
      <c r="G126" s="318"/>
      <c r="H126" s="318"/>
      <c r="I126" s="318"/>
      <c r="J126" s="318"/>
      <c r="K126" s="318"/>
      <c r="L126" s="318"/>
      <c r="M126" s="318"/>
      <c r="N126" s="318"/>
      <c r="O126" s="318"/>
      <c r="P126" s="318"/>
      <c r="Q126" s="318"/>
      <c r="R126" s="318"/>
      <c r="S126" s="318"/>
      <c r="T126" s="318"/>
      <c r="U126" s="318"/>
      <c r="V126" s="318"/>
      <c r="W126" s="318"/>
      <c r="X126" s="318"/>
    </row>
    <row r="127" ht="15.75" customHeight="1">
      <c r="A127" s="318"/>
      <c r="B127" s="318"/>
      <c r="C127" s="318"/>
      <c r="D127" s="318"/>
      <c r="E127" s="318"/>
      <c r="F127" s="318"/>
      <c r="G127" s="318"/>
      <c r="H127" s="318"/>
      <c r="I127" s="318"/>
      <c r="J127" s="318"/>
      <c r="K127" s="318"/>
      <c r="L127" s="318"/>
      <c r="M127" s="318"/>
      <c r="N127" s="318"/>
      <c r="O127" s="318"/>
      <c r="P127" s="318"/>
      <c r="Q127" s="318"/>
      <c r="R127" s="318"/>
      <c r="S127" s="318"/>
      <c r="T127" s="318"/>
      <c r="U127" s="318"/>
      <c r="V127" s="318"/>
      <c r="W127" s="318"/>
      <c r="X127" s="318"/>
    </row>
    <row r="128" ht="15.75" customHeight="1">
      <c r="A128" s="318"/>
      <c r="B128" s="318"/>
      <c r="C128" s="318"/>
      <c r="D128" s="318"/>
      <c r="E128" s="318"/>
      <c r="F128" s="318"/>
      <c r="G128" s="318"/>
      <c r="H128" s="318"/>
      <c r="I128" s="318"/>
      <c r="J128" s="318"/>
      <c r="K128" s="318"/>
      <c r="L128" s="318"/>
      <c r="M128" s="318"/>
      <c r="N128" s="318"/>
      <c r="O128" s="318"/>
      <c r="P128" s="318"/>
      <c r="Q128" s="318"/>
      <c r="R128" s="318"/>
      <c r="S128" s="318"/>
      <c r="T128" s="318"/>
      <c r="U128" s="318"/>
      <c r="V128" s="318"/>
      <c r="W128" s="318"/>
      <c r="X128" s="318"/>
    </row>
    <row r="129" ht="15.75" customHeight="1">
      <c r="A129" s="318"/>
      <c r="B129" s="318"/>
      <c r="C129" s="318"/>
      <c r="D129" s="318"/>
      <c r="E129" s="318"/>
      <c r="F129" s="318"/>
      <c r="G129" s="318"/>
      <c r="H129" s="318"/>
      <c r="I129" s="318"/>
      <c r="J129" s="318"/>
      <c r="K129" s="318"/>
      <c r="L129" s="318"/>
      <c r="M129" s="318"/>
      <c r="N129" s="318"/>
      <c r="O129" s="318"/>
      <c r="P129" s="318"/>
      <c r="Q129" s="318"/>
      <c r="R129" s="318"/>
      <c r="S129" s="318"/>
      <c r="T129" s="318"/>
      <c r="U129" s="318"/>
      <c r="V129" s="318"/>
      <c r="W129" s="318"/>
      <c r="X129" s="318"/>
    </row>
    <row r="130" ht="15.75" customHeight="1">
      <c r="A130" s="318"/>
      <c r="B130" s="318"/>
      <c r="C130" s="318"/>
      <c r="D130" s="318"/>
      <c r="E130" s="318"/>
      <c r="F130" s="318"/>
      <c r="G130" s="318"/>
      <c r="H130" s="318"/>
      <c r="I130" s="318"/>
      <c r="J130" s="318"/>
      <c r="K130" s="318"/>
      <c r="L130" s="318"/>
      <c r="M130" s="318"/>
      <c r="N130" s="318"/>
      <c r="O130" s="318"/>
      <c r="P130" s="318"/>
      <c r="Q130" s="318"/>
      <c r="R130" s="318"/>
      <c r="S130" s="318"/>
      <c r="T130" s="318"/>
      <c r="U130" s="318"/>
      <c r="V130" s="318"/>
      <c r="W130" s="318"/>
      <c r="X130" s="318"/>
    </row>
    <row r="131" ht="15.75" customHeight="1">
      <c r="A131" s="318"/>
      <c r="B131" s="318"/>
      <c r="C131" s="318"/>
      <c r="D131" s="318"/>
      <c r="E131" s="318"/>
      <c r="F131" s="318"/>
      <c r="G131" s="318"/>
      <c r="H131" s="318"/>
      <c r="I131" s="318"/>
      <c r="J131" s="318"/>
      <c r="K131" s="318"/>
      <c r="L131" s="318"/>
      <c r="M131" s="318"/>
      <c r="N131" s="318"/>
      <c r="O131" s="318"/>
      <c r="P131" s="318"/>
      <c r="Q131" s="318"/>
      <c r="R131" s="318"/>
      <c r="S131" s="318"/>
      <c r="T131" s="318"/>
      <c r="U131" s="318"/>
      <c r="V131" s="318"/>
      <c r="W131" s="318"/>
      <c r="X131" s="318"/>
    </row>
    <row r="132" ht="15.75" customHeight="1">
      <c r="A132" s="318"/>
      <c r="B132" s="318"/>
      <c r="C132" s="318"/>
      <c r="D132" s="318"/>
      <c r="E132" s="318"/>
      <c r="F132" s="318"/>
      <c r="G132" s="318"/>
      <c r="H132" s="318"/>
      <c r="I132" s="318"/>
      <c r="J132" s="318"/>
      <c r="K132" s="318"/>
      <c r="L132" s="318"/>
      <c r="M132" s="318"/>
      <c r="N132" s="318"/>
      <c r="O132" s="318"/>
      <c r="P132" s="318"/>
      <c r="Q132" s="318"/>
      <c r="R132" s="318"/>
      <c r="S132" s="318"/>
      <c r="T132" s="318"/>
      <c r="U132" s="318"/>
      <c r="V132" s="318"/>
      <c r="W132" s="318"/>
      <c r="X132" s="318"/>
    </row>
    <row r="133" ht="15.75" customHeight="1">
      <c r="A133" s="318"/>
      <c r="B133" s="318"/>
      <c r="C133" s="318"/>
      <c r="D133" s="318"/>
      <c r="E133" s="318"/>
      <c r="F133" s="318"/>
      <c r="G133" s="318"/>
      <c r="H133" s="318"/>
      <c r="I133" s="318"/>
      <c r="J133" s="318"/>
      <c r="K133" s="318"/>
      <c r="L133" s="318"/>
      <c r="M133" s="318"/>
      <c r="N133" s="318"/>
      <c r="O133" s="318"/>
      <c r="P133" s="318"/>
      <c r="Q133" s="318"/>
      <c r="R133" s="318"/>
      <c r="S133" s="318"/>
      <c r="T133" s="318"/>
      <c r="U133" s="318"/>
      <c r="V133" s="318"/>
      <c r="W133" s="318"/>
      <c r="X133" s="318"/>
    </row>
    <row r="134" ht="15.75" customHeight="1">
      <c r="A134" s="318"/>
      <c r="B134" s="318"/>
      <c r="C134" s="318"/>
      <c r="D134" s="318"/>
      <c r="E134" s="318"/>
      <c r="F134" s="318"/>
      <c r="G134" s="318"/>
      <c r="H134" s="318"/>
      <c r="I134" s="318"/>
      <c r="J134" s="318"/>
      <c r="K134" s="318"/>
      <c r="L134" s="318"/>
      <c r="M134" s="318"/>
      <c r="N134" s="318"/>
      <c r="O134" s="318"/>
      <c r="P134" s="318"/>
      <c r="Q134" s="318"/>
      <c r="R134" s="318"/>
      <c r="S134" s="318"/>
      <c r="T134" s="318"/>
      <c r="U134" s="318"/>
      <c r="V134" s="318"/>
      <c r="W134" s="318"/>
      <c r="X134" s="318"/>
    </row>
    <row r="135" ht="15.75" customHeight="1">
      <c r="A135" s="318"/>
      <c r="B135" s="318"/>
      <c r="C135" s="318"/>
      <c r="D135" s="318"/>
      <c r="E135" s="318"/>
      <c r="F135" s="318"/>
      <c r="G135" s="318"/>
      <c r="H135" s="318"/>
      <c r="I135" s="318"/>
      <c r="J135" s="318"/>
      <c r="K135" s="318"/>
      <c r="L135" s="318"/>
      <c r="M135" s="318"/>
      <c r="N135" s="318"/>
      <c r="O135" s="318"/>
      <c r="P135" s="318"/>
      <c r="Q135" s="318"/>
      <c r="R135" s="318"/>
      <c r="S135" s="318"/>
      <c r="T135" s="318"/>
      <c r="U135" s="318"/>
      <c r="V135" s="318"/>
      <c r="W135" s="318"/>
      <c r="X135" s="318"/>
    </row>
    <row r="136" ht="15.75" customHeight="1">
      <c r="A136" s="318"/>
      <c r="B136" s="318"/>
      <c r="C136" s="318"/>
      <c r="D136" s="318"/>
      <c r="E136" s="318"/>
      <c r="F136" s="318"/>
      <c r="G136" s="318"/>
      <c r="H136" s="318"/>
      <c r="I136" s="318"/>
      <c r="J136" s="318"/>
      <c r="K136" s="318"/>
      <c r="L136" s="318"/>
      <c r="M136" s="318"/>
      <c r="N136" s="318"/>
      <c r="O136" s="318"/>
      <c r="P136" s="318"/>
      <c r="Q136" s="318"/>
      <c r="R136" s="318"/>
      <c r="S136" s="318"/>
      <c r="T136" s="318"/>
      <c r="U136" s="318"/>
      <c r="V136" s="318"/>
      <c r="W136" s="318"/>
      <c r="X136" s="318"/>
    </row>
    <row r="137" ht="15.75" customHeight="1">
      <c r="A137" s="318"/>
      <c r="B137" s="318"/>
      <c r="C137" s="318"/>
      <c r="D137" s="318"/>
      <c r="E137" s="318"/>
      <c r="F137" s="318"/>
      <c r="G137" s="318"/>
      <c r="H137" s="318"/>
      <c r="I137" s="318"/>
      <c r="J137" s="318"/>
      <c r="K137" s="318"/>
      <c r="L137" s="318"/>
      <c r="M137" s="318"/>
      <c r="N137" s="318"/>
      <c r="O137" s="318"/>
      <c r="P137" s="318"/>
      <c r="Q137" s="318"/>
      <c r="R137" s="318"/>
      <c r="S137" s="318"/>
      <c r="T137" s="318"/>
      <c r="U137" s="318"/>
      <c r="V137" s="318"/>
      <c r="W137" s="318"/>
      <c r="X137" s="318"/>
    </row>
    <row r="138" ht="15.75" customHeight="1">
      <c r="A138" s="318"/>
      <c r="B138" s="318"/>
      <c r="C138" s="318"/>
      <c r="D138" s="318"/>
      <c r="E138" s="318"/>
      <c r="F138" s="318"/>
      <c r="G138" s="318"/>
      <c r="H138" s="318"/>
      <c r="I138" s="318"/>
      <c r="J138" s="318"/>
      <c r="K138" s="318"/>
      <c r="L138" s="318"/>
      <c r="M138" s="318"/>
      <c r="N138" s="318"/>
      <c r="O138" s="318"/>
      <c r="P138" s="318"/>
      <c r="Q138" s="318"/>
      <c r="R138" s="318"/>
      <c r="S138" s="318"/>
      <c r="T138" s="318"/>
      <c r="U138" s="318"/>
      <c r="V138" s="318"/>
      <c r="W138" s="318"/>
      <c r="X138" s="318"/>
    </row>
    <row r="139" ht="15.75" customHeight="1">
      <c r="A139" s="318"/>
      <c r="B139" s="318"/>
      <c r="C139" s="318"/>
      <c r="D139" s="318"/>
      <c r="E139" s="318"/>
      <c r="F139" s="318"/>
      <c r="G139" s="318"/>
      <c r="H139" s="318"/>
      <c r="I139" s="318"/>
      <c r="J139" s="318"/>
      <c r="K139" s="318"/>
      <c r="L139" s="318"/>
      <c r="M139" s="318"/>
      <c r="N139" s="318"/>
      <c r="O139" s="318"/>
      <c r="P139" s="318"/>
      <c r="Q139" s="318"/>
      <c r="R139" s="318"/>
      <c r="S139" s="318"/>
      <c r="T139" s="318"/>
      <c r="U139" s="318"/>
      <c r="V139" s="318"/>
      <c r="W139" s="318"/>
      <c r="X139" s="318"/>
    </row>
    <row r="140" ht="15.75" customHeight="1">
      <c r="A140" s="318"/>
      <c r="B140" s="318"/>
      <c r="C140" s="318"/>
      <c r="D140" s="318"/>
      <c r="E140" s="318"/>
      <c r="F140" s="318"/>
      <c r="G140" s="318"/>
      <c r="H140" s="318"/>
      <c r="I140" s="318"/>
      <c r="J140" s="318"/>
      <c r="K140" s="318"/>
      <c r="L140" s="318"/>
      <c r="M140" s="318"/>
      <c r="N140" s="318"/>
      <c r="O140" s="318"/>
      <c r="P140" s="318"/>
      <c r="Q140" s="318"/>
      <c r="R140" s="318"/>
      <c r="S140" s="318"/>
      <c r="T140" s="318"/>
      <c r="U140" s="318"/>
      <c r="V140" s="318"/>
      <c r="W140" s="318"/>
      <c r="X140" s="318"/>
    </row>
    <row r="141" ht="15.75" customHeight="1">
      <c r="A141" s="318"/>
      <c r="B141" s="318"/>
      <c r="C141" s="318"/>
      <c r="D141" s="318"/>
      <c r="E141" s="318"/>
      <c r="F141" s="318"/>
      <c r="G141" s="318"/>
      <c r="H141" s="318"/>
      <c r="I141" s="318"/>
      <c r="J141" s="318"/>
      <c r="K141" s="318"/>
      <c r="L141" s="318"/>
      <c r="M141" s="318"/>
      <c r="N141" s="318"/>
      <c r="O141" s="318"/>
      <c r="P141" s="318"/>
      <c r="Q141" s="318"/>
      <c r="R141" s="318"/>
      <c r="S141" s="318"/>
      <c r="T141" s="318"/>
      <c r="U141" s="318"/>
      <c r="V141" s="318"/>
      <c r="W141" s="318"/>
      <c r="X141" s="318"/>
    </row>
    <row r="142" ht="15.75" customHeight="1">
      <c r="A142" s="318"/>
      <c r="B142" s="318"/>
      <c r="C142" s="318"/>
      <c r="D142" s="318"/>
      <c r="E142" s="318"/>
      <c r="F142" s="318"/>
      <c r="G142" s="318"/>
      <c r="H142" s="318"/>
      <c r="I142" s="318"/>
      <c r="J142" s="318"/>
      <c r="K142" s="318"/>
      <c r="L142" s="318"/>
      <c r="M142" s="318"/>
      <c r="N142" s="318"/>
      <c r="O142" s="318"/>
      <c r="P142" s="318"/>
      <c r="Q142" s="318"/>
      <c r="R142" s="318"/>
      <c r="S142" s="318"/>
      <c r="T142" s="318"/>
      <c r="U142" s="318"/>
      <c r="V142" s="318"/>
      <c r="W142" s="318"/>
      <c r="X142" s="318"/>
    </row>
    <row r="143" ht="15.75" customHeight="1">
      <c r="A143" s="318"/>
      <c r="B143" s="318"/>
      <c r="C143" s="318"/>
      <c r="D143" s="318"/>
      <c r="E143" s="318"/>
      <c r="F143" s="318"/>
      <c r="G143" s="318"/>
      <c r="H143" s="318"/>
      <c r="I143" s="318"/>
      <c r="J143" s="318"/>
      <c r="K143" s="318"/>
      <c r="L143" s="318"/>
      <c r="M143" s="318"/>
      <c r="N143" s="318"/>
      <c r="O143" s="318"/>
      <c r="P143" s="318"/>
      <c r="Q143" s="318"/>
      <c r="R143" s="318"/>
      <c r="S143" s="318"/>
      <c r="T143" s="318"/>
      <c r="U143" s="318"/>
      <c r="V143" s="318"/>
      <c r="W143" s="318"/>
      <c r="X143" s="318"/>
    </row>
    <row r="144" ht="15.75" customHeight="1">
      <c r="A144" s="318"/>
      <c r="B144" s="318"/>
      <c r="C144" s="318"/>
      <c r="D144" s="318"/>
      <c r="E144" s="318"/>
      <c r="F144" s="318"/>
      <c r="G144" s="318"/>
      <c r="H144" s="318"/>
      <c r="I144" s="318"/>
      <c r="J144" s="318"/>
      <c r="K144" s="318"/>
      <c r="L144" s="318"/>
      <c r="M144" s="318"/>
      <c r="N144" s="318"/>
      <c r="O144" s="318"/>
      <c r="P144" s="318"/>
      <c r="Q144" s="318"/>
      <c r="R144" s="318"/>
      <c r="S144" s="318"/>
      <c r="T144" s="318"/>
      <c r="U144" s="318"/>
      <c r="V144" s="318"/>
      <c r="W144" s="318"/>
      <c r="X144" s="318"/>
    </row>
    <row r="145" ht="15.75" customHeight="1">
      <c r="A145" s="318"/>
      <c r="B145" s="318"/>
      <c r="C145" s="318"/>
      <c r="D145" s="318"/>
      <c r="E145" s="318"/>
      <c r="F145" s="318"/>
      <c r="G145" s="318"/>
      <c r="H145" s="318"/>
      <c r="I145" s="318"/>
      <c r="J145" s="318"/>
      <c r="K145" s="318"/>
      <c r="L145" s="318"/>
      <c r="M145" s="318"/>
      <c r="N145" s="318"/>
      <c r="O145" s="318"/>
      <c r="P145" s="318"/>
      <c r="Q145" s="318"/>
      <c r="R145" s="318"/>
      <c r="S145" s="318"/>
      <c r="T145" s="318"/>
      <c r="U145" s="318"/>
      <c r="V145" s="318"/>
      <c r="W145" s="318"/>
      <c r="X145" s="318"/>
    </row>
    <row r="146" ht="15.75" customHeight="1">
      <c r="A146" s="318"/>
      <c r="B146" s="318"/>
      <c r="C146" s="318"/>
      <c r="D146" s="318"/>
      <c r="E146" s="318"/>
      <c r="F146" s="318"/>
      <c r="G146" s="318"/>
      <c r="H146" s="318"/>
      <c r="I146" s="318"/>
      <c r="J146" s="318"/>
      <c r="K146" s="318"/>
      <c r="L146" s="318"/>
      <c r="M146" s="318"/>
      <c r="N146" s="318"/>
      <c r="O146" s="318"/>
      <c r="P146" s="318"/>
      <c r="Q146" s="318"/>
      <c r="R146" s="318"/>
      <c r="S146" s="318"/>
      <c r="T146" s="318"/>
      <c r="U146" s="318"/>
      <c r="V146" s="318"/>
      <c r="W146" s="318"/>
      <c r="X146" s="318"/>
    </row>
    <row r="147" ht="15.75" customHeight="1">
      <c r="A147" s="318"/>
      <c r="B147" s="318"/>
      <c r="C147" s="318"/>
      <c r="D147" s="318"/>
      <c r="E147" s="318"/>
      <c r="F147" s="318"/>
      <c r="G147" s="318"/>
      <c r="H147" s="318"/>
      <c r="I147" s="318"/>
      <c r="J147" s="318"/>
      <c r="K147" s="318"/>
      <c r="L147" s="318"/>
      <c r="M147" s="318"/>
      <c r="N147" s="318"/>
      <c r="O147" s="318"/>
      <c r="P147" s="318"/>
      <c r="Q147" s="318"/>
      <c r="R147" s="318"/>
      <c r="S147" s="318"/>
      <c r="T147" s="318"/>
      <c r="U147" s="318"/>
      <c r="V147" s="318"/>
      <c r="W147" s="318"/>
      <c r="X147" s="318"/>
    </row>
    <row r="148" ht="15.75" customHeight="1">
      <c r="A148" s="318"/>
      <c r="B148" s="318"/>
      <c r="C148" s="318"/>
      <c r="D148" s="318"/>
      <c r="E148" s="318"/>
      <c r="F148" s="318"/>
      <c r="G148" s="318"/>
      <c r="H148" s="318"/>
      <c r="I148" s="318"/>
      <c r="J148" s="318"/>
      <c r="K148" s="318"/>
      <c r="L148" s="318"/>
      <c r="M148" s="318"/>
      <c r="N148" s="318"/>
      <c r="O148" s="318"/>
      <c r="P148" s="318"/>
      <c r="Q148" s="318"/>
      <c r="R148" s="318"/>
      <c r="S148" s="318"/>
      <c r="T148" s="318"/>
      <c r="U148" s="318"/>
      <c r="V148" s="318"/>
      <c r="W148" s="318"/>
      <c r="X148" s="318"/>
    </row>
    <row r="149" ht="15.75" customHeight="1">
      <c r="A149" s="318"/>
      <c r="B149" s="318"/>
      <c r="C149" s="318"/>
      <c r="D149" s="318"/>
      <c r="E149" s="318"/>
      <c r="F149" s="318"/>
      <c r="G149" s="318"/>
      <c r="H149" s="318"/>
      <c r="I149" s="318"/>
      <c r="J149" s="318"/>
      <c r="K149" s="318"/>
      <c r="L149" s="318"/>
      <c r="M149" s="318"/>
      <c r="N149" s="318"/>
      <c r="O149" s="318"/>
      <c r="P149" s="318"/>
      <c r="Q149" s="318"/>
      <c r="R149" s="318"/>
      <c r="S149" s="318"/>
      <c r="T149" s="318"/>
      <c r="U149" s="318"/>
      <c r="V149" s="318"/>
      <c r="W149" s="318"/>
      <c r="X149" s="318"/>
    </row>
    <row r="150" ht="15.75" customHeight="1">
      <c r="A150" s="318"/>
      <c r="B150" s="318"/>
      <c r="C150" s="318"/>
      <c r="D150" s="318"/>
      <c r="E150" s="318"/>
      <c r="F150" s="318"/>
      <c r="G150" s="318"/>
      <c r="H150" s="318"/>
      <c r="I150" s="318"/>
      <c r="J150" s="318"/>
      <c r="K150" s="318"/>
      <c r="L150" s="318"/>
      <c r="M150" s="318"/>
      <c r="N150" s="318"/>
      <c r="O150" s="318"/>
      <c r="P150" s="318"/>
      <c r="Q150" s="318"/>
      <c r="R150" s="318"/>
      <c r="S150" s="318"/>
      <c r="T150" s="318"/>
      <c r="U150" s="318"/>
      <c r="V150" s="318"/>
      <c r="W150" s="318"/>
      <c r="X150" s="318"/>
    </row>
    <row r="151" ht="15.75" customHeight="1">
      <c r="A151" s="318"/>
      <c r="B151" s="318"/>
      <c r="C151" s="318"/>
      <c r="D151" s="318"/>
      <c r="E151" s="318"/>
      <c r="F151" s="318"/>
      <c r="G151" s="318"/>
      <c r="H151" s="318"/>
      <c r="I151" s="318"/>
      <c r="J151" s="318"/>
      <c r="K151" s="318"/>
      <c r="L151" s="318"/>
      <c r="M151" s="318"/>
      <c r="N151" s="318"/>
      <c r="O151" s="318"/>
      <c r="P151" s="318"/>
      <c r="Q151" s="318"/>
      <c r="R151" s="318"/>
      <c r="S151" s="318"/>
      <c r="T151" s="318"/>
      <c r="U151" s="318"/>
      <c r="V151" s="318"/>
      <c r="W151" s="318"/>
      <c r="X151" s="318"/>
    </row>
    <row r="152" ht="15.75" customHeight="1">
      <c r="A152" s="318"/>
      <c r="B152" s="318"/>
      <c r="C152" s="318"/>
      <c r="D152" s="318"/>
      <c r="E152" s="318"/>
      <c r="F152" s="318"/>
      <c r="G152" s="318"/>
      <c r="H152" s="318"/>
      <c r="I152" s="318"/>
      <c r="J152" s="318"/>
      <c r="K152" s="318"/>
      <c r="L152" s="318"/>
      <c r="M152" s="318"/>
      <c r="N152" s="318"/>
      <c r="O152" s="318"/>
      <c r="P152" s="318"/>
      <c r="Q152" s="318"/>
      <c r="R152" s="318"/>
      <c r="S152" s="318"/>
      <c r="T152" s="318"/>
      <c r="U152" s="318"/>
      <c r="V152" s="318"/>
      <c r="W152" s="318"/>
      <c r="X152" s="318"/>
    </row>
    <row r="153" ht="15.75" customHeight="1">
      <c r="A153" s="318"/>
      <c r="B153" s="318"/>
      <c r="C153" s="318"/>
      <c r="D153" s="318"/>
      <c r="E153" s="318"/>
      <c r="F153" s="318"/>
      <c r="G153" s="318"/>
      <c r="H153" s="318"/>
      <c r="I153" s="318"/>
      <c r="J153" s="318"/>
      <c r="K153" s="318"/>
      <c r="L153" s="318"/>
      <c r="M153" s="318"/>
      <c r="N153" s="318"/>
      <c r="O153" s="318"/>
      <c r="P153" s="318"/>
      <c r="Q153" s="318"/>
      <c r="R153" s="318"/>
      <c r="S153" s="318"/>
      <c r="T153" s="318"/>
      <c r="U153" s="318"/>
      <c r="V153" s="318"/>
      <c r="W153" s="318"/>
      <c r="X153" s="318"/>
    </row>
    <row r="154" ht="15.75" customHeight="1">
      <c r="A154" s="318"/>
      <c r="B154" s="318"/>
      <c r="C154" s="318"/>
      <c r="D154" s="318"/>
      <c r="E154" s="318"/>
      <c r="F154" s="318"/>
      <c r="G154" s="318"/>
      <c r="H154" s="318"/>
      <c r="I154" s="318"/>
      <c r="J154" s="318"/>
      <c r="K154" s="318"/>
      <c r="L154" s="318"/>
      <c r="M154" s="318"/>
      <c r="N154" s="318"/>
      <c r="O154" s="318"/>
      <c r="P154" s="318"/>
      <c r="Q154" s="318"/>
      <c r="R154" s="318"/>
      <c r="S154" s="318"/>
      <c r="T154" s="318"/>
      <c r="U154" s="318"/>
      <c r="V154" s="318"/>
      <c r="W154" s="318"/>
      <c r="X154" s="318"/>
    </row>
    <row r="155" ht="15.75" customHeight="1">
      <c r="A155" s="318"/>
      <c r="B155" s="318"/>
      <c r="C155" s="318"/>
      <c r="D155" s="318"/>
      <c r="E155" s="318"/>
      <c r="F155" s="318"/>
      <c r="G155" s="318"/>
      <c r="H155" s="318"/>
      <c r="I155" s="318"/>
      <c r="J155" s="318"/>
      <c r="K155" s="318"/>
      <c r="L155" s="318"/>
      <c r="M155" s="318"/>
      <c r="N155" s="318"/>
      <c r="O155" s="318"/>
      <c r="P155" s="318"/>
      <c r="Q155" s="318"/>
      <c r="R155" s="318"/>
      <c r="S155" s="318"/>
      <c r="T155" s="318"/>
      <c r="U155" s="318"/>
      <c r="V155" s="318"/>
      <c r="W155" s="318"/>
      <c r="X155" s="318"/>
    </row>
    <row r="156" ht="15.75" customHeight="1">
      <c r="A156" s="318"/>
      <c r="B156" s="318"/>
      <c r="C156" s="318"/>
      <c r="D156" s="318"/>
      <c r="E156" s="318"/>
      <c r="F156" s="318"/>
      <c r="G156" s="318"/>
      <c r="H156" s="318"/>
      <c r="I156" s="318"/>
      <c r="J156" s="318"/>
      <c r="K156" s="318"/>
      <c r="L156" s="318"/>
      <c r="M156" s="318"/>
      <c r="N156" s="318"/>
      <c r="O156" s="318"/>
      <c r="P156" s="318"/>
      <c r="Q156" s="318"/>
      <c r="R156" s="318"/>
      <c r="S156" s="318"/>
      <c r="T156" s="318"/>
      <c r="U156" s="318"/>
      <c r="V156" s="318"/>
      <c r="W156" s="318"/>
      <c r="X156" s="318"/>
    </row>
    <row r="157" ht="15.75" customHeight="1">
      <c r="A157" s="318"/>
      <c r="B157" s="318"/>
      <c r="C157" s="318"/>
      <c r="D157" s="318"/>
      <c r="E157" s="318"/>
      <c r="F157" s="318"/>
      <c r="G157" s="318"/>
      <c r="H157" s="318"/>
      <c r="I157" s="318"/>
      <c r="J157" s="318"/>
      <c r="K157" s="318"/>
      <c r="L157" s="318"/>
      <c r="M157" s="318"/>
      <c r="N157" s="318"/>
      <c r="O157" s="318"/>
      <c r="P157" s="318"/>
      <c r="Q157" s="318"/>
      <c r="R157" s="318"/>
      <c r="S157" s="318"/>
      <c r="T157" s="318"/>
      <c r="U157" s="318"/>
      <c r="V157" s="318"/>
      <c r="W157" s="318"/>
      <c r="X157" s="318"/>
    </row>
    <row r="158" ht="15.75" customHeight="1">
      <c r="A158" s="318"/>
      <c r="B158" s="318"/>
      <c r="C158" s="318"/>
      <c r="D158" s="318"/>
      <c r="E158" s="318"/>
      <c r="F158" s="318"/>
      <c r="G158" s="318"/>
      <c r="H158" s="318"/>
      <c r="I158" s="318"/>
      <c r="J158" s="318"/>
      <c r="K158" s="318"/>
      <c r="L158" s="318"/>
      <c r="M158" s="318"/>
      <c r="N158" s="318"/>
      <c r="O158" s="318"/>
      <c r="P158" s="318"/>
      <c r="Q158" s="318"/>
      <c r="R158" s="318"/>
      <c r="S158" s="318"/>
      <c r="T158" s="318"/>
      <c r="U158" s="318"/>
      <c r="V158" s="318"/>
      <c r="W158" s="318"/>
      <c r="X158" s="318"/>
    </row>
    <row r="159" ht="15.75" customHeight="1">
      <c r="A159" s="318"/>
      <c r="B159" s="318"/>
      <c r="C159" s="318"/>
      <c r="D159" s="318"/>
      <c r="E159" s="318"/>
      <c r="F159" s="318"/>
      <c r="G159" s="318"/>
      <c r="H159" s="318"/>
      <c r="I159" s="318"/>
      <c r="J159" s="318"/>
      <c r="K159" s="318"/>
      <c r="L159" s="318"/>
      <c r="M159" s="318"/>
      <c r="N159" s="318"/>
      <c r="O159" s="318"/>
      <c r="P159" s="318"/>
      <c r="Q159" s="318"/>
      <c r="R159" s="318"/>
      <c r="S159" s="318"/>
      <c r="T159" s="318"/>
      <c r="U159" s="318"/>
      <c r="V159" s="318"/>
      <c r="W159" s="318"/>
      <c r="X159" s="318"/>
    </row>
    <row r="160" ht="15.75" customHeight="1">
      <c r="A160" s="318"/>
      <c r="B160" s="318"/>
      <c r="C160" s="318"/>
      <c r="D160" s="318"/>
      <c r="E160" s="318"/>
      <c r="F160" s="318"/>
      <c r="G160" s="318"/>
      <c r="H160" s="318"/>
      <c r="I160" s="318"/>
      <c r="J160" s="318"/>
      <c r="K160" s="318"/>
      <c r="L160" s="318"/>
      <c r="M160" s="318"/>
      <c r="N160" s="318"/>
      <c r="O160" s="318"/>
      <c r="P160" s="318"/>
      <c r="Q160" s="318"/>
      <c r="R160" s="318"/>
      <c r="S160" s="318"/>
      <c r="T160" s="318"/>
      <c r="U160" s="318"/>
      <c r="V160" s="318"/>
      <c r="W160" s="318"/>
      <c r="X160" s="318"/>
    </row>
    <row r="161" ht="15.75" customHeight="1">
      <c r="A161" s="318"/>
      <c r="B161" s="318"/>
      <c r="C161" s="318"/>
      <c r="D161" s="318"/>
      <c r="E161" s="318"/>
      <c r="F161" s="318"/>
      <c r="G161" s="318"/>
      <c r="H161" s="318"/>
      <c r="I161" s="318"/>
      <c r="J161" s="318"/>
      <c r="K161" s="318"/>
      <c r="L161" s="318"/>
      <c r="M161" s="318"/>
      <c r="N161" s="318"/>
      <c r="O161" s="318"/>
      <c r="P161" s="318"/>
      <c r="Q161" s="318"/>
      <c r="R161" s="318"/>
      <c r="S161" s="318"/>
      <c r="T161" s="318"/>
      <c r="U161" s="318"/>
      <c r="V161" s="318"/>
      <c r="W161" s="318"/>
      <c r="X161" s="318"/>
    </row>
    <row r="162" ht="15.75" customHeight="1">
      <c r="A162" s="318"/>
      <c r="B162" s="318"/>
      <c r="C162" s="318"/>
      <c r="D162" s="318"/>
      <c r="E162" s="318"/>
      <c r="F162" s="318"/>
      <c r="G162" s="318"/>
      <c r="H162" s="318"/>
      <c r="I162" s="318"/>
      <c r="J162" s="318"/>
      <c r="K162" s="318"/>
      <c r="L162" s="318"/>
      <c r="M162" s="318"/>
      <c r="N162" s="318"/>
      <c r="O162" s="318"/>
      <c r="P162" s="318"/>
      <c r="Q162" s="318"/>
      <c r="R162" s="318"/>
      <c r="S162" s="318"/>
      <c r="T162" s="318"/>
      <c r="U162" s="318"/>
      <c r="V162" s="318"/>
      <c r="W162" s="318"/>
      <c r="X162" s="318"/>
    </row>
    <row r="163" ht="15.75" customHeight="1">
      <c r="A163" s="318"/>
      <c r="B163" s="318"/>
      <c r="C163" s="318"/>
      <c r="D163" s="318"/>
      <c r="E163" s="318"/>
      <c r="F163" s="318"/>
      <c r="G163" s="318"/>
      <c r="H163" s="318"/>
      <c r="I163" s="318"/>
      <c r="J163" s="318"/>
      <c r="K163" s="318"/>
      <c r="L163" s="318"/>
      <c r="M163" s="318"/>
      <c r="N163" s="318"/>
      <c r="O163" s="318"/>
      <c r="P163" s="318"/>
      <c r="Q163" s="318"/>
      <c r="R163" s="318"/>
      <c r="S163" s="318"/>
      <c r="T163" s="318"/>
      <c r="U163" s="318"/>
      <c r="V163" s="318"/>
      <c r="W163" s="318"/>
      <c r="X163" s="318"/>
    </row>
    <row r="164" ht="15.75" customHeight="1">
      <c r="A164" s="318"/>
      <c r="B164" s="318"/>
      <c r="C164" s="318"/>
      <c r="D164" s="318"/>
      <c r="E164" s="318"/>
      <c r="F164" s="318"/>
      <c r="G164" s="318"/>
      <c r="H164" s="318"/>
      <c r="I164" s="318"/>
      <c r="J164" s="318"/>
      <c r="K164" s="318"/>
      <c r="L164" s="318"/>
      <c r="M164" s="318"/>
      <c r="N164" s="318"/>
      <c r="O164" s="318"/>
      <c r="P164" s="318"/>
      <c r="Q164" s="318"/>
      <c r="R164" s="318"/>
      <c r="S164" s="318"/>
      <c r="T164" s="318"/>
      <c r="U164" s="318"/>
      <c r="V164" s="318"/>
      <c r="W164" s="318"/>
      <c r="X164" s="318"/>
    </row>
    <row r="165" ht="15.75" customHeight="1">
      <c r="A165" s="318"/>
      <c r="B165" s="318"/>
      <c r="C165" s="318"/>
      <c r="D165" s="318"/>
      <c r="E165" s="318"/>
      <c r="F165" s="318"/>
      <c r="G165" s="318"/>
      <c r="H165" s="318"/>
      <c r="I165" s="318"/>
      <c r="J165" s="318"/>
      <c r="K165" s="318"/>
      <c r="L165" s="318"/>
      <c r="M165" s="318"/>
      <c r="N165" s="318"/>
      <c r="O165" s="318"/>
      <c r="P165" s="318"/>
      <c r="Q165" s="318"/>
      <c r="R165" s="318"/>
      <c r="S165" s="318"/>
      <c r="T165" s="318"/>
      <c r="U165" s="318"/>
      <c r="V165" s="318"/>
      <c r="W165" s="318"/>
      <c r="X165" s="318"/>
    </row>
    <row r="166" ht="15.75" customHeight="1">
      <c r="A166" s="318"/>
      <c r="B166" s="318"/>
      <c r="C166" s="318"/>
      <c r="D166" s="318"/>
      <c r="E166" s="318"/>
      <c r="F166" s="318"/>
      <c r="G166" s="318"/>
      <c r="H166" s="318"/>
      <c r="I166" s="318"/>
      <c r="J166" s="318"/>
      <c r="K166" s="318"/>
      <c r="L166" s="318"/>
      <c r="M166" s="318"/>
      <c r="N166" s="318"/>
      <c r="O166" s="318"/>
      <c r="P166" s="318"/>
      <c r="Q166" s="318"/>
      <c r="R166" s="318"/>
      <c r="S166" s="318"/>
      <c r="T166" s="318"/>
      <c r="U166" s="318"/>
      <c r="V166" s="318"/>
      <c r="W166" s="318"/>
      <c r="X166" s="318"/>
    </row>
    <row r="167" ht="15.75" customHeight="1">
      <c r="A167" s="318"/>
      <c r="B167" s="318"/>
      <c r="C167" s="318"/>
      <c r="D167" s="318"/>
      <c r="E167" s="318"/>
      <c r="F167" s="318"/>
      <c r="G167" s="318"/>
      <c r="H167" s="318"/>
      <c r="I167" s="318"/>
      <c r="J167" s="318"/>
      <c r="K167" s="318"/>
      <c r="L167" s="318"/>
      <c r="M167" s="318"/>
      <c r="N167" s="318"/>
      <c r="O167" s="318"/>
      <c r="P167" s="318"/>
      <c r="Q167" s="318"/>
      <c r="R167" s="318"/>
      <c r="S167" s="318"/>
      <c r="T167" s="318"/>
      <c r="U167" s="318"/>
      <c r="V167" s="318"/>
      <c r="W167" s="318"/>
      <c r="X167" s="318"/>
    </row>
    <row r="168" ht="15.75" customHeight="1">
      <c r="A168" s="318"/>
      <c r="B168" s="318"/>
      <c r="C168" s="318"/>
      <c r="D168" s="318"/>
      <c r="E168" s="318"/>
      <c r="F168" s="318"/>
      <c r="G168" s="318"/>
      <c r="H168" s="318"/>
      <c r="I168" s="318"/>
      <c r="J168" s="318"/>
      <c r="K168" s="318"/>
      <c r="L168" s="318"/>
      <c r="M168" s="318"/>
      <c r="N168" s="318"/>
      <c r="O168" s="318"/>
      <c r="P168" s="318"/>
      <c r="Q168" s="318"/>
      <c r="R168" s="318"/>
      <c r="S168" s="318"/>
      <c r="T168" s="318"/>
      <c r="U168" s="318"/>
      <c r="V168" s="318"/>
      <c r="W168" s="318"/>
      <c r="X168" s="318"/>
    </row>
    <row r="169" ht="15.75" customHeight="1">
      <c r="A169" s="318"/>
      <c r="B169" s="318"/>
      <c r="C169" s="318"/>
      <c r="D169" s="318"/>
      <c r="E169" s="318"/>
      <c r="F169" s="318"/>
      <c r="G169" s="318"/>
      <c r="H169" s="318"/>
      <c r="I169" s="318"/>
      <c r="J169" s="318"/>
      <c r="K169" s="318"/>
      <c r="L169" s="318"/>
      <c r="M169" s="318"/>
      <c r="N169" s="318"/>
      <c r="O169" s="318"/>
      <c r="P169" s="318"/>
      <c r="Q169" s="318"/>
      <c r="R169" s="318"/>
      <c r="S169" s="318"/>
      <c r="T169" s="318"/>
      <c r="U169" s="318"/>
      <c r="V169" s="318"/>
      <c r="W169" s="318"/>
      <c r="X169" s="318"/>
    </row>
    <row r="170" ht="15.75" customHeight="1">
      <c r="A170" s="318"/>
      <c r="B170" s="318"/>
      <c r="C170" s="318"/>
      <c r="D170" s="318"/>
      <c r="E170" s="318"/>
      <c r="F170" s="318"/>
      <c r="G170" s="318"/>
      <c r="H170" s="318"/>
      <c r="I170" s="318"/>
      <c r="J170" s="318"/>
      <c r="K170" s="318"/>
      <c r="L170" s="318"/>
      <c r="M170" s="318"/>
      <c r="N170" s="318"/>
      <c r="O170" s="318"/>
      <c r="P170" s="318"/>
      <c r="Q170" s="318"/>
      <c r="R170" s="318"/>
      <c r="S170" s="318"/>
      <c r="T170" s="318"/>
      <c r="U170" s="318"/>
      <c r="V170" s="318"/>
      <c r="W170" s="318"/>
      <c r="X170" s="318"/>
    </row>
    <row r="171" ht="15.75" customHeight="1">
      <c r="A171" s="318"/>
      <c r="B171" s="318"/>
      <c r="C171" s="318"/>
      <c r="D171" s="318"/>
      <c r="E171" s="318"/>
      <c r="F171" s="318"/>
      <c r="G171" s="318"/>
      <c r="H171" s="318"/>
      <c r="I171" s="318"/>
      <c r="J171" s="318"/>
      <c r="K171" s="318"/>
      <c r="L171" s="318"/>
      <c r="M171" s="318"/>
      <c r="N171" s="318"/>
      <c r="O171" s="318"/>
      <c r="P171" s="318"/>
      <c r="Q171" s="318"/>
      <c r="R171" s="318"/>
      <c r="S171" s="318"/>
      <c r="T171" s="318"/>
      <c r="U171" s="318"/>
      <c r="V171" s="318"/>
      <c r="W171" s="318"/>
      <c r="X171" s="318"/>
    </row>
    <row r="172" ht="15.75" customHeight="1">
      <c r="A172" s="318"/>
      <c r="B172" s="318"/>
      <c r="C172" s="318"/>
      <c r="D172" s="318"/>
      <c r="E172" s="318"/>
      <c r="F172" s="318"/>
      <c r="G172" s="318"/>
      <c r="H172" s="318"/>
      <c r="I172" s="318"/>
      <c r="J172" s="318"/>
      <c r="K172" s="318"/>
      <c r="L172" s="318"/>
      <c r="M172" s="318"/>
      <c r="N172" s="318"/>
      <c r="O172" s="318"/>
      <c r="P172" s="318"/>
      <c r="Q172" s="318"/>
      <c r="R172" s="318"/>
      <c r="S172" s="318"/>
      <c r="T172" s="318"/>
      <c r="U172" s="318"/>
      <c r="V172" s="318"/>
      <c r="W172" s="318"/>
      <c r="X172" s="318"/>
    </row>
    <row r="173" ht="15.75" customHeight="1">
      <c r="A173" s="318"/>
      <c r="B173" s="318"/>
      <c r="C173" s="318"/>
      <c r="D173" s="318"/>
      <c r="E173" s="318"/>
      <c r="F173" s="318"/>
      <c r="G173" s="318"/>
      <c r="H173" s="318"/>
      <c r="I173" s="318"/>
      <c r="J173" s="318"/>
      <c r="K173" s="318"/>
      <c r="L173" s="318"/>
      <c r="M173" s="318"/>
      <c r="N173" s="318"/>
      <c r="O173" s="318"/>
      <c r="P173" s="318"/>
      <c r="Q173" s="318"/>
      <c r="R173" s="318"/>
      <c r="S173" s="318"/>
      <c r="T173" s="318"/>
      <c r="U173" s="318"/>
      <c r="V173" s="318"/>
      <c r="W173" s="318"/>
      <c r="X173" s="318"/>
    </row>
    <row r="174" ht="15.75" customHeight="1">
      <c r="A174" s="318"/>
      <c r="B174" s="318"/>
      <c r="C174" s="318"/>
      <c r="D174" s="318"/>
      <c r="E174" s="318"/>
      <c r="F174" s="318"/>
      <c r="G174" s="318"/>
      <c r="H174" s="318"/>
      <c r="I174" s="318"/>
      <c r="J174" s="318"/>
      <c r="K174" s="318"/>
      <c r="L174" s="318"/>
      <c r="M174" s="318"/>
      <c r="N174" s="318"/>
      <c r="O174" s="318"/>
      <c r="P174" s="318"/>
      <c r="Q174" s="318"/>
      <c r="R174" s="318"/>
      <c r="S174" s="318"/>
      <c r="T174" s="318"/>
      <c r="U174" s="318"/>
      <c r="V174" s="318"/>
      <c r="W174" s="318"/>
      <c r="X174" s="318"/>
    </row>
    <row r="175" ht="15.75" customHeight="1">
      <c r="A175" s="318"/>
      <c r="B175" s="318"/>
      <c r="C175" s="318"/>
      <c r="D175" s="318"/>
      <c r="E175" s="318"/>
      <c r="F175" s="318"/>
      <c r="G175" s="318"/>
      <c r="H175" s="318"/>
      <c r="I175" s="318"/>
      <c r="J175" s="318"/>
      <c r="K175" s="318"/>
      <c r="L175" s="318"/>
      <c r="M175" s="318"/>
      <c r="N175" s="318"/>
      <c r="O175" s="318"/>
      <c r="P175" s="318"/>
      <c r="Q175" s="318"/>
      <c r="R175" s="318"/>
      <c r="S175" s="318"/>
      <c r="T175" s="318"/>
      <c r="U175" s="318"/>
      <c r="V175" s="318"/>
      <c r="W175" s="318"/>
      <c r="X175" s="318"/>
    </row>
    <row r="176" ht="15.75" customHeight="1">
      <c r="A176" s="318"/>
      <c r="B176" s="318"/>
      <c r="C176" s="318"/>
      <c r="D176" s="318"/>
      <c r="E176" s="318"/>
      <c r="F176" s="318"/>
      <c r="G176" s="318"/>
      <c r="H176" s="318"/>
      <c r="I176" s="318"/>
      <c r="J176" s="318"/>
      <c r="K176" s="318"/>
      <c r="L176" s="318"/>
      <c r="M176" s="318"/>
      <c r="N176" s="318"/>
      <c r="O176" s="318"/>
      <c r="P176" s="318"/>
      <c r="Q176" s="318"/>
      <c r="R176" s="318"/>
      <c r="S176" s="318"/>
      <c r="T176" s="318"/>
      <c r="U176" s="318"/>
      <c r="V176" s="318"/>
      <c r="W176" s="318"/>
      <c r="X176" s="318"/>
    </row>
    <row r="177" ht="15.75" customHeight="1">
      <c r="A177" s="318"/>
      <c r="B177" s="318"/>
      <c r="C177" s="318"/>
      <c r="D177" s="318"/>
      <c r="E177" s="318"/>
      <c r="F177" s="318"/>
      <c r="G177" s="318"/>
      <c r="H177" s="318"/>
      <c r="I177" s="318"/>
      <c r="J177" s="318"/>
      <c r="K177" s="318"/>
      <c r="L177" s="318"/>
      <c r="M177" s="318"/>
      <c r="N177" s="318"/>
      <c r="O177" s="318"/>
      <c r="P177" s="318"/>
      <c r="Q177" s="318"/>
      <c r="R177" s="318"/>
      <c r="S177" s="318"/>
      <c r="T177" s="318"/>
      <c r="U177" s="318"/>
      <c r="V177" s="318"/>
      <c r="W177" s="318"/>
      <c r="X177" s="318"/>
    </row>
    <row r="178" ht="15.75" customHeight="1">
      <c r="A178" s="318"/>
      <c r="B178" s="318"/>
      <c r="C178" s="318"/>
      <c r="D178" s="318"/>
      <c r="E178" s="318"/>
      <c r="F178" s="318"/>
      <c r="G178" s="318"/>
      <c r="H178" s="318"/>
      <c r="I178" s="318"/>
      <c r="J178" s="318"/>
      <c r="K178" s="318"/>
      <c r="L178" s="318"/>
      <c r="M178" s="318"/>
      <c r="N178" s="318"/>
      <c r="O178" s="318"/>
      <c r="P178" s="318"/>
      <c r="Q178" s="318"/>
      <c r="R178" s="318"/>
      <c r="S178" s="318"/>
      <c r="T178" s="318"/>
      <c r="U178" s="318"/>
      <c r="V178" s="318"/>
      <c r="W178" s="318"/>
      <c r="X178" s="318"/>
    </row>
    <row r="179" ht="15.75" customHeight="1">
      <c r="A179" s="318"/>
      <c r="B179" s="318"/>
      <c r="C179" s="318"/>
      <c r="D179" s="318"/>
      <c r="E179" s="318"/>
      <c r="F179" s="318"/>
      <c r="G179" s="318"/>
      <c r="H179" s="318"/>
      <c r="I179" s="318"/>
      <c r="J179" s="318"/>
      <c r="K179" s="318"/>
      <c r="L179" s="318"/>
      <c r="M179" s="318"/>
      <c r="N179" s="318"/>
      <c r="O179" s="318"/>
      <c r="P179" s="318"/>
      <c r="Q179" s="318"/>
      <c r="R179" s="318"/>
      <c r="S179" s="318"/>
      <c r="T179" s="318"/>
      <c r="U179" s="318"/>
      <c r="V179" s="318"/>
      <c r="W179" s="318"/>
      <c r="X179" s="318"/>
    </row>
    <row r="180" ht="15.75" customHeight="1">
      <c r="A180" s="318"/>
      <c r="B180" s="318"/>
      <c r="C180" s="318"/>
      <c r="D180" s="318"/>
      <c r="E180" s="318"/>
      <c r="F180" s="318"/>
      <c r="G180" s="318"/>
      <c r="H180" s="318"/>
      <c r="I180" s="318"/>
      <c r="J180" s="318"/>
      <c r="K180" s="318"/>
      <c r="L180" s="318"/>
      <c r="M180" s="318"/>
      <c r="N180" s="318"/>
      <c r="O180" s="318"/>
      <c r="P180" s="318"/>
      <c r="Q180" s="318"/>
      <c r="R180" s="318"/>
      <c r="S180" s="318"/>
      <c r="T180" s="318"/>
      <c r="U180" s="318"/>
      <c r="V180" s="318"/>
      <c r="W180" s="318"/>
      <c r="X180" s="318"/>
    </row>
    <row r="181" ht="15.75" customHeight="1">
      <c r="A181" s="318"/>
      <c r="B181" s="318"/>
      <c r="C181" s="318"/>
      <c r="D181" s="318"/>
      <c r="E181" s="318"/>
      <c r="F181" s="318"/>
      <c r="G181" s="318"/>
      <c r="H181" s="318"/>
      <c r="I181" s="318"/>
      <c r="J181" s="318"/>
      <c r="K181" s="318"/>
      <c r="L181" s="318"/>
      <c r="M181" s="318"/>
      <c r="N181" s="318"/>
      <c r="O181" s="318"/>
      <c r="P181" s="318"/>
      <c r="Q181" s="318"/>
      <c r="R181" s="318"/>
      <c r="S181" s="318"/>
      <c r="T181" s="318"/>
      <c r="U181" s="318"/>
      <c r="V181" s="318"/>
      <c r="W181" s="318"/>
      <c r="X181" s="318"/>
    </row>
    <row r="182" ht="15.75" customHeight="1">
      <c r="A182" s="318"/>
      <c r="B182" s="318"/>
      <c r="C182" s="318"/>
      <c r="D182" s="318"/>
      <c r="E182" s="318"/>
      <c r="F182" s="318"/>
      <c r="G182" s="318"/>
      <c r="H182" s="318"/>
      <c r="I182" s="318"/>
      <c r="J182" s="318"/>
      <c r="K182" s="318"/>
      <c r="L182" s="318"/>
      <c r="M182" s="318"/>
      <c r="N182" s="318"/>
      <c r="O182" s="318"/>
      <c r="P182" s="318"/>
      <c r="Q182" s="318"/>
      <c r="R182" s="318"/>
      <c r="S182" s="318"/>
      <c r="T182" s="318"/>
      <c r="U182" s="318"/>
      <c r="V182" s="318"/>
      <c r="W182" s="318"/>
      <c r="X182" s="318"/>
    </row>
    <row r="183" ht="15.75" customHeight="1">
      <c r="A183" s="318"/>
      <c r="B183" s="318"/>
      <c r="C183" s="318"/>
      <c r="D183" s="318"/>
      <c r="E183" s="318"/>
      <c r="F183" s="318"/>
      <c r="G183" s="318"/>
      <c r="H183" s="318"/>
      <c r="I183" s="318"/>
      <c r="J183" s="318"/>
      <c r="K183" s="318"/>
      <c r="L183" s="318"/>
      <c r="M183" s="318"/>
      <c r="N183" s="318"/>
      <c r="O183" s="318"/>
      <c r="P183" s="318"/>
      <c r="Q183" s="318"/>
      <c r="R183" s="318"/>
      <c r="S183" s="318"/>
      <c r="T183" s="318"/>
      <c r="U183" s="318"/>
      <c r="V183" s="318"/>
      <c r="W183" s="318"/>
      <c r="X183" s="318"/>
    </row>
    <row r="184" ht="15.75" customHeight="1">
      <c r="A184" s="318"/>
      <c r="B184" s="318"/>
      <c r="C184" s="318"/>
      <c r="D184" s="318"/>
      <c r="E184" s="318"/>
      <c r="F184" s="318"/>
      <c r="G184" s="318"/>
      <c r="H184" s="318"/>
      <c r="I184" s="318"/>
      <c r="J184" s="318"/>
      <c r="K184" s="318"/>
      <c r="L184" s="318"/>
      <c r="M184" s="318"/>
      <c r="N184" s="318"/>
      <c r="O184" s="318"/>
      <c r="P184" s="318"/>
      <c r="Q184" s="318"/>
      <c r="R184" s="318"/>
      <c r="S184" s="318"/>
      <c r="T184" s="318"/>
      <c r="U184" s="318"/>
      <c r="V184" s="318"/>
      <c r="W184" s="318"/>
      <c r="X184" s="318"/>
    </row>
    <row r="185" ht="15.75" customHeight="1">
      <c r="A185" s="318"/>
      <c r="B185" s="318"/>
      <c r="C185" s="318"/>
      <c r="D185" s="318"/>
      <c r="E185" s="318"/>
      <c r="F185" s="318"/>
      <c r="G185" s="318"/>
      <c r="H185" s="318"/>
      <c r="I185" s="318"/>
      <c r="J185" s="318"/>
      <c r="K185" s="318"/>
      <c r="L185" s="318"/>
      <c r="M185" s="318"/>
      <c r="N185" s="318"/>
      <c r="O185" s="318"/>
      <c r="P185" s="318"/>
      <c r="Q185" s="318"/>
      <c r="R185" s="318"/>
      <c r="S185" s="318"/>
      <c r="T185" s="318"/>
      <c r="U185" s="318"/>
      <c r="V185" s="318"/>
      <c r="W185" s="318"/>
      <c r="X185" s="318"/>
    </row>
    <row r="186" ht="15.75" customHeight="1">
      <c r="A186" s="318"/>
      <c r="B186" s="318"/>
      <c r="C186" s="318"/>
      <c r="D186" s="318"/>
      <c r="E186" s="318"/>
      <c r="F186" s="318"/>
      <c r="G186" s="318"/>
      <c r="H186" s="318"/>
      <c r="I186" s="318"/>
      <c r="J186" s="318"/>
      <c r="K186" s="318"/>
      <c r="L186" s="318"/>
      <c r="M186" s="318"/>
      <c r="N186" s="318"/>
      <c r="O186" s="318"/>
      <c r="P186" s="318"/>
      <c r="Q186" s="318"/>
      <c r="R186" s="318"/>
      <c r="S186" s="318"/>
      <c r="T186" s="318"/>
      <c r="U186" s="318"/>
      <c r="V186" s="318"/>
      <c r="W186" s="318"/>
      <c r="X186" s="318"/>
    </row>
    <row r="187" ht="15.75" customHeight="1">
      <c r="A187" s="318"/>
      <c r="B187" s="318"/>
      <c r="C187" s="318"/>
      <c r="D187" s="318"/>
      <c r="E187" s="318"/>
      <c r="F187" s="318"/>
      <c r="G187" s="318"/>
      <c r="H187" s="318"/>
      <c r="I187" s="318"/>
      <c r="J187" s="318"/>
      <c r="K187" s="318"/>
      <c r="L187" s="318"/>
      <c r="M187" s="318"/>
      <c r="N187" s="318"/>
      <c r="O187" s="318"/>
      <c r="P187" s="318"/>
      <c r="Q187" s="318"/>
      <c r="R187" s="318"/>
      <c r="S187" s="318"/>
      <c r="T187" s="318"/>
      <c r="U187" s="318"/>
      <c r="V187" s="318"/>
      <c r="W187" s="318"/>
      <c r="X187" s="318"/>
    </row>
    <row r="188" ht="15.75" customHeight="1">
      <c r="A188" s="318"/>
      <c r="B188" s="318"/>
      <c r="C188" s="318"/>
      <c r="D188" s="318"/>
      <c r="E188" s="318"/>
      <c r="F188" s="318"/>
      <c r="G188" s="318"/>
      <c r="H188" s="318"/>
      <c r="I188" s="318"/>
      <c r="J188" s="318"/>
      <c r="K188" s="318"/>
      <c r="L188" s="318"/>
      <c r="M188" s="318"/>
      <c r="N188" s="318"/>
      <c r="O188" s="318"/>
      <c r="P188" s="318"/>
      <c r="Q188" s="318"/>
      <c r="R188" s="318"/>
      <c r="S188" s="318"/>
      <c r="T188" s="318"/>
      <c r="U188" s="318"/>
      <c r="V188" s="318"/>
      <c r="W188" s="318"/>
      <c r="X188" s="318"/>
    </row>
    <row r="189" ht="15.75" customHeight="1">
      <c r="A189" s="318"/>
      <c r="B189" s="318"/>
      <c r="C189" s="318"/>
      <c r="D189" s="318"/>
      <c r="E189" s="318"/>
      <c r="F189" s="318"/>
      <c r="G189" s="318"/>
      <c r="H189" s="318"/>
      <c r="I189" s="318"/>
      <c r="J189" s="318"/>
      <c r="K189" s="318"/>
      <c r="L189" s="318"/>
      <c r="M189" s="318"/>
      <c r="N189" s="318"/>
      <c r="O189" s="318"/>
      <c r="P189" s="318"/>
      <c r="Q189" s="318"/>
      <c r="R189" s="318"/>
      <c r="S189" s="318"/>
      <c r="T189" s="318"/>
      <c r="U189" s="318"/>
      <c r="V189" s="318"/>
      <c r="W189" s="318"/>
      <c r="X189" s="318"/>
    </row>
    <row r="190" ht="15.75" customHeight="1">
      <c r="A190" s="318"/>
      <c r="B190" s="318"/>
      <c r="C190" s="318"/>
      <c r="D190" s="318"/>
      <c r="E190" s="318"/>
      <c r="F190" s="318"/>
      <c r="G190" s="318"/>
      <c r="H190" s="318"/>
      <c r="I190" s="318"/>
      <c r="J190" s="318"/>
      <c r="K190" s="318"/>
      <c r="L190" s="318"/>
      <c r="M190" s="318"/>
      <c r="N190" s="318"/>
      <c r="O190" s="318"/>
      <c r="P190" s="318"/>
      <c r="Q190" s="318"/>
      <c r="R190" s="318"/>
      <c r="S190" s="318"/>
      <c r="T190" s="318"/>
      <c r="U190" s="318"/>
      <c r="V190" s="318"/>
      <c r="W190" s="318"/>
      <c r="X190" s="318"/>
    </row>
    <row r="191" ht="15.75" customHeight="1">
      <c r="A191" s="318"/>
      <c r="B191" s="318"/>
      <c r="C191" s="318"/>
      <c r="D191" s="318"/>
      <c r="E191" s="318"/>
      <c r="F191" s="318"/>
      <c r="G191" s="318"/>
      <c r="H191" s="318"/>
      <c r="I191" s="318"/>
      <c r="J191" s="318"/>
      <c r="K191" s="318"/>
      <c r="L191" s="318"/>
      <c r="M191" s="318"/>
      <c r="N191" s="318"/>
      <c r="O191" s="318"/>
      <c r="P191" s="318"/>
      <c r="Q191" s="318"/>
      <c r="R191" s="318"/>
      <c r="S191" s="318"/>
      <c r="T191" s="318"/>
      <c r="U191" s="318"/>
      <c r="V191" s="318"/>
      <c r="W191" s="318"/>
      <c r="X191" s="318"/>
    </row>
    <row r="192" ht="15.75" customHeight="1">
      <c r="A192" s="318"/>
      <c r="B192" s="318"/>
      <c r="C192" s="318"/>
      <c r="D192" s="318"/>
      <c r="E192" s="318"/>
      <c r="F192" s="318"/>
      <c r="G192" s="318"/>
      <c r="H192" s="318"/>
      <c r="I192" s="318"/>
      <c r="J192" s="318"/>
      <c r="K192" s="318"/>
      <c r="L192" s="318"/>
      <c r="M192" s="318"/>
      <c r="N192" s="318"/>
      <c r="O192" s="318"/>
      <c r="P192" s="318"/>
      <c r="Q192" s="318"/>
      <c r="R192" s="318"/>
      <c r="S192" s="318"/>
      <c r="T192" s="318"/>
      <c r="U192" s="318"/>
      <c r="V192" s="318"/>
      <c r="W192" s="318"/>
      <c r="X192" s="318"/>
    </row>
    <row r="193" ht="15.75" customHeight="1">
      <c r="A193" s="318"/>
      <c r="B193" s="318"/>
      <c r="C193" s="318"/>
      <c r="D193" s="318"/>
      <c r="E193" s="318"/>
      <c r="F193" s="318"/>
      <c r="G193" s="318"/>
      <c r="H193" s="318"/>
      <c r="I193" s="318"/>
      <c r="J193" s="318"/>
      <c r="K193" s="318"/>
      <c r="L193" s="318"/>
      <c r="M193" s="318"/>
      <c r="N193" s="318"/>
      <c r="O193" s="318"/>
      <c r="P193" s="318"/>
      <c r="Q193" s="318"/>
      <c r="R193" s="318"/>
      <c r="S193" s="318"/>
      <c r="T193" s="318"/>
      <c r="U193" s="318"/>
      <c r="V193" s="318"/>
      <c r="W193" s="318"/>
      <c r="X193" s="318"/>
    </row>
    <row r="194" ht="15.75" customHeight="1">
      <c r="A194" s="318"/>
      <c r="B194" s="318"/>
      <c r="C194" s="318"/>
      <c r="D194" s="318"/>
      <c r="E194" s="318"/>
      <c r="F194" s="318"/>
      <c r="G194" s="318"/>
      <c r="H194" s="318"/>
      <c r="I194" s="318"/>
      <c r="J194" s="318"/>
      <c r="K194" s="318"/>
      <c r="L194" s="318"/>
      <c r="M194" s="318"/>
      <c r="N194" s="318"/>
      <c r="O194" s="318"/>
      <c r="P194" s="318"/>
      <c r="Q194" s="318"/>
      <c r="R194" s="318"/>
      <c r="S194" s="318"/>
      <c r="T194" s="318"/>
      <c r="U194" s="318"/>
      <c r="V194" s="318"/>
      <c r="W194" s="318"/>
      <c r="X194" s="318"/>
    </row>
    <row r="195" ht="15.75" customHeight="1">
      <c r="A195" s="318"/>
      <c r="B195" s="318"/>
      <c r="C195" s="318"/>
      <c r="D195" s="318"/>
      <c r="E195" s="318"/>
      <c r="F195" s="318"/>
      <c r="G195" s="318"/>
      <c r="H195" s="318"/>
      <c r="I195" s="318"/>
      <c r="J195" s="318"/>
      <c r="K195" s="318"/>
      <c r="L195" s="318"/>
      <c r="M195" s="318"/>
      <c r="N195" s="318"/>
      <c r="O195" s="318"/>
      <c r="P195" s="318"/>
      <c r="Q195" s="318"/>
      <c r="R195" s="318"/>
      <c r="S195" s="318"/>
      <c r="T195" s="318"/>
      <c r="U195" s="318"/>
      <c r="V195" s="318"/>
      <c r="W195" s="318"/>
      <c r="X195" s="318"/>
    </row>
    <row r="196" ht="15.75" customHeight="1">
      <c r="A196" s="318"/>
      <c r="B196" s="318"/>
      <c r="C196" s="318"/>
      <c r="D196" s="318"/>
      <c r="E196" s="318"/>
      <c r="F196" s="318"/>
      <c r="G196" s="318"/>
      <c r="H196" s="318"/>
      <c r="I196" s="318"/>
      <c r="J196" s="318"/>
      <c r="K196" s="318"/>
      <c r="L196" s="318"/>
      <c r="M196" s="318"/>
      <c r="N196" s="318"/>
      <c r="O196" s="318"/>
      <c r="P196" s="318"/>
      <c r="Q196" s="318"/>
      <c r="R196" s="318"/>
      <c r="S196" s="318"/>
      <c r="T196" s="318"/>
      <c r="U196" s="318"/>
      <c r="V196" s="318"/>
      <c r="W196" s="318"/>
      <c r="X196" s="318"/>
    </row>
    <row r="197" ht="15.75" customHeight="1">
      <c r="A197" s="318"/>
      <c r="B197" s="318"/>
      <c r="C197" s="318"/>
      <c r="D197" s="318"/>
      <c r="E197" s="318"/>
      <c r="F197" s="318"/>
      <c r="G197" s="318"/>
      <c r="H197" s="318"/>
      <c r="I197" s="318"/>
      <c r="J197" s="318"/>
      <c r="K197" s="318"/>
      <c r="L197" s="318"/>
      <c r="M197" s="318"/>
      <c r="N197" s="318"/>
      <c r="O197" s="318"/>
      <c r="P197" s="318"/>
      <c r="Q197" s="318"/>
      <c r="R197" s="318"/>
      <c r="S197" s="318"/>
      <c r="T197" s="318"/>
      <c r="U197" s="318"/>
      <c r="V197" s="318"/>
      <c r="W197" s="318"/>
      <c r="X197" s="318"/>
    </row>
    <row r="198" ht="15.75" customHeight="1">
      <c r="A198" s="318"/>
      <c r="B198" s="318"/>
      <c r="C198" s="318"/>
      <c r="D198" s="318"/>
      <c r="E198" s="318"/>
      <c r="F198" s="318"/>
      <c r="G198" s="318"/>
      <c r="H198" s="318"/>
      <c r="I198" s="318"/>
      <c r="J198" s="318"/>
      <c r="K198" s="318"/>
      <c r="L198" s="318"/>
      <c r="M198" s="318"/>
      <c r="N198" s="318"/>
      <c r="O198" s="318"/>
      <c r="P198" s="318"/>
      <c r="Q198" s="318"/>
      <c r="R198" s="318"/>
      <c r="S198" s="318"/>
      <c r="T198" s="318"/>
      <c r="U198" s="318"/>
      <c r="V198" s="318"/>
      <c r="W198" s="318"/>
      <c r="X198" s="318"/>
    </row>
    <row r="199" ht="15.75" customHeight="1">
      <c r="A199" s="318"/>
      <c r="B199" s="318"/>
      <c r="C199" s="318"/>
      <c r="D199" s="318"/>
      <c r="E199" s="318"/>
      <c r="F199" s="318"/>
      <c r="G199" s="318"/>
      <c r="H199" s="318"/>
      <c r="I199" s="318"/>
      <c r="J199" s="318"/>
      <c r="K199" s="318"/>
      <c r="L199" s="318"/>
      <c r="M199" s="318"/>
      <c r="N199" s="318"/>
      <c r="O199" s="318"/>
      <c r="P199" s="318"/>
      <c r="Q199" s="318"/>
      <c r="R199" s="318"/>
      <c r="S199" s="318"/>
      <c r="T199" s="318"/>
      <c r="U199" s="318"/>
      <c r="V199" s="318"/>
      <c r="W199" s="318"/>
      <c r="X199" s="318"/>
    </row>
    <row r="200" ht="15.75" customHeight="1">
      <c r="A200" s="318"/>
      <c r="B200" s="318"/>
      <c r="C200" s="318"/>
      <c r="D200" s="318"/>
      <c r="E200" s="318"/>
      <c r="F200" s="318"/>
      <c r="G200" s="318"/>
      <c r="H200" s="318"/>
      <c r="I200" s="318"/>
      <c r="J200" s="318"/>
      <c r="K200" s="318"/>
      <c r="L200" s="318"/>
      <c r="M200" s="318"/>
      <c r="N200" s="318"/>
      <c r="O200" s="318"/>
      <c r="P200" s="318"/>
      <c r="Q200" s="318"/>
      <c r="R200" s="318"/>
      <c r="S200" s="318"/>
      <c r="T200" s="318"/>
      <c r="U200" s="318"/>
      <c r="V200" s="318"/>
      <c r="W200" s="318"/>
      <c r="X200" s="318"/>
    </row>
    <row r="201" ht="15.75" customHeight="1">
      <c r="A201" s="318"/>
      <c r="B201" s="318"/>
      <c r="C201" s="318"/>
      <c r="D201" s="318"/>
      <c r="E201" s="318"/>
      <c r="F201" s="318"/>
      <c r="G201" s="318"/>
      <c r="H201" s="318"/>
      <c r="I201" s="318"/>
      <c r="J201" s="318"/>
      <c r="K201" s="318"/>
      <c r="L201" s="318"/>
      <c r="M201" s="318"/>
      <c r="N201" s="318"/>
      <c r="O201" s="318"/>
      <c r="P201" s="318"/>
      <c r="Q201" s="318"/>
      <c r="R201" s="318"/>
      <c r="S201" s="318"/>
      <c r="T201" s="318"/>
      <c r="U201" s="318"/>
      <c r="V201" s="318"/>
      <c r="W201" s="318"/>
      <c r="X201" s="318"/>
    </row>
    <row r="202" ht="15.75" customHeight="1">
      <c r="A202" s="318"/>
      <c r="B202" s="318"/>
      <c r="C202" s="318"/>
      <c r="D202" s="318"/>
      <c r="E202" s="318"/>
      <c r="F202" s="318"/>
      <c r="G202" s="318"/>
      <c r="H202" s="318"/>
      <c r="I202" s="318"/>
      <c r="J202" s="318"/>
      <c r="K202" s="318"/>
      <c r="L202" s="318"/>
      <c r="M202" s="318"/>
      <c r="N202" s="318"/>
      <c r="O202" s="318"/>
      <c r="P202" s="318"/>
      <c r="Q202" s="318"/>
      <c r="R202" s="318"/>
      <c r="S202" s="318"/>
      <c r="T202" s="318"/>
      <c r="U202" s="318"/>
      <c r="V202" s="318"/>
      <c r="W202" s="318"/>
      <c r="X202" s="318"/>
    </row>
    <row r="203" ht="15.75" customHeight="1">
      <c r="A203" s="318"/>
      <c r="B203" s="318"/>
      <c r="C203" s="318"/>
      <c r="D203" s="318"/>
      <c r="E203" s="318"/>
      <c r="F203" s="318"/>
      <c r="G203" s="318"/>
      <c r="H203" s="318"/>
      <c r="I203" s="318"/>
      <c r="J203" s="318"/>
      <c r="K203" s="318"/>
      <c r="L203" s="318"/>
      <c r="M203" s="318"/>
      <c r="N203" s="318"/>
      <c r="O203" s="318"/>
      <c r="P203" s="318"/>
      <c r="Q203" s="318"/>
      <c r="R203" s="318"/>
      <c r="S203" s="318"/>
      <c r="T203" s="318"/>
      <c r="U203" s="318"/>
      <c r="V203" s="318"/>
      <c r="W203" s="318"/>
      <c r="X203" s="318"/>
    </row>
    <row r="204" ht="15.75" customHeight="1">
      <c r="A204" s="318"/>
      <c r="B204" s="318"/>
      <c r="C204" s="318"/>
      <c r="D204" s="318"/>
      <c r="E204" s="318"/>
      <c r="F204" s="318"/>
      <c r="G204" s="318"/>
      <c r="H204" s="318"/>
      <c r="I204" s="318"/>
      <c r="J204" s="318"/>
      <c r="K204" s="318"/>
      <c r="L204" s="318"/>
      <c r="M204" s="318"/>
      <c r="N204" s="318"/>
      <c r="O204" s="318"/>
      <c r="P204" s="318"/>
      <c r="Q204" s="318"/>
      <c r="R204" s="318"/>
      <c r="S204" s="318"/>
      <c r="T204" s="318"/>
      <c r="U204" s="318"/>
      <c r="V204" s="318"/>
      <c r="W204" s="318"/>
      <c r="X204" s="318"/>
    </row>
    <row r="205" ht="15.75" customHeight="1">
      <c r="A205" s="318"/>
      <c r="B205" s="318"/>
      <c r="C205" s="318"/>
      <c r="D205" s="318"/>
      <c r="E205" s="318"/>
      <c r="F205" s="318"/>
      <c r="G205" s="318"/>
      <c r="H205" s="318"/>
      <c r="I205" s="318"/>
      <c r="J205" s="318"/>
      <c r="K205" s="318"/>
      <c r="L205" s="318"/>
      <c r="M205" s="318"/>
      <c r="N205" s="318"/>
      <c r="O205" s="318"/>
      <c r="P205" s="318"/>
      <c r="Q205" s="318"/>
      <c r="R205" s="318"/>
      <c r="S205" s="318"/>
      <c r="T205" s="318"/>
      <c r="U205" s="318"/>
      <c r="V205" s="318"/>
      <c r="W205" s="318"/>
      <c r="X205" s="318"/>
    </row>
    <row r="206" ht="15.75" customHeight="1">
      <c r="A206" s="318"/>
      <c r="B206" s="318"/>
      <c r="C206" s="318"/>
      <c r="D206" s="318"/>
      <c r="E206" s="318"/>
      <c r="F206" s="318"/>
      <c r="G206" s="318"/>
      <c r="H206" s="318"/>
      <c r="I206" s="318"/>
      <c r="J206" s="318"/>
      <c r="K206" s="318"/>
      <c r="L206" s="318"/>
      <c r="M206" s="318"/>
      <c r="N206" s="318"/>
      <c r="O206" s="318"/>
      <c r="P206" s="318"/>
      <c r="Q206" s="318"/>
      <c r="R206" s="318"/>
      <c r="S206" s="318"/>
      <c r="T206" s="318"/>
      <c r="U206" s="318"/>
      <c r="V206" s="318"/>
      <c r="W206" s="318"/>
      <c r="X206" s="318"/>
    </row>
    <row r="207" ht="15.75" customHeight="1">
      <c r="A207" s="318"/>
      <c r="B207" s="318"/>
      <c r="C207" s="318"/>
      <c r="D207" s="318"/>
      <c r="E207" s="318"/>
      <c r="F207" s="318"/>
      <c r="G207" s="318"/>
      <c r="H207" s="318"/>
      <c r="I207" s="318"/>
      <c r="J207" s="318"/>
      <c r="K207" s="318"/>
      <c r="L207" s="318"/>
      <c r="M207" s="318"/>
      <c r="N207" s="318"/>
      <c r="O207" s="318"/>
      <c r="P207" s="318"/>
      <c r="Q207" s="318"/>
      <c r="R207" s="318"/>
      <c r="S207" s="318"/>
      <c r="T207" s="318"/>
      <c r="U207" s="318"/>
      <c r="V207" s="318"/>
      <c r="W207" s="318"/>
      <c r="X207" s="318"/>
    </row>
    <row r="208" ht="15.75" customHeight="1">
      <c r="A208" s="318"/>
      <c r="B208" s="318"/>
      <c r="C208" s="318"/>
      <c r="D208" s="318"/>
      <c r="E208" s="318"/>
      <c r="F208" s="318"/>
      <c r="G208" s="318"/>
      <c r="H208" s="318"/>
      <c r="I208" s="318"/>
      <c r="J208" s="318"/>
      <c r="K208" s="318"/>
      <c r="L208" s="318"/>
      <c r="M208" s="318"/>
      <c r="N208" s="318"/>
      <c r="O208" s="318"/>
      <c r="P208" s="318"/>
      <c r="Q208" s="318"/>
      <c r="R208" s="318"/>
      <c r="S208" s="318"/>
      <c r="T208" s="318"/>
      <c r="U208" s="318"/>
      <c r="V208" s="318"/>
      <c r="W208" s="318"/>
      <c r="X208" s="318"/>
    </row>
    <row r="209" ht="15.75" customHeight="1">
      <c r="A209" s="318"/>
      <c r="B209" s="318"/>
      <c r="C209" s="318"/>
      <c r="D209" s="318"/>
      <c r="E209" s="318"/>
      <c r="F209" s="318"/>
      <c r="G209" s="318"/>
      <c r="H209" s="318"/>
      <c r="I209" s="318"/>
      <c r="J209" s="318"/>
      <c r="K209" s="318"/>
      <c r="L209" s="318"/>
      <c r="M209" s="318"/>
      <c r="N209" s="318"/>
      <c r="O209" s="318"/>
      <c r="P209" s="318"/>
      <c r="Q209" s="318"/>
      <c r="R209" s="318"/>
      <c r="S209" s="318"/>
      <c r="T209" s="318"/>
      <c r="U209" s="318"/>
      <c r="V209" s="318"/>
      <c r="W209" s="318"/>
      <c r="X209" s="318"/>
    </row>
    <row r="210" ht="15.75" customHeight="1">
      <c r="A210" s="318"/>
      <c r="B210" s="318"/>
      <c r="C210" s="318"/>
      <c r="D210" s="318"/>
      <c r="E210" s="318"/>
      <c r="F210" s="318"/>
      <c r="G210" s="318"/>
      <c r="H210" s="318"/>
      <c r="I210" s="318"/>
      <c r="J210" s="318"/>
      <c r="K210" s="318"/>
      <c r="L210" s="318"/>
      <c r="M210" s="318"/>
      <c r="N210" s="318"/>
      <c r="O210" s="318"/>
      <c r="P210" s="318"/>
      <c r="Q210" s="318"/>
      <c r="R210" s="318"/>
      <c r="S210" s="318"/>
      <c r="T210" s="318"/>
      <c r="U210" s="318"/>
      <c r="V210" s="318"/>
      <c r="W210" s="318"/>
      <c r="X210" s="318"/>
    </row>
    <row r="211" ht="15.75" customHeight="1">
      <c r="A211" s="318"/>
      <c r="B211" s="318"/>
      <c r="C211" s="318"/>
      <c r="D211" s="318"/>
      <c r="E211" s="318"/>
      <c r="F211" s="318"/>
      <c r="G211" s="318"/>
      <c r="H211" s="318"/>
      <c r="I211" s="318"/>
      <c r="J211" s="318"/>
      <c r="K211" s="318"/>
      <c r="L211" s="318"/>
      <c r="M211" s="318"/>
      <c r="N211" s="318"/>
      <c r="O211" s="318"/>
      <c r="P211" s="318"/>
      <c r="Q211" s="318"/>
      <c r="R211" s="318"/>
      <c r="S211" s="318"/>
      <c r="T211" s="318"/>
      <c r="U211" s="318"/>
      <c r="V211" s="318"/>
      <c r="W211" s="318"/>
      <c r="X211" s="318"/>
    </row>
    <row r="212" ht="15.75" customHeight="1">
      <c r="A212" s="318"/>
      <c r="B212" s="318"/>
      <c r="C212" s="318"/>
      <c r="D212" s="318"/>
      <c r="E212" s="318"/>
      <c r="F212" s="318"/>
      <c r="G212" s="318"/>
      <c r="H212" s="318"/>
      <c r="I212" s="318"/>
      <c r="J212" s="318"/>
      <c r="K212" s="318"/>
      <c r="L212" s="318"/>
      <c r="M212" s="318"/>
      <c r="N212" s="318"/>
      <c r="O212" s="318"/>
      <c r="P212" s="318"/>
      <c r="Q212" s="318"/>
      <c r="R212" s="318"/>
      <c r="S212" s="318"/>
      <c r="T212" s="318"/>
      <c r="U212" s="318"/>
      <c r="V212" s="318"/>
      <c r="W212" s="318"/>
      <c r="X212" s="318"/>
    </row>
    <row r="213" ht="15.75" customHeight="1">
      <c r="A213" s="318"/>
      <c r="B213" s="318"/>
      <c r="C213" s="318"/>
      <c r="D213" s="318"/>
      <c r="E213" s="318"/>
      <c r="F213" s="318"/>
      <c r="G213" s="318"/>
      <c r="H213" s="318"/>
      <c r="I213" s="318"/>
      <c r="J213" s="318"/>
      <c r="K213" s="318"/>
      <c r="L213" s="318"/>
      <c r="M213" s="318"/>
      <c r="N213" s="318"/>
      <c r="O213" s="318"/>
      <c r="P213" s="318"/>
      <c r="Q213" s="318"/>
      <c r="R213" s="318"/>
      <c r="S213" s="318"/>
      <c r="T213" s="318"/>
      <c r="U213" s="318"/>
      <c r="V213" s="318"/>
      <c r="W213" s="318"/>
      <c r="X213" s="318"/>
    </row>
    <row r="214" ht="15.75" customHeight="1">
      <c r="A214" s="318"/>
      <c r="B214" s="318"/>
      <c r="C214" s="318"/>
      <c r="D214" s="318"/>
      <c r="E214" s="318"/>
      <c r="F214" s="318"/>
      <c r="G214" s="318"/>
      <c r="H214" s="318"/>
      <c r="I214" s="318"/>
      <c r="J214" s="318"/>
      <c r="K214" s="318"/>
      <c r="L214" s="318"/>
      <c r="M214" s="318"/>
      <c r="N214" s="318"/>
      <c r="O214" s="318"/>
      <c r="P214" s="318"/>
      <c r="Q214" s="318"/>
      <c r="R214" s="318"/>
      <c r="S214" s="318"/>
      <c r="T214" s="318"/>
      <c r="U214" s="318"/>
      <c r="V214" s="318"/>
      <c r="W214" s="318"/>
      <c r="X214" s="318"/>
    </row>
    <row r="215" ht="15.75" customHeight="1">
      <c r="A215" s="318"/>
      <c r="B215" s="318"/>
      <c r="C215" s="318"/>
      <c r="D215" s="318"/>
      <c r="E215" s="318"/>
      <c r="F215" s="318"/>
      <c r="G215" s="318"/>
      <c r="H215" s="318"/>
      <c r="I215" s="318"/>
      <c r="J215" s="318"/>
      <c r="K215" s="318"/>
      <c r="L215" s="318"/>
      <c r="M215" s="318"/>
      <c r="N215" s="318"/>
      <c r="O215" s="318"/>
      <c r="P215" s="318"/>
      <c r="Q215" s="318"/>
      <c r="R215" s="318"/>
      <c r="S215" s="318"/>
      <c r="T215" s="318"/>
      <c r="U215" s="318"/>
      <c r="V215" s="318"/>
      <c r="W215" s="318"/>
      <c r="X215" s="318"/>
    </row>
    <row r="216" ht="15.75" customHeight="1">
      <c r="A216" s="318"/>
      <c r="B216" s="318"/>
      <c r="C216" s="318"/>
      <c r="D216" s="318"/>
      <c r="E216" s="318"/>
      <c r="F216" s="318"/>
      <c r="G216" s="318"/>
      <c r="H216" s="318"/>
      <c r="I216" s="318"/>
      <c r="J216" s="318"/>
      <c r="K216" s="318"/>
      <c r="L216" s="318"/>
      <c r="M216" s="318"/>
      <c r="N216" s="318"/>
      <c r="O216" s="318"/>
      <c r="P216" s="318"/>
      <c r="Q216" s="318"/>
      <c r="R216" s="318"/>
      <c r="S216" s="318"/>
      <c r="T216" s="318"/>
      <c r="U216" s="318"/>
      <c r="V216" s="318"/>
      <c r="W216" s="318"/>
      <c r="X216" s="318"/>
    </row>
    <row r="217" ht="15.75" customHeight="1">
      <c r="A217" s="318"/>
      <c r="B217" s="318"/>
      <c r="C217" s="318"/>
      <c r="D217" s="318"/>
      <c r="E217" s="318"/>
      <c r="F217" s="318"/>
      <c r="G217" s="318"/>
      <c r="H217" s="318"/>
      <c r="I217" s="318"/>
      <c r="J217" s="318"/>
      <c r="K217" s="318"/>
      <c r="L217" s="318"/>
      <c r="M217" s="318"/>
      <c r="N217" s="318"/>
      <c r="O217" s="318"/>
      <c r="P217" s="318"/>
      <c r="Q217" s="318"/>
      <c r="R217" s="318"/>
      <c r="S217" s="318"/>
      <c r="T217" s="318"/>
      <c r="U217" s="318"/>
      <c r="V217" s="318"/>
      <c r="W217" s="318"/>
      <c r="X217" s="318"/>
    </row>
    <row r="218" ht="15.75" customHeight="1">
      <c r="A218" s="318"/>
      <c r="B218" s="318"/>
      <c r="C218" s="318"/>
      <c r="D218" s="318"/>
      <c r="E218" s="318"/>
      <c r="F218" s="318"/>
      <c r="G218" s="318"/>
      <c r="H218" s="318"/>
      <c r="I218" s="318"/>
      <c r="J218" s="318"/>
      <c r="K218" s="318"/>
      <c r="L218" s="318"/>
      <c r="M218" s="318"/>
      <c r="N218" s="318"/>
      <c r="O218" s="318"/>
      <c r="P218" s="318"/>
      <c r="Q218" s="318"/>
      <c r="R218" s="318"/>
      <c r="S218" s="318"/>
      <c r="T218" s="318"/>
      <c r="U218" s="318"/>
      <c r="V218" s="318"/>
      <c r="W218" s="318"/>
      <c r="X218" s="318"/>
    </row>
    <row r="219" ht="15.75" customHeight="1">
      <c r="A219" s="318"/>
      <c r="B219" s="318"/>
      <c r="C219" s="318"/>
      <c r="D219" s="318"/>
      <c r="E219" s="318"/>
      <c r="F219" s="318"/>
      <c r="G219" s="318"/>
      <c r="H219" s="318"/>
      <c r="I219" s="318"/>
      <c r="J219" s="318"/>
      <c r="K219" s="318"/>
      <c r="L219" s="318"/>
      <c r="M219" s="318"/>
      <c r="N219" s="318"/>
      <c r="O219" s="318"/>
      <c r="P219" s="318"/>
      <c r="Q219" s="318"/>
      <c r="R219" s="318"/>
      <c r="S219" s="318"/>
      <c r="T219" s="318"/>
      <c r="U219" s="318"/>
      <c r="V219" s="318"/>
      <c r="W219" s="318"/>
      <c r="X219" s="318"/>
    </row>
    <row r="220" ht="15.75" customHeight="1">
      <c r="A220" s="318"/>
      <c r="B220" s="318"/>
      <c r="C220" s="318"/>
      <c r="D220" s="318"/>
      <c r="E220" s="318"/>
      <c r="F220" s="318"/>
      <c r="G220" s="318"/>
      <c r="H220" s="318"/>
      <c r="I220" s="318"/>
      <c r="J220" s="318"/>
      <c r="K220" s="318"/>
      <c r="L220" s="318"/>
      <c r="M220" s="318"/>
      <c r="N220" s="318"/>
      <c r="O220" s="318"/>
      <c r="P220" s="318"/>
      <c r="Q220" s="318"/>
      <c r="R220" s="318"/>
      <c r="S220" s="318"/>
      <c r="T220" s="318"/>
      <c r="U220" s="318"/>
      <c r="V220" s="318"/>
      <c r="W220" s="318"/>
      <c r="X220" s="318"/>
    </row>
    <row r="221" ht="15.75" customHeight="1">
      <c r="A221" s="318"/>
      <c r="B221" s="318"/>
      <c r="C221" s="318"/>
      <c r="D221" s="318"/>
      <c r="E221" s="318"/>
      <c r="F221" s="318"/>
      <c r="G221" s="318"/>
      <c r="H221" s="318"/>
      <c r="I221" s="318"/>
      <c r="J221" s="318"/>
      <c r="K221" s="318"/>
      <c r="L221" s="318"/>
      <c r="M221" s="318"/>
      <c r="N221" s="318"/>
      <c r="O221" s="318"/>
      <c r="P221" s="318"/>
      <c r="Q221" s="318"/>
      <c r="R221" s="318"/>
      <c r="S221" s="318"/>
      <c r="T221" s="318"/>
      <c r="U221" s="318"/>
      <c r="V221" s="318"/>
      <c r="W221" s="318"/>
      <c r="X221" s="318"/>
    </row>
    <row r="222" ht="15.75" customHeight="1">
      <c r="A222" s="318"/>
      <c r="B222" s="318"/>
      <c r="C222" s="318"/>
      <c r="D222" s="318"/>
      <c r="E222" s="318"/>
      <c r="F222" s="318"/>
      <c r="G222" s="318"/>
      <c r="H222" s="318"/>
      <c r="I222" s="318"/>
      <c r="J222" s="318"/>
      <c r="K222" s="318"/>
      <c r="L222" s="318"/>
      <c r="M222" s="318"/>
      <c r="N222" s="318"/>
      <c r="O222" s="318"/>
      <c r="P222" s="318"/>
      <c r="Q222" s="318"/>
      <c r="R222" s="318"/>
      <c r="S222" s="318"/>
      <c r="T222" s="318"/>
      <c r="U222" s="318"/>
      <c r="V222" s="318"/>
      <c r="W222" s="318"/>
      <c r="X222" s="318"/>
    </row>
    <row r="223" ht="15.75" customHeight="1">
      <c r="A223" s="318"/>
      <c r="B223" s="318"/>
      <c r="C223" s="318"/>
      <c r="D223" s="318"/>
      <c r="E223" s="318"/>
      <c r="F223" s="318"/>
      <c r="G223" s="318"/>
      <c r="H223" s="318"/>
      <c r="I223" s="318"/>
      <c r="J223" s="318"/>
      <c r="K223" s="318"/>
      <c r="L223" s="318"/>
      <c r="M223" s="318"/>
      <c r="N223" s="318"/>
      <c r="O223" s="318"/>
      <c r="P223" s="318"/>
      <c r="Q223" s="318"/>
      <c r="R223" s="318"/>
      <c r="S223" s="318"/>
      <c r="T223" s="318"/>
      <c r="U223" s="318"/>
      <c r="V223" s="318"/>
      <c r="W223" s="318"/>
      <c r="X223" s="318"/>
    </row>
    <row r="224" ht="15.75" customHeight="1">
      <c r="A224" s="318"/>
      <c r="B224" s="318"/>
      <c r="C224" s="318"/>
      <c r="D224" s="318"/>
      <c r="E224" s="318"/>
      <c r="F224" s="318"/>
      <c r="G224" s="318"/>
      <c r="H224" s="318"/>
      <c r="I224" s="318"/>
      <c r="J224" s="318"/>
      <c r="K224" s="318"/>
      <c r="L224" s="318"/>
      <c r="M224" s="318"/>
      <c r="N224" s="318"/>
      <c r="O224" s="318"/>
      <c r="P224" s="318"/>
      <c r="Q224" s="318"/>
      <c r="R224" s="318"/>
      <c r="S224" s="318"/>
      <c r="T224" s="318"/>
      <c r="U224" s="318"/>
      <c r="V224" s="318"/>
      <c r="W224" s="318"/>
      <c r="X224" s="318"/>
    </row>
    <row r="225" ht="15.75" customHeight="1">
      <c r="A225" s="318"/>
      <c r="B225" s="318"/>
      <c r="C225" s="318"/>
      <c r="D225" s="318"/>
      <c r="E225" s="318"/>
      <c r="F225" s="318"/>
      <c r="G225" s="318"/>
      <c r="H225" s="318"/>
      <c r="I225" s="318"/>
      <c r="J225" s="318"/>
      <c r="K225" s="318"/>
      <c r="L225" s="318"/>
      <c r="M225" s="318"/>
      <c r="N225" s="318"/>
      <c r="O225" s="318"/>
      <c r="P225" s="318"/>
      <c r="Q225" s="318"/>
      <c r="R225" s="318"/>
      <c r="S225" s="318"/>
      <c r="T225" s="318"/>
      <c r="U225" s="318"/>
      <c r="V225" s="318"/>
      <c r="W225" s="318"/>
      <c r="X225" s="318"/>
    </row>
    <row r="226" ht="15.75" customHeight="1">
      <c r="A226" s="318"/>
      <c r="B226" s="318"/>
      <c r="C226" s="318"/>
      <c r="D226" s="318"/>
      <c r="E226" s="318"/>
      <c r="F226" s="318"/>
      <c r="G226" s="318"/>
      <c r="H226" s="318"/>
      <c r="I226" s="318"/>
      <c r="J226" s="318"/>
      <c r="K226" s="318"/>
      <c r="L226" s="318"/>
      <c r="M226" s="318"/>
      <c r="N226" s="318"/>
      <c r="O226" s="318"/>
      <c r="P226" s="318"/>
      <c r="Q226" s="318"/>
      <c r="R226" s="318"/>
      <c r="S226" s="318"/>
      <c r="T226" s="318"/>
      <c r="U226" s="318"/>
      <c r="V226" s="318"/>
      <c r="W226" s="318"/>
      <c r="X226" s="318"/>
    </row>
    <row r="227" ht="15.75" customHeight="1">
      <c r="A227" s="318"/>
      <c r="B227" s="318"/>
      <c r="C227" s="318"/>
      <c r="D227" s="318"/>
      <c r="E227" s="318"/>
      <c r="F227" s="318"/>
      <c r="G227" s="318"/>
      <c r="H227" s="318"/>
      <c r="I227" s="318"/>
      <c r="J227" s="318"/>
      <c r="K227" s="318"/>
      <c r="L227" s="318"/>
      <c r="M227" s="318"/>
      <c r="N227" s="318"/>
      <c r="O227" s="318"/>
      <c r="P227" s="318"/>
      <c r="Q227" s="318"/>
      <c r="R227" s="318"/>
      <c r="S227" s="318"/>
      <c r="T227" s="318"/>
      <c r="U227" s="318"/>
      <c r="V227" s="318"/>
      <c r="W227" s="318"/>
      <c r="X227" s="318"/>
    </row>
    <row r="228" ht="15.75" customHeight="1">
      <c r="A228" s="318"/>
      <c r="B228" s="318"/>
      <c r="C228" s="318"/>
      <c r="D228" s="318"/>
      <c r="E228" s="318"/>
      <c r="F228" s="318"/>
      <c r="G228" s="318"/>
      <c r="H228" s="318"/>
      <c r="I228" s="318"/>
      <c r="J228" s="318"/>
      <c r="K228" s="318"/>
      <c r="L228" s="318"/>
      <c r="M228" s="318"/>
      <c r="N228" s="318"/>
      <c r="O228" s="318"/>
      <c r="P228" s="318"/>
      <c r="Q228" s="318"/>
      <c r="R228" s="318"/>
      <c r="S228" s="318"/>
      <c r="T228" s="318"/>
      <c r="U228" s="318"/>
      <c r="V228" s="318"/>
      <c r="W228" s="318"/>
      <c r="X228" s="318"/>
    </row>
    <row r="229" ht="15.75" customHeight="1">
      <c r="A229" s="318"/>
      <c r="B229" s="318"/>
      <c r="C229" s="318"/>
      <c r="D229" s="318"/>
      <c r="E229" s="318"/>
      <c r="F229" s="318"/>
      <c r="G229" s="318"/>
      <c r="H229" s="318"/>
      <c r="I229" s="318"/>
      <c r="J229" s="318"/>
      <c r="K229" s="318"/>
      <c r="L229" s="318"/>
      <c r="M229" s="318"/>
      <c r="N229" s="318"/>
      <c r="O229" s="318"/>
      <c r="P229" s="318"/>
      <c r="Q229" s="318"/>
      <c r="R229" s="318"/>
      <c r="S229" s="318"/>
      <c r="T229" s="318"/>
      <c r="U229" s="318"/>
      <c r="V229" s="318"/>
      <c r="W229" s="318"/>
      <c r="X229" s="318"/>
    </row>
    <row r="230" ht="15.75" customHeight="1">
      <c r="A230" s="318"/>
      <c r="B230" s="318"/>
      <c r="C230" s="318"/>
      <c r="D230" s="318"/>
      <c r="E230" s="318"/>
      <c r="F230" s="318"/>
      <c r="G230" s="318"/>
      <c r="H230" s="318"/>
      <c r="I230" s="318"/>
      <c r="J230" s="318"/>
      <c r="K230" s="318"/>
      <c r="L230" s="318"/>
      <c r="M230" s="318"/>
      <c r="N230" s="318"/>
      <c r="O230" s="318"/>
      <c r="P230" s="318"/>
      <c r="Q230" s="318"/>
      <c r="R230" s="318"/>
      <c r="S230" s="318"/>
      <c r="T230" s="318"/>
      <c r="U230" s="318"/>
      <c r="V230" s="318"/>
      <c r="W230" s="318"/>
      <c r="X230" s="318"/>
    </row>
    <row r="231" ht="15.75" customHeight="1">
      <c r="A231" s="318"/>
      <c r="B231" s="318"/>
      <c r="C231" s="318"/>
      <c r="D231" s="318"/>
      <c r="E231" s="318"/>
      <c r="F231" s="318"/>
      <c r="G231" s="318"/>
      <c r="H231" s="318"/>
      <c r="I231" s="318"/>
      <c r="J231" s="318"/>
      <c r="K231" s="318"/>
      <c r="L231" s="318"/>
      <c r="M231" s="318"/>
      <c r="N231" s="318"/>
      <c r="O231" s="318"/>
      <c r="P231" s="318"/>
      <c r="Q231" s="318"/>
      <c r="R231" s="318"/>
      <c r="S231" s="318"/>
      <c r="T231" s="318"/>
      <c r="U231" s="318"/>
      <c r="V231" s="318"/>
      <c r="W231" s="318"/>
      <c r="X231" s="318"/>
    </row>
    <row r="232" ht="15.75" customHeight="1">
      <c r="A232" s="318"/>
      <c r="B232" s="318"/>
      <c r="C232" s="318"/>
      <c r="D232" s="318"/>
      <c r="E232" s="318"/>
      <c r="F232" s="318"/>
      <c r="G232" s="318"/>
      <c r="H232" s="318"/>
      <c r="I232" s="318"/>
      <c r="J232" s="318"/>
      <c r="K232" s="318"/>
      <c r="L232" s="318"/>
      <c r="M232" s="318"/>
      <c r="N232" s="318"/>
      <c r="O232" s="318"/>
      <c r="P232" s="318"/>
      <c r="Q232" s="318"/>
      <c r="R232" s="318"/>
      <c r="S232" s="318"/>
      <c r="T232" s="318"/>
      <c r="U232" s="318"/>
      <c r="V232" s="318"/>
      <c r="W232" s="318"/>
      <c r="X232" s="318"/>
    </row>
    <row r="233" ht="15.75" customHeight="1">
      <c r="A233" s="318"/>
      <c r="B233" s="318"/>
      <c r="C233" s="318"/>
      <c r="D233" s="318"/>
      <c r="E233" s="318"/>
      <c r="F233" s="318"/>
      <c r="G233" s="318"/>
      <c r="H233" s="318"/>
      <c r="I233" s="318"/>
      <c r="J233" s="318"/>
      <c r="K233" s="318"/>
      <c r="L233" s="318"/>
      <c r="M233" s="318"/>
      <c r="N233" s="318"/>
      <c r="O233" s="318"/>
      <c r="P233" s="318"/>
      <c r="Q233" s="318"/>
      <c r="R233" s="318"/>
      <c r="S233" s="318"/>
      <c r="T233" s="318"/>
      <c r="U233" s="318"/>
      <c r="V233" s="318"/>
      <c r="W233" s="318"/>
      <c r="X233" s="318"/>
    </row>
    <row r="234" ht="15.75" customHeight="1">
      <c r="A234" s="318"/>
      <c r="B234" s="318"/>
      <c r="C234" s="318"/>
      <c r="D234" s="318"/>
      <c r="E234" s="318"/>
      <c r="F234" s="318"/>
      <c r="G234" s="318"/>
      <c r="H234" s="318"/>
      <c r="I234" s="318"/>
      <c r="J234" s="318"/>
      <c r="K234" s="318"/>
      <c r="L234" s="318"/>
      <c r="M234" s="318"/>
      <c r="N234" s="318"/>
      <c r="O234" s="318"/>
      <c r="P234" s="318"/>
      <c r="Q234" s="318"/>
      <c r="R234" s="318"/>
      <c r="S234" s="318"/>
      <c r="T234" s="318"/>
      <c r="U234" s="318"/>
      <c r="V234" s="318"/>
      <c r="W234" s="318"/>
      <c r="X234" s="318"/>
    </row>
    <row r="235" ht="15.75" customHeight="1">
      <c r="A235" s="318"/>
      <c r="B235" s="318"/>
      <c r="C235" s="318"/>
      <c r="D235" s="318"/>
      <c r="E235" s="318"/>
      <c r="F235" s="318"/>
      <c r="G235" s="318"/>
      <c r="H235" s="318"/>
      <c r="I235" s="318"/>
      <c r="J235" s="318"/>
      <c r="K235" s="318"/>
      <c r="L235" s="318"/>
      <c r="M235" s="318"/>
      <c r="N235" s="318"/>
      <c r="O235" s="318"/>
      <c r="P235" s="318"/>
      <c r="Q235" s="318"/>
      <c r="R235" s="318"/>
      <c r="S235" s="318"/>
      <c r="T235" s="318"/>
      <c r="U235" s="318"/>
      <c r="V235" s="318"/>
      <c r="W235" s="318"/>
      <c r="X235" s="318"/>
    </row>
    <row r="236" ht="15.75" customHeight="1">
      <c r="A236" s="318"/>
      <c r="B236" s="318"/>
      <c r="C236" s="318"/>
      <c r="D236" s="318"/>
      <c r="E236" s="318"/>
      <c r="F236" s="318"/>
      <c r="G236" s="318"/>
      <c r="H236" s="318"/>
      <c r="I236" s="318"/>
      <c r="J236" s="318"/>
      <c r="K236" s="318"/>
      <c r="L236" s="318"/>
      <c r="M236" s="318"/>
      <c r="N236" s="318"/>
      <c r="O236" s="318"/>
      <c r="P236" s="318"/>
      <c r="Q236" s="318"/>
      <c r="R236" s="318"/>
      <c r="S236" s="318"/>
      <c r="T236" s="318"/>
      <c r="U236" s="318"/>
      <c r="V236" s="318"/>
      <c r="W236" s="318"/>
      <c r="X236" s="318"/>
    </row>
    <row r="237" ht="15.75" customHeight="1">
      <c r="A237" s="318"/>
      <c r="B237" s="318"/>
      <c r="C237" s="318"/>
      <c r="D237" s="318"/>
      <c r="E237" s="318"/>
      <c r="F237" s="318"/>
      <c r="G237" s="318"/>
      <c r="H237" s="318"/>
      <c r="I237" s="318"/>
      <c r="J237" s="318"/>
      <c r="K237" s="318"/>
      <c r="L237" s="318"/>
      <c r="M237" s="318"/>
      <c r="N237" s="318"/>
      <c r="O237" s="318"/>
      <c r="P237" s="318"/>
      <c r="Q237" s="318"/>
      <c r="R237" s="318"/>
      <c r="S237" s="318"/>
      <c r="T237" s="318"/>
      <c r="U237" s="318"/>
      <c r="V237" s="318"/>
      <c r="W237" s="318"/>
      <c r="X237" s="318"/>
    </row>
    <row r="238" ht="15.75" customHeight="1">
      <c r="A238" s="318"/>
      <c r="B238" s="318"/>
      <c r="C238" s="318"/>
      <c r="D238" s="318"/>
      <c r="E238" s="318"/>
      <c r="F238" s="318"/>
      <c r="G238" s="318"/>
      <c r="H238" s="318"/>
      <c r="I238" s="318"/>
      <c r="J238" s="318"/>
      <c r="K238" s="318"/>
      <c r="L238" s="318"/>
      <c r="M238" s="318"/>
      <c r="N238" s="318"/>
      <c r="O238" s="318"/>
      <c r="P238" s="318"/>
      <c r="Q238" s="318"/>
      <c r="R238" s="318"/>
      <c r="S238" s="318"/>
      <c r="T238" s="318"/>
      <c r="U238" s="318"/>
      <c r="V238" s="318"/>
      <c r="W238" s="318"/>
      <c r="X238" s="318"/>
    </row>
    <row r="239" ht="15.75" customHeight="1">
      <c r="A239" s="318"/>
      <c r="B239" s="318"/>
      <c r="C239" s="318"/>
      <c r="D239" s="318"/>
      <c r="E239" s="318"/>
      <c r="F239" s="318"/>
      <c r="G239" s="318"/>
      <c r="H239" s="318"/>
      <c r="I239" s="318"/>
      <c r="J239" s="318"/>
      <c r="K239" s="318"/>
      <c r="L239" s="318"/>
      <c r="M239" s="318"/>
      <c r="N239" s="318"/>
      <c r="O239" s="318"/>
      <c r="P239" s="318"/>
      <c r="Q239" s="318"/>
      <c r="R239" s="318"/>
      <c r="S239" s="318"/>
      <c r="T239" s="318"/>
      <c r="U239" s="318"/>
      <c r="V239" s="318"/>
      <c r="W239" s="318"/>
      <c r="X239" s="318"/>
    </row>
    <row r="240" ht="15.75" customHeight="1">
      <c r="A240" s="318"/>
      <c r="B240" s="318"/>
      <c r="C240" s="318"/>
      <c r="D240" s="318"/>
      <c r="E240" s="318"/>
      <c r="F240" s="318"/>
      <c r="G240" s="318"/>
      <c r="H240" s="318"/>
      <c r="I240" s="318"/>
      <c r="J240" s="318"/>
      <c r="K240" s="318"/>
      <c r="L240" s="318"/>
      <c r="M240" s="318"/>
      <c r="N240" s="318"/>
      <c r="O240" s="318"/>
      <c r="P240" s="318"/>
      <c r="Q240" s="318"/>
      <c r="R240" s="318"/>
      <c r="S240" s="318"/>
      <c r="T240" s="318"/>
      <c r="U240" s="318"/>
      <c r="V240" s="318"/>
      <c r="W240" s="318"/>
      <c r="X240" s="318"/>
    </row>
    <row r="241" ht="15.75" customHeight="1">
      <c r="A241" s="318"/>
      <c r="B241" s="318"/>
      <c r="C241" s="318"/>
      <c r="D241" s="318"/>
      <c r="E241" s="318"/>
      <c r="F241" s="318"/>
      <c r="G241" s="318"/>
      <c r="H241" s="318"/>
      <c r="I241" s="318"/>
      <c r="J241" s="318"/>
      <c r="K241" s="318"/>
      <c r="L241" s="318"/>
      <c r="M241" s="318"/>
      <c r="N241" s="318"/>
      <c r="O241" s="318"/>
      <c r="P241" s="318"/>
      <c r="Q241" s="318"/>
      <c r="R241" s="318"/>
      <c r="S241" s="318"/>
      <c r="T241" s="318"/>
      <c r="U241" s="318"/>
      <c r="V241" s="318"/>
      <c r="W241" s="318"/>
      <c r="X241" s="318"/>
    </row>
    <row r="242" ht="15.75" customHeight="1">
      <c r="A242" s="318"/>
      <c r="B242" s="318"/>
      <c r="C242" s="318"/>
      <c r="D242" s="318"/>
      <c r="E242" s="318"/>
      <c r="F242" s="318"/>
      <c r="G242" s="318"/>
      <c r="H242" s="318"/>
      <c r="I242" s="318"/>
      <c r="J242" s="318"/>
      <c r="K242" s="318"/>
      <c r="L242" s="318"/>
      <c r="M242" s="318"/>
      <c r="N242" s="318"/>
      <c r="O242" s="318"/>
      <c r="P242" s="318"/>
      <c r="Q242" s="318"/>
      <c r="R242" s="318"/>
      <c r="S242" s="318"/>
      <c r="T242" s="318"/>
      <c r="U242" s="318"/>
      <c r="V242" s="318"/>
      <c r="W242" s="318"/>
      <c r="X242" s="318"/>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25"/>
    <col customWidth="1" min="2" max="2" width="92.0"/>
    <col customWidth="1" min="3" max="3" width="31.63"/>
    <col customWidth="1" min="4" max="4" width="19.88"/>
    <col customWidth="1" min="5" max="6" width="12.63"/>
  </cols>
  <sheetData>
    <row r="1" ht="15.75" customHeight="1">
      <c r="A1" s="318" t="s">
        <v>4117</v>
      </c>
      <c r="B1" s="318"/>
      <c r="C1" s="318"/>
      <c r="D1" s="318"/>
      <c r="E1" s="318"/>
      <c r="F1" s="318"/>
      <c r="G1" s="318"/>
      <c r="H1" s="318"/>
      <c r="I1" s="318"/>
      <c r="J1" s="318"/>
      <c r="K1" s="318"/>
      <c r="L1" s="318"/>
      <c r="M1" s="318"/>
      <c r="N1" s="318"/>
      <c r="O1" s="318"/>
      <c r="P1" s="318"/>
      <c r="Q1" s="318"/>
      <c r="R1" s="318"/>
      <c r="S1" s="318"/>
      <c r="T1" s="318"/>
      <c r="U1" s="318"/>
      <c r="V1" s="318"/>
      <c r="W1" s="318"/>
      <c r="X1" s="318"/>
    </row>
    <row r="2" ht="15.75" customHeight="1">
      <c r="A2" s="318"/>
      <c r="B2" s="318"/>
      <c r="C2" s="318"/>
      <c r="D2" s="318"/>
      <c r="E2" s="318"/>
      <c r="F2" s="318"/>
      <c r="G2" s="318"/>
      <c r="H2" s="318"/>
      <c r="I2" s="318"/>
      <c r="J2" s="318"/>
      <c r="K2" s="318"/>
      <c r="L2" s="318"/>
      <c r="M2" s="318"/>
      <c r="N2" s="318"/>
      <c r="O2" s="318"/>
      <c r="P2" s="318"/>
      <c r="Q2" s="318"/>
      <c r="R2" s="318"/>
      <c r="S2" s="318"/>
      <c r="T2" s="318"/>
      <c r="U2" s="318"/>
      <c r="V2" s="318"/>
      <c r="W2" s="318"/>
      <c r="X2" s="318"/>
    </row>
    <row r="3" ht="15.75" customHeight="1">
      <c r="A3" s="319" t="s">
        <v>4013</v>
      </c>
      <c r="B3" s="319" t="s">
        <v>4014</v>
      </c>
      <c r="C3" s="319" t="s">
        <v>4015</v>
      </c>
      <c r="D3" s="319" t="s">
        <v>4016</v>
      </c>
      <c r="E3" s="318"/>
      <c r="F3" s="318"/>
      <c r="G3" s="318"/>
      <c r="H3" s="318"/>
      <c r="I3" s="318"/>
      <c r="J3" s="318"/>
      <c r="K3" s="318"/>
      <c r="L3" s="318"/>
      <c r="M3" s="318"/>
      <c r="N3" s="318"/>
      <c r="O3" s="318"/>
      <c r="P3" s="318"/>
      <c r="Q3" s="318"/>
      <c r="R3" s="318"/>
      <c r="S3" s="318"/>
      <c r="T3" s="318"/>
      <c r="U3" s="318"/>
      <c r="V3" s="318"/>
      <c r="W3" s="318"/>
      <c r="X3" s="318"/>
    </row>
    <row r="4" ht="15.75" customHeight="1">
      <c r="A4" s="320" t="s">
        <v>4118</v>
      </c>
      <c r="B4" s="320" t="s">
        <v>4119</v>
      </c>
      <c r="C4" s="318" t="s">
        <v>4120</v>
      </c>
      <c r="D4" s="318"/>
      <c r="E4" s="318"/>
      <c r="F4" s="318"/>
      <c r="G4" s="318"/>
      <c r="H4" s="318"/>
      <c r="I4" s="318"/>
      <c r="J4" s="318"/>
      <c r="K4" s="318"/>
      <c r="L4" s="318"/>
      <c r="M4" s="318"/>
      <c r="N4" s="318"/>
      <c r="O4" s="318"/>
      <c r="P4" s="318"/>
      <c r="Q4" s="318"/>
      <c r="R4" s="318"/>
      <c r="S4" s="318"/>
      <c r="T4" s="318"/>
      <c r="U4" s="318"/>
      <c r="V4" s="318"/>
      <c r="W4" s="318"/>
      <c r="X4" s="318"/>
    </row>
    <row r="5" ht="15.75" customHeight="1">
      <c r="A5" s="320" t="s">
        <v>4121</v>
      </c>
      <c r="B5" s="320"/>
      <c r="C5" s="318"/>
      <c r="D5" s="318"/>
      <c r="E5" s="318"/>
      <c r="F5" s="318"/>
      <c r="G5" s="318"/>
      <c r="H5" s="318"/>
      <c r="I5" s="318"/>
      <c r="J5" s="318"/>
      <c r="K5" s="318"/>
      <c r="L5" s="318"/>
      <c r="M5" s="318"/>
      <c r="N5" s="318"/>
      <c r="O5" s="318"/>
      <c r="P5" s="318"/>
      <c r="Q5" s="318"/>
      <c r="R5" s="318"/>
      <c r="S5" s="318"/>
      <c r="T5" s="318"/>
      <c r="U5" s="318"/>
      <c r="V5" s="318"/>
      <c r="W5" s="318"/>
      <c r="X5" s="318"/>
    </row>
    <row r="6" ht="15.75" customHeight="1">
      <c r="A6" s="320" t="s">
        <v>4122</v>
      </c>
      <c r="B6" s="320" t="s">
        <v>4123</v>
      </c>
      <c r="C6" s="318" t="s">
        <v>4124</v>
      </c>
      <c r="D6" s="318"/>
      <c r="E6" s="318"/>
      <c r="F6" s="318"/>
      <c r="G6" s="318"/>
      <c r="H6" s="318"/>
      <c r="I6" s="318"/>
      <c r="J6" s="318"/>
      <c r="K6" s="318"/>
      <c r="L6" s="318"/>
      <c r="M6" s="318"/>
      <c r="N6" s="318"/>
      <c r="O6" s="318"/>
      <c r="P6" s="318"/>
      <c r="Q6" s="318"/>
      <c r="R6" s="318"/>
      <c r="S6" s="318"/>
      <c r="T6" s="318"/>
      <c r="U6" s="318"/>
      <c r="V6" s="318"/>
      <c r="W6" s="318"/>
      <c r="X6" s="318"/>
    </row>
    <row r="7" ht="15.75" customHeight="1">
      <c r="A7" s="320" t="s">
        <v>4125</v>
      </c>
      <c r="B7" s="320" t="s">
        <v>4126</v>
      </c>
      <c r="C7" s="318" t="s">
        <v>4127</v>
      </c>
      <c r="D7" s="318"/>
      <c r="E7" s="318"/>
      <c r="F7" s="318"/>
      <c r="G7" s="318"/>
      <c r="H7" s="318"/>
      <c r="I7" s="318"/>
      <c r="J7" s="318"/>
      <c r="K7" s="318"/>
      <c r="L7" s="318"/>
      <c r="M7" s="318"/>
      <c r="N7" s="318"/>
      <c r="O7" s="318"/>
      <c r="P7" s="318"/>
      <c r="Q7" s="318"/>
      <c r="R7" s="318"/>
      <c r="S7" s="318"/>
      <c r="T7" s="318"/>
      <c r="U7" s="318"/>
      <c r="V7" s="318"/>
      <c r="W7" s="318"/>
      <c r="X7" s="318"/>
    </row>
    <row r="8" ht="15.75" customHeight="1">
      <c r="A8" s="181" t="s">
        <v>4128</v>
      </c>
      <c r="B8" s="181" t="s">
        <v>4129</v>
      </c>
      <c r="C8" s="318" t="s">
        <v>4130</v>
      </c>
      <c r="D8" s="318"/>
      <c r="E8" s="318"/>
      <c r="F8" s="318"/>
      <c r="G8" s="318"/>
      <c r="H8" s="318"/>
      <c r="I8" s="318"/>
      <c r="J8" s="318"/>
      <c r="K8" s="318"/>
      <c r="L8" s="318"/>
      <c r="M8" s="318"/>
      <c r="N8" s="318"/>
      <c r="O8" s="318"/>
      <c r="P8" s="318"/>
      <c r="Q8" s="318"/>
      <c r="R8" s="318"/>
      <c r="S8" s="318"/>
      <c r="T8" s="318"/>
      <c r="U8" s="318"/>
      <c r="V8" s="318"/>
      <c r="W8" s="318"/>
      <c r="X8" s="318"/>
    </row>
    <row r="9" ht="15.75" customHeight="1">
      <c r="A9" s="181" t="s">
        <v>4131</v>
      </c>
      <c r="B9" s="181" t="s">
        <v>4132</v>
      </c>
      <c r="C9" s="318" t="s">
        <v>4133</v>
      </c>
      <c r="D9" s="318"/>
      <c r="E9" s="318"/>
      <c r="F9" s="318"/>
      <c r="G9" s="318"/>
      <c r="H9" s="318"/>
      <c r="I9" s="318"/>
      <c r="J9" s="318"/>
      <c r="K9" s="318"/>
      <c r="L9" s="318"/>
      <c r="M9" s="318"/>
      <c r="N9" s="318"/>
      <c r="O9" s="318"/>
      <c r="P9" s="318"/>
      <c r="Q9" s="318"/>
      <c r="R9" s="318"/>
      <c r="S9" s="318"/>
      <c r="T9" s="318"/>
      <c r="U9" s="318"/>
      <c r="V9" s="318"/>
      <c r="W9" s="318"/>
      <c r="X9" s="318"/>
    </row>
    <row r="10" ht="15.75" customHeight="1">
      <c r="A10" s="181" t="s">
        <v>4134</v>
      </c>
      <c r="B10" s="181" t="s">
        <v>4135</v>
      </c>
      <c r="C10" s="318" t="s">
        <v>4136</v>
      </c>
      <c r="D10" s="318"/>
      <c r="E10" s="318"/>
      <c r="F10" s="318"/>
      <c r="G10" s="318"/>
      <c r="H10" s="318"/>
      <c r="I10" s="318"/>
      <c r="J10" s="318"/>
      <c r="K10" s="318"/>
      <c r="L10" s="318"/>
      <c r="M10" s="318"/>
      <c r="N10" s="318"/>
      <c r="O10" s="318"/>
      <c r="P10" s="318"/>
      <c r="Q10" s="318"/>
      <c r="R10" s="318"/>
      <c r="S10" s="318"/>
      <c r="T10" s="318"/>
      <c r="U10" s="318"/>
      <c r="V10" s="318"/>
      <c r="W10" s="318"/>
      <c r="X10" s="318"/>
    </row>
    <row r="11" ht="15.75" customHeight="1">
      <c r="A11" s="181" t="s">
        <v>4137</v>
      </c>
      <c r="B11" s="181" t="s">
        <v>4138</v>
      </c>
      <c r="C11" s="318" t="s">
        <v>4139</v>
      </c>
      <c r="D11" s="318"/>
      <c r="E11" s="318"/>
      <c r="F11" s="318"/>
      <c r="G11" s="318"/>
      <c r="H11" s="318"/>
      <c r="I11" s="318"/>
      <c r="J11" s="318"/>
      <c r="K11" s="318"/>
      <c r="L11" s="318"/>
      <c r="M11" s="318"/>
      <c r="N11" s="318"/>
      <c r="O11" s="318"/>
      <c r="P11" s="318"/>
      <c r="Q11" s="318"/>
      <c r="R11" s="318"/>
      <c r="S11" s="318"/>
      <c r="T11" s="318"/>
      <c r="U11" s="318"/>
      <c r="V11" s="318"/>
      <c r="W11" s="318"/>
      <c r="X11" s="318"/>
    </row>
    <row r="12" ht="15.75" customHeight="1">
      <c r="A12" s="181" t="s">
        <v>4140</v>
      </c>
      <c r="B12" s="181" t="s">
        <v>4141</v>
      </c>
      <c r="C12" s="318" t="s">
        <v>4142</v>
      </c>
      <c r="D12" s="318"/>
      <c r="E12" s="318"/>
      <c r="F12" s="318"/>
      <c r="G12" s="318"/>
      <c r="H12" s="318"/>
      <c r="I12" s="318"/>
      <c r="J12" s="318"/>
      <c r="K12" s="318"/>
      <c r="L12" s="318"/>
      <c r="M12" s="318"/>
      <c r="N12" s="318"/>
      <c r="O12" s="318"/>
      <c r="P12" s="318"/>
      <c r="Q12" s="318"/>
      <c r="R12" s="318"/>
      <c r="S12" s="318"/>
      <c r="T12" s="318"/>
      <c r="U12" s="318"/>
      <c r="V12" s="318"/>
      <c r="W12" s="318"/>
      <c r="X12" s="318"/>
    </row>
    <row r="13" ht="15.75" customHeight="1">
      <c r="A13" s="181" t="s">
        <v>4143</v>
      </c>
      <c r="B13" s="181" t="s">
        <v>4144</v>
      </c>
      <c r="C13" s="318" t="s">
        <v>4145</v>
      </c>
      <c r="D13" s="318"/>
      <c r="E13" s="318"/>
      <c r="F13" s="318"/>
      <c r="G13" s="318"/>
      <c r="H13" s="318"/>
      <c r="I13" s="318"/>
      <c r="J13" s="318"/>
      <c r="K13" s="318"/>
      <c r="L13" s="318"/>
      <c r="M13" s="318"/>
      <c r="N13" s="318"/>
      <c r="O13" s="318"/>
      <c r="P13" s="318"/>
      <c r="Q13" s="318"/>
      <c r="R13" s="318"/>
      <c r="S13" s="318"/>
      <c r="T13" s="318"/>
      <c r="U13" s="318"/>
      <c r="V13" s="318"/>
      <c r="W13" s="318"/>
      <c r="X13" s="318"/>
    </row>
    <row r="14" ht="15.75" customHeight="1">
      <c r="A14" s="181" t="s">
        <v>4146</v>
      </c>
      <c r="B14" s="181" t="s">
        <v>4147</v>
      </c>
      <c r="C14" s="318" t="s">
        <v>4148</v>
      </c>
      <c r="D14" s="318"/>
      <c r="E14" s="318"/>
      <c r="F14" s="318"/>
      <c r="G14" s="318"/>
      <c r="H14" s="318"/>
      <c r="I14" s="318"/>
      <c r="J14" s="318"/>
      <c r="K14" s="318"/>
      <c r="L14" s="318"/>
      <c r="M14" s="318"/>
      <c r="N14" s="318"/>
      <c r="O14" s="318"/>
      <c r="P14" s="318"/>
      <c r="Q14" s="318"/>
      <c r="R14" s="318"/>
      <c r="S14" s="318"/>
      <c r="T14" s="318"/>
      <c r="U14" s="318"/>
      <c r="V14" s="318"/>
      <c r="W14" s="318"/>
      <c r="X14" s="318"/>
    </row>
    <row r="15" ht="15.75" customHeight="1">
      <c r="A15" s="181" t="s">
        <v>4149</v>
      </c>
      <c r="B15" s="181" t="s">
        <v>4150</v>
      </c>
      <c r="C15" s="318" t="s">
        <v>4151</v>
      </c>
      <c r="D15" s="318"/>
      <c r="E15" s="318"/>
      <c r="F15" s="318"/>
      <c r="G15" s="318"/>
      <c r="H15" s="318"/>
      <c r="I15" s="318"/>
      <c r="J15" s="318"/>
      <c r="K15" s="318"/>
      <c r="L15" s="318"/>
      <c r="M15" s="318"/>
      <c r="N15" s="318"/>
      <c r="O15" s="318"/>
      <c r="P15" s="318"/>
      <c r="Q15" s="318"/>
      <c r="R15" s="318"/>
      <c r="S15" s="318"/>
      <c r="T15" s="318"/>
      <c r="U15" s="318"/>
      <c r="V15" s="318"/>
      <c r="W15" s="318"/>
      <c r="X15" s="318"/>
    </row>
    <row r="16" ht="15.75" customHeight="1">
      <c r="A16" s="181" t="s">
        <v>4152</v>
      </c>
      <c r="B16" s="181" t="s">
        <v>4153</v>
      </c>
      <c r="C16" s="318" t="s">
        <v>4154</v>
      </c>
      <c r="D16" s="318"/>
      <c r="E16" s="318"/>
      <c r="F16" s="318"/>
      <c r="G16" s="318"/>
      <c r="H16" s="318"/>
      <c r="I16" s="318"/>
      <c r="J16" s="318"/>
      <c r="K16" s="318"/>
      <c r="L16" s="318"/>
      <c r="M16" s="318"/>
      <c r="N16" s="318"/>
      <c r="O16" s="318"/>
      <c r="P16" s="318"/>
      <c r="Q16" s="318"/>
      <c r="R16" s="318"/>
      <c r="S16" s="318"/>
      <c r="T16" s="318"/>
      <c r="U16" s="318"/>
      <c r="V16" s="318"/>
      <c r="W16" s="318"/>
      <c r="X16" s="318"/>
    </row>
    <row r="17" ht="15.75" customHeight="1">
      <c r="A17" s="181" t="s">
        <v>4155</v>
      </c>
      <c r="B17" s="181" t="s">
        <v>4156</v>
      </c>
      <c r="C17" s="318" t="s">
        <v>4157</v>
      </c>
      <c r="D17" s="318"/>
      <c r="E17" s="318"/>
      <c r="F17" s="318"/>
      <c r="G17" s="318"/>
      <c r="H17" s="318"/>
      <c r="I17" s="318"/>
      <c r="J17" s="318"/>
      <c r="K17" s="318"/>
      <c r="L17" s="318"/>
      <c r="M17" s="318"/>
      <c r="N17" s="318"/>
      <c r="O17" s="318"/>
      <c r="P17" s="318"/>
      <c r="Q17" s="318"/>
      <c r="R17" s="318"/>
      <c r="S17" s="318"/>
      <c r="T17" s="318"/>
      <c r="U17" s="318"/>
      <c r="V17" s="318"/>
      <c r="W17" s="318"/>
      <c r="X17" s="318"/>
    </row>
    <row r="18" ht="15.75" customHeight="1">
      <c r="A18" s="182" t="s">
        <v>4158</v>
      </c>
      <c r="B18" s="182" t="s">
        <v>4159</v>
      </c>
      <c r="C18" s="323" t="s">
        <v>4160</v>
      </c>
      <c r="D18" s="323"/>
      <c r="E18" s="323"/>
      <c r="F18" s="323"/>
      <c r="G18" s="323"/>
      <c r="H18" s="323"/>
      <c r="I18" s="323"/>
      <c r="J18" s="323"/>
      <c r="K18" s="323"/>
      <c r="L18" s="323"/>
      <c r="M18" s="323"/>
      <c r="N18" s="323"/>
      <c r="O18" s="323"/>
      <c r="P18" s="323"/>
      <c r="Q18" s="323"/>
      <c r="R18" s="323"/>
      <c r="S18" s="323"/>
      <c r="T18" s="323"/>
      <c r="U18" s="323"/>
      <c r="V18" s="323"/>
      <c r="W18" s="323"/>
      <c r="X18" s="323"/>
    </row>
    <row r="19" ht="15.75" customHeight="1">
      <c r="A19" s="181" t="s">
        <v>4161</v>
      </c>
      <c r="B19" s="181" t="s">
        <v>4162</v>
      </c>
      <c r="C19" s="318" t="s">
        <v>4163</v>
      </c>
      <c r="D19" s="318"/>
      <c r="E19" s="318"/>
      <c r="F19" s="318"/>
      <c r="G19" s="318"/>
      <c r="H19" s="318"/>
      <c r="I19" s="318"/>
      <c r="J19" s="318"/>
      <c r="K19" s="318"/>
      <c r="L19" s="318"/>
      <c r="M19" s="318"/>
      <c r="N19" s="318"/>
      <c r="O19" s="318"/>
      <c r="P19" s="318"/>
      <c r="Q19" s="318"/>
      <c r="R19" s="318"/>
      <c r="S19" s="318"/>
      <c r="T19" s="318"/>
      <c r="U19" s="318"/>
      <c r="V19" s="318"/>
      <c r="W19" s="318"/>
      <c r="X19" s="318"/>
    </row>
    <row r="20" ht="15.75" customHeight="1">
      <c r="A20" s="181" t="s">
        <v>4164</v>
      </c>
      <c r="B20" s="181" t="s">
        <v>4165</v>
      </c>
      <c r="C20" s="318"/>
      <c r="D20" s="318"/>
      <c r="E20" s="318"/>
      <c r="F20" s="318"/>
      <c r="G20" s="318"/>
      <c r="H20" s="318"/>
      <c r="I20" s="318"/>
      <c r="J20" s="318"/>
      <c r="K20" s="318"/>
      <c r="L20" s="318"/>
      <c r="M20" s="318"/>
      <c r="N20" s="318"/>
      <c r="O20" s="318"/>
      <c r="P20" s="318"/>
      <c r="Q20" s="318"/>
      <c r="R20" s="318"/>
      <c r="S20" s="318"/>
      <c r="T20" s="318"/>
      <c r="U20" s="318"/>
      <c r="V20" s="318"/>
      <c r="W20" s="318"/>
      <c r="X20" s="318"/>
    </row>
    <row r="21" ht="15.75" customHeight="1">
      <c r="A21" s="181" t="s">
        <v>4166</v>
      </c>
      <c r="B21" s="181" t="s">
        <v>4167</v>
      </c>
      <c r="C21" s="318" t="s">
        <v>4168</v>
      </c>
      <c r="D21" s="318"/>
      <c r="E21" s="318"/>
      <c r="F21" s="318"/>
      <c r="G21" s="318"/>
      <c r="H21" s="318"/>
      <c r="I21" s="318"/>
      <c r="J21" s="318"/>
      <c r="K21" s="318"/>
      <c r="L21" s="318"/>
      <c r="M21" s="318"/>
      <c r="N21" s="318"/>
      <c r="O21" s="318"/>
      <c r="P21" s="318"/>
      <c r="Q21" s="318"/>
      <c r="R21" s="318"/>
      <c r="S21" s="318"/>
      <c r="T21" s="318"/>
      <c r="U21" s="318"/>
      <c r="V21" s="318"/>
      <c r="W21" s="318"/>
      <c r="X21" s="318"/>
    </row>
    <row r="22" ht="15.75" customHeight="1">
      <c r="A22" s="320" t="s">
        <v>4169</v>
      </c>
      <c r="B22" s="320" t="s">
        <v>4170</v>
      </c>
      <c r="C22" s="318"/>
      <c r="D22" s="318"/>
      <c r="E22" s="318"/>
      <c r="F22" s="318"/>
      <c r="G22" s="318"/>
      <c r="H22" s="318"/>
      <c r="I22" s="318"/>
      <c r="J22" s="318"/>
      <c r="K22" s="318"/>
      <c r="L22" s="318"/>
      <c r="M22" s="318"/>
      <c r="N22" s="318"/>
      <c r="O22" s="318"/>
      <c r="P22" s="318"/>
      <c r="Q22" s="318"/>
      <c r="R22" s="318"/>
      <c r="S22" s="318"/>
      <c r="T22" s="318"/>
      <c r="U22" s="318"/>
      <c r="V22" s="318"/>
      <c r="W22" s="318"/>
      <c r="X22" s="318"/>
    </row>
    <row r="23" ht="15.75" customHeight="1">
      <c r="A23" s="324" t="s">
        <v>4171</v>
      </c>
      <c r="B23" s="324"/>
      <c r="C23" s="323" t="s">
        <v>4172</v>
      </c>
      <c r="D23" s="323"/>
      <c r="E23" s="323"/>
      <c r="F23" s="323"/>
      <c r="G23" s="323"/>
      <c r="H23" s="323"/>
      <c r="I23" s="323"/>
      <c r="J23" s="323"/>
      <c r="K23" s="323"/>
      <c r="L23" s="323"/>
      <c r="M23" s="323"/>
      <c r="N23" s="323"/>
      <c r="O23" s="323"/>
      <c r="P23" s="323"/>
      <c r="Q23" s="323"/>
      <c r="R23" s="323"/>
      <c r="S23" s="323"/>
      <c r="T23" s="323"/>
      <c r="U23" s="323"/>
      <c r="V23" s="323"/>
      <c r="W23" s="323"/>
      <c r="X23" s="323"/>
    </row>
    <row r="24" ht="15.75" customHeight="1">
      <c r="A24" s="324" t="s">
        <v>4173</v>
      </c>
      <c r="B24" s="324"/>
      <c r="C24" s="323"/>
      <c r="D24" s="323"/>
      <c r="E24" s="323"/>
      <c r="F24" s="323"/>
      <c r="G24" s="323"/>
      <c r="H24" s="323"/>
      <c r="I24" s="323"/>
      <c r="J24" s="323"/>
      <c r="K24" s="323"/>
      <c r="L24" s="323"/>
      <c r="M24" s="323"/>
      <c r="N24" s="323"/>
      <c r="O24" s="323"/>
      <c r="P24" s="323"/>
      <c r="Q24" s="323"/>
      <c r="R24" s="323"/>
      <c r="S24" s="323"/>
      <c r="T24" s="323"/>
      <c r="U24" s="323"/>
      <c r="V24" s="323"/>
      <c r="W24" s="323"/>
      <c r="X24" s="323"/>
    </row>
    <row r="25" ht="15.75" customHeight="1">
      <c r="A25" s="324" t="s">
        <v>4174</v>
      </c>
      <c r="B25" s="324"/>
      <c r="C25" s="323"/>
      <c r="D25" s="323"/>
      <c r="E25" s="323"/>
      <c r="F25" s="323"/>
      <c r="G25" s="323"/>
      <c r="H25" s="323"/>
      <c r="I25" s="323"/>
      <c r="J25" s="323"/>
      <c r="K25" s="323"/>
      <c r="L25" s="323"/>
      <c r="M25" s="323"/>
      <c r="N25" s="323"/>
      <c r="O25" s="323"/>
      <c r="P25" s="323"/>
      <c r="Q25" s="323"/>
      <c r="R25" s="323"/>
      <c r="S25" s="323"/>
      <c r="T25" s="323"/>
      <c r="U25" s="323"/>
      <c r="V25" s="323"/>
      <c r="W25" s="323"/>
      <c r="X25" s="323"/>
    </row>
    <row r="26" ht="15.75" customHeight="1">
      <c r="A26" s="320" t="s">
        <v>4175</v>
      </c>
      <c r="B26" s="320" t="s">
        <v>4176</v>
      </c>
      <c r="C26" s="318" t="s">
        <v>4177</v>
      </c>
      <c r="D26" s="318"/>
      <c r="E26" s="318"/>
      <c r="F26" s="318"/>
      <c r="G26" s="318"/>
      <c r="H26" s="318"/>
      <c r="I26" s="318"/>
      <c r="J26" s="318"/>
      <c r="K26" s="318"/>
      <c r="L26" s="318"/>
      <c r="M26" s="318"/>
      <c r="N26" s="318"/>
      <c r="O26" s="318"/>
      <c r="P26" s="318"/>
      <c r="Q26" s="318"/>
      <c r="R26" s="318"/>
      <c r="S26" s="318"/>
      <c r="T26" s="318"/>
      <c r="U26" s="318"/>
      <c r="V26" s="318"/>
      <c r="W26" s="318"/>
      <c r="X26" s="318"/>
    </row>
    <row r="27" ht="15.75" customHeight="1">
      <c r="A27" s="320" t="s">
        <v>4178</v>
      </c>
      <c r="B27" s="181" t="s">
        <v>4179</v>
      </c>
      <c r="C27" s="320" t="s">
        <v>4180</v>
      </c>
      <c r="D27" s="318"/>
      <c r="E27" s="318"/>
      <c r="F27" s="318"/>
      <c r="G27" s="318"/>
      <c r="H27" s="318"/>
      <c r="I27" s="318"/>
      <c r="J27" s="318"/>
      <c r="K27" s="318"/>
      <c r="L27" s="318"/>
      <c r="M27" s="318"/>
      <c r="N27" s="318"/>
      <c r="O27" s="318"/>
      <c r="P27" s="318"/>
      <c r="Q27" s="318"/>
      <c r="R27" s="318"/>
      <c r="S27" s="318"/>
      <c r="T27" s="318"/>
      <c r="U27" s="318"/>
      <c r="V27" s="318"/>
      <c r="W27" s="318"/>
      <c r="X27" s="318"/>
    </row>
    <row r="28" ht="15.75" customHeight="1">
      <c r="A28" s="318" t="s">
        <v>4181</v>
      </c>
      <c r="B28" s="318" t="s">
        <v>4182</v>
      </c>
      <c r="C28" s="318" t="s">
        <v>4183</v>
      </c>
      <c r="D28" s="318"/>
      <c r="E28" s="318"/>
      <c r="F28" s="318"/>
      <c r="G28" s="318"/>
      <c r="H28" s="318"/>
      <c r="I28" s="318"/>
      <c r="J28" s="318"/>
      <c r="K28" s="318"/>
      <c r="L28" s="318"/>
      <c r="M28" s="318"/>
      <c r="N28" s="318"/>
      <c r="O28" s="318"/>
      <c r="P28" s="318"/>
      <c r="Q28" s="318"/>
      <c r="R28" s="318"/>
      <c r="S28" s="318"/>
      <c r="T28" s="318"/>
      <c r="U28" s="318"/>
      <c r="V28" s="318"/>
      <c r="W28" s="318"/>
      <c r="X28" s="318"/>
    </row>
    <row r="29" ht="15.75" customHeight="1">
      <c r="A29" s="318" t="s">
        <v>4184</v>
      </c>
      <c r="B29" s="318" t="s">
        <v>4185</v>
      </c>
      <c r="C29" s="318" t="s">
        <v>4183</v>
      </c>
      <c r="D29" s="318"/>
      <c r="E29" s="318"/>
      <c r="F29" s="318"/>
      <c r="G29" s="318"/>
      <c r="H29" s="318"/>
      <c r="I29" s="318"/>
      <c r="J29" s="318"/>
      <c r="K29" s="318"/>
      <c r="L29" s="318"/>
      <c r="M29" s="318"/>
      <c r="N29" s="318"/>
      <c r="O29" s="318"/>
      <c r="P29" s="318"/>
      <c r="Q29" s="318"/>
      <c r="R29" s="318"/>
      <c r="S29" s="318"/>
      <c r="T29" s="318"/>
      <c r="U29" s="318"/>
      <c r="V29" s="318"/>
      <c r="W29" s="318"/>
      <c r="X29" s="318"/>
    </row>
    <row r="30" ht="15.75" customHeight="1">
      <c r="A30" s="318" t="s">
        <v>4186</v>
      </c>
      <c r="B30" s="318" t="s">
        <v>4187</v>
      </c>
      <c r="C30" s="318" t="s">
        <v>4188</v>
      </c>
      <c r="D30" s="318"/>
      <c r="E30" s="318"/>
      <c r="F30" s="318"/>
      <c r="G30" s="318"/>
      <c r="H30" s="318"/>
      <c r="I30" s="318"/>
      <c r="J30" s="318"/>
      <c r="K30" s="318"/>
      <c r="L30" s="318"/>
      <c r="M30" s="318"/>
      <c r="N30" s="318"/>
      <c r="O30" s="318"/>
      <c r="P30" s="318"/>
      <c r="Q30" s="318"/>
      <c r="R30" s="318"/>
      <c r="S30" s="318"/>
      <c r="T30" s="318"/>
      <c r="U30" s="318"/>
      <c r="V30" s="318"/>
      <c r="W30" s="318"/>
      <c r="X30" s="318"/>
    </row>
    <row r="31" ht="15.75" customHeight="1">
      <c r="A31" s="318" t="s">
        <v>4189</v>
      </c>
      <c r="C31" s="318"/>
      <c r="D31" s="318"/>
      <c r="E31" s="318"/>
      <c r="F31" s="318"/>
      <c r="G31" s="318"/>
      <c r="H31" s="318"/>
      <c r="I31" s="318"/>
      <c r="J31" s="318"/>
      <c r="K31" s="318"/>
      <c r="L31" s="318"/>
      <c r="M31" s="318"/>
      <c r="N31" s="318"/>
      <c r="O31" s="318"/>
      <c r="P31" s="318"/>
      <c r="Q31" s="318"/>
      <c r="R31" s="318"/>
      <c r="S31" s="318"/>
      <c r="T31" s="318"/>
      <c r="U31" s="318"/>
      <c r="V31" s="318"/>
      <c r="W31" s="318"/>
      <c r="X31" s="318"/>
    </row>
    <row r="32" ht="15.75" customHeight="1">
      <c r="A32" s="325" t="s">
        <v>4190</v>
      </c>
      <c r="B32" s="318" t="s">
        <v>4191</v>
      </c>
      <c r="C32" s="318"/>
      <c r="D32" s="318"/>
      <c r="E32" s="318"/>
      <c r="F32" s="318"/>
      <c r="G32" s="318"/>
      <c r="H32" s="318"/>
      <c r="I32" s="318"/>
      <c r="J32" s="318"/>
      <c r="K32" s="318"/>
      <c r="L32" s="318"/>
      <c r="M32" s="318"/>
      <c r="N32" s="318"/>
      <c r="O32" s="318"/>
      <c r="P32" s="318"/>
      <c r="Q32" s="318"/>
      <c r="R32" s="318"/>
      <c r="S32" s="318"/>
      <c r="T32" s="318"/>
      <c r="U32" s="318"/>
      <c r="V32" s="318"/>
      <c r="W32" s="318"/>
      <c r="X32" s="318"/>
    </row>
    <row r="33" ht="15.75" customHeight="1">
      <c r="A33" s="318" t="s">
        <v>4192</v>
      </c>
      <c r="B33" s="318" t="s">
        <v>4193</v>
      </c>
      <c r="C33" s="318" t="s">
        <v>4194</v>
      </c>
      <c r="D33" s="318"/>
      <c r="E33" s="318"/>
      <c r="F33" s="318"/>
      <c r="G33" s="318"/>
      <c r="H33" s="318"/>
      <c r="I33" s="318"/>
      <c r="J33" s="318"/>
      <c r="K33" s="318"/>
      <c r="L33" s="318"/>
      <c r="M33" s="318"/>
      <c r="N33" s="318"/>
      <c r="O33" s="318"/>
      <c r="P33" s="318"/>
      <c r="Q33" s="318"/>
      <c r="R33" s="318"/>
      <c r="S33" s="318"/>
      <c r="T33" s="318"/>
      <c r="U33" s="318"/>
      <c r="V33" s="318"/>
      <c r="W33" s="318"/>
      <c r="X33" s="318"/>
    </row>
    <row r="34" ht="15.75" customHeight="1">
      <c r="A34" s="318" t="s">
        <v>4195</v>
      </c>
      <c r="B34" s="318" t="s">
        <v>4196</v>
      </c>
      <c r="C34" s="318" t="s">
        <v>4197</v>
      </c>
      <c r="D34" s="318"/>
      <c r="E34" s="318"/>
      <c r="F34" s="318"/>
      <c r="G34" s="318"/>
      <c r="H34" s="318"/>
      <c r="I34" s="318"/>
      <c r="J34" s="318"/>
      <c r="K34" s="318"/>
      <c r="L34" s="318"/>
      <c r="M34" s="318"/>
      <c r="N34" s="318"/>
      <c r="O34" s="318"/>
      <c r="P34" s="318"/>
      <c r="Q34" s="318"/>
      <c r="R34" s="318"/>
      <c r="S34" s="318"/>
      <c r="T34" s="318"/>
      <c r="U34" s="318"/>
      <c r="V34" s="318"/>
      <c r="W34" s="318"/>
      <c r="X34" s="318"/>
    </row>
    <row r="35" ht="15.75" customHeight="1">
      <c r="A35" s="318" t="s">
        <v>4198</v>
      </c>
      <c r="B35" s="318" t="s">
        <v>4199</v>
      </c>
      <c r="C35" s="318" t="s">
        <v>4200</v>
      </c>
      <c r="D35" s="318"/>
      <c r="E35" s="318"/>
      <c r="F35" s="318"/>
      <c r="G35" s="318"/>
      <c r="H35" s="318"/>
      <c r="I35" s="318"/>
      <c r="J35" s="318"/>
      <c r="K35" s="318"/>
      <c r="L35" s="318"/>
      <c r="M35" s="318"/>
      <c r="N35" s="318"/>
      <c r="O35" s="318"/>
      <c r="P35" s="318"/>
      <c r="Q35" s="318"/>
      <c r="R35" s="318"/>
      <c r="S35" s="318"/>
      <c r="T35" s="318"/>
      <c r="U35" s="318"/>
      <c r="V35" s="318"/>
      <c r="W35" s="318"/>
      <c r="X35" s="318"/>
    </row>
    <row r="36" ht="15.75" customHeight="1">
      <c r="A36" s="318" t="s">
        <v>4201</v>
      </c>
      <c r="B36" s="318" t="s">
        <v>4202</v>
      </c>
      <c r="C36" s="318" t="s">
        <v>4203</v>
      </c>
      <c r="D36" s="318"/>
      <c r="E36" s="318"/>
      <c r="F36" s="318"/>
      <c r="G36" s="318"/>
      <c r="H36" s="318"/>
      <c r="I36" s="318"/>
      <c r="J36" s="318"/>
      <c r="K36" s="318"/>
      <c r="L36" s="318"/>
      <c r="M36" s="318"/>
      <c r="N36" s="318"/>
      <c r="O36" s="318"/>
      <c r="P36" s="318"/>
      <c r="Q36" s="318"/>
      <c r="R36" s="318"/>
      <c r="S36" s="318"/>
      <c r="T36" s="318"/>
      <c r="U36" s="318"/>
      <c r="V36" s="318"/>
      <c r="W36" s="318"/>
      <c r="X36" s="318"/>
    </row>
    <row r="37" ht="15.75" customHeight="1">
      <c r="A37" s="318" t="s">
        <v>4204</v>
      </c>
      <c r="B37" s="318" t="s">
        <v>4205</v>
      </c>
      <c r="C37" s="318" t="s">
        <v>4206</v>
      </c>
      <c r="D37" s="318"/>
      <c r="E37" s="318"/>
      <c r="F37" s="318"/>
      <c r="G37" s="318"/>
      <c r="H37" s="318"/>
      <c r="I37" s="318"/>
      <c r="J37" s="318"/>
      <c r="K37" s="318"/>
      <c r="L37" s="318"/>
      <c r="M37" s="318"/>
      <c r="N37" s="318"/>
      <c r="O37" s="318"/>
      <c r="P37" s="318"/>
      <c r="Q37" s="318"/>
      <c r="R37" s="318"/>
      <c r="S37" s="318"/>
      <c r="T37" s="318"/>
      <c r="U37" s="318"/>
      <c r="V37" s="318"/>
      <c r="W37" s="318"/>
      <c r="X37" s="318"/>
    </row>
    <row r="38" ht="15.75" customHeight="1">
      <c r="A38" s="318" t="s">
        <v>4207</v>
      </c>
      <c r="B38" s="318" t="s">
        <v>4208</v>
      </c>
      <c r="C38" s="318" t="s">
        <v>4209</v>
      </c>
      <c r="D38" s="318"/>
      <c r="E38" s="318"/>
      <c r="F38" s="318"/>
      <c r="G38" s="318"/>
      <c r="H38" s="318"/>
      <c r="I38" s="318"/>
      <c r="J38" s="318"/>
      <c r="K38" s="318"/>
      <c r="L38" s="318"/>
      <c r="M38" s="318"/>
      <c r="N38" s="318"/>
      <c r="O38" s="318"/>
      <c r="P38" s="318"/>
      <c r="Q38" s="318"/>
      <c r="R38" s="318"/>
      <c r="S38" s="318"/>
      <c r="T38" s="318"/>
      <c r="U38" s="318"/>
      <c r="V38" s="318"/>
      <c r="W38" s="318"/>
      <c r="X38" s="318"/>
    </row>
    <row r="39" ht="15.75" customHeight="1">
      <c r="A39" s="323" t="s">
        <v>4210</v>
      </c>
      <c r="B39" s="323" t="s">
        <v>4211</v>
      </c>
      <c r="C39" s="323" t="s">
        <v>4212</v>
      </c>
      <c r="D39" s="323"/>
      <c r="E39" s="323"/>
      <c r="F39" s="323"/>
      <c r="G39" s="323"/>
      <c r="H39" s="323"/>
      <c r="I39" s="323"/>
      <c r="J39" s="323"/>
      <c r="K39" s="323"/>
      <c r="L39" s="323"/>
      <c r="M39" s="323"/>
      <c r="N39" s="323"/>
      <c r="O39" s="323"/>
      <c r="P39" s="323"/>
      <c r="Q39" s="323"/>
      <c r="R39" s="323"/>
      <c r="S39" s="323"/>
      <c r="T39" s="323"/>
      <c r="U39" s="323"/>
      <c r="V39" s="323"/>
      <c r="W39" s="323"/>
      <c r="X39" s="323"/>
    </row>
    <row r="40" ht="15.75" customHeight="1">
      <c r="A40" s="323" t="s">
        <v>4213</v>
      </c>
      <c r="B40" s="323" t="s">
        <v>4214</v>
      </c>
      <c r="C40" s="323" t="s">
        <v>4215</v>
      </c>
      <c r="D40" s="323"/>
      <c r="E40" s="323"/>
      <c r="F40" s="323"/>
      <c r="G40" s="323"/>
      <c r="H40" s="323"/>
      <c r="I40" s="323"/>
      <c r="J40" s="323"/>
      <c r="K40" s="323"/>
      <c r="L40" s="323"/>
      <c r="M40" s="323"/>
      <c r="N40" s="323"/>
      <c r="O40" s="323"/>
      <c r="P40" s="323"/>
      <c r="Q40" s="323"/>
      <c r="R40" s="323"/>
      <c r="S40" s="323"/>
      <c r="T40" s="323"/>
      <c r="U40" s="323"/>
      <c r="V40" s="323"/>
      <c r="W40" s="323"/>
      <c r="X40" s="323"/>
    </row>
    <row r="41" ht="15.75" customHeight="1">
      <c r="A41" s="318" t="s">
        <v>4216</v>
      </c>
      <c r="B41" s="318" t="s">
        <v>4217</v>
      </c>
      <c r="C41" s="318" t="s">
        <v>4218</v>
      </c>
      <c r="D41" s="318"/>
      <c r="E41" s="318"/>
      <c r="F41" s="318"/>
      <c r="G41" s="318"/>
      <c r="H41" s="318"/>
      <c r="I41" s="318"/>
      <c r="J41" s="318"/>
      <c r="K41" s="318"/>
      <c r="L41" s="318"/>
      <c r="M41" s="318"/>
      <c r="N41" s="318"/>
      <c r="O41" s="318"/>
      <c r="P41" s="318"/>
      <c r="Q41" s="318"/>
      <c r="R41" s="318"/>
      <c r="S41" s="318"/>
      <c r="T41" s="318"/>
      <c r="U41" s="318"/>
      <c r="V41" s="318"/>
      <c r="W41" s="318"/>
      <c r="X41" s="318"/>
    </row>
    <row r="42" ht="15.75" customHeight="1">
      <c r="A42" s="318" t="s">
        <v>4219</v>
      </c>
      <c r="B42" s="318" t="s">
        <v>4220</v>
      </c>
      <c r="C42" s="318" t="s">
        <v>4221</v>
      </c>
      <c r="D42" s="318"/>
      <c r="E42" s="318"/>
      <c r="F42" s="318"/>
      <c r="G42" s="318"/>
      <c r="H42" s="318"/>
      <c r="I42" s="318"/>
      <c r="J42" s="318"/>
      <c r="K42" s="318"/>
      <c r="L42" s="318"/>
      <c r="M42" s="318"/>
      <c r="N42" s="318"/>
      <c r="O42" s="318"/>
      <c r="P42" s="318"/>
      <c r="Q42" s="318"/>
      <c r="R42" s="318"/>
      <c r="S42" s="318"/>
      <c r="T42" s="318"/>
      <c r="U42" s="318"/>
      <c r="V42" s="318"/>
      <c r="W42" s="318"/>
      <c r="X42" s="318"/>
    </row>
    <row r="43" ht="15.75" customHeight="1">
      <c r="A43" s="318" t="s">
        <v>4222</v>
      </c>
      <c r="B43" s="318" t="s">
        <v>4223</v>
      </c>
      <c r="C43" s="318" t="s">
        <v>4224</v>
      </c>
      <c r="D43" s="318"/>
      <c r="E43" s="318"/>
      <c r="F43" s="318"/>
      <c r="G43" s="318"/>
      <c r="H43" s="318"/>
      <c r="I43" s="318"/>
      <c r="J43" s="318"/>
      <c r="K43" s="318"/>
      <c r="L43" s="318"/>
      <c r="M43" s="318"/>
      <c r="N43" s="318"/>
      <c r="O43" s="318"/>
      <c r="P43" s="318"/>
      <c r="Q43" s="318"/>
      <c r="R43" s="318"/>
      <c r="S43" s="318"/>
      <c r="T43" s="318"/>
      <c r="U43" s="318"/>
      <c r="V43" s="318"/>
      <c r="W43" s="318"/>
      <c r="X43" s="318"/>
    </row>
    <row r="44" ht="15.75" customHeight="1">
      <c r="A44" s="318" t="s">
        <v>4225</v>
      </c>
      <c r="B44" s="318" t="s">
        <v>4226</v>
      </c>
      <c r="C44" s="318" t="s">
        <v>4227</v>
      </c>
      <c r="D44" s="318"/>
      <c r="E44" s="318"/>
      <c r="F44" s="318"/>
      <c r="G44" s="318"/>
      <c r="H44" s="318"/>
      <c r="I44" s="318"/>
      <c r="J44" s="318"/>
      <c r="K44" s="318"/>
      <c r="L44" s="318"/>
      <c r="M44" s="318"/>
      <c r="N44" s="318"/>
      <c r="O44" s="318"/>
      <c r="P44" s="318"/>
      <c r="Q44" s="318"/>
      <c r="R44" s="318"/>
      <c r="S44" s="318"/>
      <c r="T44" s="318"/>
      <c r="U44" s="318"/>
      <c r="V44" s="318"/>
      <c r="W44" s="318"/>
      <c r="X44" s="318"/>
    </row>
    <row r="45" ht="15.75" customHeight="1">
      <c r="A45" s="318" t="s">
        <v>4228</v>
      </c>
      <c r="B45" s="318" t="s">
        <v>4229</v>
      </c>
      <c r="C45" s="318" t="s">
        <v>4230</v>
      </c>
      <c r="D45" s="318"/>
      <c r="E45" s="318"/>
      <c r="F45" s="318"/>
      <c r="G45" s="318"/>
      <c r="H45" s="318"/>
      <c r="I45" s="318"/>
      <c r="J45" s="318"/>
      <c r="K45" s="318"/>
      <c r="L45" s="318"/>
      <c r="M45" s="318"/>
      <c r="N45" s="318"/>
      <c r="O45" s="318"/>
      <c r="P45" s="318"/>
      <c r="Q45" s="318"/>
      <c r="R45" s="318"/>
      <c r="S45" s="318"/>
      <c r="T45" s="318"/>
      <c r="U45" s="318"/>
      <c r="V45" s="318"/>
      <c r="W45" s="318"/>
      <c r="X45" s="318"/>
    </row>
    <row r="46" ht="15.75" customHeight="1">
      <c r="A46" s="318" t="s">
        <v>4231</v>
      </c>
      <c r="B46" s="318" t="s">
        <v>4232</v>
      </c>
      <c r="C46" s="318" t="s">
        <v>4233</v>
      </c>
      <c r="D46" s="318"/>
      <c r="E46" s="318"/>
      <c r="F46" s="318"/>
      <c r="G46" s="318"/>
      <c r="H46" s="318"/>
      <c r="I46" s="318"/>
      <c r="J46" s="318"/>
      <c r="K46" s="318"/>
      <c r="L46" s="318"/>
      <c r="M46" s="318"/>
      <c r="N46" s="318"/>
      <c r="O46" s="318"/>
      <c r="P46" s="318"/>
      <c r="Q46" s="318"/>
      <c r="R46" s="318"/>
      <c r="S46" s="318"/>
      <c r="T46" s="318"/>
      <c r="U46" s="318"/>
      <c r="V46" s="318"/>
      <c r="W46" s="318"/>
      <c r="X46" s="318"/>
    </row>
    <row r="47" ht="15.75" customHeight="1">
      <c r="A47" s="318" t="s">
        <v>4234</v>
      </c>
      <c r="B47" s="318" t="s">
        <v>4235</v>
      </c>
      <c r="C47" s="318" t="s">
        <v>4236</v>
      </c>
      <c r="D47" s="318"/>
      <c r="E47" s="318"/>
      <c r="F47" s="318"/>
      <c r="G47" s="318"/>
      <c r="H47" s="318"/>
      <c r="I47" s="318"/>
      <c r="J47" s="318"/>
      <c r="K47" s="318"/>
      <c r="L47" s="318"/>
      <c r="M47" s="318"/>
      <c r="N47" s="318"/>
      <c r="O47" s="318"/>
      <c r="P47" s="318"/>
      <c r="Q47" s="318"/>
      <c r="R47" s="318"/>
      <c r="S47" s="318"/>
      <c r="T47" s="318"/>
      <c r="U47" s="318"/>
      <c r="V47" s="318"/>
      <c r="W47" s="318"/>
      <c r="X47" s="318"/>
    </row>
    <row r="48" ht="15.75" customHeight="1">
      <c r="A48" s="318" t="s">
        <v>4237</v>
      </c>
      <c r="B48" s="318" t="s">
        <v>4238</v>
      </c>
      <c r="C48" s="318" t="s">
        <v>4239</v>
      </c>
      <c r="D48" s="318"/>
      <c r="E48" s="318"/>
      <c r="F48" s="318"/>
      <c r="G48" s="318"/>
      <c r="H48" s="318"/>
      <c r="I48" s="318"/>
      <c r="J48" s="318"/>
      <c r="K48" s="318"/>
      <c r="L48" s="318"/>
      <c r="M48" s="318"/>
      <c r="N48" s="318"/>
      <c r="O48" s="318"/>
      <c r="P48" s="318"/>
      <c r="Q48" s="318"/>
      <c r="R48" s="318"/>
      <c r="S48" s="318"/>
      <c r="T48" s="318"/>
      <c r="U48" s="318"/>
      <c r="V48" s="318"/>
      <c r="W48" s="318"/>
      <c r="X48" s="318"/>
    </row>
    <row r="49" ht="15.75" customHeight="1">
      <c r="A49" s="318" t="s">
        <v>4240</v>
      </c>
      <c r="B49" s="318" t="s">
        <v>4241</v>
      </c>
      <c r="C49" s="318" t="s">
        <v>4242</v>
      </c>
      <c r="D49" s="318"/>
      <c r="E49" s="318"/>
      <c r="F49" s="318"/>
      <c r="G49" s="318"/>
      <c r="H49" s="318"/>
      <c r="I49" s="318"/>
      <c r="J49" s="318"/>
      <c r="K49" s="318"/>
      <c r="L49" s="318"/>
      <c r="M49" s="318"/>
      <c r="N49" s="318"/>
      <c r="O49" s="318"/>
      <c r="P49" s="318"/>
      <c r="Q49" s="318"/>
      <c r="R49" s="318"/>
      <c r="S49" s="318"/>
      <c r="T49" s="318"/>
      <c r="U49" s="318"/>
      <c r="V49" s="318"/>
      <c r="W49" s="318"/>
      <c r="X49" s="318"/>
    </row>
    <row r="50" ht="15.75" customHeight="1">
      <c r="A50" s="318" t="s">
        <v>4243</v>
      </c>
      <c r="B50" s="318" t="s">
        <v>4244</v>
      </c>
      <c r="C50" s="318" t="s">
        <v>4245</v>
      </c>
      <c r="D50" s="318"/>
      <c r="E50" s="318"/>
      <c r="F50" s="318"/>
      <c r="G50" s="318"/>
      <c r="H50" s="318"/>
      <c r="I50" s="318"/>
      <c r="J50" s="318"/>
      <c r="K50" s="318"/>
      <c r="L50" s="318"/>
      <c r="M50" s="318"/>
      <c r="N50" s="318"/>
      <c r="O50" s="318"/>
      <c r="P50" s="318"/>
      <c r="Q50" s="318"/>
      <c r="R50" s="318"/>
      <c r="S50" s="318"/>
      <c r="T50" s="318"/>
      <c r="U50" s="318"/>
      <c r="V50" s="318"/>
      <c r="W50" s="318"/>
      <c r="X50" s="318"/>
    </row>
    <row r="51" ht="15.75" customHeight="1">
      <c r="A51" s="318" t="s">
        <v>4246</v>
      </c>
      <c r="B51" s="318" t="s">
        <v>4247</v>
      </c>
      <c r="C51" s="318" t="s">
        <v>4248</v>
      </c>
      <c r="D51" s="318"/>
      <c r="E51" s="318"/>
      <c r="F51" s="318"/>
      <c r="G51" s="318"/>
      <c r="H51" s="318"/>
      <c r="I51" s="318"/>
      <c r="J51" s="318"/>
      <c r="K51" s="318"/>
      <c r="L51" s="318"/>
      <c r="M51" s="318"/>
      <c r="N51" s="318"/>
      <c r="O51" s="318"/>
      <c r="P51" s="318"/>
      <c r="Q51" s="318"/>
      <c r="R51" s="318"/>
      <c r="S51" s="318"/>
      <c r="T51" s="318"/>
      <c r="U51" s="318"/>
      <c r="V51" s="318"/>
      <c r="W51" s="318"/>
      <c r="X51" s="318"/>
    </row>
    <row r="52" ht="15.75" customHeight="1">
      <c r="A52" s="318" t="s">
        <v>4249</v>
      </c>
      <c r="B52" s="318"/>
      <c r="C52" s="318"/>
      <c r="D52" s="318"/>
      <c r="E52" s="318"/>
      <c r="F52" s="318"/>
      <c r="G52" s="318"/>
      <c r="H52" s="318"/>
      <c r="I52" s="318"/>
      <c r="J52" s="318"/>
      <c r="K52" s="318"/>
      <c r="L52" s="318"/>
      <c r="M52" s="318"/>
      <c r="N52" s="318"/>
      <c r="O52" s="318"/>
      <c r="P52" s="318"/>
      <c r="Q52" s="318"/>
      <c r="R52" s="318"/>
      <c r="S52" s="318"/>
      <c r="T52" s="318"/>
      <c r="U52" s="318"/>
      <c r="V52" s="318"/>
      <c r="W52" s="318"/>
      <c r="X52" s="318"/>
    </row>
    <row r="53" ht="15.75" customHeight="1">
      <c r="A53" s="96" t="s">
        <v>4250</v>
      </c>
      <c r="B53" s="318"/>
      <c r="C53" s="318"/>
      <c r="D53" s="318"/>
      <c r="E53" s="318"/>
      <c r="F53" s="318"/>
      <c r="G53" s="318"/>
      <c r="H53" s="318"/>
      <c r="I53" s="318"/>
      <c r="J53" s="318"/>
      <c r="K53" s="318"/>
      <c r="L53" s="318"/>
      <c r="M53" s="318"/>
      <c r="N53" s="318"/>
      <c r="O53" s="318"/>
      <c r="P53" s="318"/>
      <c r="Q53" s="318"/>
      <c r="R53" s="318"/>
      <c r="S53" s="318"/>
      <c r="T53" s="318"/>
      <c r="U53" s="318"/>
      <c r="V53" s="318"/>
      <c r="W53" s="318"/>
      <c r="X53" s="318"/>
    </row>
    <row r="54" ht="15.75" customHeight="1">
      <c r="A54" s="318" t="s">
        <v>4251</v>
      </c>
      <c r="B54" s="318"/>
      <c r="C54" s="318"/>
      <c r="D54" s="318"/>
      <c r="E54" s="318"/>
      <c r="F54" s="318"/>
      <c r="G54" s="318"/>
      <c r="H54" s="318"/>
      <c r="I54" s="318"/>
      <c r="J54" s="318"/>
      <c r="K54" s="318"/>
      <c r="L54" s="318"/>
      <c r="M54" s="318"/>
      <c r="N54" s="318"/>
      <c r="O54" s="318"/>
      <c r="P54" s="318"/>
      <c r="Q54" s="318"/>
      <c r="R54" s="318"/>
      <c r="S54" s="318"/>
      <c r="T54" s="318"/>
      <c r="U54" s="318"/>
      <c r="V54" s="318"/>
      <c r="W54" s="318"/>
      <c r="X54" s="318"/>
    </row>
    <row r="55" ht="15.75" customHeight="1">
      <c r="A55" s="318" t="s">
        <v>4252</v>
      </c>
      <c r="B55" s="318" t="s">
        <v>4253</v>
      </c>
      <c r="C55" s="318" t="s">
        <v>4254</v>
      </c>
      <c r="D55" s="318"/>
      <c r="E55" s="318"/>
      <c r="F55" s="318"/>
      <c r="G55" s="318"/>
      <c r="H55" s="318"/>
      <c r="I55" s="318"/>
      <c r="J55" s="318"/>
      <c r="K55" s="318"/>
      <c r="L55" s="318"/>
      <c r="M55" s="318"/>
      <c r="N55" s="318"/>
      <c r="O55" s="318"/>
      <c r="P55" s="318"/>
      <c r="Q55" s="318"/>
      <c r="R55" s="318"/>
      <c r="S55" s="318"/>
      <c r="T55" s="318"/>
      <c r="U55" s="318"/>
      <c r="V55" s="318"/>
      <c r="W55" s="318"/>
      <c r="X55" s="318"/>
    </row>
    <row r="56" ht="15.75" customHeight="1">
      <c r="A56" s="318" t="s">
        <v>4255</v>
      </c>
      <c r="B56" s="318" t="s">
        <v>4256</v>
      </c>
      <c r="C56" s="318" t="s">
        <v>4257</v>
      </c>
      <c r="D56" s="318"/>
      <c r="E56" s="318"/>
      <c r="F56" s="318"/>
      <c r="G56" s="318"/>
      <c r="H56" s="318"/>
      <c r="I56" s="318"/>
      <c r="J56" s="318"/>
      <c r="K56" s="318"/>
      <c r="L56" s="318"/>
      <c r="M56" s="318"/>
      <c r="N56" s="318"/>
      <c r="O56" s="318"/>
      <c r="P56" s="318"/>
      <c r="Q56" s="318"/>
      <c r="R56" s="318"/>
      <c r="S56" s="318"/>
      <c r="T56" s="318"/>
      <c r="U56" s="318"/>
      <c r="V56" s="318"/>
      <c r="W56" s="318"/>
      <c r="X56" s="318"/>
    </row>
    <row r="57" ht="15.75" customHeight="1">
      <c r="A57" s="323" t="s">
        <v>4105</v>
      </c>
      <c r="B57" s="323" t="s">
        <v>4106</v>
      </c>
      <c r="C57" s="323" t="s">
        <v>4107</v>
      </c>
      <c r="D57" s="318"/>
      <c r="E57" s="318"/>
      <c r="F57" s="318"/>
      <c r="G57" s="318"/>
      <c r="H57" s="318"/>
      <c r="I57" s="318"/>
      <c r="J57" s="318"/>
      <c r="K57" s="318"/>
      <c r="L57" s="318"/>
      <c r="M57" s="318"/>
      <c r="N57" s="318"/>
      <c r="O57" s="318"/>
      <c r="P57" s="318"/>
      <c r="Q57" s="318"/>
      <c r="R57" s="318"/>
      <c r="S57" s="318"/>
      <c r="T57" s="318"/>
      <c r="U57" s="318"/>
      <c r="V57" s="318"/>
      <c r="W57" s="318"/>
      <c r="X57" s="318"/>
    </row>
    <row r="58" ht="15.75" customHeight="1">
      <c r="A58" s="323" t="s">
        <v>4108</v>
      </c>
      <c r="B58" s="323" t="s">
        <v>4109</v>
      </c>
      <c r="C58" s="323" t="s">
        <v>4110</v>
      </c>
      <c r="D58" s="318"/>
      <c r="E58" s="318"/>
      <c r="F58" s="318"/>
      <c r="G58" s="318"/>
      <c r="H58" s="318"/>
      <c r="I58" s="318"/>
      <c r="J58" s="318"/>
      <c r="K58" s="318"/>
      <c r="L58" s="318"/>
      <c r="M58" s="318"/>
      <c r="N58" s="318"/>
      <c r="O58" s="318"/>
      <c r="P58" s="318"/>
      <c r="Q58" s="318"/>
      <c r="R58" s="318"/>
      <c r="S58" s="318"/>
      <c r="T58" s="318"/>
      <c r="U58" s="318"/>
      <c r="V58" s="318"/>
      <c r="W58" s="318"/>
      <c r="X58" s="318"/>
    </row>
    <row r="59" ht="15.75" customHeight="1">
      <c r="A59" s="323" t="s">
        <v>4111</v>
      </c>
      <c r="B59" s="323" t="s">
        <v>4112</v>
      </c>
      <c r="C59" s="323" t="s">
        <v>4113</v>
      </c>
      <c r="D59" s="318"/>
      <c r="E59" s="318"/>
      <c r="F59" s="318"/>
      <c r="G59" s="318"/>
      <c r="H59" s="318"/>
      <c r="I59" s="318"/>
      <c r="J59" s="318"/>
      <c r="K59" s="318"/>
      <c r="L59" s="318"/>
      <c r="M59" s="318"/>
      <c r="N59" s="318"/>
      <c r="O59" s="318"/>
      <c r="P59" s="318"/>
      <c r="Q59" s="318"/>
      <c r="R59" s="318"/>
      <c r="S59" s="318"/>
      <c r="T59" s="318"/>
      <c r="U59" s="318"/>
      <c r="V59" s="318"/>
      <c r="W59" s="318"/>
      <c r="X59" s="318"/>
    </row>
    <row r="60" ht="15.75" customHeight="1">
      <c r="A60" s="323" t="s">
        <v>4114</v>
      </c>
      <c r="B60" s="323" t="s">
        <v>4115</v>
      </c>
      <c r="C60" s="323" t="s">
        <v>4116</v>
      </c>
      <c r="D60" s="318"/>
      <c r="E60" s="318"/>
      <c r="F60" s="318"/>
      <c r="G60" s="318"/>
      <c r="H60" s="318"/>
      <c r="I60" s="318"/>
      <c r="J60" s="318"/>
      <c r="K60" s="318"/>
      <c r="L60" s="318"/>
      <c r="M60" s="318"/>
      <c r="N60" s="318"/>
      <c r="O60" s="318"/>
      <c r="P60" s="318"/>
      <c r="Q60" s="318"/>
      <c r="R60" s="318"/>
      <c r="S60" s="318"/>
      <c r="T60" s="318"/>
      <c r="U60" s="318"/>
      <c r="V60" s="318"/>
      <c r="W60" s="318"/>
      <c r="X60" s="318"/>
    </row>
    <row r="61" ht="15.75" customHeight="1">
      <c r="A61" s="318"/>
      <c r="B61" s="318"/>
      <c r="C61" s="318"/>
      <c r="D61" s="318"/>
      <c r="E61" s="318"/>
      <c r="F61" s="318"/>
      <c r="G61" s="318"/>
      <c r="H61" s="318"/>
      <c r="I61" s="318"/>
      <c r="J61" s="318"/>
      <c r="K61" s="318"/>
      <c r="L61" s="318"/>
      <c r="M61" s="318"/>
      <c r="N61" s="318"/>
      <c r="O61" s="318"/>
      <c r="P61" s="318"/>
      <c r="Q61" s="318"/>
      <c r="R61" s="318"/>
      <c r="S61" s="318"/>
      <c r="T61" s="318"/>
      <c r="U61" s="318"/>
      <c r="V61" s="318"/>
      <c r="W61" s="318"/>
      <c r="X61" s="318"/>
    </row>
    <row r="62" ht="15.75" customHeight="1">
      <c r="A62" s="318"/>
      <c r="B62" s="318"/>
      <c r="C62" s="318"/>
      <c r="D62" s="318"/>
      <c r="E62" s="318"/>
      <c r="F62" s="318"/>
      <c r="G62" s="318"/>
      <c r="H62" s="318"/>
      <c r="I62" s="318"/>
      <c r="J62" s="318"/>
      <c r="K62" s="318"/>
      <c r="L62" s="318"/>
      <c r="M62" s="318"/>
      <c r="N62" s="318"/>
      <c r="O62" s="318"/>
      <c r="P62" s="318"/>
      <c r="Q62" s="318"/>
      <c r="R62" s="318"/>
      <c r="S62" s="318"/>
      <c r="T62" s="318"/>
      <c r="U62" s="318"/>
      <c r="V62" s="318"/>
      <c r="W62" s="318"/>
      <c r="X62" s="318"/>
    </row>
    <row r="63" ht="15.75" customHeight="1">
      <c r="A63" s="318"/>
      <c r="B63" s="318"/>
      <c r="C63" s="318"/>
      <c r="D63" s="318"/>
      <c r="E63" s="318"/>
      <c r="F63" s="318"/>
      <c r="G63" s="318"/>
      <c r="H63" s="318"/>
      <c r="I63" s="318"/>
      <c r="J63" s="318"/>
      <c r="K63" s="318"/>
      <c r="L63" s="318"/>
      <c r="M63" s="318"/>
      <c r="N63" s="318"/>
      <c r="O63" s="318"/>
      <c r="P63" s="318"/>
      <c r="Q63" s="318"/>
      <c r="R63" s="318"/>
      <c r="S63" s="318"/>
      <c r="T63" s="318"/>
      <c r="U63" s="318"/>
      <c r="V63" s="318"/>
      <c r="W63" s="318"/>
      <c r="X63" s="318"/>
    </row>
    <row r="64" ht="15.75" customHeight="1">
      <c r="A64" s="318"/>
      <c r="B64" s="318"/>
      <c r="C64" s="318"/>
      <c r="D64" s="318"/>
      <c r="E64" s="318"/>
      <c r="F64" s="318"/>
      <c r="G64" s="318"/>
      <c r="H64" s="318"/>
      <c r="I64" s="318"/>
      <c r="J64" s="318"/>
      <c r="K64" s="318"/>
      <c r="L64" s="318"/>
      <c r="M64" s="318"/>
      <c r="N64" s="318"/>
      <c r="O64" s="318"/>
      <c r="P64" s="318"/>
      <c r="Q64" s="318"/>
      <c r="R64" s="318"/>
      <c r="S64" s="318"/>
      <c r="T64" s="318"/>
      <c r="U64" s="318"/>
      <c r="V64" s="318"/>
      <c r="W64" s="318"/>
      <c r="X64" s="318"/>
    </row>
    <row r="65" ht="15.75" customHeight="1">
      <c r="A65" s="318"/>
      <c r="B65" s="318"/>
      <c r="C65" s="318"/>
      <c r="D65" s="318"/>
      <c r="E65" s="318"/>
      <c r="F65" s="318"/>
      <c r="G65" s="318"/>
      <c r="H65" s="318"/>
      <c r="I65" s="318"/>
      <c r="J65" s="318"/>
      <c r="K65" s="318"/>
      <c r="L65" s="318"/>
      <c r="M65" s="318"/>
      <c r="N65" s="318"/>
      <c r="O65" s="318"/>
      <c r="P65" s="318"/>
      <c r="Q65" s="318"/>
      <c r="R65" s="318"/>
      <c r="S65" s="318"/>
      <c r="T65" s="318"/>
      <c r="U65" s="318"/>
      <c r="V65" s="318"/>
      <c r="W65" s="318"/>
      <c r="X65" s="318"/>
    </row>
    <row r="66" ht="15.75" customHeight="1">
      <c r="A66" s="318"/>
      <c r="B66" s="318"/>
      <c r="C66" s="318"/>
      <c r="D66" s="318"/>
      <c r="E66" s="318"/>
      <c r="F66" s="318"/>
      <c r="G66" s="318"/>
      <c r="H66" s="318"/>
      <c r="I66" s="318"/>
      <c r="J66" s="318"/>
      <c r="K66" s="318"/>
      <c r="L66" s="318"/>
      <c r="M66" s="318"/>
      <c r="N66" s="318"/>
      <c r="O66" s="318"/>
      <c r="P66" s="318"/>
      <c r="Q66" s="318"/>
      <c r="R66" s="318"/>
      <c r="S66" s="318"/>
      <c r="T66" s="318"/>
      <c r="U66" s="318"/>
      <c r="V66" s="318"/>
      <c r="W66" s="318"/>
      <c r="X66" s="318"/>
    </row>
    <row r="67" ht="15.75" customHeight="1">
      <c r="A67" s="318"/>
      <c r="B67" s="318"/>
      <c r="C67" s="318"/>
      <c r="D67" s="318"/>
      <c r="E67" s="318"/>
      <c r="F67" s="318"/>
      <c r="G67" s="318"/>
      <c r="H67" s="318"/>
      <c r="I67" s="318"/>
      <c r="J67" s="318"/>
      <c r="K67" s="318"/>
      <c r="L67" s="318"/>
      <c r="M67" s="318"/>
      <c r="N67" s="318"/>
      <c r="O67" s="318"/>
      <c r="P67" s="318"/>
      <c r="Q67" s="318"/>
      <c r="R67" s="318"/>
      <c r="S67" s="318"/>
      <c r="T67" s="318"/>
      <c r="U67" s="318"/>
      <c r="V67" s="318"/>
      <c r="W67" s="318"/>
      <c r="X67" s="318"/>
    </row>
    <row r="68" ht="15.75" customHeight="1">
      <c r="A68" s="24"/>
      <c r="B68" s="318"/>
      <c r="C68" s="318"/>
      <c r="D68" s="318"/>
      <c r="E68" s="318"/>
      <c r="F68" s="318"/>
      <c r="G68" s="318"/>
      <c r="H68" s="318"/>
      <c r="I68" s="318"/>
      <c r="J68" s="318"/>
      <c r="K68" s="318"/>
      <c r="L68" s="318"/>
      <c r="M68" s="318"/>
      <c r="N68" s="318"/>
      <c r="O68" s="318"/>
      <c r="P68" s="318"/>
      <c r="Q68" s="318"/>
      <c r="R68" s="318"/>
      <c r="S68" s="318"/>
      <c r="T68" s="318"/>
      <c r="U68" s="318"/>
      <c r="V68" s="318"/>
      <c r="W68" s="318"/>
      <c r="X68" s="318"/>
    </row>
    <row r="69" ht="15.75" customHeight="1">
      <c r="A69" s="24"/>
      <c r="B69" s="318"/>
      <c r="C69" s="318"/>
      <c r="D69" s="318"/>
      <c r="E69" s="318"/>
      <c r="F69" s="318"/>
      <c r="G69" s="318"/>
      <c r="H69" s="318"/>
      <c r="I69" s="318"/>
      <c r="J69" s="318"/>
      <c r="K69" s="318"/>
      <c r="L69" s="318"/>
      <c r="M69" s="318"/>
      <c r="N69" s="318"/>
      <c r="O69" s="318"/>
      <c r="P69" s="318"/>
      <c r="Q69" s="318"/>
      <c r="R69" s="318"/>
      <c r="S69" s="318"/>
      <c r="T69" s="318"/>
      <c r="U69" s="318"/>
      <c r="V69" s="318"/>
      <c r="W69" s="318"/>
      <c r="X69" s="318"/>
    </row>
    <row r="70" ht="15.75" customHeight="1">
      <c r="A70" s="24"/>
      <c r="B70" s="318"/>
      <c r="C70" s="318"/>
      <c r="D70" s="318"/>
      <c r="E70" s="318"/>
      <c r="F70" s="318"/>
      <c r="G70" s="318"/>
      <c r="H70" s="318"/>
      <c r="I70" s="318"/>
      <c r="J70" s="318"/>
      <c r="K70" s="318"/>
      <c r="L70" s="318"/>
      <c r="M70" s="318"/>
      <c r="N70" s="318"/>
      <c r="O70" s="318"/>
      <c r="P70" s="318"/>
      <c r="Q70" s="318"/>
      <c r="R70" s="318"/>
      <c r="S70" s="318"/>
      <c r="T70" s="318"/>
      <c r="U70" s="318"/>
      <c r="V70" s="318"/>
      <c r="W70" s="318"/>
      <c r="X70" s="318"/>
    </row>
    <row r="71" ht="15.75" customHeight="1">
      <c r="B71" s="318"/>
      <c r="C71" s="318"/>
      <c r="D71" s="318"/>
      <c r="E71" s="318"/>
      <c r="F71" s="318"/>
      <c r="G71" s="318"/>
      <c r="H71" s="318"/>
      <c r="I71" s="318"/>
      <c r="J71" s="318"/>
      <c r="K71" s="318"/>
      <c r="L71" s="318"/>
      <c r="M71" s="318"/>
      <c r="N71" s="318"/>
      <c r="O71" s="318"/>
      <c r="P71" s="318"/>
      <c r="Q71" s="318"/>
      <c r="R71" s="318"/>
      <c r="S71" s="318"/>
      <c r="T71" s="318"/>
      <c r="U71" s="318"/>
      <c r="V71" s="318"/>
      <c r="W71" s="318"/>
      <c r="X71" s="318"/>
    </row>
    <row r="72" ht="15.75" customHeight="1">
      <c r="A72" s="24"/>
      <c r="B72" s="318"/>
      <c r="C72" s="318"/>
      <c r="D72" s="318"/>
      <c r="E72" s="318"/>
      <c r="F72" s="318"/>
      <c r="G72" s="318"/>
      <c r="H72" s="318"/>
      <c r="I72" s="318"/>
      <c r="J72" s="318"/>
      <c r="K72" s="318"/>
      <c r="L72" s="318"/>
      <c r="M72" s="318"/>
      <c r="N72" s="318"/>
      <c r="O72" s="318"/>
      <c r="P72" s="318"/>
      <c r="Q72" s="318"/>
      <c r="R72" s="318"/>
      <c r="S72" s="318"/>
      <c r="T72" s="318"/>
      <c r="U72" s="318"/>
      <c r="V72" s="318"/>
      <c r="W72" s="318"/>
      <c r="X72" s="318"/>
    </row>
    <row r="73" ht="15.75" customHeight="1">
      <c r="A73" s="318"/>
      <c r="B73" s="318"/>
      <c r="C73" s="318"/>
      <c r="D73" s="318"/>
      <c r="E73" s="318"/>
      <c r="F73" s="318"/>
      <c r="G73" s="318"/>
      <c r="H73" s="318"/>
      <c r="I73" s="318"/>
      <c r="J73" s="318"/>
      <c r="K73" s="318"/>
      <c r="L73" s="318"/>
      <c r="M73" s="318"/>
      <c r="N73" s="318"/>
      <c r="O73" s="318"/>
      <c r="P73" s="318"/>
      <c r="Q73" s="318"/>
      <c r="R73" s="318"/>
      <c r="S73" s="318"/>
      <c r="T73" s="318"/>
      <c r="U73" s="318"/>
      <c r="V73" s="318"/>
      <c r="W73" s="318"/>
      <c r="X73" s="318"/>
    </row>
    <row r="74" ht="15.75" customHeight="1">
      <c r="A74" s="318"/>
      <c r="B74" s="318"/>
      <c r="C74" s="318"/>
      <c r="D74" s="318"/>
      <c r="E74" s="318"/>
      <c r="F74" s="318"/>
      <c r="G74" s="318"/>
      <c r="H74" s="318"/>
      <c r="I74" s="318"/>
      <c r="J74" s="318"/>
      <c r="K74" s="318"/>
      <c r="L74" s="318"/>
      <c r="M74" s="318"/>
      <c r="N74" s="318"/>
      <c r="O74" s="318"/>
      <c r="P74" s="318"/>
      <c r="Q74" s="318"/>
      <c r="R74" s="318"/>
      <c r="S74" s="318"/>
      <c r="T74" s="318"/>
      <c r="U74" s="318"/>
      <c r="V74" s="318"/>
      <c r="W74" s="318"/>
      <c r="X74" s="318"/>
    </row>
    <row r="75" ht="15.75" customHeight="1">
      <c r="A75" s="318"/>
      <c r="B75" s="318"/>
      <c r="C75" s="318"/>
      <c r="D75" s="318"/>
      <c r="E75" s="318"/>
      <c r="F75" s="318"/>
      <c r="G75" s="318"/>
      <c r="H75" s="318"/>
      <c r="I75" s="318"/>
      <c r="J75" s="318"/>
      <c r="K75" s="318"/>
      <c r="L75" s="318"/>
      <c r="M75" s="318"/>
      <c r="N75" s="318"/>
      <c r="O75" s="318"/>
      <c r="P75" s="318"/>
      <c r="Q75" s="318"/>
      <c r="R75" s="318"/>
      <c r="S75" s="318"/>
      <c r="T75" s="318"/>
      <c r="U75" s="318"/>
      <c r="V75" s="318"/>
      <c r="W75" s="318"/>
      <c r="X75" s="318"/>
    </row>
    <row r="76" ht="15.75" customHeight="1">
      <c r="A76" s="318"/>
      <c r="B76" s="318"/>
      <c r="C76" s="318"/>
      <c r="D76" s="318"/>
      <c r="E76" s="318"/>
      <c r="F76" s="318"/>
      <c r="G76" s="318"/>
      <c r="H76" s="318"/>
      <c r="I76" s="318"/>
      <c r="J76" s="318"/>
      <c r="K76" s="318"/>
      <c r="L76" s="318"/>
      <c r="M76" s="318"/>
      <c r="N76" s="318"/>
      <c r="O76" s="318"/>
      <c r="P76" s="318"/>
      <c r="Q76" s="318"/>
      <c r="R76" s="318"/>
      <c r="S76" s="318"/>
      <c r="T76" s="318"/>
      <c r="U76" s="318"/>
      <c r="V76" s="318"/>
      <c r="W76" s="318"/>
      <c r="X76" s="318"/>
    </row>
    <row r="77" ht="15.75" customHeight="1">
      <c r="A77" s="318"/>
      <c r="B77" s="318"/>
      <c r="C77" s="318"/>
      <c r="D77" s="318"/>
      <c r="E77" s="318"/>
      <c r="F77" s="318"/>
      <c r="G77" s="318"/>
      <c r="H77" s="318"/>
      <c r="I77" s="318"/>
      <c r="J77" s="318"/>
      <c r="K77" s="318"/>
      <c r="L77" s="318"/>
      <c r="M77" s="318"/>
      <c r="N77" s="318"/>
      <c r="O77" s="318"/>
      <c r="P77" s="318"/>
      <c r="Q77" s="318"/>
      <c r="R77" s="318"/>
      <c r="S77" s="318"/>
      <c r="T77" s="318"/>
      <c r="U77" s="318"/>
      <c r="V77" s="318"/>
      <c r="W77" s="318"/>
      <c r="X77" s="318"/>
    </row>
    <row r="78" ht="15.75" customHeight="1">
      <c r="A78" s="318"/>
      <c r="B78" s="318"/>
      <c r="C78" s="318"/>
      <c r="D78" s="318"/>
      <c r="E78" s="318"/>
      <c r="F78" s="318"/>
      <c r="G78" s="318"/>
      <c r="H78" s="318"/>
      <c r="I78" s="318"/>
      <c r="J78" s="318"/>
      <c r="K78" s="318"/>
      <c r="L78" s="318"/>
      <c r="M78" s="318"/>
      <c r="N78" s="318"/>
      <c r="O78" s="318"/>
      <c r="P78" s="318"/>
      <c r="Q78" s="318"/>
      <c r="R78" s="318"/>
      <c r="S78" s="318"/>
      <c r="T78" s="318"/>
      <c r="U78" s="318"/>
      <c r="V78" s="318"/>
      <c r="W78" s="318"/>
      <c r="X78" s="318"/>
    </row>
    <row r="79" ht="15.75" customHeight="1">
      <c r="A79" s="318"/>
      <c r="B79" s="318"/>
      <c r="C79" s="318"/>
      <c r="D79" s="318"/>
      <c r="E79" s="318"/>
      <c r="F79" s="318"/>
      <c r="G79" s="318"/>
      <c r="H79" s="318"/>
      <c r="I79" s="318"/>
      <c r="J79" s="318"/>
      <c r="K79" s="318"/>
      <c r="L79" s="318"/>
      <c r="M79" s="318"/>
      <c r="N79" s="318"/>
      <c r="O79" s="318"/>
      <c r="P79" s="318"/>
      <c r="Q79" s="318"/>
      <c r="R79" s="318"/>
      <c r="S79" s="318"/>
      <c r="T79" s="318"/>
      <c r="U79" s="318"/>
      <c r="V79" s="318"/>
      <c r="W79" s="318"/>
      <c r="X79" s="318"/>
    </row>
    <row r="80" ht="15.75" customHeight="1">
      <c r="A80" s="318"/>
      <c r="B80" s="318"/>
      <c r="C80" s="318"/>
      <c r="D80" s="318"/>
      <c r="E80" s="318"/>
      <c r="F80" s="318"/>
      <c r="G80" s="318"/>
      <c r="H80" s="318"/>
      <c r="I80" s="318"/>
      <c r="J80" s="318"/>
      <c r="K80" s="318"/>
      <c r="L80" s="318"/>
      <c r="M80" s="318"/>
      <c r="N80" s="318"/>
      <c r="O80" s="318"/>
      <c r="P80" s="318"/>
      <c r="Q80" s="318"/>
      <c r="R80" s="318"/>
      <c r="S80" s="318"/>
      <c r="T80" s="318"/>
      <c r="U80" s="318"/>
      <c r="V80" s="318"/>
      <c r="W80" s="318"/>
      <c r="X80" s="318"/>
    </row>
    <row r="81" ht="15.75" customHeight="1">
      <c r="A81" s="318"/>
      <c r="B81" s="318"/>
      <c r="C81" s="318"/>
      <c r="D81" s="318"/>
      <c r="E81" s="318"/>
      <c r="F81" s="318"/>
      <c r="G81" s="318"/>
      <c r="H81" s="318"/>
      <c r="I81" s="318"/>
      <c r="J81" s="318"/>
      <c r="K81" s="318"/>
      <c r="L81" s="318"/>
      <c r="M81" s="318"/>
      <c r="N81" s="318"/>
      <c r="O81" s="318"/>
      <c r="P81" s="318"/>
      <c r="Q81" s="318"/>
      <c r="R81" s="318"/>
      <c r="S81" s="318"/>
      <c r="T81" s="318"/>
      <c r="U81" s="318"/>
      <c r="V81" s="318"/>
      <c r="W81" s="318"/>
      <c r="X81" s="318"/>
    </row>
    <row r="82" ht="15.75" customHeight="1">
      <c r="A82" s="318"/>
      <c r="B82" s="318"/>
      <c r="C82" s="318"/>
      <c r="D82" s="318"/>
      <c r="E82" s="318"/>
      <c r="F82" s="318"/>
      <c r="G82" s="318"/>
      <c r="H82" s="318"/>
      <c r="I82" s="318"/>
      <c r="J82" s="318"/>
      <c r="K82" s="318"/>
      <c r="L82" s="318"/>
      <c r="M82" s="318"/>
      <c r="N82" s="318"/>
      <c r="O82" s="318"/>
      <c r="P82" s="318"/>
      <c r="Q82" s="318"/>
      <c r="R82" s="318"/>
      <c r="S82" s="318"/>
      <c r="T82" s="318"/>
      <c r="U82" s="318"/>
      <c r="V82" s="318"/>
      <c r="W82" s="318"/>
      <c r="X82" s="318"/>
    </row>
    <row r="83" ht="15.75" customHeight="1">
      <c r="A83" s="318"/>
      <c r="B83" s="318"/>
      <c r="C83" s="318"/>
      <c r="D83" s="318"/>
      <c r="E83" s="318"/>
      <c r="F83" s="318"/>
      <c r="G83" s="318"/>
      <c r="H83" s="318"/>
      <c r="I83" s="318"/>
      <c r="J83" s="318"/>
      <c r="K83" s="318"/>
      <c r="L83" s="318"/>
      <c r="M83" s="318"/>
      <c r="N83" s="318"/>
      <c r="O83" s="318"/>
      <c r="P83" s="318"/>
      <c r="Q83" s="318"/>
      <c r="R83" s="318"/>
      <c r="S83" s="318"/>
      <c r="T83" s="318"/>
      <c r="U83" s="318"/>
      <c r="V83" s="318"/>
      <c r="W83" s="318"/>
      <c r="X83" s="318"/>
    </row>
    <row r="84" ht="15.75" customHeight="1">
      <c r="A84" s="318"/>
      <c r="B84" s="318"/>
      <c r="C84" s="318"/>
      <c r="D84" s="318"/>
      <c r="E84" s="318"/>
      <c r="F84" s="318"/>
      <c r="G84" s="318"/>
      <c r="H84" s="318"/>
      <c r="I84" s="318"/>
      <c r="J84" s="318"/>
      <c r="K84" s="318"/>
      <c r="L84" s="318"/>
      <c r="M84" s="318"/>
      <c r="N84" s="318"/>
      <c r="O84" s="318"/>
      <c r="P84" s="318"/>
      <c r="Q84" s="318"/>
      <c r="R84" s="318"/>
      <c r="S84" s="318"/>
      <c r="T84" s="318"/>
      <c r="U84" s="318"/>
      <c r="V84" s="318"/>
      <c r="W84" s="318"/>
      <c r="X84" s="318"/>
    </row>
    <row r="85" ht="15.75" customHeight="1">
      <c r="A85" s="318"/>
      <c r="B85" s="318"/>
      <c r="C85" s="318"/>
      <c r="D85" s="318"/>
      <c r="E85" s="318"/>
      <c r="F85" s="318"/>
      <c r="G85" s="318"/>
      <c r="H85" s="318"/>
      <c r="I85" s="318"/>
      <c r="J85" s="318"/>
      <c r="K85" s="318"/>
      <c r="L85" s="318"/>
      <c r="M85" s="318"/>
      <c r="N85" s="318"/>
      <c r="O85" s="318"/>
      <c r="P85" s="318"/>
      <c r="Q85" s="318"/>
      <c r="R85" s="318"/>
      <c r="S85" s="318"/>
      <c r="T85" s="318"/>
      <c r="U85" s="318"/>
      <c r="V85" s="318"/>
      <c r="W85" s="318"/>
      <c r="X85" s="318"/>
    </row>
    <row r="86" ht="15.75" customHeight="1">
      <c r="A86" s="318"/>
      <c r="B86" s="318"/>
      <c r="C86" s="318"/>
      <c r="D86" s="318"/>
      <c r="E86" s="318"/>
      <c r="F86" s="318"/>
      <c r="G86" s="318"/>
      <c r="H86" s="318"/>
      <c r="I86" s="318"/>
      <c r="J86" s="318"/>
      <c r="K86" s="318"/>
      <c r="L86" s="318"/>
      <c r="M86" s="318"/>
      <c r="N86" s="318"/>
      <c r="O86" s="318"/>
      <c r="P86" s="318"/>
      <c r="Q86" s="318"/>
      <c r="R86" s="318"/>
      <c r="S86" s="318"/>
      <c r="T86" s="318"/>
      <c r="U86" s="318"/>
      <c r="V86" s="318"/>
      <c r="W86" s="318"/>
      <c r="X86" s="318"/>
    </row>
    <row r="87" ht="15.75" customHeight="1">
      <c r="A87" s="318"/>
      <c r="B87" s="318"/>
      <c r="C87" s="318"/>
      <c r="D87" s="318"/>
      <c r="E87" s="318"/>
      <c r="F87" s="318"/>
      <c r="G87" s="318"/>
      <c r="H87" s="318"/>
      <c r="I87" s="318"/>
      <c r="J87" s="318"/>
      <c r="K87" s="318"/>
      <c r="L87" s="318"/>
      <c r="M87" s="318"/>
      <c r="N87" s="318"/>
      <c r="O87" s="318"/>
      <c r="P87" s="318"/>
      <c r="Q87" s="318"/>
      <c r="R87" s="318"/>
      <c r="S87" s="318"/>
      <c r="T87" s="318"/>
      <c r="U87" s="318"/>
      <c r="V87" s="318"/>
      <c r="W87" s="318"/>
      <c r="X87" s="318"/>
    </row>
    <row r="88" ht="15.75" customHeight="1">
      <c r="A88" s="318"/>
      <c r="B88" s="318"/>
      <c r="C88" s="318"/>
      <c r="D88" s="318"/>
      <c r="E88" s="318"/>
      <c r="F88" s="318"/>
      <c r="G88" s="318"/>
      <c r="H88" s="318"/>
      <c r="I88" s="318"/>
      <c r="J88" s="318"/>
      <c r="K88" s="318"/>
      <c r="L88" s="318"/>
      <c r="M88" s="318"/>
      <c r="N88" s="318"/>
      <c r="O88" s="318"/>
      <c r="P88" s="318"/>
      <c r="Q88" s="318"/>
      <c r="R88" s="318"/>
      <c r="S88" s="318"/>
      <c r="T88" s="318"/>
      <c r="U88" s="318"/>
      <c r="V88" s="318"/>
      <c r="W88" s="318"/>
      <c r="X88" s="318"/>
    </row>
    <row r="89" ht="15.75" customHeight="1">
      <c r="A89" s="318"/>
      <c r="B89" s="318"/>
      <c r="C89" s="318"/>
      <c r="D89" s="318"/>
      <c r="E89" s="318"/>
      <c r="F89" s="318"/>
      <c r="G89" s="318"/>
      <c r="H89" s="318"/>
      <c r="I89" s="318"/>
      <c r="J89" s="318"/>
      <c r="K89" s="318"/>
      <c r="L89" s="318"/>
      <c r="M89" s="318"/>
      <c r="N89" s="318"/>
      <c r="O89" s="318"/>
      <c r="P89" s="318"/>
      <c r="Q89" s="318"/>
      <c r="R89" s="318"/>
      <c r="S89" s="318"/>
      <c r="T89" s="318"/>
      <c r="U89" s="318"/>
      <c r="V89" s="318"/>
      <c r="W89" s="318"/>
      <c r="X89" s="318"/>
    </row>
    <row r="90" ht="15.75" customHeight="1">
      <c r="A90" s="318"/>
      <c r="B90" s="318"/>
      <c r="C90" s="318"/>
      <c r="D90" s="318"/>
      <c r="E90" s="318"/>
      <c r="F90" s="318"/>
      <c r="G90" s="318"/>
      <c r="H90" s="318"/>
      <c r="I90" s="318"/>
      <c r="J90" s="318"/>
      <c r="K90" s="318"/>
      <c r="L90" s="318"/>
      <c r="M90" s="318"/>
      <c r="N90" s="318"/>
      <c r="O90" s="318"/>
      <c r="P90" s="318"/>
      <c r="Q90" s="318"/>
      <c r="R90" s="318"/>
      <c r="S90" s="318"/>
      <c r="T90" s="318"/>
      <c r="U90" s="318"/>
      <c r="V90" s="318"/>
      <c r="W90" s="318"/>
      <c r="X90" s="318"/>
    </row>
    <row r="91" ht="15.75" customHeight="1">
      <c r="A91" s="318"/>
      <c r="B91" s="318"/>
      <c r="C91" s="318"/>
      <c r="D91" s="318"/>
      <c r="E91" s="318"/>
      <c r="F91" s="318"/>
      <c r="G91" s="318"/>
      <c r="H91" s="318"/>
      <c r="I91" s="318"/>
      <c r="J91" s="318"/>
      <c r="K91" s="318"/>
      <c r="L91" s="318"/>
      <c r="M91" s="318"/>
      <c r="N91" s="318"/>
      <c r="O91" s="318"/>
      <c r="P91" s="318"/>
      <c r="Q91" s="318"/>
      <c r="R91" s="318"/>
      <c r="S91" s="318"/>
      <c r="T91" s="318"/>
      <c r="U91" s="318"/>
      <c r="V91" s="318"/>
      <c r="W91" s="318"/>
      <c r="X91" s="318"/>
    </row>
    <row r="92" ht="15.75" customHeight="1">
      <c r="A92" s="318"/>
      <c r="B92" s="318"/>
      <c r="C92" s="318"/>
      <c r="D92" s="318"/>
      <c r="E92" s="318"/>
      <c r="F92" s="318"/>
      <c r="G92" s="318"/>
      <c r="H92" s="318"/>
      <c r="I92" s="318"/>
      <c r="J92" s="318"/>
      <c r="K92" s="318"/>
      <c r="L92" s="318"/>
      <c r="M92" s="318"/>
      <c r="N92" s="318"/>
      <c r="O92" s="318"/>
      <c r="P92" s="318"/>
      <c r="Q92" s="318"/>
      <c r="R92" s="318"/>
      <c r="S92" s="318"/>
      <c r="T92" s="318"/>
      <c r="U92" s="318"/>
      <c r="V92" s="318"/>
      <c r="W92" s="318"/>
      <c r="X92" s="318"/>
    </row>
    <row r="93" ht="15.75" customHeight="1">
      <c r="A93" s="318"/>
      <c r="B93" s="318"/>
      <c r="C93" s="318"/>
      <c r="D93" s="318"/>
      <c r="E93" s="318"/>
      <c r="F93" s="318"/>
      <c r="G93" s="318"/>
      <c r="H93" s="318"/>
      <c r="I93" s="318"/>
      <c r="J93" s="318"/>
      <c r="K93" s="318"/>
      <c r="L93" s="318"/>
      <c r="M93" s="318"/>
      <c r="N93" s="318"/>
      <c r="O93" s="318"/>
      <c r="P93" s="318"/>
      <c r="Q93" s="318"/>
      <c r="R93" s="318"/>
      <c r="S93" s="318"/>
      <c r="T93" s="318"/>
      <c r="U93" s="318"/>
      <c r="V93" s="318"/>
      <c r="W93" s="318"/>
      <c r="X93" s="318"/>
    </row>
    <row r="94" ht="15.75" customHeight="1">
      <c r="A94" s="318"/>
      <c r="B94" s="318"/>
      <c r="C94" s="318"/>
      <c r="D94" s="318"/>
      <c r="E94" s="318"/>
      <c r="F94" s="318"/>
      <c r="G94" s="318"/>
      <c r="H94" s="318"/>
      <c r="I94" s="318"/>
      <c r="J94" s="318"/>
      <c r="K94" s="318"/>
      <c r="L94" s="318"/>
      <c r="M94" s="318"/>
      <c r="N94" s="318"/>
      <c r="O94" s="318"/>
      <c r="P94" s="318"/>
      <c r="Q94" s="318"/>
      <c r="R94" s="318"/>
      <c r="S94" s="318"/>
      <c r="T94" s="318"/>
      <c r="U94" s="318"/>
      <c r="V94" s="318"/>
      <c r="W94" s="318"/>
      <c r="X94" s="318"/>
    </row>
    <row r="95" ht="15.75" customHeight="1">
      <c r="A95" s="318"/>
      <c r="B95" s="318"/>
      <c r="C95" s="318"/>
      <c r="D95" s="318"/>
      <c r="E95" s="318"/>
      <c r="F95" s="318"/>
      <c r="G95" s="318"/>
      <c r="H95" s="318"/>
      <c r="I95" s="318"/>
      <c r="J95" s="318"/>
      <c r="K95" s="318"/>
      <c r="L95" s="318"/>
      <c r="M95" s="318"/>
      <c r="N95" s="318"/>
      <c r="O95" s="318"/>
      <c r="P95" s="318"/>
      <c r="Q95" s="318"/>
      <c r="R95" s="318"/>
      <c r="S95" s="318"/>
      <c r="T95" s="318"/>
      <c r="U95" s="318"/>
      <c r="V95" s="318"/>
      <c r="W95" s="318"/>
      <c r="X95" s="318"/>
    </row>
    <row r="96" ht="15.75" customHeight="1">
      <c r="A96" s="318"/>
      <c r="B96" s="318"/>
      <c r="C96" s="318"/>
      <c r="D96" s="318"/>
      <c r="E96" s="318"/>
      <c r="F96" s="318"/>
      <c r="G96" s="318"/>
      <c r="H96" s="318"/>
      <c r="I96" s="318"/>
      <c r="J96" s="318"/>
      <c r="K96" s="318"/>
      <c r="L96" s="318"/>
      <c r="M96" s="318"/>
      <c r="N96" s="318"/>
      <c r="O96" s="318"/>
      <c r="P96" s="318"/>
      <c r="Q96" s="318"/>
      <c r="R96" s="318"/>
      <c r="S96" s="318"/>
      <c r="T96" s="318"/>
      <c r="U96" s="318"/>
      <c r="V96" s="318"/>
      <c r="W96" s="318"/>
      <c r="X96" s="318"/>
    </row>
    <row r="97" ht="15.75" customHeight="1">
      <c r="A97" s="318"/>
      <c r="B97" s="318"/>
      <c r="C97" s="318"/>
      <c r="D97" s="318"/>
      <c r="E97" s="318"/>
      <c r="F97" s="318"/>
      <c r="G97" s="318"/>
      <c r="H97" s="318"/>
      <c r="I97" s="318"/>
      <c r="J97" s="318"/>
      <c r="K97" s="318"/>
      <c r="L97" s="318"/>
      <c r="M97" s="318"/>
      <c r="N97" s="318"/>
      <c r="O97" s="318"/>
      <c r="P97" s="318"/>
      <c r="Q97" s="318"/>
      <c r="R97" s="318"/>
      <c r="S97" s="318"/>
      <c r="T97" s="318"/>
      <c r="U97" s="318"/>
      <c r="V97" s="318"/>
      <c r="W97" s="318"/>
      <c r="X97" s="318"/>
    </row>
    <row r="98" ht="15.75" customHeight="1">
      <c r="A98" s="318"/>
      <c r="B98" s="318"/>
      <c r="C98" s="318"/>
      <c r="D98" s="318"/>
      <c r="E98" s="318"/>
      <c r="F98" s="318"/>
      <c r="G98" s="318"/>
      <c r="H98" s="318"/>
      <c r="I98" s="318"/>
      <c r="J98" s="318"/>
      <c r="K98" s="318"/>
      <c r="L98" s="318"/>
      <c r="M98" s="318"/>
      <c r="N98" s="318"/>
      <c r="O98" s="318"/>
      <c r="P98" s="318"/>
      <c r="Q98" s="318"/>
      <c r="R98" s="318"/>
      <c r="S98" s="318"/>
      <c r="T98" s="318"/>
      <c r="U98" s="318"/>
      <c r="V98" s="318"/>
      <c r="W98" s="318"/>
      <c r="X98" s="318"/>
    </row>
    <row r="99" ht="15.75" customHeight="1">
      <c r="A99" s="318"/>
      <c r="B99" s="318"/>
      <c r="C99" s="318"/>
      <c r="D99" s="318"/>
      <c r="E99" s="318"/>
      <c r="F99" s="318"/>
      <c r="G99" s="318"/>
      <c r="H99" s="318"/>
      <c r="I99" s="318"/>
      <c r="J99" s="318"/>
      <c r="K99" s="318"/>
      <c r="L99" s="318"/>
      <c r="M99" s="318"/>
      <c r="N99" s="318"/>
      <c r="O99" s="318"/>
      <c r="P99" s="318"/>
      <c r="Q99" s="318"/>
      <c r="R99" s="318"/>
      <c r="S99" s="318"/>
      <c r="T99" s="318"/>
      <c r="U99" s="318"/>
      <c r="V99" s="318"/>
      <c r="W99" s="318"/>
      <c r="X99" s="318"/>
    </row>
    <row r="100" ht="15.75" customHeight="1">
      <c r="A100" s="318"/>
      <c r="B100" s="318"/>
      <c r="C100" s="318"/>
      <c r="D100" s="318"/>
      <c r="E100" s="318"/>
      <c r="F100" s="318"/>
      <c r="G100" s="318"/>
      <c r="H100" s="318"/>
      <c r="I100" s="318"/>
      <c r="J100" s="318"/>
      <c r="K100" s="318"/>
      <c r="L100" s="318"/>
      <c r="M100" s="318"/>
      <c r="N100" s="318"/>
      <c r="O100" s="318"/>
      <c r="P100" s="318"/>
      <c r="Q100" s="318"/>
      <c r="R100" s="318"/>
      <c r="S100" s="318"/>
      <c r="T100" s="318"/>
      <c r="U100" s="318"/>
      <c r="V100" s="318"/>
      <c r="W100" s="318"/>
      <c r="X100" s="318"/>
    </row>
    <row r="101" ht="15.75" customHeight="1">
      <c r="A101" s="318"/>
      <c r="B101" s="318"/>
      <c r="C101" s="318"/>
      <c r="D101" s="318"/>
      <c r="E101" s="318"/>
      <c r="F101" s="318"/>
      <c r="G101" s="318"/>
      <c r="H101" s="318"/>
      <c r="I101" s="318"/>
      <c r="J101" s="318"/>
      <c r="K101" s="318"/>
      <c r="L101" s="318"/>
      <c r="M101" s="318"/>
      <c r="N101" s="318"/>
      <c r="O101" s="318"/>
      <c r="P101" s="318"/>
      <c r="Q101" s="318"/>
      <c r="R101" s="318"/>
      <c r="S101" s="318"/>
      <c r="T101" s="318"/>
      <c r="U101" s="318"/>
      <c r="V101" s="318"/>
      <c r="W101" s="318"/>
      <c r="X101" s="318"/>
    </row>
    <row r="102" ht="15.75" customHeight="1">
      <c r="A102" s="318"/>
      <c r="B102" s="318"/>
      <c r="C102" s="318"/>
      <c r="D102" s="318"/>
      <c r="E102" s="318"/>
      <c r="F102" s="318"/>
      <c r="G102" s="318"/>
      <c r="H102" s="318"/>
      <c r="I102" s="318"/>
      <c r="J102" s="318"/>
      <c r="K102" s="318"/>
      <c r="L102" s="318"/>
      <c r="M102" s="318"/>
      <c r="N102" s="318"/>
      <c r="O102" s="318"/>
      <c r="P102" s="318"/>
      <c r="Q102" s="318"/>
      <c r="R102" s="318"/>
      <c r="S102" s="318"/>
      <c r="T102" s="318"/>
      <c r="U102" s="318"/>
      <c r="V102" s="318"/>
      <c r="W102" s="318"/>
      <c r="X102" s="318"/>
    </row>
    <row r="103" ht="15.75" customHeight="1">
      <c r="A103" s="318"/>
      <c r="B103" s="318"/>
      <c r="C103" s="318"/>
      <c r="D103" s="318"/>
      <c r="E103" s="318"/>
      <c r="F103" s="318"/>
      <c r="G103" s="318"/>
      <c r="H103" s="318"/>
      <c r="I103" s="318"/>
      <c r="J103" s="318"/>
      <c r="K103" s="318"/>
      <c r="L103" s="318"/>
      <c r="M103" s="318"/>
      <c r="N103" s="318"/>
      <c r="O103" s="318"/>
      <c r="P103" s="318"/>
      <c r="Q103" s="318"/>
      <c r="R103" s="318"/>
      <c r="S103" s="318"/>
      <c r="T103" s="318"/>
      <c r="U103" s="318"/>
      <c r="V103" s="318"/>
      <c r="W103" s="318"/>
      <c r="X103" s="318"/>
    </row>
    <row r="104" ht="15.75" customHeight="1">
      <c r="A104" s="318"/>
      <c r="B104" s="318"/>
      <c r="C104" s="318"/>
      <c r="D104" s="318"/>
      <c r="E104" s="318"/>
      <c r="F104" s="318"/>
      <c r="G104" s="318"/>
      <c r="H104" s="318"/>
      <c r="I104" s="318"/>
      <c r="J104" s="318"/>
      <c r="K104" s="318"/>
      <c r="L104" s="318"/>
      <c r="M104" s="318"/>
      <c r="N104" s="318"/>
      <c r="O104" s="318"/>
      <c r="P104" s="318"/>
      <c r="Q104" s="318"/>
      <c r="R104" s="318"/>
      <c r="S104" s="318"/>
      <c r="T104" s="318"/>
      <c r="U104" s="318"/>
      <c r="V104" s="318"/>
      <c r="W104" s="318"/>
      <c r="X104" s="318"/>
    </row>
    <row r="105" ht="15.75" customHeight="1">
      <c r="A105" s="318"/>
      <c r="B105" s="318"/>
      <c r="C105" s="318"/>
      <c r="D105" s="318"/>
      <c r="E105" s="318"/>
      <c r="F105" s="318"/>
      <c r="G105" s="318"/>
      <c r="H105" s="318"/>
      <c r="I105" s="318"/>
      <c r="J105" s="318"/>
      <c r="K105" s="318"/>
      <c r="L105" s="318"/>
      <c r="M105" s="318"/>
      <c r="N105" s="318"/>
      <c r="O105" s="318"/>
      <c r="P105" s="318"/>
      <c r="Q105" s="318"/>
      <c r="R105" s="318"/>
      <c r="S105" s="318"/>
      <c r="T105" s="318"/>
      <c r="U105" s="318"/>
      <c r="V105" s="318"/>
      <c r="W105" s="318"/>
      <c r="X105" s="318"/>
    </row>
    <row r="106" ht="15.75" customHeight="1">
      <c r="A106" s="318"/>
      <c r="B106" s="318"/>
      <c r="C106" s="318"/>
      <c r="D106" s="318"/>
      <c r="E106" s="318"/>
      <c r="F106" s="318"/>
      <c r="G106" s="318"/>
      <c r="H106" s="318"/>
      <c r="I106" s="318"/>
      <c r="J106" s="318"/>
      <c r="K106" s="318"/>
      <c r="L106" s="318"/>
      <c r="M106" s="318"/>
      <c r="N106" s="318"/>
      <c r="O106" s="318"/>
      <c r="P106" s="318"/>
      <c r="Q106" s="318"/>
      <c r="R106" s="318"/>
      <c r="S106" s="318"/>
      <c r="T106" s="318"/>
      <c r="U106" s="318"/>
      <c r="V106" s="318"/>
      <c r="W106" s="318"/>
      <c r="X106" s="318"/>
    </row>
    <row r="107" ht="15.75" customHeight="1">
      <c r="A107" s="318"/>
      <c r="B107" s="318"/>
      <c r="C107" s="318"/>
      <c r="D107" s="318"/>
      <c r="E107" s="318"/>
      <c r="F107" s="318"/>
      <c r="G107" s="318"/>
      <c r="H107" s="318"/>
      <c r="I107" s="318"/>
      <c r="J107" s="318"/>
      <c r="K107" s="318"/>
      <c r="L107" s="318"/>
      <c r="M107" s="318"/>
      <c r="N107" s="318"/>
      <c r="O107" s="318"/>
      <c r="P107" s="318"/>
      <c r="Q107" s="318"/>
      <c r="R107" s="318"/>
      <c r="S107" s="318"/>
      <c r="T107" s="318"/>
      <c r="U107" s="318"/>
      <c r="V107" s="318"/>
      <c r="W107" s="318"/>
      <c r="X107" s="318"/>
    </row>
    <row r="108" ht="15.75" customHeight="1">
      <c r="A108" s="318"/>
      <c r="B108" s="318"/>
      <c r="C108" s="318"/>
      <c r="D108" s="318"/>
      <c r="E108" s="318"/>
      <c r="F108" s="318"/>
      <c r="G108" s="318"/>
      <c r="H108" s="318"/>
      <c r="I108" s="318"/>
      <c r="J108" s="318"/>
      <c r="K108" s="318"/>
      <c r="L108" s="318"/>
      <c r="M108" s="318"/>
      <c r="N108" s="318"/>
      <c r="O108" s="318"/>
      <c r="P108" s="318"/>
      <c r="Q108" s="318"/>
      <c r="R108" s="318"/>
      <c r="S108" s="318"/>
      <c r="T108" s="318"/>
      <c r="U108" s="318"/>
      <c r="V108" s="318"/>
      <c r="W108" s="318"/>
      <c r="X108" s="318"/>
    </row>
    <row r="109" ht="15.75" customHeight="1">
      <c r="A109" s="318"/>
      <c r="B109" s="318"/>
      <c r="C109" s="318"/>
      <c r="D109" s="318"/>
      <c r="E109" s="318"/>
      <c r="F109" s="318"/>
      <c r="G109" s="318"/>
      <c r="H109" s="318"/>
      <c r="I109" s="318"/>
      <c r="J109" s="318"/>
      <c r="K109" s="318"/>
      <c r="L109" s="318"/>
      <c r="M109" s="318"/>
      <c r="N109" s="318"/>
      <c r="O109" s="318"/>
      <c r="P109" s="318"/>
      <c r="Q109" s="318"/>
      <c r="R109" s="318"/>
      <c r="S109" s="318"/>
      <c r="T109" s="318"/>
      <c r="U109" s="318"/>
      <c r="V109" s="318"/>
      <c r="W109" s="318"/>
      <c r="X109" s="318"/>
    </row>
    <row r="110" ht="15.75" customHeight="1">
      <c r="A110" s="318"/>
      <c r="B110" s="318"/>
      <c r="C110" s="318"/>
      <c r="D110" s="318"/>
      <c r="E110" s="318"/>
      <c r="F110" s="318"/>
      <c r="G110" s="318"/>
      <c r="H110" s="318"/>
      <c r="I110" s="318"/>
      <c r="J110" s="318"/>
      <c r="K110" s="318"/>
      <c r="L110" s="318"/>
      <c r="M110" s="318"/>
      <c r="N110" s="318"/>
      <c r="O110" s="318"/>
      <c r="P110" s="318"/>
      <c r="Q110" s="318"/>
      <c r="R110" s="318"/>
      <c r="S110" s="318"/>
      <c r="T110" s="318"/>
      <c r="U110" s="318"/>
      <c r="V110" s="318"/>
      <c r="W110" s="318"/>
      <c r="X110" s="318"/>
    </row>
    <row r="111" ht="15.75" customHeight="1">
      <c r="A111" s="318"/>
      <c r="B111" s="318"/>
      <c r="C111" s="318"/>
      <c r="D111" s="318"/>
      <c r="E111" s="318"/>
      <c r="F111" s="318"/>
      <c r="G111" s="318"/>
      <c r="H111" s="318"/>
      <c r="I111" s="318"/>
      <c r="J111" s="318"/>
      <c r="K111" s="318"/>
      <c r="L111" s="318"/>
      <c r="M111" s="318"/>
      <c r="N111" s="318"/>
      <c r="O111" s="318"/>
      <c r="P111" s="318"/>
      <c r="Q111" s="318"/>
      <c r="R111" s="318"/>
      <c r="S111" s="318"/>
      <c r="T111" s="318"/>
      <c r="U111" s="318"/>
      <c r="V111" s="318"/>
      <c r="W111" s="318"/>
      <c r="X111" s="318"/>
    </row>
    <row r="112" ht="15.75" customHeight="1">
      <c r="A112" s="318"/>
      <c r="B112" s="318"/>
      <c r="C112" s="318"/>
      <c r="D112" s="318"/>
      <c r="E112" s="318"/>
      <c r="F112" s="318"/>
      <c r="G112" s="318"/>
      <c r="H112" s="318"/>
      <c r="I112" s="318"/>
      <c r="J112" s="318"/>
      <c r="K112" s="318"/>
      <c r="L112" s="318"/>
      <c r="M112" s="318"/>
      <c r="N112" s="318"/>
      <c r="O112" s="318"/>
      <c r="P112" s="318"/>
      <c r="Q112" s="318"/>
      <c r="R112" s="318"/>
      <c r="S112" s="318"/>
      <c r="T112" s="318"/>
      <c r="U112" s="318"/>
      <c r="V112" s="318"/>
      <c r="W112" s="318"/>
      <c r="X112" s="318"/>
    </row>
    <row r="113" ht="15.75" customHeight="1">
      <c r="A113" s="318"/>
      <c r="B113" s="318"/>
      <c r="C113" s="318"/>
      <c r="D113" s="318"/>
      <c r="E113" s="318"/>
      <c r="F113" s="318"/>
      <c r="G113" s="318"/>
      <c r="H113" s="318"/>
      <c r="I113" s="318"/>
      <c r="J113" s="318"/>
      <c r="K113" s="318"/>
      <c r="L113" s="318"/>
      <c r="M113" s="318"/>
      <c r="N113" s="318"/>
      <c r="O113" s="318"/>
      <c r="P113" s="318"/>
      <c r="Q113" s="318"/>
      <c r="R113" s="318"/>
      <c r="S113" s="318"/>
      <c r="T113" s="318"/>
      <c r="U113" s="318"/>
      <c r="V113" s="318"/>
      <c r="W113" s="318"/>
      <c r="X113" s="318"/>
    </row>
    <row r="114" ht="15.75" customHeight="1">
      <c r="A114" s="318"/>
      <c r="B114" s="318"/>
      <c r="C114" s="318"/>
      <c r="D114" s="318"/>
      <c r="E114" s="318"/>
      <c r="F114" s="318"/>
      <c r="G114" s="318"/>
      <c r="H114" s="318"/>
      <c r="I114" s="318"/>
      <c r="J114" s="318"/>
      <c r="K114" s="318"/>
      <c r="L114" s="318"/>
      <c r="M114" s="318"/>
      <c r="N114" s="318"/>
      <c r="O114" s="318"/>
      <c r="P114" s="318"/>
      <c r="Q114" s="318"/>
      <c r="R114" s="318"/>
      <c r="S114" s="318"/>
      <c r="T114" s="318"/>
      <c r="U114" s="318"/>
      <c r="V114" s="318"/>
      <c r="W114" s="318"/>
      <c r="X114" s="318"/>
    </row>
    <row r="115" ht="15.75" customHeight="1">
      <c r="A115" s="318"/>
      <c r="B115" s="318"/>
      <c r="C115" s="318"/>
      <c r="D115" s="318"/>
      <c r="E115" s="318"/>
      <c r="F115" s="318"/>
      <c r="G115" s="318"/>
      <c r="H115" s="318"/>
      <c r="I115" s="318"/>
      <c r="J115" s="318"/>
      <c r="K115" s="318"/>
      <c r="L115" s="318"/>
      <c r="M115" s="318"/>
      <c r="N115" s="318"/>
      <c r="O115" s="318"/>
      <c r="P115" s="318"/>
      <c r="Q115" s="318"/>
      <c r="R115" s="318"/>
      <c r="S115" s="318"/>
      <c r="T115" s="318"/>
      <c r="U115" s="318"/>
      <c r="V115" s="318"/>
      <c r="W115" s="318"/>
      <c r="X115" s="318"/>
    </row>
    <row r="116" ht="15.75" customHeight="1">
      <c r="A116" s="318"/>
      <c r="B116" s="318"/>
      <c r="C116" s="318"/>
      <c r="D116" s="318"/>
      <c r="E116" s="318"/>
      <c r="F116" s="318"/>
      <c r="G116" s="318"/>
      <c r="H116" s="318"/>
      <c r="I116" s="318"/>
      <c r="J116" s="318"/>
      <c r="K116" s="318"/>
      <c r="L116" s="318"/>
      <c r="M116" s="318"/>
      <c r="N116" s="318"/>
      <c r="O116" s="318"/>
      <c r="P116" s="318"/>
      <c r="Q116" s="318"/>
      <c r="R116" s="318"/>
      <c r="S116" s="318"/>
      <c r="T116" s="318"/>
      <c r="U116" s="318"/>
      <c r="V116" s="318"/>
      <c r="W116" s="318"/>
      <c r="X116" s="318"/>
    </row>
    <row r="117" ht="15.75" customHeight="1">
      <c r="A117" s="318"/>
      <c r="B117" s="318"/>
      <c r="C117" s="318"/>
      <c r="D117" s="318"/>
      <c r="E117" s="318"/>
      <c r="F117" s="318"/>
      <c r="G117" s="318"/>
      <c r="H117" s="318"/>
      <c r="I117" s="318"/>
      <c r="J117" s="318"/>
      <c r="K117" s="318"/>
      <c r="L117" s="318"/>
      <c r="M117" s="318"/>
      <c r="N117" s="318"/>
      <c r="O117" s="318"/>
      <c r="P117" s="318"/>
      <c r="Q117" s="318"/>
      <c r="R117" s="318"/>
      <c r="S117" s="318"/>
      <c r="T117" s="318"/>
      <c r="U117" s="318"/>
      <c r="V117" s="318"/>
      <c r="W117" s="318"/>
      <c r="X117" s="318"/>
    </row>
    <row r="118" ht="15.75" customHeight="1">
      <c r="A118" s="318"/>
      <c r="B118" s="318"/>
      <c r="C118" s="318"/>
      <c r="D118" s="318"/>
      <c r="E118" s="318"/>
      <c r="F118" s="318"/>
      <c r="G118" s="318"/>
      <c r="H118" s="318"/>
      <c r="I118" s="318"/>
      <c r="J118" s="318"/>
      <c r="K118" s="318"/>
      <c r="L118" s="318"/>
      <c r="M118" s="318"/>
      <c r="N118" s="318"/>
      <c r="O118" s="318"/>
      <c r="P118" s="318"/>
      <c r="Q118" s="318"/>
      <c r="R118" s="318"/>
      <c r="S118" s="318"/>
      <c r="T118" s="318"/>
      <c r="U118" s="318"/>
      <c r="V118" s="318"/>
      <c r="W118" s="318"/>
      <c r="X118" s="318"/>
    </row>
    <row r="119" ht="15.75" customHeight="1">
      <c r="A119" s="318"/>
      <c r="B119" s="318"/>
      <c r="C119" s="318"/>
      <c r="D119" s="318"/>
      <c r="E119" s="318"/>
      <c r="F119" s="318"/>
      <c r="G119" s="318"/>
      <c r="H119" s="318"/>
      <c r="I119" s="318"/>
      <c r="J119" s="318"/>
      <c r="K119" s="318"/>
      <c r="L119" s="318"/>
      <c r="M119" s="318"/>
      <c r="N119" s="318"/>
      <c r="O119" s="318"/>
      <c r="P119" s="318"/>
      <c r="Q119" s="318"/>
      <c r="R119" s="318"/>
      <c r="S119" s="318"/>
      <c r="T119" s="318"/>
      <c r="U119" s="318"/>
      <c r="V119" s="318"/>
      <c r="W119" s="318"/>
      <c r="X119" s="318"/>
    </row>
    <row r="120" ht="15.75" customHeight="1">
      <c r="A120" s="318"/>
      <c r="B120" s="318"/>
      <c r="C120" s="318"/>
      <c r="D120" s="318"/>
      <c r="E120" s="318"/>
      <c r="F120" s="318"/>
      <c r="G120" s="318"/>
      <c r="H120" s="318"/>
      <c r="I120" s="318"/>
      <c r="J120" s="318"/>
      <c r="K120" s="318"/>
      <c r="L120" s="318"/>
      <c r="M120" s="318"/>
      <c r="N120" s="318"/>
      <c r="O120" s="318"/>
      <c r="P120" s="318"/>
      <c r="Q120" s="318"/>
      <c r="R120" s="318"/>
      <c r="S120" s="318"/>
      <c r="T120" s="318"/>
      <c r="U120" s="318"/>
      <c r="V120" s="318"/>
      <c r="W120" s="318"/>
      <c r="X120" s="318"/>
    </row>
    <row r="121" ht="15.75" customHeight="1">
      <c r="A121" s="318"/>
      <c r="B121" s="318"/>
      <c r="C121" s="318"/>
      <c r="D121" s="318"/>
      <c r="E121" s="318"/>
      <c r="F121" s="318"/>
      <c r="G121" s="318"/>
      <c r="H121" s="318"/>
      <c r="I121" s="318"/>
      <c r="J121" s="318"/>
      <c r="K121" s="318"/>
      <c r="L121" s="318"/>
      <c r="M121" s="318"/>
      <c r="N121" s="318"/>
      <c r="O121" s="318"/>
      <c r="P121" s="318"/>
      <c r="Q121" s="318"/>
      <c r="R121" s="318"/>
      <c r="S121" s="318"/>
      <c r="T121" s="318"/>
      <c r="U121" s="318"/>
      <c r="V121" s="318"/>
      <c r="W121" s="318"/>
      <c r="X121" s="318"/>
    </row>
    <row r="122" ht="15.75" customHeight="1">
      <c r="A122" s="318"/>
      <c r="B122" s="318"/>
      <c r="C122" s="318"/>
      <c r="D122" s="318"/>
      <c r="E122" s="318"/>
      <c r="F122" s="318"/>
      <c r="G122" s="318"/>
      <c r="H122" s="318"/>
      <c r="I122" s="318"/>
      <c r="J122" s="318"/>
      <c r="K122" s="318"/>
      <c r="L122" s="318"/>
      <c r="M122" s="318"/>
      <c r="N122" s="318"/>
      <c r="O122" s="318"/>
      <c r="P122" s="318"/>
      <c r="Q122" s="318"/>
      <c r="R122" s="318"/>
      <c r="S122" s="318"/>
      <c r="T122" s="318"/>
      <c r="U122" s="318"/>
      <c r="V122" s="318"/>
      <c r="W122" s="318"/>
      <c r="X122" s="318"/>
    </row>
    <row r="123" ht="15.75" customHeight="1">
      <c r="A123" s="318"/>
      <c r="B123" s="318"/>
      <c r="C123" s="318"/>
      <c r="D123" s="318"/>
      <c r="E123" s="318"/>
      <c r="F123" s="318"/>
      <c r="G123" s="318"/>
      <c r="H123" s="318"/>
      <c r="I123" s="318"/>
      <c r="J123" s="318"/>
      <c r="K123" s="318"/>
      <c r="L123" s="318"/>
      <c r="M123" s="318"/>
      <c r="N123" s="318"/>
      <c r="O123" s="318"/>
      <c r="P123" s="318"/>
      <c r="Q123" s="318"/>
      <c r="R123" s="318"/>
      <c r="S123" s="318"/>
      <c r="T123" s="318"/>
      <c r="U123" s="318"/>
      <c r="V123" s="318"/>
      <c r="W123" s="318"/>
      <c r="X123" s="318"/>
    </row>
    <row r="124" ht="15.75" customHeight="1">
      <c r="A124" s="318"/>
      <c r="B124" s="318"/>
      <c r="C124" s="318"/>
      <c r="D124" s="318"/>
      <c r="E124" s="318"/>
      <c r="F124" s="318"/>
      <c r="G124" s="318"/>
      <c r="H124" s="318"/>
      <c r="I124" s="318"/>
      <c r="J124" s="318"/>
      <c r="K124" s="318"/>
      <c r="L124" s="318"/>
      <c r="M124" s="318"/>
      <c r="N124" s="318"/>
      <c r="O124" s="318"/>
      <c r="P124" s="318"/>
      <c r="Q124" s="318"/>
      <c r="R124" s="318"/>
      <c r="S124" s="318"/>
      <c r="T124" s="318"/>
      <c r="U124" s="318"/>
      <c r="V124" s="318"/>
      <c r="W124" s="318"/>
      <c r="X124" s="318"/>
    </row>
    <row r="125" ht="15.75" customHeight="1">
      <c r="A125" s="318"/>
      <c r="B125" s="318"/>
      <c r="C125" s="318"/>
      <c r="D125" s="318"/>
      <c r="E125" s="318"/>
      <c r="F125" s="318"/>
      <c r="G125" s="318"/>
      <c r="H125" s="318"/>
      <c r="I125" s="318"/>
      <c r="J125" s="318"/>
      <c r="K125" s="318"/>
      <c r="L125" s="318"/>
      <c r="M125" s="318"/>
      <c r="N125" s="318"/>
      <c r="O125" s="318"/>
      <c r="P125" s="318"/>
      <c r="Q125" s="318"/>
      <c r="R125" s="318"/>
      <c r="S125" s="318"/>
      <c r="T125" s="318"/>
      <c r="U125" s="318"/>
      <c r="V125" s="318"/>
      <c r="W125" s="318"/>
      <c r="X125" s="318"/>
    </row>
    <row r="126" ht="15.75" customHeight="1">
      <c r="A126" s="318"/>
      <c r="B126" s="318"/>
      <c r="C126" s="318"/>
      <c r="D126" s="318"/>
      <c r="E126" s="318"/>
      <c r="F126" s="318"/>
      <c r="G126" s="318"/>
      <c r="H126" s="318"/>
      <c r="I126" s="318"/>
      <c r="J126" s="318"/>
      <c r="K126" s="318"/>
      <c r="L126" s="318"/>
      <c r="M126" s="318"/>
      <c r="N126" s="318"/>
      <c r="O126" s="318"/>
      <c r="P126" s="318"/>
      <c r="Q126" s="318"/>
      <c r="R126" s="318"/>
      <c r="S126" s="318"/>
      <c r="T126" s="318"/>
      <c r="U126" s="318"/>
      <c r="V126" s="318"/>
      <c r="W126" s="318"/>
      <c r="X126" s="318"/>
    </row>
    <row r="127" ht="15.75" customHeight="1">
      <c r="A127" s="318"/>
      <c r="B127" s="318"/>
      <c r="C127" s="318"/>
      <c r="D127" s="318"/>
      <c r="E127" s="318"/>
      <c r="F127" s="318"/>
      <c r="G127" s="318"/>
      <c r="H127" s="318"/>
      <c r="I127" s="318"/>
      <c r="J127" s="318"/>
      <c r="K127" s="318"/>
      <c r="L127" s="318"/>
      <c r="M127" s="318"/>
      <c r="N127" s="318"/>
      <c r="O127" s="318"/>
      <c r="P127" s="318"/>
      <c r="Q127" s="318"/>
      <c r="R127" s="318"/>
      <c r="S127" s="318"/>
      <c r="T127" s="318"/>
      <c r="U127" s="318"/>
      <c r="V127" s="318"/>
      <c r="W127" s="318"/>
      <c r="X127" s="318"/>
    </row>
    <row r="128" ht="15.75" customHeight="1">
      <c r="A128" s="318"/>
      <c r="B128" s="318"/>
      <c r="C128" s="318"/>
      <c r="D128" s="318"/>
      <c r="E128" s="318"/>
      <c r="F128" s="318"/>
      <c r="G128" s="318"/>
      <c r="H128" s="318"/>
      <c r="I128" s="318"/>
      <c r="J128" s="318"/>
      <c r="K128" s="318"/>
      <c r="L128" s="318"/>
      <c r="M128" s="318"/>
      <c r="N128" s="318"/>
      <c r="O128" s="318"/>
      <c r="P128" s="318"/>
      <c r="Q128" s="318"/>
      <c r="R128" s="318"/>
      <c r="S128" s="318"/>
      <c r="T128" s="318"/>
      <c r="U128" s="318"/>
      <c r="V128" s="318"/>
      <c r="W128" s="318"/>
      <c r="X128" s="318"/>
    </row>
    <row r="129" ht="15.75" customHeight="1">
      <c r="A129" s="318"/>
      <c r="B129" s="318"/>
      <c r="C129" s="318"/>
      <c r="D129" s="318"/>
      <c r="E129" s="318"/>
      <c r="F129" s="318"/>
      <c r="G129" s="318"/>
      <c r="H129" s="318"/>
      <c r="I129" s="318"/>
      <c r="J129" s="318"/>
      <c r="K129" s="318"/>
      <c r="L129" s="318"/>
      <c r="M129" s="318"/>
      <c r="N129" s="318"/>
      <c r="O129" s="318"/>
      <c r="P129" s="318"/>
      <c r="Q129" s="318"/>
      <c r="R129" s="318"/>
      <c r="S129" s="318"/>
      <c r="T129" s="318"/>
      <c r="U129" s="318"/>
      <c r="V129" s="318"/>
      <c r="W129" s="318"/>
      <c r="X129" s="318"/>
    </row>
    <row r="130" ht="15.75" customHeight="1">
      <c r="A130" s="318"/>
      <c r="B130" s="318"/>
      <c r="C130" s="318"/>
      <c r="D130" s="318"/>
      <c r="E130" s="318"/>
      <c r="F130" s="318"/>
      <c r="G130" s="318"/>
      <c r="H130" s="318"/>
      <c r="I130" s="318"/>
      <c r="J130" s="318"/>
      <c r="K130" s="318"/>
      <c r="L130" s="318"/>
      <c r="M130" s="318"/>
      <c r="N130" s="318"/>
      <c r="O130" s="318"/>
      <c r="P130" s="318"/>
      <c r="Q130" s="318"/>
      <c r="R130" s="318"/>
      <c r="S130" s="318"/>
      <c r="T130" s="318"/>
      <c r="U130" s="318"/>
      <c r="V130" s="318"/>
      <c r="W130" s="318"/>
      <c r="X130" s="318"/>
    </row>
    <row r="131" ht="15.75" customHeight="1">
      <c r="A131" s="318"/>
      <c r="B131" s="318"/>
      <c r="C131" s="318"/>
      <c r="D131" s="318"/>
      <c r="E131" s="318"/>
      <c r="F131" s="318"/>
      <c r="G131" s="318"/>
      <c r="H131" s="318"/>
      <c r="I131" s="318"/>
      <c r="J131" s="318"/>
      <c r="K131" s="318"/>
      <c r="L131" s="318"/>
      <c r="M131" s="318"/>
      <c r="N131" s="318"/>
      <c r="O131" s="318"/>
      <c r="P131" s="318"/>
      <c r="Q131" s="318"/>
      <c r="R131" s="318"/>
      <c r="S131" s="318"/>
      <c r="T131" s="318"/>
      <c r="U131" s="318"/>
      <c r="V131" s="318"/>
      <c r="W131" s="318"/>
      <c r="X131" s="318"/>
    </row>
    <row r="132" ht="15.75" customHeight="1">
      <c r="A132" s="318"/>
      <c r="B132" s="318"/>
      <c r="C132" s="318"/>
      <c r="D132" s="318"/>
      <c r="E132" s="318"/>
      <c r="F132" s="318"/>
      <c r="G132" s="318"/>
      <c r="H132" s="318"/>
      <c r="I132" s="318"/>
      <c r="J132" s="318"/>
      <c r="K132" s="318"/>
      <c r="L132" s="318"/>
      <c r="M132" s="318"/>
      <c r="N132" s="318"/>
      <c r="O132" s="318"/>
      <c r="P132" s="318"/>
      <c r="Q132" s="318"/>
      <c r="R132" s="318"/>
      <c r="S132" s="318"/>
      <c r="T132" s="318"/>
      <c r="U132" s="318"/>
      <c r="V132" s="318"/>
      <c r="W132" s="318"/>
      <c r="X132" s="318"/>
    </row>
    <row r="133" ht="15.75" customHeight="1">
      <c r="A133" s="318"/>
      <c r="B133" s="318"/>
      <c r="C133" s="318"/>
      <c r="D133" s="318"/>
      <c r="E133" s="318"/>
      <c r="F133" s="318"/>
      <c r="G133" s="318"/>
      <c r="H133" s="318"/>
      <c r="I133" s="318"/>
      <c r="J133" s="318"/>
      <c r="K133" s="318"/>
      <c r="L133" s="318"/>
      <c r="M133" s="318"/>
      <c r="N133" s="318"/>
      <c r="O133" s="318"/>
      <c r="P133" s="318"/>
      <c r="Q133" s="318"/>
      <c r="R133" s="318"/>
      <c r="S133" s="318"/>
      <c r="T133" s="318"/>
      <c r="U133" s="318"/>
      <c r="V133" s="318"/>
      <c r="W133" s="318"/>
      <c r="X133" s="318"/>
    </row>
    <row r="134" ht="15.75" customHeight="1">
      <c r="A134" s="318"/>
      <c r="B134" s="318"/>
      <c r="C134" s="318"/>
      <c r="D134" s="318"/>
      <c r="E134" s="318"/>
      <c r="F134" s="318"/>
      <c r="G134" s="318"/>
      <c r="H134" s="318"/>
      <c r="I134" s="318"/>
      <c r="J134" s="318"/>
      <c r="K134" s="318"/>
      <c r="L134" s="318"/>
      <c r="M134" s="318"/>
      <c r="N134" s="318"/>
      <c r="O134" s="318"/>
      <c r="P134" s="318"/>
      <c r="Q134" s="318"/>
      <c r="R134" s="318"/>
      <c r="S134" s="318"/>
      <c r="T134" s="318"/>
      <c r="U134" s="318"/>
      <c r="V134" s="318"/>
      <c r="W134" s="318"/>
      <c r="X134" s="318"/>
    </row>
    <row r="135" ht="15.75" customHeight="1">
      <c r="A135" s="318"/>
      <c r="B135" s="318"/>
      <c r="C135" s="318"/>
      <c r="D135" s="318"/>
      <c r="E135" s="318"/>
      <c r="F135" s="318"/>
      <c r="G135" s="318"/>
      <c r="H135" s="318"/>
      <c r="I135" s="318"/>
      <c r="J135" s="318"/>
      <c r="K135" s="318"/>
      <c r="L135" s="318"/>
      <c r="M135" s="318"/>
      <c r="N135" s="318"/>
      <c r="O135" s="318"/>
      <c r="P135" s="318"/>
      <c r="Q135" s="318"/>
      <c r="R135" s="318"/>
      <c r="S135" s="318"/>
      <c r="T135" s="318"/>
      <c r="U135" s="318"/>
      <c r="V135" s="318"/>
      <c r="W135" s="318"/>
      <c r="X135" s="318"/>
    </row>
    <row r="136" ht="15.75" customHeight="1">
      <c r="A136" s="318"/>
      <c r="B136" s="318"/>
      <c r="C136" s="318"/>
      <c r="D136" s="318"/>
      <c r="E136" s="318"/>
      <c r="F136" s="318"/>
      <c r="G136" s="318"/>
      <c r="H136" s="318"/>
      <c r="I136" s="318"/>
      <c r="J136" s="318"/>
      <c r="K136" s="318"/>
      <c r="L136" s="318"/>
      <c r="M136" s="318"/>
      <c r="N136" s="318"/>
      <c r="O136" s="318"/>
      <c r="P136" s="318"/>
      <c r="Q136" s="318"/>
      <c r="R136" s="318"/>
      <c r="S136" s="318"/>
      <c r="T136" s="318"/>
      <c r="U136" s="318"/>
      <c r="V136" s="318"/>
      <c r="W136" s="318"/>
      <c r="X136" s="318"/>
    </row>
    <row r="137" ht="15.75" customHeight="1">
      <c r="A137" s="318"/>
      <c r="B137" s="318"/>
      <c r="C137" s="318"/>
      <c r="D137" s="318"/>
      <c r="E137" s="318"/>
      <c r="F137" s="318"/>
      <c r="G137" s="318"/>
      <c r="H137" s="318"/>
      <c r="I137" s="318"/>
      <c r="J137" s="318"/>
      <c r="K137" s="318"/>
      <c r="L137" s="318"/>
      <c r="M137" s="318"/>
      <c r="N137" s="318"/>
      <c r="O137" s="318"/>
      <c r="P137" s="318"/>
      <c r="Q137" s="318"/>
      <c r="R137" s="318"/>
      <c r="S137" s="318"/>
      <c r="T137" s="318"/>
      <c r="U137" s="318"/>
      <c r="V137" s="318"/>
      <c r="W137" s="318"/>
      <c r="X137" s="318"/>
    </row>
    <row r="138" ht="15.75" customHeight="1">
      <c r="A138" s="318"/>
      <c r="B138" s="318"/>
      <c r="C138" s="318"/>
      <c r="D138" s="318"/>
      <c r="E138" s="318"/>
      <c r="F138" s="318"/>
      <c r="G138" s="318"/>
      <c r="H138" s="318"/>
      <c r="I138" s="318"/>
      <c r="J138" s="318"/>
      <c r="K138" s="318"/>
      <c r="L138" s="318"/>
      <c r="M138" s="318"/>
      <c r="N138" s="318"/>
      <c r="O138" s="318"/>
      <c r="P138" s="318"/>
      <c r="Q138" s="318"/>
      <c r="R138" s="318"/>
      <c r="S138" s="318"/>
      <c r="T138" s="318"/>
      <c r="U138" s="318"/>
      <c r="V138" s="318"/>
      <c r="W138" s="318"/>
      <c r="X138" s="318"/>
    </row>
    <row r="139" ht="15.75" customHeight="1">
      <c r="A139" s="318"/>
      <c r="B139" s="318"/>
      <c r="C139" s="318"/>
      <c r="D139" s="318"/>
      <c r="E139" s="318"/>
      <c r="F139" s="318"/>
      <c r="G139" s="318"/>
      <c r="H139" s="318"/>
      <c r="I139" s="318"/>
      <c r="J139" s="318"/>
      <c r="K139" s="318"/>
      <c r="L139" s="318"/>
      <c r="M139" s="318"/>
      <c r="N139" s="318"/>
      <c r="O139" s="318"/>
      <c r="P139" s="318"/>
      <c r="Q139" s="318"/>
      <c r="R139" s="318"/>
      <c r="S139" s="318"/>
      <c r="T139" s="318"/>
      <c r="U139" s="318"/>
      <c r="V139" s="318"/>
      <c r="W139" s="318"/>
      <c r="X139" s="318"/>
    </row>
    <row r="140" ht="15.75" customHeight="1">
      <c r="A140" s="318"/>
      <c r="B140" s="318"/>
      <c r="C140" s="318"/>
      <c r="D140" s="318"/>
      <c r="E140" s="318"/>
      <c r="F140" s="318"/>
      <c r="G140" s="318"/>
      <c r="H140" s="318"/>
      <c r="I140" s="318"/>
      <c r="J140" s="318"/>
      <c r="K140" s="318"/>
      <c r="L140" s="318"/>
      <c r="M140" s="318"/>
      <c r="N140" s="318"/>
      <c r="O140" s="318"/>
      <c r="P140" s="318"/>
      <c r="Q140" s="318"/>
      <c r="R140" s="318"/>
      <c r="S140" s="318"/>
      <c r="T140" s="318"/>
      <c r="U140" s="318"/>
      <c r="V140" s="318"/>
      <c r="W140" s="318"/>
      <c r="X140" s="318"/>
    </row>
    <row r="141" ht="15.75" customHeight="1">
      <c r="A141" s="318"/>
      <c r="B141" s="318"/>
      <c r="C141" s="318"/>
      <c r="D141" s="318"/>
      <c r="E141" s="318"/>
      <c r="F141" s="318"/>
      <c r="G141" s="318"/>
      <c r="H141" s="318"/>
      <c r="I141" s="318"/>
      <c r="J141" s="318"/>
      <c r="K141" s="318"/>
      <c r="L141" s="318"/>
      <c r="M141" s="318"/>
      <c r="N141" s="318"/>
      <c r="O141" s="318"/>
      <c r="P141" s="318"/>
      <c r="Q141" s="318"/>
      <c r="R141" s="318"/>
      <c r="S141" s="318"/>
      <c r="T141" s="318"/>
      <c r="U141" s="318"/>
      <c r="V141" s="318"/>
      <c r="W141" s="318"/>
      <c r="X141" s="318"/>
    </row>
    <row r="142" ht="15.75" customHeight="1">
      <c r="A142" s="318"/>
      <c r="B142" s="318"/>
      <c r="C142" s="318"/>
      <c r="D142" s="318"/>
      <c r="E142" s="318"/>
      <c r="F142" s="318"/>
      <c r="G142" s="318"/>
      <c r="H142" s="318"/>
      <c r="I142" s="318"/>
      <c r="J142" s="318"/>
      <c r="K142" s="318"/>
      <c r="L142" s="318"/>
      <c r="M142" s="318"/>
      <c r="N142" s="318"/>
      <c r="O142" s="318"/>
      <c r="P142" s="318"/>
      <c r="Q142" s="318"/>
      <c r="R142" s="318"/>
      <c r="S142" s="318"/>
      <c r="T142" s="318"/>
      <c r="U142" s="318"/>
      <c r="V142" s="318"/>
      <c r="W142" s="318"/>
      <c r="X142" s="318"/>
    </row>
    <row r="143" ht="15.75" customHeight="1">
      <c r="A143" s="318"/>
      <c r="B143" s="318"/>
      <c r="C143" s="318"/>
      <c r="D143" s="318"/>
      <c r="E143" s="318"/>
      <c r="F143" s="318"/>
      <c r="G143" s="318"/>
      <c r="H143" s="318"/>
      <c r="I143" s="318"/>
      <c r="J143" s="318"/>
      <c r="K143" s="318"/>
      <c r="L143" s="318"/>
      <c r="M143" s="318"/>
      <c r="N143" s="318"/>
      <c r="O143" s="318"/>
      <c r="P143" s="318"/>
      <c r="Q143" s="318"/>
      <c r="R143" s="318"/>
      <c r="S143" s="318"/>
      <c r="T143" s="318"/>
      <c r="U143" s="318"/>
      <c r="V143" s="318"/>
      <c r="W143" s="318"/>
      <c r="X143" s="318"/>
    </row>
    <row r="144" ht="15.75" customHeight="1">
      <c r="A144" s="318"/>
      <c r="B144" s="318"/>
      <c r="C144" s="318"/>
      <c r="D144" s="318"/>
      <c r="E144" s="318"/>
      <c r="F144" s="318"/>
      <c r="G144" s="318"/>
      <c r="H144" s="318"/>
      <c r="I144" s="318"/>
      <c r="J144" s="318"/>
      <c r="K144" s="318"/>
      <c r="L144" s="318"/>
      <c r="M144" s="318"/>
      <c r="N144" s="318"/>
      <c r="O144" s="318"/>
      <c r="P144" s="318"/>
      <c r="Q144" s="318"/>
      <c r="R144" s="318"/>
      <c r="S144" s="318"/>
      <c r="T144" s="318"/>
      <c r="U144" s="318"/>
      <c r="V144" s="318"/>
      <c r="W144" s="318"/>
      <c r="X144" s="318"/>
    </row>
    <row r="145" ht="15.75" customHeight="1">
      <c r="A145" s="318"/>
      <c r="B145" s="318"/>
      <c r="C145" s="318"/>
      <c r="D145" s="318"/>
      <c r="E145" s="318"/>
      <c r="F145" s="318"/>
      <c r="G145" s="318"/>
      <c r="H145" s="318"/>
      <c r="I145" s="318"/>
      <c r="J145" s="318"/>
      <c r="K145" s="318"/>
      <c r="L145" s="318"/>
      <c r="M145" s="318"/>
      <c r="N145" s="318"/>
      <c r="O145" s="318"/>
      <c r="P145" s="318"/>
      <c r="Q145" s="318"/>
      <c r="R145" s="318"/>
      <c r="S145" s="318"/>
      <c r="T145" s="318"/>
      <c r="U145" s="318"/>
      <c r="V145" s="318"/>
      <c r="W145" s="318"/>
      <c r="X145" s="318"/>
    </row>
    <row r="146" ht="15.75" customHeight="1">
      <c r="A146" s="318"/>
      <c r="B146" s="318"/>
      <c r="C146" s="318"/>
      <c r="D146" s="318"/>
      <c r="E146" s="318"/>
      <c r="F146" s="318"/>
      <c r="G146" s="318"/>
      <c r="H146" s="318"/>
      <c r="I146" s="318"/>
      <c r="J146" s="318"/>
      <c r="K146" s="318"/>
      <c r="L146" s="318"/>
      <c r="M146" s="318"/>
      <c r="N146" s="318"/>
      <c r="O146" s="318"/>
      <c r="P146" s="318"/>
      <c r="Q146" s="318"/>
      <c r="R146" s="318"/>
      <c r="S146" s="318"/>
      <c r="T146" s="318"/>
      <c r="U146" s="318"/>
      <c r="V146" s="318"/>
      <c r="W146" s="318"/>
      <c r="X146" s="318"/>
    </row>
    <row r="147" ht="15.75" customHeight="1">
      <c r="A147" s="318"/>
      <c r="B147" s="318"/>
      <c r="C147" s="318"/>
      <c r="D147" s="318"/>
      <c r="E147" s="318"/>
      <c r="F147" s="318"/>
      <c r="G147" s="318"/>
      <c r="H147" s="318"/>
      <c r="I147" s="318"/>
      <c r="J147" s="318"/>
      <c r="K147" s="318"/>
      <c r="L147" s="318"/>
      <c r="M147" s="318"/>
      <c r="N147" s="318"/>
      <c r="O147" s="318"/>
      <c r="P147" s="318"/>
      <c r="Q147" s="318"/>
      <c r="R147" s="318"/>
      <c r="S147" s="318"/>
      <c r="T147" s="318"/>
      <c r="U147" s="318"/>
      <c r="V147" s="318"/>
      <c r="W147" s="318"/>
      <c r="X147" s="318"/>
    </row>
    <row r="148" ht="15.75" customHeight="1">
      <c r="A148" s="318"/>
      <c r="B148" s="318"/>
      <c r="C148" s="318"/>
      <c r="D148" s="318"/>
      <c r="E148" s="318"/>
      <c r="F148" s="318"/>
      <c r="G148" s="318"/>
      <c r="H148" s="318"/>
      <c r="I148" s="318"/>
      <c r="J148" s="318"/>
      <c r="K148" s="318"/>
      <c r="L148" s="318"/>
      <c r="M148" s="318"/>
      <c r="N148" s="318"/>
      <c r="O148" s="318"/>
      <c r="P148" s="318"/>
      <c r="Q148" s="318"/>
      <c r="R148" s="318"/>
      <c r="S148" s="318"/>
      <c r="T148" s="318"/>
      <c r="U148" s="318"/>
      <c r="V148" s="318"/>
      <c r="W148" s="318"/>
      <c r="X148" s="318"/>
    </row>
    <row r="149" ht="15.75" customHeight="1">
      <c r="A149" s="318"/>
      <c r="B149" s="318"/>
      <c r="C149" s="318"/>
      <c r="D149" s="318"/>
      <c r="E149" s="318"/>
      <c r="F149" s="318"/>
      <c r="G149" s="318"/>
      <c r="H149" s="318"/>
      <c r="I149" s="318"/>
      <c r="J149" s="318"/>
      <c r="K149" s="318"/>
      <c r="L149" s="318"/>
      <c r="M149" s="318"/>
      <c r="N149" s="318"/>
      <c r="O149" s="318"/>
      <c r="P149" s="318"/>
      <c r="Q149" s="318"/>
      <c r="R149" s="318"/>
      <c r="S149" s="318"/>
      <c r="T149" s="318"/>
      <c r="U149" s="318"/>
      <c r="V149" s="318"/>
      <c r="W149" s="318"/>
      <c r="X149" s="318"/>
    </row>
    <row r="150" ht="15.75" customHeight="1">
      <c r="A150" s="318"/>
      <c r="B150" s="318"/>
      <c r="C150" s="318"/>
      <c r="D150" s="318"/>
      <c r="E150" s="318"/>
      <c r="F150" s="318"/>
      <c r="G150" s="318"/>
      <c r="H150" s="318"/>
      <c r="I150" s="318"/>
      <c r="J150" s="318"/>
      <c r="K150" s="318"/>
      <c r="L150" s="318"/>
      <c r="M150" s="318"/>
      <c r="N150" s="318"/>
      <c r="O150" s="318"/>
      <c r="P150" s="318"/>
      <c r="Q150" s="318"/>
      <c r="R150" s="318"/>
      <c r="S150" s="318"/>
      <c r="T150" s="318"/>
      <c r="U150" s="318"/>
      <c r="V150" s="318"/>
      <c r="W150" s="318"/>
      <c r="X150" s="318"/>
    </row>
    <row r="151" ht="15.75" customHeight="1">
      <c r="A151" s="318"/>
      <c r="B151" s="318"/>
      <c r="C151" s="318"/>
      <c r="D151" s="318"/>
      <c r="E151" s="318"/>
      <c r="F151" s="318"/>
      <c r="G151" s="318"/>
      <c r="H151" s="318"/>
      <c r="I151" s="318"/>
      <c r="J151" s="318"/>
      <c r="K151" s="318"/>
      <c r="L151" s="318"/>
      <c r="M151" s="318"/>
      <c r="N151" s="318"/>
      <c r="O151" s="318"/>
      <c r="P151" s="318"/>
      <c r="Q151" s="318"/>
      <c r="R151" s="318"/>
      <c r="S151" s="318"/>
      <c r="T151" s="318"/>
      <c r="U151" s="318"/>
      <c r="V151" s="318"/>
      <c r="W151" s="318"/>
      <c r="X151" s="318"/>
    </row>
    <row r="152" ht="15.75" customHeight="1">
      <c r="A152" s="318"/>
      <c r="B152" s="318"/>
      <c r="C152" s="318"/>
      <c r="D152" s="318"/>
      <c r="E152" s="318"/>
      <c r="F152" s="318"/>
      <c r="G152" s="318"/>
      <c r="H152" s="318"/>
      <c r="I152" s="318"/>
      <c r="J152" s="318"/>
      <c r="K152" s="318"/>
      <c r="L152" s="318"/>
      <c r="M152" s="318"/>
      <c r="N152" s="318"/>
      <c r="O152" s="318"/>
      <c r="P152" s="318"/>
      <c r="Q152" s="318"/>
      <c r="R152" s="318"/>
      <c r="S152" s="318"/>
      <c r="T152" s="318"/>
      <c r="U152" s="318"/>
      <c r="V152" s="318"/>
      <c r="W152" s="318"/>
      <c r="X152" s="318"/>
    </row>
    <row r="153" ht="15.75" customHeight="1">
      <c r="A153" s="318"/>
      <c r="B153" s="318"/>
      <c r="C153" s="318"/>
      <c r="D153" s="318"/>
      <c r="E153" s="318"/>
      <c r="F153" s="318"/>
      <c r="G153" s="318"/>
      <c r="H153" s="318"/>
      <c r="I153" s="318"/>
      <c r="J153" s="318"/>
      <c r="K153" s="318"/>
      <c r="L153" s="318"/>
      <c r="M153" s="318"/>
      <c r="N153" s="318"/>
      <c r="O153" s="318"/>
      <c r="P153" s="318"/>
      <c r="Q153" s="318"/>
      <c r="R153" s="318"/>
      <c r="S153" s="318"/>
      <c r="T153" s="318"/>
      <c r="U153" s="318"/>
      <c r="V153" s="318"/>
      <c r="W153" s="318"/>
      <c r="X153" s="318"/>
    </row>
    <row r="154" ht="15.75" customHeight="1">
      <c r="A154" s="318"/>
      <c r="B154" s="318"/>
      <c r="C154" s="318"/>
      <c r="D154" s="318"/>
      <c r="E154" s="318"/>
      <c r="F154" s="318"/>
      <c r="G154" s="318"/>
      <c r="H154" s="318"/>
      <c r="I154" s="318"/>
      <c r="J154" s="318"/>
      <c r="K154" s="318"/>
      <c r="L154" s="318"/>
      <c r="M154" s="318"/>
      <c r="N154" s="318"/>
      <c r="O154" s="318"/>
      <c r="P154" s="318"/>
      <c r="Q154" s="318"/>
      <c r="R154" s="318"/>
      <c r="S154" s="318"/>
      <c r="T154" s="318"/>
      <c r="U154" s="318"/>
      <c r="V154" s="318"/>
      <c r="W154" s="318"/>
      <c r="X154" s="318"/>
    </row>
    <row r="155" ht="15.75" customHeight="1">
      <c r="A155" s="318"/>
      <c r="B155" s="318"/>
      <c r="C155" s="318"/>
      <c r="D155" s="318"/>
      <c r="E155" s="318"/>
      <c r="F155" s="318"/>
      <c r="G155" s="318"/>
      <c r="H155" s="318"/>
      <c r="I155" s="318"/>
      <c r="J155" s="318"/>
      <c r="K155" s="318"/>
      <c r="L155" s="318"/>
      <c r="M155" s="318"/>
      <c r="N155" s="318"/>
      <c r="O155" s="318"/>
      <c r="P155" s="318"/>
      <c r="Q155" s="318"/>
      <c r="R155" s="318"/>
      <c r="S155" s="318"/>
      <c r="T155" s="318"/>
      <c r="U155" s="318"/>
      <c r="V155" s="318"/>
      <c r="W155" s="318"/>
      <c r="X155" s="318"/>
    </row>
    <row r="156" ht="15.75" customHeight="1">
      <c r="A156" s="318"/>
      <c r="B156" s="318"/>
      <c r="C156" s="318"/>
      <c r="D156" s="318"/>
      <c r="E156" s="318"/>
      <c r="F156" s="318"/>
      <c r="G156" s="318"/>
      <c r="H156" s="318"/>
      <c r="I156" s="318"/>
      <c r="J156" s="318"/>
      <c r="K156" s="318"/>
      <c r="L156" s="318"/>
      <c r="M156" s="318"/>
      <c r="N156" s="318"/>
      <c r="O156" s="318"/>
      <c r="P156" s="318"/>
      <c r="Q156" s="318"/>
      <c r="R156" s="318"/>
      <c r="S156" s="318"/>
      <c r="T156" s="318"/>
      <c r="U156" s="318"/>
      <c r="V156" s="318"/>
      <c r="W156" s="318"/>
      <c r="X156" s="318"/>
    </row>
    <row r="157" ht="15.75" customHeight="1">
      <c r="A157" s="318"/>
      <c r="B157" s="318"/>
      <c r="C157" s="318"/>
      <c r="D157" s="318"/>
      <c r="E157" s="318"/>
      <c r="F157" s="318"/>
      <c r="G157" s="318"/>
      <c r="H157" s="318"/>
      <c r="I157" s="318"/>
      <c r="J157" s="318"/>
      <c r="K157" s="318"/>
      <c r="L157" s="318"/>
      <c r="M157" s="318"/>
      <c r="N157" s="318"/>
      <c r="O157" s="318"/>
      <c r="P157" s="318"/>
      <c r="Q157" s="318"/>
      <c r="R157" s="318"/>
      <c r="S157" s="318"/>
      <c r="T157" s="318"/>
      <c r="U157" s="318"/>
      <c r="V157" s="318"/>
      <c r="W157" s="318"/>
      <c r="X157" s="318"/>
    </row>
    <row r="158" ht="15.75" customHeight="1">
      <c r="A158" s="318"/>
      <c r="B158" s="318"/>
      <c r="C158" s="318"/>
      <c r="D158" s="318"/>
      <c r="E158" s="318"/>
      <c r="F158" s="318"/>
      <c r="G158" s="318"/>
      <c r="H158" s="318"/>
      <c r="I158" s="318"/>
      <c r="J158" s="318"/>
      <c r="K158" s="318"/>
      <c r="L158" s="318"/>
      <c r="M158" s="318"/>
      <c r="N158" s="318"/>
      <c r="O158" s="318"/>
      <c r="P158" s="318"/>
      <c r="Q158" s="318"/>
      <c r="R158" s="318"/>
      <c r="S158" s="318"/>
      <c r="T158" s="318"/>
      <c r="U158" s="318"/>
      <c r="V158" s="318"/>
      <c r="W158" s="318"/>
      <c r="X158" s="318"/>
    </row>
    <row r="159" ht="15.75" customHeight="1">
      <c r="A159" s="318"/>
      <c r="B159" s="318"/>
      <c r="C159" s="318"/>
      <c r="D159" s="318"/>
      <c r="E159" s="318"/>
      <c r="F159" s="318"/>
      <c r="G159" s="318"/>
      <c r="H159" s="318"/>
      <c r="I159" s="318"/>
      <c r="J159" s="318"/>
      <c r="K159" s="318"/>
      <c r="L159" s="318"/>
      <c r="M159" s="318"/>
      <c r="N159" s="318"/>
      <c r="O159" s="318"/>
      <c r="P159" s="318"/>
      <c r="Q159" s="318"/>
      <c r="R159" s="318"/>
      <c r="S159" s="318"/>
      <c r="T159" s="318"/>
      <c r="U159" s="318"/>
      <c r="V159" s="318"/>
      <c r="W159" s="318"/>
      <c r="X159" s="318"/>
    </row>
    <row r="160" ht="15.75" customHeight="1">
      <c r="A160" s="318"/>
      <c r="B160" s="318"/>
      <c r="C160" s="318"/>
      <c r="D160" s="318"/>
      <c r="E160" s="318"/>
      <c r="F160" s="318"/>
      <c r="G160" s="318"/>
      <c r="H160" s="318"/>
      <c r="I160" s="318"/>
      <c r="J160" s="318"/>
      <c r="K160" s="318"/>
      <c r="L160" s="318"/>
      <c r="M160" s="318"/>
      <c r="N160" s="318"/>
      <c r="O160" s="318"/>
      <c r="P160" s="318"/>
      <c r="Q160" s="318"/>
      <c r="R160" s="318"/>
      <c r="S160" s="318"/>
      <c r="T160" s="318"/>
      <c r="U160" s="318"/>
      <c r="V160" s="318"/>
      <c r="W160" s="318"/>
      <c r="X160" s="318"/>
    </row>
    <row r="161" ht="15.75" customHeight="1">
      <c r="A161" s="318"/>
      <c r="B161" s="318"/>
      <c r="C161" s="318"/>
      <c r="D161" s="318"/>
      <c r="E161" s="318"/>
      <c r="F161" s="318"/>
      <c r="G161" s="318"/>
      <c r="H161" s="318"/>
      <c r="I161" s="318"/>
      <c r="J161" s="318"/>
      <c r="K161" s="318"/>
      <c r="L161" s="318"/>
      <c r="M161" s="318"/>
      <c r="N161" s="318"/>
      <c r="O161" s="318"/>
      <c r="P161" s="318"/>
      <c r="Q161" s="318"/>
      <c r="R161" s="318"/>
      <c r="S161" s="318"/>
      <c r="T161" s="318"/>
      <c r="U161" s="318"/>
      <c r="V161" s="318"/>
      <c r="W161" s="318"/>
      <c r="X161" s="318"/>
    </row>
    <row r="162" ht="15.75" customHeight="1">
      <c r="A162" s="318"/>
      <c r="B162" s="318"/>
      <c r="C162" s="318"/>
      <c r="D162" s="318"/>
      <c r="E162" s="318"/>
      <c r="F162" s="318"/>
      <c r="G162" s="318"/>
      <c r="H162" s="318"/>
      <c r="I162" s="318"/>
      <c r="J162" s="318"/>
      <c r="K162" s="318"/>
      <c r="L162" s="318"/>
      <c r="M162" s="318"/>
      <c r="N162" s="318"/>
      <c r="O162" s="318"/>
      <c r="P162" s="318"/>
      <c r="Q162" s="318"/>
      <c r="R162" s="318"/>
      <c r="S162" s="318"/>
      <c r="T162" s="318"/>
      <c r="U162" s="318"/>
      <c r="V162" s="318"/>
      <c r="W162" s="318"/>
      <c r="X162" s="318"/>
    </row>
    <row r="163" ht="15.75" customHeight="1">
      <c r="A163" s="318"/>
      <c r="B163" s="318"/>
      <c r="C163" s="318"/>
      <c r="D163" s="318"/>
      <c r="E163" s="318"/>
      <c r="F163" s="318"/>
      <c r="G163" s="318"/>
      <c r="H163" s="318"/>
      <c r="I163" s="318"/>
      <c r="J163" s="318"/>
      <c r="K163" s="318"/>
      <c r="L163" s="318"/>
      <c r="M163" s="318"/>
      <c r="N163" s="318"/>
      <c r="O163" s="318"/>
      <c r="P163" s="318"/>
      <c r="Q163" s="318"/>
      <c r="R163" s="318"/>
      <c r="S163" s="318"/>
      <c r="T163" s="318"/>
      <c r="U163" s="318"/>
      <c r="V163" s="318"/>
      <c r="W163" s="318"/>
      <c r="X163" s="318"/>
    </row>
    <row r="164" ht="15.75" customHeight="1">
      <c r="A164" s="318"/>
      <c r="B164" s="318"/>
      <c r="C164" s="318"/>
      <c r="D164" s="318"/>
      <c r="E164" s="318"/>
      <c r="F164" s="318"/>
      <c r="G164" s="318"/>
      <c r="H164" s="318"/>
      <c r="I164" s="318"/>
      <c r="J164" s="318"/>
      <c r="K164" s="318"/>
      <c r="L164" s="318"/>
      <c r="M164" s="318"/>
      <c r="N164" s="318"/>
      <c r="O164" s="318"/>
      <c r="P164" s="318"/>
      <c r="Q164" s="318"/>
      <c r="R164" s="318"/>
      <c r="S164" s="318"/>
      <c r="T164" s="318"/>
      <c r="U164" s="318"/>
      <c r="V164" s="318"/>
      <c r="W164" s="318"/>
      <c r="X164" s="318"/>
    </row>
    <row r="165" ht="15.75" customHeight="1">
      <c r="A165" s="318"/>
      <c r="B165" s="318"/>
      <c r="C165" s="318"/>
      <c r="D165" s="318"/>
      <c r="E165" s="318"/>
      <c r="F165" s="318"/>
      <c r="G165" s="318"/>
      <c r="H165" s="318"/>
      <c r="I165" s="318"/>
      <c r="J165" s="318"/>
      <c r="K165" s="318"/>
      <c r="L165" s="318"/>
      <c r="M165" s="318"/>
      <c r="N165" s="318"/>
      <c r="O165" s="318"/>
      <c r="P165" s="318"/>
      <c r="Q165" s="318"/>
      <c r="R165" s="318"/>
      <c r="S165" s="318"/>
      <c r="T165" s="318"/>
      <c r="U165" s="318"/>
      <c r="V165" s="318"/>
      <c r="W165" s="318"/>
      <c r="X165" s="318"/>
    </row>
    <row r="166" ht="15.75" customHeight="1">
      <c r="A166" s="318"/>
      <c r="B166" s="318"/>
      <c r="C166" s="318"/>
      <c r="D166" s="318"/>
      <c r="E166" s="318"/>
      <c r="F166" s="318"/>
      <c r="G166" s="318"/>
      <c r="H166" s="318"/>
      <c r="I166" s="318"/>
      <c r="J166" s="318"/>
      <c r="K166" s="318"/>
      <c r="L166" s="318"/>
      <c r="M166" s="318"/>
      <c r="N166" s="318"/>
      <c r="O166" s="318"/>
      <c r="P166" s="318"/>
      <c r="Q166" s="318"/>
      <c r="R166" s="318"/>
      <c r="S166" s="318"/>
      <c r="T166" s="318"/>
      <c r="U166" s="318"/>
      <c r="V166" s="318"/>
      <c r="W166" s="318"/>
      <c r="X166" s="318"/>
    </row>
    <row r="167" ht="15.75" customHeight="1">
      <c r="A167" s="318"/>
      <c r="B167" s="318"/>
      <c r="C167" s="318"/>
      <c r="D167" s="318"/>
      <c r="E167" s="318"/>
      <c r="F167" s="318"/>
      <c r="G167" s="318"/>
      <c r="H167" s="318"/>
      <c r="I167" s="318"/>
      <c r="J167" s="318"/>
      <c r="K167" s="318"/>
      <c r="L167" s="318"/>
      <c r="M167" s="318"/>
      <c r="N167" s="318"/>
      <c r="O167" s="318"/>
      <c r="P167" s="318"/>
      <c r="Q167" s="318"/>
      <c r="R167" s="318"/>
      <c r="S167" s="318"/>
      <c r="T167" s="318"/>
      <c r="U167" s="318"/>
      <c r="V167" s="318"/>
      <c r="W167" s="318"/>
      <c r="X167" s="318"/>
    </row>
    <row r="168" ht="15.75" customHeight="1">
      <c r="A168" s="318"/>
      <c r="B168" s="318"/>
      <c r="C168" s="318"/>
      <c r="D168" s="318"/>
      <c r="E168" s="318"/>
      <c r="F168" s="318"/>
      <c r="G168" s="318"/>
      <c r="H168" s="318"/>
      <c r="I168" s="318"/>
      <c r="J168" s="318"/>
      <c r="K168" s="318"/>
      <c r="L168" s="318"/>
      <c r="M168" s="318"/>
      <c r="N168" s="318"/>
      <c r="O168" s="318"/>
      <c r="P168" s="318"/>
      <c r="Q168" s="318"/>
      <c r="R168" s="318"/>
      <c r="S168" s="318"/>
      <c r="T168" s="318"/>
      <c r="U168" s="318"/>
      <c r="V168" s="318"/>
      <c r="W168" s="318"/>
      <c r="X168" s="318"/>
    </row>
    <row r="169" ht="15.75" customHeight="1">
      <c r="A169" s="318"/>
      <c r="B169" s="318"/>
      <c r="C169" s="318"/>
      <c r="D169" s="318"/>
      <c r="E169" s="318"/>
      <c r="F169" s="318"/>
      <c r="G169" s="318"/>
      <c r="H169" s="318"/>
      <c r="I169" s="318"/>
      <c r="J169" s="318"/>
      <c r="K169" s="318"/>
      <c r="L169" s="318"/>
      <c r="M169" s="318"/>
      <c r="N169" s="318"/>
      <c r="O169" s="318"/>
      <c r="P169" s="318"/>
      <c r="Q169" s="318"/>
      <c r="R169" s="318"/>
      <c r="S169" s="318"/>
      <c r="T169" s="318"/>
      <c r="U169" s="318"/>
      <c r="V169" s="318"/>
      <c r="W169" s="318"/>
      <c r="X169" s="318"/>
    </row>
    <row r="170" ht="15.75" customHeight="1">
      <c r="A170" s="318"/>
      <c r="B170" s="318"/>
      <c r="C170" s="318"/>
      <c r="D170" s="318"/>
      <c r="E170" s="318"/>
      <c r="F170" s="318"/>
      <c r="G170" s="318"/>
      <c r="H170" s="318"/>
      <c r="I170" s="318"/>
      <c r="J170" s="318"/>
      <c r="K170" s="318"/>
      <c r="L170" s="318"/>
      <c r="M170" s="318"/>
      <c r="N170" s="318"/>
      <c r="O170" s="318"/>
      <c r="P170" s="318"/>
      <c r="Q170" s="318"/>
      <c r="R170" s="318"/>
      <c r="S170" s="318"/>
      <c r="T170" s="318"/>
      <c r="U170" s="318"/>
      <c r="V170" s="318"/>
      <c r="W170" s="318"/>
      <c r="X170" s="318"/>
    </row>
    <row r="171" ht="15.75" customHeight="1">
      <c r="A171" s="318"/>
      <c r="B171" s="318"/>
      <c r="C171" s="318"/>
      <c r="D171" s="318"/>
      <c r="E171" s="318"/>
      <c r="F171" s="318"/>
      <c r="G171" s="318"/>
      <c r="H171" s="318"/>
      <c r="I171" s="318"/>
      <c r="J171" s="318"/>
      <c r="K171" s="318"/>
      <c r="L171" s="318"/>
      <c r="M171" s="318"/>
      <c r="N171" s="318"/>
      <c r="O171" s="318"/>
      <c r="P171" s="318"/>
      <c r="Q171" s="318"/>
      <c r="R171" s="318"/>
      <c r="S171" s="318"/>
      <c r="T171" s="318"/>
      <c r="U171" s="318"/>
      <c r="V171" s="318"/>
      <c r="W171" s="318"/>
      <c r="X171" s="318"/>
    </row>
    <row r="172" ht="15.75" customHeight="1">
      <c r="A172" s="318"/>
      <c r="B172" s="318"/>
      <c r="C172" s="318"/>
      <c r="D172" s="318"/>
      <c r="E172" s="318"/>
      <c r="F172" s="318"/>
      <c r="G172" s="318"/>
      <c r="H172" s="318"/>
      <c r="I172" s="318"/>
      <c r="J172" s="318"/>
      <c r="K172" s="318"/>
      <c r="L172" s="318"/>
      <c r="M172" s="318"/>
      <c r="N172" s="318"/>
      <c r="O172" s="318"/>
      <c r="P172" s="318"/>
      <c r="Q172" s="318"/>
      <c r="R172" s="318"/>
      <c r="S172" s="318"/>
      <c r="T172" s="318"/>
      <c r="U172" s="318"/>
      <c r="V172" s="318"/>
      <c r="W172" s="318"/>
      <c r="X172" s="318"/>
    </row>
    <row r="173" ht="15.75" customHeight="1">
      <c r="A173" s="318"/>
      <c r="B173" s="318"/>
      <c r="C173" s="318"/>
      <c r="D173" s="318"/>
      <c r="E173" s="318"/>
      <c r="F173" s="318"/>
      <c r="G173" s="318"/>
      <c r="H173" s="318"/>
      <c r="I173" s="318"/>
      <c r="J173" s="318"/>
      <c r="K173" s="318"/>
      <c r="L173" s="318"/>
      <c r="M173" s="318"/>
      <c r="N173" s="318"/>
      <c r="O173" s="318"/>
      <c r="P173" s="318"/>
      <c r="Q173" s="318"/>
      <c r="R173" s="318"/>
      <c r="S173" s="318"/>
      <c r="T173" s="318"/>
      <c r="U173" s="318"/>
      <c r="V173" s="318"/>
      <c r="W173" s="318"/>
      <c r="X173" s="318"/>
    </row>
    <row r="174" ht="15.75" customHeight="1">
      <c r="A174" s="318"/>
      <c r="B174" s="318"/>
      <c r="C174" s="318"/>
      <c r="D174" s="318"/>
      <c r="E174" s="318"/>
      <c r="F174" s="318"/>
      <c r="G174" s="318"/>
      <c r="H174" s="318"/>
      <c r="I174" s="318"/>
      <c r="J174" s="318"/>
      <c r="K174" s="318"/>
      <c r="L174" s="318"/>
      <c r="M174" s="318"/>
      <c r="N174" s="318"/>
      <c r="O174" s="318"/>
      <c r="P174" s="318"/>
      <c r="Q174" s="318"/>
      <c r="R174" s="318"/>
      <c r="S174" s="318"/>
      <c r="T174" s="318"/>
      <c r="U174" s="318"/>
      <c r="V174" s="318"/>
      <c r="W174" s="318"/>
      <c r="X174" s="318"/>
    </row>
    <row r="175" ht="15.75" customHeight="1">
      <c r="A175" s="318"/>
      <c r="B175" s="318"/>
      <c r="C175" s="318"/>
      <c r="D175" s="318"/>
      <c r="E175" s="318"/>
      <c r="F175" s="318"/>
      <c r="G175" s="318"/>
      <c r="H175" s="318"/>
      <c r="I175" s="318"/>
      <c r="J175" s="318"/>
      <c r="K175" s="318"/>
      <c r="L175" s="318"/>
      <c r="M175" s="318"/>
      <c r="N175" s="318"/>
      <c r="O175" s="318"/>
      <c r="P175" s="318"/>
      <c r="Q175" s="318"/>
      <c r="R175" s="318"/>
      <c r="S175" s="318"/>
      <c r="T175" s="318"/>
      <c r="U175" s="318"/>
      <c r="V175" s="318"/>
      <c r="W175" s="318"/>
      <c r="X175" s="318"/>
    </row>
    <row r="176" ht="15.75" customHeight="1">
      <c r="A176" s="318"/>
      <c r="B176" s="318"/>
      <c r="C176" s="318"/>
      <c r="D176" s="318"/>
      <c r="E176" s="318"/>
      <c r="F176" s="318"/>
      <c r="G176" s="318"/>
      <c r="H176" s="318"/>
      <c r="I176" s="318"/>
      <c r="J176" s="318"/>
      <c r="K176" s="318"/>
      <c r="L176" s="318"/>
      <c r="M176" s="318"/>
      <c r="N176" s="318"/>
      <c r="O176" s="318"/>
      <c r="P176" s="318"/>
      <c r="Q176" s="318"/>
      <c r="R176" s="318"/>
      <c r="S176" s="318"/>
      <c r="T176" s="318"/>
      <c r="U176" s="318"/>
      <c r="V176" s="318"/>
      <c r="W176" s="318"/>
      <c r="X176" s="318"/>
    </row>
    <row r="177" ht="15.75" customHeight="1">
      <c r="A177" s="318"/>
      <c r="B177" s="318"/>
      <c r="C177" s="318"/>
      <c r="D177" s="318"/>
      <c r="E177" s="318"/>
      <c r="F177" s="318"/>
      <c r="G177" s="318"/>
      <c r="H177" s="318"/>
      <c r="I177" s="318"/>
      <c r="J177" s="318"/>
      <c r="K177" s="318"/>
      <c r="L177" s="318"/>
      <c r="M177" s="318"/>
      <c r="N177" s="318"/>
      <c r="O177" s="318"/>
      <c r="P177" s="318"/>
      <c r="Q177" s="318"/>
      <c r="R177" s="318"/>
      <c r="S177" s="318"/>
      <c r="T177" s="318"/>
      <c r="U177" s="318"/>
      <c r="V177" s="318"/>
      <c r="W177" s="318"/>
      <c r="X177" s="318"/>
    </row>
    <row r="178" ht="15.75" customHeight="1">
      <c r="A178" s="318"/>
      <c r="B178" s="318"/>
      <c r="C178" s="318"/>
      <c r="D178" s="318"/>
      <c r="E178" s="318"/>
      <c r="F178" s="318"/>
      <c r="G178" s="318"/>
      <c r="H178" s="318"/>
      <c r="I178" s="318"/>
      <c r="J178" s="318"/>
      <c r="K178" s="318"/>
      <c r="L178" s="318"/>
      <c r="M178" s="318"/>
      <c r="N178" s="318"/>
      <c r="O178" s="318"/>
      <c r="P178" s="318"/>
      <c r="Q178" s="318"/>
      <c r="R178" s="318"/>
      <c r="S178" s="318"/>
      <c r="T178" s="318"/>
      <c r="U178" s="318"/>
      <c r="V178" s="318"/>
      <c r="W178" s="318"/>
      <c r="X178" s="318"/>
    </row>
    <row r="179" ht="15.75" customHeight="1">
      <c r="A179" s="318"/>
      <c r="B179" s="318"/>
      <c r="C179" s="318"/>
      <c r="D179" s="318"/>
      <c r="E179" s="318"/>
      <c r="F179" s="318"/>
      <c r="G179" s="318"/>
      <c r="H179" s="318"/>
      <c r="I179" s="318"/>
      <c r="J179" s="318"/>
      <c r="K179" s="318"/>
      <c r="L179" s="318"/>
      <c r="M179" s="318"/>
      <c r="N179" s="318"/>
      <c r="O179" s="318"/>
      <c r="P179" s="318"/>
      <c r="Q179" s="318"/>
      <c r="R179" s="318"/>
      <c r="S179" s="318"/>
      <c r="T179" s="318"/>
      <c r="U179" s="318"/>
      <c r="V179" s="318"/>
      <c r="W179" s="318"/>
      <c r="X179" s="318"/>
    </row>
    <row r="180" ht="15.75" customHeight="1">
      <c r="A180" s="318"/>
      <c r="B180" s="318"/>
      <c r="C180" s="318"/>
      <c r="D180" s="318"/>
      <c r="E180" s="318"/>
      <c r="F180" s="318"/>
      <c r="G180" s="318"/>
      <c r="H180" s="318"/>
      <c r="I180" s="318"/>
      <c r="J180" s="318"/>
      <c r="K180" s="318"/>
      <c r="L180" s="318"/>
      <c r="M180" s="318"/>
      <c r="N180" s="318"/>
      <c r="O180" s="318"/>
      <c r="P180" s="318"/>
      <c r="Q180" s="318"/>
      <c r="R180" s="318"/>
      <c r="S180" s="318"/>
      <c r="T180" s="318"/>
      <c r="U180" s="318"/>
      <c r="V180" s="318"/>
      <c r="W180" s="318"/>
      <c r="X180" s="318"/>
    </row>
    <row r="181" ht="15.75" customHeight="1">
      <c r="A181" s="318"/>
      <c r="B181" s="318"/>
      <c r="C181" s="318"/>
      <c r="D181" s="318"/>
      <c r="E181" s="318"/>
      <c r="F181" s="318"/>
      <c r="G181" s="318"/>
      <c r="H181" s="318"/>
      <c r="I181" s="318"/>
      <c r="J181" s="318"/>
      <c r="K181" s="318"/>
      <c r="L181" s="318"/>
      <c r="M181" s="318"/>
      <c r="N181" s="318"/>
      <c r="O181" s="318"/>
      <c r="P181" s="318"/>
      <c r="Q181" s="318"/>
      <c r="R181" s="318"/>
      <c r="S181" s="318"/>
      <c r="T181" s="318"/>
      <c r="U181" s="318"/>
      <c r="V181" s="318"/>
      <c r="W181" s="318"/>
      <c r="X181" s="318"/>
    </row>
    <row r="182" ht="15.75" customHeight="1">
      <c r="A182" s="318"/>
      <c r="B182" s="318"/>
      <c r="C182" s="318"/>
      <c r="D182" s="318"/>
      <c r="E182" s="318"/>
      <c r="F182" s="318"/>
      <c r="G182" s="318"/>
      <c r="H182" s="318"/>
      <c r="I182" s="318"/>
      <c r="J182" s="318"/>
      <c r="K182" s="318"/>
      <c r="L182" s="318"/>
      <c r="M182" s="318"/>
      <c r="N182" s="318"/>
      <c r="O182" s="318"/>
      <c r="P182" s="318"/>
      <c r="Q182" s="318"/>
      <c r="R182" s="318"/>
      <c r="S182" s="318"/>
      <c r="T182" s="318"/>
      <c r="U182" s="318"/>
      <c r="V182" s="318"/>
      <c r="W182" s="318"/>
      <c r="X182" s="318"/>
    </row>
    <row r="183" ht="15.75" customHeight="1">
      <c r="A183" s="318"/>
      <c r="B183" s="318"/>
      <c r="C183" s="318"/>
      <c r="D183" s="318"/>
      <c r="E183" s="318"/>
      <c r="F183" s="318"/>
      <c r="G183" s="318"/>
      <c r="H183" s="318"/>
      <c r="I183" s="318"/>
      <c r="J183" s="318"/>
      <c r="K183" s="318"/>
      <c r="L183" s="318"/>
      <c r="M183" s="318"/>
      <c r="N183" s="318"/>
      <c r="O183" s="318"/>
      <c r="P183" s="318"/>
      <c r="Q183" s="318"/>
      <c r="R183" s="318"/>
      <c r="S183" s="318"/>
      <c r="T183" s="318"/>
      <c r="U183" s="318"/>
      <c r="V183" s="318"/>
      <c r="W183" s="318"/>
      <c r="X183" s="318"/>
    </row>
    <row r="184" ht="15.75" customHeight="1">
      <c r="A184" s="318"/>
      <c r="B184" s="318"/>
      <c r="C184" s="318"/>
      <c r="D184" s="318"/>
      <c r="E184" s="318"/>
      <c r="F184" s="318"/>
      <c r="G184" s="318"/>
      <c r="H184" s="318"/>
      <c r="I184" s="318"/>
      <c r="J184" s="318"/>
      <c r="K184" s="318"/>
      <c r="L184" s="318"/>
      <c r="M184" s="318"/>
      <c r="N184" s="318"/>
      <c r="O184" s="318"/>
      <c r="P184" s="318"/>
      <c r="Q184" s="318"/>
      <c r="R184" s="318"/>
      <c r="S184" s="318"/>
      <c r="T184" s="318"/>
      <c r="U184" s="318"/>
      <c r="V184" s="318"/>
      <c r="W184" s="318"/>
      <c r="X184" s="318"/>
    </row>
    <row r="185" ht="15.75" customHeight="1">
      <c r="A185" s="318"/>
      <c r="B185" s="318"/>
      <c r="C185" s="318"/>
      <c r="D185" s="318"/>
      <c r="E185" s="318"/>
      <c r="F185" s="318"/>
      <c r="G185" s="318"/>
      <c r="H185" s="318"/>
      <c r="I185" s="318"/>
      <c r="J185" s="318"/>
      <c r="K185" s="318"/>
      <c r="L185" s="318"/>
      <c r="M185" s="318"/>
      <c r="N185" s="318"/>
      <c r="O185" s="318"/>
      <c r="P185" s="318"/>
      <c r="Q185" s="318"/>
      <c r="R185" s="318"/>
      <c r="S185" s="318"/>
      <c r="T185" s="318"/>
      <c r="U185" s="318"/>
      <c r="V185" s="318"/>
      <c r="W185" s="318"/>
      <c r="X185" s="318"/>
    </row>
    <row r="186" ht="15.75" customHeight="1">
      <c r="A186" s="318"/>
      <c r="B186" s="318"/>
      <c r="C186" s="318"/>
      <c r="D186" s="318"/>
      <c r="E186" s="318"/>
      <c r="F186" s="318"/>
      <c r="G186" s="318"/>
      <c r="H186" s="318"/>
      <c r="I186" s="318"/>
      <c r="J186" s="318"/>
      <c r="K186" s="318"/>
      <c r="L186" s="318"/>
      <c r="M186" s="318"/>
      <c r="N186" s="318"/>
      <c r="O186" s="318"/>
      <c r="P186" s="318"/>
      <c r="Q186" s="318"/>
      <c r="R186" s="318"/>
      <c r="S186" s="318"/>
      <c r="T186" s="318"/>
      <c r="U186" s="318"/>
      <c r="V186" s="318"/>
      <c r="W186" s="318"/>
      <c r="X186" s="318"/>
    </row>
    <row r="187" ht="15.75" customHeight="1">
      <c r="A187" s="318"/>
      <c r="B187" s="318"/>
      <c r="C187" s="318"/>
      <c r="D187" s="318"/>
      <c r="E187" s="318"/>
      <c r="F187" s="318"/>
      <c r="G187" s="318"/>
      <c r="H187" s="318"/>
      <c r="I187" s="318"/>
      <c r="J187" s="318"/>
      <c r="K187" s="318"/>
      <c r="L187" s="318"/>
      <c r="M187" s="318"/>
      <c r="N187" s="318"/>
      <c r="O187" s="318"/>
      <c r="P187" s="318"/>
      <c r="Q187" s="318"/>
      <c r="R187" s="318"/>
      <c r="S187" s="318"/>
      <c r="T187" s="318"/>
      <c r="U187" s="318"/>
      <c r="V187" s="318"/>
      <c r="W187" s="318"/>
      <c r="X187" s="318"/>
    </row>
    <row r="188" ht="15.75" customHeight="1">
      <c r="A188" s="318"/>
      <c r="B188" s="318"/>
      <c r="C188" s="318"/>
      <c r="D188" s="318"/>
      <c r="E188" s="318"/>
      <c r="F188" s="318"/>
      <c r="G188" s="318"/>
      <c r="H188" s="318"/>
      <c r="I188" s="318"/>
      <c r="J188" s="318"/>
      <c r="K188" s="318"/>
      <c r="L188" s="318"/>
      <c r="M188" s="318"/>
      <c r="N188" s="318"/>
      <c r="O188" s="318"/>
      <c r="P188" s="318"/>
      <c r="Q188" s="318"/>
      <c r="R188" s="318"/>
      <c r="S188" s="318"/>
      <c r="T188" s="318"/>
      <c r="U188" s="318"/>
      <c r="V188" s="318"/>
      <c r="W188" s="318"/>
      <c r="X188" s="318"/>
    </row>
    <row r="189" ht="15.75" customHeight="1">
      <c r="A189" s="318"/>
      <c r="B189" s="318"/>
      <c r="C189" s="318"/>
      <c r="D189" s="318"/>
      <c r="E189" s="318"/>
      <c r="F189" s="318"/>
      <c r="G189" s="318"/>
      <c r="H189" s="318"/>
      <c r="I189" s="318"/>
      <c r="J189" s="318"/>
      <c r="K189" s="318"/>
      <c r="L189" s="318"/>
      <c r="M189" s="318"/>
      <c r="N189" s="318"/>
      <c r="O189" s="318"/>
      <c r="P189" s="318"/>
      <c r="Q189" s="318"/>
      <c r="R189" s="318"/>
      <c r="S189" s="318"/>
      <c r="T189" s="318"/>
      <c r="U189" s="318"/>
      <c r="V189" s="318"/>
      <c r="W189" s="318"/>
      <c r="X189" s="318"/>
    </row>
    <row r="190" ht="15.75" customHeight="1">
      <c r="A190" s="318"/>
      <c r="B190" s="318"/>
      <c r="C190" s="318"/>
      <c r="D190" s="318"/>
      <c r="E190" s="318"/>
      <c r="F190" s="318"/>
      <c r="G190" s="318"/>
      <c r="H190" s="318"/>
      <c r="I190" s="318"/>
      <c r="J190" s="318"/>
      <c r="K190" s="318"/>
      <c r="L190" s="318"/>
      <c r="M190" s="318"/>
      <c r="N190" s="318"/>
      <c r="O190" s="318"/>
      <c r="P190" s="318"/>
      <c r="Q190" s="318"/>
      <c r="R190" s="318"/>
      <c r="S190" s="318"/>
      <c r="T190" s="318"/>
      <c r="U190" s="318"/>
      <c r="V190" s="318"/>
      <c r="W190" s="318"/>
      <c r="X190" s="318"/>
    </row>
    <row r="191" ht="15.75" customHeight="1">
      <c r="A191" s="318"/>
      <c r="B191" s="318"/>
      <c r="C191" s="318"/>
      <c r="D191" s="318"/>
      <c r="E191" s="318"/>
      <c r="F191" s="318"/>
      <c r="G191" s="318"/>
      <c r="H191" s="318"/>
      <c r="I191" s="318"/>
      <c r="J191" s="318"/>
      <c r="K191" s="318"/>
      <c r="L191" s="318"/>
      <c r="M191" s="318"/>
      <c r="N191" s="318"/>
      <c r="O191" s="318"/>
      <c r="P191" s="318"/>
      <c r="Q191" s="318"/>
      <c r="R191" s="318"/>
      <c r="S191" s="318"/>
      <c r="T191" s="318"/>
      <c r="U191" s="318"/>
      <c r="V191" s="318"/>
      <c r="W191" s="318"/>
      <c r="X191" s="318"/>
    </row>
    <row r="192" ht="15.75" customHeight="1">
      <c r="A192" s="318"/>
      <c r="B192" s="318"/>
      <c r="C192" s="318"/>
      <c r="D192" s="318"/>
      <c r="E192" s="318"/>
      <c r="F192" s="318"/>
      <c r="G192" s="318"/>
      <c r="H192" s="318"/>
      <c r="I192" s="318"/>
      <c r="J192" s="318"/>
      <c r="K192" s="318"/>
      <c r="L192" s="318"/>
      <c r="M192" s="318"/>
      <c r="N192" s="318"/>
      <c r="O192" s="318"/>
      <c r="P192" s="318"/>
      <c r="Q192" s="318"/>
      <c r="R192" s="318"/>
      <c r="S192" s="318"/>
      <c r="T192" s="318"/>
      <c r="U192" s="318"/>
      <c r="V192" s="318"/>
      <c r="W192" s="318"/>
      <c r="X192" s="318"/>
    </row>
    <row r="193" ht="15.75" customHeight="1">
      <c r="A193" s="318"/>
      <c r="B193" s="318"/>
      <c r="C193" s="318"/>
      <c r="D193" s="318"/>
      <c r="E193" s="318"/>
      <c r="F193" s="318"/>
      <c r="G193" s="318"/>
      <c r="H193" s="318"/>
      <c r="I193" s="318"/>
      <c r="J193" s="318"/>
      <c r="K193" s="318"/>
      <c r="L193" s="318"/>
      <c r="M193" s="318"/>
      <c r="N193" s="318"/>
      <c r="O193" s="318"/>
      <c r="P193" s="318"/>
      <c r="Q193" s="318"/>
      <c r="R193" s="318"/>
      <c r="S193" s="318"/>
      <c r="T193" s="318"/>
      <c r="U193" s="318"/>
      <c r="V193" s="318"/>
      <c r="W193" s="318"/>
      <c r="X193" s="318"/>
    </row>
    <row r="194" ht="15.75" customHeight="1">
      <c r="A194" s="318"/>
      <c r="B194" s="318"/>
      <c r="C194" s="318"/>
      <c r="D194" s="318"/>
      <c r="E194" s="318"/>
      <c r="F194" s="318"/>
      <c r="G194" s="318"/>
      <c r="H194" s="318"/>
      <c r="I194" s="318"/>
      <c r="J194" s="318"/>
      <c r="K194" s="318"/>
      <c r="L194" s="318"/>
      <c r="M194" s="318"/>
      <c r="N194" s="318"/>
      <c r="O194" s="318"/>
      <c r="P194" s="318"/>
      <c r="Q194" s="318"/>
      <c r="R194" s="318"/>
      <c r="S194" s="318"/>
      <c r="T194" s="318"/>
      <c r="U194" s="318"/>
      <c r="V194" s="318"/>
      <c r="W194" s="318"/>
      <c r="X194" s="318"/>
    </row>
    <row r="195" ht="15.75" customHeight="1">
      <c r="A195" s="318"/>
      <c r="B195" s="318"/>
      <c r="C195" s="318"/>
      <c r="D195" s="318"/>
      <c r="E195" s="318"/>
      <c r="F195" s="318"/>
      <c r="G195" s="318"/>
      <c r="H195" s="318"/>
      <c r="I195" s="318"/>
      <c r="J195" s="318"/>
      <c r="K195" s="318"/>
      <c r="L195" s="318"/>
      <c r="M195" s="318"/>
      <c r="N195" s="318"/>
      <c r="O195" s="318"/>
      <c r="P195" s="318"/>
      <c r="Q195" s="318"/>
      <c r="R195" s="318"/>
      <c r="S195" s="318"/>
      <c r="T195" s="318"/>
      <c r="U195" s="318"/>
      <c r="V195" s="318"/>
      <c r="W195" s="318"/>
      <c r="X195" s="318"/>
    </row>
    <row r="196" ht="15.75" customHeight="1">
      <c r="A196" s="318"/>
      <c r="B196" s="318"/>
      <c r="C196" s="318"/>
      <c r="D196" s="318"/>
      <c r="E196" s="318"/>
      <c r="F196" s="318"/>
      <c r="G196" s="318"/>
      <c r="H196" s="318"/>
      <c r="I196" s="318"/>
      <c r="J196" s="318"/>
      <c r="K196" s="318"/>
      <c r="L196" s="318"/>
      <c r="M196" s="318"/>
      <c r="N196" s="318"/>
      <c r="O196" s="318"/>
      <c r="P196" s="318"/>
      <c r="Q196" s="318"/>
      <c r="R196" s="318"/>
      <c r="S196" s="318"/>
      <c r="T196" s="318"/>
      <c r="U196" s="318"/>
      <c r="V196" s="318"/>
      <c r="W196" s="318"/>
      <c r="X196" s="318"/>
    </row>
    <row r="197" ht="15.75" customHeight="1">
      <c r="A197" s="318"/>
      <c r="B197" s="318"/>
      <c r="C197" s="318"/>
      <c r="D197" s="318"/>
      <c r="E197" s="318"/>
      <c r="F197" s="318"/>
      <c r="G197" s="318"/>
      <c r="H197" s="318"/>
      <c r="I197" s="318"/>
      <c r="J197" s="318"/>
      <c r="K197" s="318"/>
      <c r="L197" s="318"/>
      <c r="M197" s="318"/>
      <c r="N197" s="318"/>
      <c r="O197" s="318"/>
      <c r="P197" s="318"/>
      <c r="Q197" s="318"/>
      <c r="R197" s="318"/>
      <c r="S197" s="318"/>
      <c r="T197" s="318"/>
      <c r="U197" s="318"/>
      <c r="V197" s="318"/>
      <c r="W197" s="318"/>
      <c r="X197" s="318"/>
    </row>
    <row r="198" ht="15.75" customHeight="1">
      <c r="A198" s="318"/>
      <c r="B198" s="318"/>
      <c r="C198" s="318"/>
      <c r="D198" s="318"/>
      <c r="E198" s="318"/>
      <c r="F198" s="318"/>
      <c r="G198" s="318"/>
      <c r="H198" s="318"/>
      <c r="I198" s="318"/>
      <c r="J198" s="318"/>
      <c r="K198" s="318"/>
      <c r="L198" s="318"/>
      <c r="M198" s="318"/>
      <c r="N198" s="318"/>
      <c r="O198" s="318"/>
      <c r="P198" s="318"/>
      <c r="Q198" s="318"/>
      <c r="R198" s="318"/>
      <c r="S198" s="318"/>
      <c r="T198" s="318"/>
      <c r="U198" s="318"/>
      <c r="V198" s="318"/>
      <c r="W198" s="318"/>
      <c r="X198" s="318"/>
    </row>
    <row r="199" ht="15.75" customHeight="1">
      <c r="A199" s="318"/>
      <c r="B199" s="318"/>
      <c r="C199" s="318"/>
      <c r="D199" s="318"/>
      <c r="E199" s="318"/>
      <c r="F199" s="318"/>
      <c r="G199" s="318"/>
      <c r="H199" s="318"/>
      <c r="I199" s="318"/>
      <c r="J199" s="318"/>
      <c r="K199" s="318"/>
      <c r="L199" s="318"/>
      <c r="M199" s="318"/>
      <c r="N199" s="318"/>
      <c r="O199" s="318"/>
      <c r="P199" s="318"/>
      <c r="Q199" s="318"/>
      <c r="R199" s="318"/>
      <c r="S199" s="318"/>
      <c r="T199" s="318"/>
      <c r="U199" s="318"/>
      <c r="V199" s="318"/>
      <c r="W199" s="318"/>
      <c r="X199" s="318"/>
    </row>
    <row r="200" ht="15.75" customHeight="1">
      <c r="A200" s="318"/>
      <c r="B200" s="318"/>
      <c r="C200" s="318"/>
      <c r="D200" s="318"/>
      <c r="E200" s="318"/>
      <c r="F200" s="318"/>
      <c r="G200" s="318"/>
      <c r="H200" s="318"/>
      <c r="I200" s="318"/>
      <c r="J200" s="318"/>
      <c r="K200" s="318"/>
      <c r="L200" s="318"/>
      <c r="M200" s="318"/>
      <c r="N200" s="318"/>
      <c r="O200" s="318"/>
      <c r="P200" s="318"/>
      <c r="Q200" s="318"/>
      <c r="R200" s="318"/>
      <c r="S200" s="318"/>
      <c r="T200" s="318"/>
      <c r="U200" s="318"/>
      <c r="V200" s="318"/>
      <c r="W200" s="318"/>
      <c r="X200" s="318"/>
    </row>
    <row r="201" ht="15.75" customHeight="1">
      <c r="A201" s="318"/>
      <c r="B201" s="318"/>
      <c r="C201" s="318"/>
      <c r="D201" s="318"/>
      <c r="E201" s="318"/>
      <c r="F201" s="318"/>
      <c r="G201" s="318"/>
      <c r="H201" s="318"/>
      <c r="I201" s="318"/>
      <c r="J201" s="318"/>
      <c r="K201" s="318"/>
      <c r="L201" s="318"/>
      <c r="M201" s="318"/>
      <c r="N201" s="318"/>
      <c r="O201" s="318"/>
      <c r="P201" s="318"/>
      <c r="Q201" s="318"/>
      <c r="R201" s="318"/>
      <c r="S201" s="318"/>
      <c r="T201" s="318"/>
      <c r="U201" s="318"/>
      <c r="V201" s="318"/>
      <c r="W201" s="318"/>
      <c r="X201" s="318"/>
    </row>
    <row r="202" ht="15.75" customHeight="1">
      <c r="A202" s="318"/>
      <c r="B202" s="318"/>
      <c r="C202" s="318"/>
      <c r="D202" s="318"/>
      <c r="E202" s="318"/>
      <c r="F202" s="318"/>
      <c r="G202" s="318"/>
      <c r="H202" s="318"/>
      <c r="I202" s="318"/>
      <c r="J202" s="318"/>
      <c r="K202" s="318"/>
      <c r="L202" s="318"/>
      <c r="M202" s="318"/>
      <c r="N202" s="318"/>
      <c r="O202" s="318"/>
      <c r="P202" s="318"/>
      <c r="Q202" s="318"/>
      <c r="R202" s="318"/>
      <c r="S202" s="318"/>
      <c r="T202" s="318"/>
      <c r="U202" s="318"/>
      <c r="V202" s="318"/>
      <c r="W202" s="318"/>
      <c r="X202" s="318"/>
    </row>
    <row r="203" ht="15.75" customHeight="1">
      <c r="A203" s="318"/>
      <c r="B203" s="318"/>
      <c r="C203" s="318"/>
      <c r="D203" s="318"/>
      <c r="E203" s="318"/>
      <c r="F203" s="318"/>
      <c r="G203" s="318"/>
      <c r="H203" s="318"/>
      <c r="I203" s="318"/>
      <c r="J203" s="318"/>
      <c r="K203" s="318"/>
      <c r="L203" s="318"/>
      <c r="M203" s="318"/>
      <c r="N203" s="318"/>
      <c r="O203" s="318"/>
      <c r="P203" s="318"/>
      <c r="Q203" s="318"/>
      <c r="R203" s="318"/>
      <c r="S203" s="318"/>
      <c r="T203" s="318"/>
      <c r="U203" s="318"/>
      <c r="V203" s="318"/>
      <c r="W203" s="318"/>
      <c r="X203" s="318"/>
    </row>
    <row r="204" ht="15.75" customHeight="1">
      <c r="A204" s="318"/>
      <c r="B204" s="318"/>
      <c r="C204" s="318"/>
      <c r="D204" s="318"/>
      <c r="E204" s="318"/>
      <c r="F204" s="318"/>
      <c r="G204" s="318"/>
      <c r="H204" s="318"/>
      <c r="I204" s="318"/>
      <c r="J204" s="318"/>
      <c r="K204" s="318"/>
      <c r="L204" s="318"/>
      <c r="M204" s="318"/>
      <c r="N204" s="318"/>
      <c r="O204" s="318"/>
      <c r="P204" s="318"/>
      <c r="Q204" s="318"/>
      <c r="R204" s="318"/>
      <c r="S204" s="318"/>
      <c r="T204" s="318"/>
      <c r="U204" s="318"/>
      <c r="V204" s="318"/>
      <c r="W204" s="318"/>
      <c r="X204" s="318"/>
    </row>
    <row r="205" ht="15.75" customHeight="1">
      <c r="A205" s="318"/>
      <c r="B205" s="318"/>
      <c r="C205" s="318"/>
      <c r="D205" s="318"/>
      <c r="E205" s="318"/>
      <c r="F205" s="318"/>
      <c r="G205" s="318"/>
      <c r="H205" s="318"/>
      <c r="I205" s="318"/>
      <c r="J205" s="318"/>
      <c r="K205" s="318"/>
      <c r="L205" s="318"/>
      <c r="M205" s="318"/>
      <c r="N205" s="318"/>
      <c r="O205" s="318"/>
      <c r="P205" s="318"/>
      <c r="Q205" s="318"/>
      <c r="R205" s="318"/>
      <c r="S205" s="318"/>
      <c r="T205" s="318"/>
      <c r="U205" s="318"/>
      <c r="V205" s="318"/>
      <c r="W205" s="318"/>
      <c r="X205" s="318"/>
    </row>
    <row r="206" ht="15.75" customHeight="1">
      <c r="A206" s="318"/>
      <c r="B206" s="318"/>
      <c r="C206" s="318"/>
      <c r="D206" s="318"/>
      <c r="E206" s="318"/>
      <c r="F206" s="318"/>
      <c r="G206" s="318"/>
      <c r="H206" s="318"/>
      <c r="I206" s="318"/>
      <c r="J206" s="318"/>
      <c r="K206" s="318"/>
      <c r="L206" s="318"/>
      <c r="M206" s="318"/>
      <c r="N206" s="318"/>
      <c r="O206" s="318"/>
      <c r="P206" s="318"/>
      <c r="Q206" s="318"/>
      <c r="R206" s="318"/>
      <c r="S206" s="318"/>
      <c r="T206" s="318"/>
      <c r="U206" s="318"/>
      <c r="V206" s="318"/>
      <c r="W206" s="318"/>
      <c r="X206" s="318"/>
    </row>
    <row r="207" ht="15.75" customHeight="1">
      <c r="A207" s="318"/>
      <c r="B207" s="318"/>
      <c r="C207" s="318"/>
      <c r="D207" s="318"/>
      <c r="E207" s="318"/>
      <c r="F207" s="318"/>
      <c r="G207" s="318"/>
      <c r="H207" s="318"/>
      <c r="I207" s="318"/>
      <c r="J207" s="318"/>
      <c r="K207" s="318"/>
      <c r="L207" s="318"/>
      <c r="M207" s="318"/>
      <c r="N207" s="318"/>
      <c r="O207" s="318"/>
      <c r="P207" s="318"/>
      <c r="Q207" s="318"/>
      <c r="R207" s="318"/>
      <c r="S207" s="318"/>
      <c r="T207" s="318"/>
      <c r="U207" s="318"/>
      <c r="V207" s="318"/>
      <c r="W207" s="318"/>
      <c r="X207" s="318"/>
    </row>
    <row r="208" ht="15.75" customHeight="1">
      <c r="A208" s="318"/>
      <c r="B208" s="318"/>
      <c r="C208" s="318"/>
      <c r="D208" s="318"/>
      <c r="E208" s="318"/>
      <c r="F208" s="318"/>
      <c r="G208" s="318"/>
      <c r="H208" s="318"/>
      <c r="I208" s="318"/>
      <c r="J208" s="318"/>
      <c r="K208" s="318"/>
      <c r="L208" s="318"/>
      <c r="M208" s="318"/>
      <c r="N208" s="318"/>
      <c r="O208" s="318"/>
      <c r="P208" s="318"/>
      <c r="Q208" s="318"/>
      <c r="R208" s="318"/>
      <c r="S208" s="318"/>
      <c r="T208" s="318"/>
      <c r="U208" s="318"/>
      <c r="V208" s="318"/>
      <c r="W208" s="318"/>
      <c r="X208" s="318"/>
    </row>
    <row r="209" ht="15.75" customHeight="1">
      <c r="A209" s="318"/>
      <c r="B209" s="318"/>
      <c r="C209" s="318"/>
      <c r="D209" s="318"/>
      <c r="E209" s="318"/>
      <c r="F209" s="318"/>
      <c r="G209" s="318"/>
      <c r="H209" s="318"/>
      <c r="I209" s="318"/>
      <c r="J209" s="318"/>
      <c r="K209" s="318"/>
      <c r="L209" s="318"/>
      <c r="M209" s="318"/>
      <c r="N209" s="318"/>
      <c r="O209" s="318"/>
      <c r="P209" s="318"/>
      <c r="Q209" s="318"/>
      <c r="R209" s="318"/>
      <c r="S209" s="318"/>
      <c r="T209" s="318"/>
      <c r="U209" s="318"/>
      <c r="V209" s="318"/>
      <c r="W209" s="318"/>
      <c r="X209" s="318"/>
    </row>
    <row r="210" ht="15.75" customHeight="1">
      <c r="A210" s="318"/>
      <c r="B210" s="318"/>
      <c r="C210" s="318"/>
      <c r="D210" s="318"/>
      <c r="E210" s="318"/>
      <c r="F210" s="318"/>
      <c r="G210" s="318"/>
      <c r="H210" s="318"/>
      <c r="I210" s="318"/>
      <c r="J210" s="318"/>
      <c r="K210" s="318"/>
      <c r="L210" s="318"/>
      <c r="M210" s="318"/>
      <c r="N210" s="318"/>
      <c r="O210" s="318"/>
      <c r="P210" s="318"/>
      <c r="Q210" s="318"/>
      <c r="R210" s="318"/>
      <c r="S210" s="318"/>
      <c r="T210" s="318"/>
      <c r="U210" s="318"/>
      <c r="V210" s="318"/>
      <c r="W210" s="318"/>
      <c r="X210" s="318"/>
    </row>
    <row r="211" ht="15.75" customHeight="1">
      <c r="A211" s="318"/>
      <c r="B211" s="318"/>
      <c r="C211" s="318"/>
      <c r="D211" s="318"/>
      <c r="E211" s="318"/>
      <c r="F211" s="318"/>
      <c r="G211" s="318"/>
      <c r="H211" s="318"/>
      <c r="I211" s="318"/>
      <c r="J211" s="318"/>
      <c r="K211" s="318"/>
      <c r="L211" s="318"/>
      <c r="M211" s="318"/>
      <c r="N211" s="318"/>
      <c r="O211" s="318"/>
      <c r="P211" s="318"/>
      <c r="Q211" s="318"/>
      <c r="R211" s="318"/>
      <c r="S211" s="318"/>
      <c r="T211" s="318"/>
      <c r="U211" s="318"/>
      <c r="V211" s="318"/>
      <c r="W211" s="318"/>
      <c r="X211" s="318"/>
    </row>
    <row r="212" ht="15.75" customHeight="1">
      <c r="A212" s="318"/>
      <c r="B212" s="318"/>
      <c r="C212" s="318"/>
      <c r="D212" s="318"/>
      <c r="E212" s="318"/>
      <c r="F212" s="318"/>
      <c r="G212" s="318"/>
      <c r="H212" s="318"/>
      <c r="I212" s="318"/>
      <c r="J212" s="318"/>
      <c r="K212" s="318"/>
      <c r="L212" s="318"/>
      <c r="M212" s="318"/>
      <c r="N212" s="318"/>
      <c r="O212" s="318"/>
      <c r="P212" s="318"/>
      <c r="Q212" s="318"/>
      <c r="R212" s="318"/>
      <c r="S212" s="318"/>
      <c r="T212" s="318"/>
      <c r="U212" s="318"/>
      <c r="V212" s="318"/>
      <c r="W212" s="318"/>
      <c r="X212" s="318"/>
    </row>
    <row r="213" ht="15.75" customHeight="1">
      <c r="A213" s="318"/>
      <c r="B213" s="318"/>
      <c r="C213" s="318"/>
      <c r="D213" s="318"/>
      <c r="E213" s="318"/>
      <c r="F213" s="318"/>
      <c r="G213" s="318"/>
      <c r="H213" s="318"/>
      <c r="I213" s="318"/>
      <c r="J213" s="318"/>
      <c r="K213" s="318"/>
      <c r="L213" s="318"/>
      <c r="M213" s="318"/>
      <c r="N213" s="318"/>
      <c r="O213" s="318"/>
      <c r="P213" s="318"/>
      <c r="Q213" s="318"/>
      <c r="R213" s="318"/>
      <c r="S213" s="318"/>
      <c r="T213" s="318"/>
      <c r="U213" s="318"/>
      <c r="V213" s="318"/>
      <c r="W213" s="318"/>
      <c r="X213" s="318"/>
    </row>
    <row r="214" ht="15.75" customHeight="1">
      <c r="A214" s="318"/>
      <c r="B214" s="318"/>
      <c r="C214" s="318"/>
      <c r="D214" s="318"/>
      <c r="E214" s="318"/>
      <c r="F214" s="318"/>
      <c r="G214" s="318"/>
      <c r="H214" s="318"/>
      <c r="I214" s="318"/>
      <c r="J214" s="318"/>
      <c r="K214" s="318"/>
      <c r="L214" s="318"/>
      <c r="M214" s="318"/>
      <c r="N214" s="318"/>
      <c r="O214" s="318"/>
      <c r="P214" s="318"/>
      <c r="Q214" s="318"/>
      <c r="R214" s="318"/>
      <c r="S214" s="318"/>
      <c r="T214" s="318"/>
      <c r="U214" s="318"/>
      <c r="V214" s="318"/>
      <c r="W214" s="318"/>
      <c r="X214" s="318"/>
    </row>
    <row r="215" ht="15.75" customHeight="1">
      <c r="A215" s="318"/>
      <c r="B215" s="318"/>
      <c r="C215" s="318"/>
      <c r="D215" s="318"/>
      <c r="E215" s="318"/>
      <c r="F215" s="318"/>
      <c r="G215" s="318"/>
      <c r="H215" s="318"/>
      <c r="I215" s="318"/>
      <c r="J215" s="318"/>
      <c r="K215" s="318"/>
      <c r="L215" s="318"/>
      <c r="M215" s="318"/>
      <c r="N215" s="318"/>
      <c r="O215" s="318"/>
      <c r="P215" s="318"/>
      <c r="Q215" s="318"/>
      <c r="R215" s="318"/>
      <c r="S215" s="318"/>
      <c r="T215" s="318"/>
      <c r="U215" s="318"/>
      <c r="V215" s="318"/>
      <c r="W215" s="318"/>
      <c r="X215" s="318"/>
    </row>
    <row r="216" ht="15.75" customHeight="1">
      <c r="A216" s="318"/>
      <c r="B216" s="318"/>
      <c r="C216" s="318"/>
      <c r="D216" s="318"/>
      <c r="E216" s="318"/>
      <c r="F216" s="318"/>
      <c r="G216" s="318"/>
      <c r="H216" s="318"/>
      <c r="I216" s="318"/>
      <c r="J216" s="318"/>
      <c r="K216" s="318"/>
      <c r="L216" s="318"/>
      <c r="M216" s="318"/>
      <c r="N216" s="318"/>
      <c r="O216" s="318"/>
      <c r="P216" s="318"/>
      <c r="Q216" s="318"/>
      <c r="R216" s="318"/>
      <c r="S216" s="318"/>
      <c r="T216" s="318"/>
      <c r="U216" s="318"/>
      <c r="V216" s="318"/>
      <c r="W216" s="318"/>
      <c r="X216" s="318"/>
    </row>
    <row r="217" ht="15.75" customHeight="1">
      <c r="A217" s="318"/>
      <c r="B217" s="318"/>
      <c r="C217" s="318"/>
      <c r="D217" s="318"/>
      <c r="E217" s="318"/>
      <c r="F217" s="318"/>
      <c r="G217" s="318"/>
      <c r="H217" s="318"/>
      <c r="I217" s="318"/>
      <c r="J217" s="318"/>
      <c r="K217" s="318"/>
      <c r="L217" s="318"/>
      <c r="M217" s="318"/>
      <c r="N217" s="318"/>
      <c r="O217" s="318"/>
      <c r="P217" s="318"/>
      <c r="Q217" s="318"/>
      <c r="R217" s="318"/>
      <c r="S217" s="318"/>
      <c r="T217" s="318"/>
      <c r="U217" s="318"/>
      <c r="V217" s="318"/>
      <c r="W217" s="318"/>
      <c r="X217" s="318"/>
    </row>
    <row r="218" ht="15.75" customHeight="1">
      <c r="A218" s="318"/>
      <c r="B218" s="318"/>
      <c r="C218" s="318"/>
      <c r="D218" s="318"/>
      <c r="E218" s="318"/>
      <c r="F218" s="318"/>
      <c r="G218" s="318"/>
      <c r="H218" s="318"/>
      <c r="I218" s="318"/>
      <c r="J218" s="318"/>
      <c r="K218" s="318"/>
      <c r="L218" s="318"/>
      <c r="M218" s="318"/>
      <c r="N218" s="318"/>
      <c r="O218" s="318"/>
      <c r="P218" s="318"/>
      <c r="Q218" s="318"/>
      <c r="R218" s="318"/>
      <c r="S218" s="318"/>
      <c r="T218" s="318"/>
      <c r="U218" s="318"/>
      <c r="V218" s="318"/>
      <c r="W218" s="318"/>
      <c r="X218" s="318"/>
    </row>
    <row r="219" ht="15.75" customHeight="1">
      <c r="A219" s="318"/>
      <c r="B219" s="318"/>
      <c r="C219" s="318"/>
      <c r="D219" s="318"/>
      <c r="E219" s="318"/>
      <c r="F219" s="318"/>
      <c r="G219" s="318"/>
      <c r="H219" s="318"/>
      <c r="I219" s="318"/>
      <c r="J219" s="318"/>
      <c r="K219" s="318"/>
      <c r="L219" s="318"/>
      <c r="M219" s="318"/>
      <c r="N219" s="318"/>
      <c r="O219" s="318"/>
      <c r="P219" s="318"/>
      <c r="Q219" s="318"/>
      <c r="R219" s="318"/>
      <c r="S219" s="318"/>
      <c r="T219" s="318"/>
      <c r="U219" s="318"/>
      <c r="V219" s="318"/>
      <c r="W219" s="318"/>
      <c r="X219" s="318"/>
    </row>
    <row r="220" ht="15.75" customHeight="1">
      <c r="A220" s="318"/>
      <c r="B220" s="318"/>
      <c r="C220" s="318"/>
      <c r="D220" s="318"/>
      <c r="E220" s="318"/>
      <c r="F220" s="318"/>
      <c r="G220" s="318"/>
      <c r="H220" s="318"/>
      <c r="I220" s="318"/>
      <c r="J220" s="318"/>
      <c r="K220" s="318"/>
      <c r="L220" s="318"/>
      <c r="M220" s="318"/>
      <c r="N220" s="318"/>
      <c r="O220" s="318"/>
      <c r="P220" s="318"/>
      <c r="Q220" s="318"/>
      <c r="R220" s="318"/>
      <c r="S220" s="318"/>
      <c r="T220" s="318"/>
      <c r="U220" s="318"/>
      <c r="V220" s="318"/>
      <c r="W220" s="318"/>
      <c r="X220" s="318"/>
    </row>
    <row r="221" ht="15.75" customHeight="1">
      <c r="A221" s="318"/>
      <c r="B221" s="318"/>
      <c r="C221" s="318"/>
      <c r="D221" s="318"/>
      <c r="E221" s="318"/>
      <c r="F221" s="318"/>
      <c r="G221" s="318"/>
      <c r="H221" s="318"/>
      <c r="I221" s="318"/>
      <c r="J221" s="318"/>
      <c r="K221" s="318"/>
      <c r="L221" s="318"/>
      <c r="M221" s="318"/>
      <c r="N221" s="318"/>
      <c r="O221" s="318"/>
      <c r="P221" s="318"/>
      <c r="Q221" s="318"/>
      <c r="R221" s="318"/>
      <c r="S221" s="318"/>
      <c r="T221" s="318"/>
      <c r="U221" s="318"/>
      <c r="V221" s="318"/>
      <c r="W221" s="318"/>
      <c r="X221" s="318"/>
    </row>
    <row r="222" ht="15.75" customHeight="1">
      <c r="A222" s="318"/>
      <c r="B222" s="318"/>
      <c r="C222" s="318"/>
      <c r="D222" s="318"/>
      <c r="E222" s="318"/>
      <c r="F222" s="318"/>
      <c r="G222" s="318"/>
      <c r="H222" s="318"/>
      <c r="I222" s="318"/>
      <c r="J222" s="318"/>
      <c r="K222" s="318"/>
      <c r="L222" s="318"/>
      <c r="M222" s="318"/>
      <c r="N222" s="318"/>
      <c r="O222" s="318"/>
      <c r="P222" s="318"/>
      <c r="Q222" s="318"/>
      <c r="R222" s="318"/>
      <c r="S222" s="318"/>
      <c r="T222" s="318"/>
      <c r="U222" s="318"/>
      <c r="V222" s="318"/>
      <c r="W222" s="318"/>
      <c r="X222" s="318"/>
    </row>
    <row r="223" ht="15.75" customHeight="1">
      <c r="A223" s="318"/>
      <c r="B223" s="318"/>
      <c r="C223" s="318"/>
      <c r="D223" s="318"/>
      <c r="E223" s="318"/>
      <c r="F223" s="318"/>
      <c r="G223" s="318"/>
      <c r="H223" s="318"/>
      <c r="I223" s="318"/>
      <c r="J223" s="318"/>
      <c r="K223" s="318"/>
      <c r="L223" s="318"/>
      <c r="M223" s="318"/>
      <c r="N223" s="318"/>
      <c r="O223" s="318"/>
      <c r="P223" s="318"/>
      <c r="Q223" s="318"/>
      <c r="R223" s="318"/>
      <c r="S223" s="318"/>
      <c r="T223" s="318"/>
      <c r="U223" s="318"/>
      <c r="V223" s="318"/>
      <c r="W223" s="318"/>
      <c r="X223" s="318"/>
    </row>
    <row r="224" ht="15.75" customHeight="1">
      <c r="A224" s="318"/>
      <c r="B224" s="318"/>
      <c r="C224" s="318"/>
      <c r="D224" s="318"/>
      <c r="E224" s="318"/>
      <c r="F224" s="318"/>
      <c r="G224" s="318"/>
      <c r="H224" s="318"/>
      <c r="I224" s="318"/>
      <c r="J224" s="318"/>
      <c r="K224" s="318"/>
      <c r="L224" s="318"/>
      <c r="M224" s="318"/>
      <c r="N224" s="318"/>
      <c r="O224" s="318"/>
      <c r="P224" s="318"/>
      <c r="Q224" s="318"/>
      <c r="R224" s="318"/>
      <c r="S224" s="318"/>
      <c r="T224" s="318"/>
      <c r="U224" s="318"/>
      <c r="V224" s="318"/>
      <c r="W224" s="318"/>
      <c r="X224" s="318"/>
    </row>
    <row r="225" ht="15.75" customHeight="1">
      <c r="A225" s="318"/>
      <c r="B225" s="318"/>
      <c r="C225" s="318"/>
      <c r="D225" s="318"/>
      <c r="E225" s="318"/>
      <c r="F225" s="318"/>
      <c r="G225" s="318"/>
      <c r="H225" s="318"/>
      <c r="I225" s="318"/>
      <c r="J225" s="318"/>
      <c r="K225" s="318"/>
      <c r="L225" s="318"/>
      <c r="M225" s="318"/>
      <c r="N225" s="318"/>
      <c r="O225" s="318"/>
      <c r="P225" s="318"/>
      <c r="Q225" s="318"/>
      <c r="R225" s="318"/>
      <c r="S225" s="318"/>
      <c r="T225" s="318"/>
      <c r="U225" s="318"/>
      <c r="V225" s="318"/>
      <c r="W225" s="318"/>
      <c r="X225" s="318"/>
    </row>
    <row r="226" ht="15.75" customHeight="1">
      <c r="A226" s="318"/>
      <c r="B226" s="318"/>
      <c r="C226" s="318"/>
      <c r="D226" s="318"/>
      <c r="E226" s="318"/>
      <c r="F226" s="318"/>
      <c r="G226" s="318"/>
      <c r="H226" s="318"/>
      <c r="I226" s="318"/>
      <c r="J226" s="318"/>
      <c r="K226" s="318"/>
      <c r="L226" s="318"/>
      <c r="M226" s="318"/>
      <c r="N226" s="318"/>
      <c r="O226" s="318"/>
      <c r="P226" s="318"/>
      <c r="Q226" s="318"/>
      <c r="R226" s="318"/>
      <c r="S226" s="318"/>
      <c r="T226" s="318"/>
      <c r="U226" s="318"/>
      <c r="V226" s="318"/>
      <c r="W226" s="318"/>
      <c r="X226" s="318"/>
    </row>
    <row r="227" ht="15.75" customHeight="1">
      <c r="A227" s="318"/>
      <c r="B227" s="318"/>
      <c r="C227" s="318"/>
      <c r="D227" s="318"/>
      <c r="E227" s="318"/>
      <c r="F227" s="318"/>
      <c r="G227" s="318"/>
      <c r="H227" s="318"/>
      <c r="I227" s="318"/>
      <c r="J227" s="318"/>
      <c r="K227" s="318"/>
      <c r="L227" s="318"/>
      <c r="M227" s="318"/>
      <c r="N227" s="318"/>
      <c r="O227" s="318"/>
      <c r="P227" s="318"/>
      <c r="Q227" s="318"/>
      <c r="R227" s="318"/>
      <c r="S227" s="318"/>
      <c r="T227" s="318"/>
      <c r="U227" s="318"/>
      <c r="V227" s="318"/>
      <c r="W227" s="318"/>
      <c r="X227" s="318"/>
    </row>
    <row r="228" ht="15.75" customHeight="1">
      <c r="A228" s="318"/>
      <c r="B228" s="318"/>
      <c r="C228" s="318"/>
      <c r="D228" s="318"/>
      <c r="E228" s="318"/>
      <c r="F228" s="318"/>
      <c r="G228" s="318"/>
      <c r="H228" s="318"/>
      <c r="I228" s="318"/>
      <c r="J228" s="318"/>
      <c r="K228" s="318"/>
      <c r="L228" s="318"/>
      <c r="M228" s="318"/>
      <c r="N228" s="318"/>
      <c r="O228" s="318"/>
      <c r="P228" s="318"/>
      <c r="Q228" s="318"/>
      <c r="R228" s="318"/>
      <c r="S228" s="318"/>
      <c r="T228" s="318"/>
      <c r="U228" s="318"/>
      <c r="V228" s="318"/>
      <c r="W228" s="318"/>
      <c r="X228" s="318"/>
    </row>
    <row r="229" ht="15.75" customHeight="1">
      <c r="A229" s="318"/>
      <c r="B229" s="318"/>
      <c r="C229" s="318"/>
      <c r="D229" s="318"/>
      <c r="E229" s="318"/>
      <c r="F229" s="318"/>
      <c r="G229" s="318"/>
      <c r="H229" s="318"/>
      <c r="I229" s="318"/>
      <c r="J229" s="318"/>
      <c r="K229" s="318"/>
      <c r="L229" s="318"/>
      <c r="M229" s="318"/>
      <c r="N229" s="318"/>
      <c r="O229" s="318"/>
      <c r="P229" s="318"/>
      <c r="Q229" s="318"/>
      <c r="R229" s="318"/>
      <c r="S229" s="318"/>
      <c r="T229" s="318"/>
      <c r="U229" s="318"/>
      <c r="V229" s="318"/>
      <c r="W229" s="318"/>
      <c r="X229" s="318"/>
    </row>
    <row r="230" ht="15.75" customHeight="1">
      <c r="A230" s="318"/>
      <c r="B230" s="318"/>
      <c r="C230" s="318"/>
      <c r="D230" s="318"/>
      <c r="E230" s="318"/>
      <c r="F230" s="318"/>
      <c r="G230" s="318"/>
      <c r="H230" s="318"/>
      <c r="I230" s="318"/>
      <c r="J230" s="318"/>
      <c r="K230" s="318"/>
      <c r="L230" s="318"/>
      <c r="M230" s="318"/>
      <c r="N230" s="318"/>
      <c r="O230" s="318"/>
      <c r="P230" s="318"/>
      <c r="Q230" s="318"/>
      <c r="R230" s="318"/>
      <c r="S230" s="318"/>
      <c r="T230" s="318"/>
      <c r="U230" s="318"/>
      <c r="V230" s="318"/>
      <c r="W230" s="318"/>
      <c r="X230" s="318"/>
    </row>
    <row r="231" ht="15.75" customHeight="1">
      <c r="A231" s="318"/>
      <c r="B231" s="318"/>
      <c r="C231" s="318"/>
      <c r="D231" s="318"/>
      <c r="E231" s="318"/>
      <c r="F231" s="318"/>
      <c r="G231" s="318"/>
      <c r="H231" s="318"/>
      <c r="I231" s="318"/>
      <c r="J231" s="318"/>
      <c r="K231" s="318"/>
      <c r="L231" s="318"/>
      <c r="M231" s="318"/>
      <c r="N231" s="318"/>
      <c r="O231" s="318"/>
      <c r="P231" s="318"/>
      <c r="Q231" s="318"/>
      <c r="R231" s="318"/>
      <c r="S231" s="318"/>
      <c r="T231" s="318"/>
      <c r="U231" s="318"/>
      <c r="V231" s="318"/>
      <c r="W231" s="318"/>
      <c r="X231" s="318"/>
    </row>
    <row r="232" ht="15.75" customHeight="1">
      <c r="A232" s="318"/>
      <c r="B232" s="318"/>
      <c r="C232" s="318"/>
      <c r="D232" s="318"/>
      <c r="E232" s="318"/>
      <c r="F232" s="318"/>
      <c r="G232" s="318"/>
      <c r="H232" s="318"/>
      <c r="I232" s="318"/>
      <c r="J232" s="318"/>
      <c r="K232" s="318"/>
      <c r="L232" s="318"/>
      <c r="M232" s="318"/>
      <c r="N232" s="318"/>
      <c r="O232" s="318"/>
      <c r="P232" s="318"/>
      <c r="Q232" s="318"/>
      <c r="R232" s="318"/>
      <c r="S232" s="318"/>
      <c r="T232" s="318"/>
      <c r="U232" s="318"/>
      <c r="V232" s="318"/>
      <c r="W232" s="318"/>
      <c r="X232" s="318"/>
    </row>
    <row r="233" ht="15.75" customHeight="1">
      <c r="A233" s="318"/>
      <c r="B233" s="318"/>
      <c r="C233" s="318"/>
      <c r="D233" s="318"/>
      <c r="E233" s="318"/>
      <c r="F233" s="318"/>
      <c r="G233" s="318"/>
      <c r="H233" s="318"/>
      <c r="I233" s="318"/>
      <c r="J233" s="318"/>
      <c r="K233" s="318"/>
      <c r="L233" s="318"/>
      <c r="M233" s="318"/>
      <c r="N233" s="318"/>
      <c r="O233" s="318"/>
      <c r="P233" s="318"/>
      <c r="Q233" s="318"/>
      <c r="R233" s="318"/>
      <c r="S233" s="318"/>
      <c r="T233" s="318"/>
      <c r="U233" s="318"/>
      <c r="V233" s="318"/>
      <c r="W233" s="318"/>
      <c r="X233" s="318"/>
    </row>
    <row r="234" ht="15.75" customHeight="1">
      <c r="A234" s="318"/>
      <c r="B234" s="318"/>
      <c r="C234" s="318"/>
      <c r="D234" s="318"/>
      <c r="E234" s="318"/>
      <c r="F234" s="318"/>
      <c r="G234" s="318"/>
      <c r="H234" s="318"/>
      <c r="I234" s="318"/>
      <c r="J234" s="318"/>
      <c r="K234" s="318"/>
      <c r="L234" s="318"/>
      <c r="M234" s="318"/>
      <c r="N234" s="318"/>
      <c r="O234" s="318"/>
      <c r="P234" s="318"/>
      <c r="Q234" s="318"/>
      <c r="R234" s="318"/>
      <c r="S234" s="318"/>
      <c r="T234" s="318"/>
      <c r="U234" s="318"/>
      <c r="V234" s="318"/>
      <c r="W234" s="318"/>
      <c r="X234" s="318"/>
    </row>
    <row r="235" ht="15.75" customHeight="1">
      <c r="A235" s="318"/>
      <c r="B235" s="318"/>
      <c r="C235" s="318"/>
      <c r="D235" s="318"/>
      <c r="E235" s="318"/>
      <c r="F235" s="318"/>
      <c r="G235" s="318"/>
      <c r="H235" s="318"/>
      <c r="I235" s="318"/>
      <c r="J235" s="318"/>
      <c r="K235" s="318"/>
      <c r="L235" s="318"/>
      <c r="M235" s="318"/>
      <c r="N235" s="318"/>
      <c r="O235" s="318"/>
      <c r="P235" s="318"/>
      <c r="Q235" s="318"/>
      <c r="R235" s="318"/>
      <c r="S235" s="318"/>
      <c r="T235" s="318"/>
      <c r="U235" s="318"/>
      <c r="V235" s="318"/>
      <c r="W235" s="318"/>
      <c r="X235" s="318"/>
    </row>
    <row r="236" ht="15.75" customHeight="1">
      <c r="A236" s="318"/>
      <c r="B236" s="318"/>
      <c r="C236" s="318"/>
      <c r="D236" s="318"/>
      <c r="E236" s="318"/>
      <c r="F236" s="318"/>
      <c r="G236" s="318"/>
      <c r="H236" s="318"/>
      <c r="I236" s="318"/>
      <c r="J236" s="318"/>
      <c r="K236" s="318"/>
      <c r="L236" s="318"/>
      <c r="M236" s="318"/>
      <c r="N236" s="318"/>
      <c r="O236" s="318"/>
      <c r="P236" s="318"/>
      <c r="Q236" s="318"/>
      <c r="R236" s="318"/>
      <c r="S236" s="318"/>
      <c r="T236" s="318"/>
      <c r="U236" s="318"/>
      <c r="V236" s="318"/>
      <c r="W236" s="318"/>
      <c r="X236" s="318"/>
    </row>
    <row r="237" ht="15.75" customHeight="1">
      <c r="A237" s="318"/>
      <c r="B237" s="318"/>
      <c r="C237" s="318"/>
      <c r="D237" s="318"/>
      <c r="E237" s="318"/>
      <c r="F237" s="318"/>
      <c r="G237" s="318"/>
      <c r="H237" s="318"/>
      <c r="I237" s="318"/>
      <c r="J237" s="318"/>
      <c r="K237" s="318"/>
      <c r="L237" s="318"/>
      <c r="M237" s="318"/>
      <c r="N237" s="318"/>
      <c r="O237" s="318"/>
      <c r="P237" s="318"/>
      <c r="Q237" s="318"/>
      <c r="R237" s="318"/>
      <c r="S237" s="318"/>
      <c r="T237" s="318"/>
      <c r="U237" s="318"/>
      <c r="V237" s="318"/>
      <c r="W237" s="318"/>
      <c r="X237" s="318"/>
    </row>
    <row r="238" ht="15.75" customHeight="1">
      <c r="A238" s="318"/>
      <c r="B238" s="318"/>
      <c r="C238" s="318"/>
      <c r="D238" s="318"/>
      <c r="E238" s="318"/>
      <c r="F238" s="318"/>
      <c r="G238" s="318"/>
      <c r="H238" s="318"/>
      <c r="I238" s="318"/>
      <c r="J238" s="318"/>
      <c r="K238" s="318"/>
      <c r="L238" s="318"/>
      <c r="M238" s="318"/>
      <c r="N238" s="318"/>
      <c r="O238" s="318"/>
      <c r="P238" s="318"/>
      <c r="Q238" s="318"/>
      <c r="R238" s="318"/>
      <c r="S238" s="318"/>
      <c r="T238" s="318"/>
      <c r="U238" s="318"/>
      <c r="V238" s="318"/>
      <c r="W238" s="318"/>
      <c r="X238" s="318"/>
    </row>
    <row r="239" ht="15.75" customHeight="1">
      <c r="A239" s="318"/>
      <c r="B239" s="318"/>
      <c r="C239" s="318"/>
      <c r="D239" s="318"/>
      <c r="E239" s="318"/>
      <c r="F239" s="318"/>
      <c r="G239" s="318"/>
      <c r="H239" s="318"/>
      <c r="I239" s="318"/>
      <c r="J239" s="318"/>
      <c r="K239" s="318"/>
      <c r="L239" s="318"/>
      <c r="M239" s="318"/>
      <c r="N239" s="318"/>
      <c r="O239" s="318"/>
      <c r="P239" s="318"/>
      <c r="Q239" s="318"/>
      <c r="R239" s="318"/>
      <c r="S239" s="318"/>
      <c r="T239" s="318"/>
      <c r="U239" s="318"/>
      <c r="V239" s="318"/>
      <c r="W239" s="318"/>
      <c r="X239" s="318"/>
    </row>
    <row r="240" ht="15.75" customHeight="1">
      <c r="A240" s="318"/>
      <c r="B240" s="318"/>
      <c r="C240" s="318"/>
      <c r="D240" s="318"/>
      <c r="E240" s="318"/>
      <c r="F240" s="318"/>
      <c r="G240" s="318"/>
      <c r="H240" s="318"/>
      <c r="I240" s="318"/>
      <c r="J240" s="318"/>
      <c r="K240" s="318"/>
      <c r="L240" s="318"/>
      <c r="M240" s="318"/>
      <c r="N240" s="318"/>
      <c r="O240" s="318"/>
      <c r="P240" s="318"/>
      <c r="Q240" s="318"/>
      <c r="R240" s="318"/>
      <c r="S240" s="318"/>
      <c r="T240" s="318"/>
      <c r="U240" s="318"/>
      <c r="V240" s="318"/>
      <c r="W240" s="318"/>
      <c r="X240" s="318"/>
    </row>
    <row r="241" ht="15.75" customHeight="1">
      <c r="A241" s="318"/>
      <c r="B241" s="318"/>
      <c r="C241" s="318"/>
      <c r="D241" s="318"/>
      <c r="E241" s="318"/>
      <c r="F241" s="318"/>
      <c r="G241" s="318"/>
      <c r="H241" s="318"/>
      <c r="I241" s="318"/>
      <c r="J241" s="318"/>
      <c r="K241" s="318"/>
      <c r="L241" s="318"/>
      <c r="M241" s="318"/>
      <c r="N241" s="318"/>
      <c r="O241" s="318"/>
      <c r="P241" s="318"/>
      <c r="Q241" s="318"/>
      <c r="R241" s="318"/>
      <c r="S241" s="318"/>
      <c r="T241" s="318"/>
      <c r="U241" s="318"/>
      <c r="V241" s="318"/>
      <c r="W241" s="318"/>
      <c r="X241" s="318"/>
    </row>
    <row r="242" ht="15.75" customHeight="1">
      <c r="A242" s="318"/>
      <c r="B242" s="318"/>
      <c r="C242" s="318"/>
      <c r="D242" s="318"/>
      <c r="E242" s="318"/>
      <c r="F242" s="318"/>
      <c r="G242" s="318"/>
      <c r="H242" s="318"/>
      <c r="I242" s="318"/>
      <c r="J242" s="318"/>
      <c r="K242" s="318"/>
      <c r="L242" s="318"/>
      <c r="M242" s="318"/>
      <c r="N242" s="318"/>
      <c r="O242" s="318"/>
      <c r="P242" s="318"/>
      <c r="Q242" s="318"/>
      <c r="R242" s="318"/>
      <c r="S242" s="318"/>
      <c r="T242" s="318"/>
      <c r="U242" s="318"/>
      <c r="V242" s="318"/>
      <c r="W242" s="318"/>
      <c r="X242" s="318"/>
    </row>
    <row r="243" ht="15.75" customHeight="1">
      <c r="A243" s="318"/>
      <c r="B243" s="318"/>
      <c r="C243" s="318"/>
      <c r="D243" s="318"/>
      <c r="E243" s="318"/>
      <c r="F243" s="318"/>
      <c r="G243" s="318"/>
      <c r="H243" s="318"/>
      <c r="I243" s="318"/>
      <c r="J243" s="318"/>
      <c r="K243" s="318"/>
      <c r="L243" s="318"/>
      <c r="M243" s="318"/>
      <c r="N243" s="318"/>
      <c r="O243" s="318"/>
      <c r="P243" s="318"/>
      <c r="Q243" s="318"/>
      <c r="R243" s="318"/>
      <c r="S243" s="318"/>
      <c r="T243" s="318"/>
      <c r="U243" s="318"/>
      <c r="V243" s="318"/>
      <c r="W243" s="318"/>
      <c r="X243" s="318"/>
    </row>
    <row r="244" ht="15.75" customHeight="1">
      <c r="A244" s="318"/>
      <c r="B244" s="318"/>
      <c r="C244" s="318"/>
      <c r="D244" s="318"/>
      <c r="E244" s="318"/>
      <c r="F244" s="318"/>
      <c r="G244" s="318"/>
      <c r="H244" s="318"/>
      <c r="I244" s="318"/>
      <c r="J244" s="318"/>
      <c r="K244" s="318"/>
      <c r="L244" s="318"/>
      <c r="M244" s="318"/>
      <c r="N244" s="318"/>
      <c r="O244" s="318"/>
      <c r="P244" s="318"/>
      <c r="Q244" s="318"/>
      <c r="R244" s="318"/>
      <c r="S244" s="318"/>
      <c r="T244" s="318"/>
      <c r="U244" s="318"/>
      <c r="V244" s="318"/>
      <c r="W244" s="318"/>
      <c r="X244" s="318"/>
    </row>
    <row r="245" ht="15.75" customHeight="1">
      <c r="A245" s="318"/>
      <c r="B245" s="318"/>
      <c r="C245" s="318"/>
      <c r="D245" s="318"/>
      <c r="E245" s="318"/>
      <c r="F245" s="318"/>
      <c r="G245" s="318"/>
      <c r="H245" s="318"/>
      <c r="I245" s="318"/>
      <c r="J245" s="318"/>
      <c r="K245" s="318"/>
      <c r="L245" s="318"/>
      <c r="M245" s="318"/>
      <c r="N245" s="318"/>
      <c r="O245" s="318"/>
      <c r="P245" s="318"/>
      <c r="Q245" s="318"/>
      <c r="R245" s="318"/>
      <c r="S245" s="318"/>
      <c r="T245" s="318"/>
      <c r="U245" s="318"/>
      <c r="V245" s="318"/>
      <c r="W245" s="318"/>
      <c r="X245" s="318"/>
    </row>
    <row r="246" ht="15.75" customHeight="1">
      <c r="A246" s="318"/>
      <c r="B246" s="318"/>
      <c r="C246" s="318"/>
      <c r="D246" s="318"/>
      <c r="E246" s="318"/>
      <c r="F246" s="318"/>
      <c r="G246" s="318"/>
      <c r="H246" s="318"/>
      <c r="I246" s="318"/>
      <c r="J246" s="318"/>
      <c r="K246" s="318"/>
      <c r="L246" s="318"/>
      <c r="M246" s="318"/>
      <c r="N246" s="318"/>
      <c r="O246" s="318"/>
      <c r="P246" s="318"/>
      <c r="Q246" s="318"/>
      <c r="R246" s="318"/>
      <c r="S246" s="318"/>
      <c r="T246" s="318"/>
      <c r="U246" s="318"/>
      <c r="V246" s="318"/>
      <c r="W246" s="318"/>
      <c r="X246" s="318"/>
    </row>
    <row r="247" ht="15.75" customHeight="1">
      <c r="A247" s="318"/>
      <c r="B247" s="318"/>
      <c r="C247" s="318"/>
      <c r="D247" s="318"/>
      <c r="E247" s="318"/>
      <c r="F247" s="318"/>
      <c r="G247" s="318"/>
      <c r="H247" s="318"/>
      <c r="I247" s="318"/>
      <c r="J247" s="318"/>
      <c r="K247" s="318"/>
      <c r="L247" s="318"/>
      <c r="M247" s="318"/>
      <c r="N247" s="318"/>
      <c r="O247" s="318"/>
      <c r="P247" s="318"/>
      <c r="Q247" s="318"/>
      <c r="R247" s="318"/>
      <c r="S247" s="318"/>
      <c r="T247" s="318"/>
      <c r="U247" s="318"/>
      <c r="V247" s="318"/>
      <c r="W247" s="318"/>
      <c r="X247" s="318"/>
    </row>
    <row r="248" ht="15.75" customHeight="1">
      <c r="A248" s="318"/>
      <c r="B248" s="318"/>
      <c r="C248" s="318"/>
      <c r="D248" s="318"/>
      <c r="E248" s="318"/>
      <c r="F248" s="318"/>
      <c r="G248" s="318"/>
      <c r="H248" s="318"/>
      <c r="I248" s="318"/>
      <c r="J248" s="318"/>
      <c r="K248" s="318"/>
      <c r="L248" s="318"/>
      <c r="M248" s="318"/>
      <c r="N248" s="318"/>
      <c r="O248" s="318"/>
      <c r="P248" s="318"/>
      <c r="Q248" s="318"/>
      <c r="R248" s="318"/>
      <c r="S248" s="318"/>
      <c r="T248" s="318"/>
      <c r="U248" s="318"/>
      <c r="V248" s="318"/>
      <c r="W248" s="318"/>
      <c r="X248" s="318"/>
    </row>
    <row r="249" ht="15.75" customHeight="1">
      <c r="A249" s="318"/>
      <c r="B249" s="318"/>
      <c r="C249" s="318"/>
      <c r="D249" s="318"/>
      <c r="E249" s="318"/>
      <c r="F249" s="318"/>
      <c r="G249" s="318"/>
      <c r="H249" s="318"/>
      <c r="I249" s="318"/>
      <c r="J249" s="318"/>
      <c r="K249" s="318"/>
      <c r="L249" s="318"/>
      <c r="M249" s="318"/>
      <c r="N249" s="318"/>
      <c r="O249" s="318"/>
      <c r="P249" s="318"/>
      <c r="Q249" s="318"/>
      <c r="R249" s="318"/>
      <c r="S249" s="318"/>
      <c r="T249" s="318"/>
      <c r="U249" s="318"/>
      <c r="V249" s="318"/>
      <c r="W249" s="318"/>
      <c r="X249" s="318"/>
    </row>
    <row r="250" ht="15.75" customHeight="1">
      <c r="A250" s="318"/>
      <c r="B250" s="318"/>
      <c r="C250" s="318"/>
      <c r="D250" s="318"/>
      <c r="E250" s="318"/>
      <c r="F250" s="318"/>
      <c r="G250" s="318"/>
      <c r="H250" s="318"/>
      <c r="I250" s="318"/>
      <c r="J250" s="318"/>
      <c r="K250" s="318"/>
      <c r="L250" s="318"/>
      <c r="M250" s="318"/>
      <c r="N250" s="318"/>
      <c r="O250" s="318"/>
      <c r="P250" s="318"/>
      <c r="Q250" s="318"/>
      <c r="R250" s="318"/>
      <c r="S250" s="318"/>
      <c r="T250" s="318"/>
      <c r="U250" s="318"/>
      <c r="V250" s="318"/>
      <c r="W250" s="318"/>
      <c r="X250" s="318"/>
    </row>
    <row r="251" ht="15.75" customHeight="1">
      <c r="A251" s="318"/>
      <c r="B251" s="318"/>
      <c r="C251" s="318"/>
      <c r="D251" s="318"/>
      <c r="E251" s="318"/>
      <c r="F251" s="318"/>
      <c r="G251" s="318"/>
      <c r="H251" s="318"/>
      <c r="I251" s="318"/>
      <c r="J251" s="318"/>
      <c r="K251" s="318"/>
      <c r="L251" s="318"/>
      <c r="M251" s="318"/>
      <c r="N251" s="318"/>
      <c r="O251" s="318"/>
      <c r="P251" s="318"/>
      <c r="Q251" s="318"/>
      <c r="R251" s="318"/>
      <c r="S251" s="318"/>
      <c r="T251" s="318"/>
      <c r="U251" s="318"/>
      <c r="V251" s="318"/>
      <c r="W251" s="318"/>
      <c r="X251" s="318"/>
    </row>
    <row r="252" ht="15.75" customHeight="1">
      <c r="A252" s="318"/>
      <c r="B252" s="318"/>
      <c r="C252" s="318"/>
      <c r="D252" s="318"/>
      <c r="E252" s="318"/>
      <c r="F252" s="318"/>
      <c r="G252" s="318"/>
      <c r="H252" s="318"/>
      <c r="I252" s="318"/>
      <c r="J252" s="318"/>
      <c r="K252" s="318"/>
      <c r="L252" s="318"/>
      <c r="M252" s="318"/>
      <c r="N252" s="318"/>
      <c r="O252" s="318"/>
      <c r="P252" s="318"/>
      <c r="Q252" s="318"/>
      <c r="R252" s="318"/>
      <c r="S252" s="318"/>
      <c r="T252" s="318"/>
      <c r="U252" s="318"/>
      <c r="V252" s="318"/>
      <c r="W252" s="318"/>
      <c r="X252" s="318"/>
    </row>
    <row r="253" ht="15.75" customHeight="1">
      <c r="A253" s="318"/>
      <c r="B253" s="318"/>
      <c r="C253" s="318"/>
      <c r="D253" s="318"/>
      <c r="E253" s="318"/>
      <c r="F253" s="318"/>
      <c r="G253" s="318"/>
      <c r="H253" s="318"/>
      <c r="I253" s="318"/>
      <c r="J253" s="318"/>
      <c r="K253" s="318"/>
      <c r="L253" s="318"/>
      <c r="M253" s="318"/>
      <c r="N253" s="318"/>
      <c r="O253" s="318"/>
      <c r="P253" s="318"/>
      <c r="Q253" s="318"/>
      <c r="R253" s="318"/>
      <c r="S253" s="318"/>
      <c r="T253" s="318"/>
      <c r="U253" s="318"/>
      <c r="V253" s="318"/>
      <c r="W253" s="318"/>
      <c r="X253" s="318"/>
    </row>
    <row r="254" ht="15.75" customHeight="1">
      <c r="A254" s="318"/>
      <c r="B254" s="318"/>
      <c r="C254" s="318"/>
      <c r="D254" s="318"/>
      <c r="E254" s="318"/>
      <c r="F254" s="318"/>
      <c r="G254" s="318"/>
      <c r="H254" s="318"/>
      <c r="I254" s="318"/>
      <c r="J254" s="318"/>
      <c r="K254" s="318"/>
      <c r="L254" s="318"/>
      <c r="M254" s="318"/>
      <c r="N254" s="318"/>
      <c r="O254" s="318"/>
      <c r="P254" s="318"/>
      <c r="Q254" s="318"/>
      <c r="R254" s="318"/>
      <c r="S254" s="318"/>
      <c r="T254" s="318"/>
      <c r="U254" s="318"/>
      <c r="V254" s="318"/>
      <c r="W254" s="318"/>
      <c r="X254" s="318"/>
    </row>
    <row r="255" ht="15.75" customHeight="1">
      <c r="A255" s="318"/>
      <c r="B255" s="318"/>
      <c r="C255" s="318"/>
      <c r="D255" s="318"/>
      <c r="E255" s="318"/>
      <c r="F255" s="318"/>
      <c r="G255" s="318"/>
      <c r="H255" s="318"/>
      <c r="I255" s="318"/>
      <c r="J255" s="318"/>
      <c r="K255" s="318"/>
      <c r="L255" s="318"/>
      <c r="M255" s="318"/>
      <c r="N255" s="318"/>
      <c r="O255" s="318"/>
      <c r="P255" s="318"/>
      <c r="Q255" s="318"/>
      <c r="R255" s="318"/>
      <c r="S255" s="318"/>
      <c r="T255" s="318"/>
      <c r="U255" s="318"/>
      <c r="V255" s="318"/>
      <c r="W255" s="318"/>
      <c r="X255" s="318"/>
    </row>
    <row r="256" ht="15.75" customHeight="1">
      <c r="A256" s="318"/>
      <c r="B256" s="318"/>
      <c r="C256" s="318"/>
      <c r="D256" s="318"/>
      <c r="E256" s="318"/>
      <c r="F256" s="318"/>
      <c r="G256" s="318"/>
      <c r="H256" s="318"/>
      <c r="I256" s="318"/>
      <c r="J256" s="318"/>
      <c r="K256" s="318"/>
      <c r="L256" s="318"/>
      <c r="M256" s="318"/>
      <c r="N256" s="318"/>
      <c r="O256" s="318"/>
      <c r="P256" s="318"/>
      <c r="Q256" s="318"/>
      <c r="R256" s="318"/>
      <c r="S256" s="318"/>
      <c r="T256" s="318"/>
      <c r="U256" s="318"/>
      <c r="V256" s="318"/>
      <c r="W256" s="318"/>
      <c r="X256" s="318"/>
    </row>
    <row r="257" ht="15.75" customHeight="1">
      <c r="A257" s="318"/>
      <c r="B257" s="318"/>
      <c r="C257" s="318"/>
      <c r="D257" s="318"/>
      <c r="E257" s="318"/>
      <c r="F257" s="318"/>
      <c r="G257" s="318"/>
      <c r="H257" s="318"/>
      <c r="I257" s="318"/>
      <c r="J257" s="318"/>
      <c r="K257" s="318"/>
      <c r="L257" s="318"/>
      <c r="M257" s="318"/>
      <c r="N257" s="318"/>
      <c r="O257" s="318"/>
      <c r="P257" s="318"/>
      <c r="Q257" s="318"/>
      <c r="R257" s="318"/>
      <c r="S257" s="318"/>
      <c r="T257" s="318"/>
      <c r="U257" s="318"/>
      <c r="V257" s="318"/>
      <c r="W257" s="318"/>
      <c r="X257" s="318"/>
    </row>
    <row r="258" ht="15.75" customHeight="1">
      <c r="A258" s="318"/>
      <c r="B258" s="318"/>
      <c r="C258" s="318"/>
      <c r="D258" s="318"/>
      <c r="E258" s="318"/>
      <c r="F258" s="318"/>
      <c r="G258" s="318"/>
      <c r="H258" s="318"/>
      <c r="I258" s="318"/>
      <c r="J258" s="318"/>
      <c r="K258" s="318"/>
      <c r="L258" s="318"/>
      <c r="M258" s="318"/>
      <c r="N258" s="318"/>
      <c r="O258" s="318"/>
      <c r="P258" s="318"/>
      <c r="Q258" s="318"/>
      <c r="R258" s="318"/>
      <c r="S258" s="318"/>
      <c r="T258" s="318"/>
      <c r="U258" s="318"/>
      <c r="V258" s="318"/>
      <c r="W258" s="318"/>
      <c r="X258" s="318"/>
    </row>
    <row r="259" ht="15.75" customHeight="1">
      <c r="A259" s="318"/>
      <c r="B259" s="318"/>
      <c r="C259" s="318"/>
      <c r="D259" s="318"/>
      <c r="E259" s="318"/>
      <c r="F259" s="318"/>
      <c r="G259" s="318"/>
      <c r="H259" s="318"/>
      <c r="I259" s="318"/>
      <c r="J259" s="318"/>
      <c r="K259" s="318"/>
      <c r="L259" s="318"/>
      <c r="M259" s="318"/>
      <c r="N259" s="318"/>
      <c r="O259" s="318"/>
      <c r="P259" s="318"/>
      <c r="Q259" s="318"/>
      <c r="R259" s="318"/>
      <c r="S259" s="318"/>
      <c r="T259" s="318"/>
      <c r="U259" s="318"/>
      <c r="V259" s="318"/>
      <c r="W259" s="318"/>
      <c r="X259" s="318"/>
    </row>
    <row r="260" ht="15.75" customHeight="1">
      <c r="A260" s="318"/>
      <c r="B260" s="318"/>
      <c r="C260" s="318"/>
      <c r="D260" s="318"/>
      <c r="E260" s="318"/>
      <c r="F260" s="318"/>
      <c r="G260" s="318"/>
      <c r="H260" s="318"/>
      <c r="I260" s="318"/>
      <c r="J260" s="318"/>
      <c r="K260" s="318"/>
      <c r="L260" s="318"/>
      <c r="M260" s="318"/>
      <c r="N260" s="318"/>
      <c r="O260" s="318"/>
      <c r="P260" s="318"/>
      <c r="Q260" s="318"/>
      <c r="R260" s="318"/>
      <c r="S260" s="318"/>
      <c r="T260" s="318"/>
      <c r="U260" s="318"/>
      <c r="V260" s="318"/>
      <c r="W260" s="318"/>
      <c r="X260" s="318"/>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25"/>
    <col customWidth="1" min="2" max="2" width="92.0"/>
    <col customWidth="1" min="3" max="3" width="39.13"/>
    <col customWidth="1" min="4" max="5" width="31.63"/>
    <col customWidth="1" min="6" max="6" width="19.88"/>
  </cols>
  <sheetData>
    <row r="1" ht="15.75" customHeight="1">
      <c r="A1" s="318" t="s">
        <v>4258</v>
      </c>
      <c r="B1" s="318"/>
      <c r="C1" s="318"/>
      <c r="D1" s="318"/>
      <c r="E1" s="318"/>
      <c r="F1" s="318"/>
      <c r="G1" s="318"/>
      <c r="H1" s="318"/>
      <c r="I1" s="318"/>
      <c r="J1" s="318"/>
      <c r="K1" s="318"/>
      <c r="L1" s="318"/>
      <c r="M1" s="318"/>
      <c r="N1" s="318"/>
      <c r="O1" s="318"/>
      <c r="P1" s="318"/>
      <c r="Q1" s="318"/>
      <c r="R1" s="318"/>
      <c r="S1" s="318"/>
      <c r="T1" s="318"/>
      <c r="U1" s="318"/>
      <c r="V1" s="318"/>
      <c r="W1" s="318"/>
      <c r="X1" s="318"/>
      <c r="Y1" s="318"/>
      <c r="Z1" s="318"/>
    </row>
    <row r="2" ht="15.75" customHeight="1">
      <c r="A2" s="318"/>
      <c r="B2" s="318"/>
      <c r="C2" s="318"/>
      <c r="D2" s="318"/>
      <c r="E2" s="318"/>
      <c r="F2" s="318"/>
      <c r="G2" s="318"/>
      <c r="H2" s="318"/>
      <c r="I2" s="318"/>
      <c r="J2" s="318"/>
      <c r="K2" s="318"/>
      <c r="L2" s="318"/>
      <c r="M2" s="318"/>
      <c r="N2" s="318"/>
      <c r="O2" s="318"/>
      <c r="P2" s="318"/>
      <c r="Q2" s="318"/>
      <c r="R2" s="318"/>
      <c r="S2" s="318"/>
      <c r="T2" s="318"/>
      <c r="U2" s="318"/>
      <c r="V2" s="318"/>
      <c r="W2" s="318"/>
      <c r="X2" s="318"/>
      <c r="Y2" s="318"/>
      <c r="Z2" s="318"/>
    </row>
    <row r="3" ht="15.75" customHeight="1">
      <c r="A3" s="319" t="s">
        <v>4013</v>
      </c>
      <c r="B3" s="319" t="s">
        <v>4014</v>
      </c>
      <c r="C3" s="319" t="s">
        <v>4259</v>
      </c>
      <c r="D3" s="319" t="s">
        <v>4260</v>
      </c>
      <c r="E3" s="319" t="s">
        <v>4015</v>
      </c>
      <c r="F3" s="319" t="s">
        <v>4016</v>
      </c>
      <c r="G3" s="318"/>
      <c r="H3" s="318"/>
      <c r="I3" s="318"/>
      <c r="J3" s="318"/>
      <c r="K3" s="318"/>
      <c r="L3" s="318"/>
      <c r="M3" s="318"/>
      <c r="N3" s="318"/>
      <c r="O3" s="318"/>
      <c r="P3" s="318"/>
      <c r="Q3" s="318"/>
      <c r="R3" s="318"/>
      <c r="S3" s="318"/>
      <c r="T3" s="318"/>
      <c r="U3" s="318"/>
      <c r="V3" s="318"/>
      <c r="W3" s="318"/>
      <c r="X3" s="318"/>
      <c r="Y3" s="318"/>
      <c r="Z3" s="318"/>
    </row>
    <row r="4" ht="15.75" customHeight="1">
      <c r="A4" s="323" t="s">
        <v>4261</v>
      </c>
      <c r="B4" s="323" t="s">
        <v>4262</v>
      </c>
      <c r="C4" s="323"/>
      <c r="D4" s="323"/>
      <c r="E4" s="323" t="s">
        <v>4263</v>
      </c>
      <c r="F4" s="323"/>
      <c r="G4" s="323"/>
      <c r="H4" s="323"/>
      <c r="I4" s="323"/>
      <c r="J4" s="323"/>
      <c r="K4" s="323"/>
      <c r="L4" s="323"/>
      <c r="M4" s="323"/>
      <c r="N4" s="323"/>
      <c r="O4" s="323"/>
      <c r="P4" s="323"/>
      <c r="Q4" s="323"/>
      <c r="R4" s="323"/>
      <c r="S4" s="323"/>
      <c r="T4" s="323"/>
      <c r="U4" s="323"/>
      <c r="V4" s="323"/>
      <c r="W4" s="323"/>
      <c r="X4" s="323"/>
      <c r="Y4" s="323"/>
      <c r="Z4" s="323"/>
    </row>
    <row r="5" ht="15.75" customHeight="1">
      <c r="A5" s="323" t="s">
        <v>4264</v>
      </c>
      <c r="B5" s="323" t="s">
        <v>4265</v>
      </c>
      <c r="C5" s="323"/>
      <c r="D5" s="323"/>
      <c r="E5" s="323" t="s">
        <v>4266</v>
      </c>
      <c r="F5" s="323"/>
      <c r="G5" s="323"/>
      <c r="H5" s="323"/>
      <c r="I5" s="323"/>
      <c r="J5" s="323"/>
      <c r="K5" s="323"/>
      <c r="L5" s="323"/>
      <c r="M5" s="323"/>
      <c r="N5" s="323"/>
      <c r="O5" s="323"/>
      <c r="P5" s="323"/>
      <c r="Q5" s="323"/>
      <c r="R5" s="323"/>
      <c r="S5" s="323"/>
      <c r="T5" s="323"/>
      <c r="U5" s="323"/>
      <c r="V5" s="323"/>
      <c r="W5" s="323"/>
      <c r="X5" s="323"/>
      <c r="Y5" s="323"/>
      <c r="Z5" s="323"/>
    </row>
    <row r="6" ht="15.75" customHeight="1">
      <c r="A6" s="323" t="s">
        <v>4267</v>
      </c>
      <c r="B6" s="323" t="s">
        <v>4268</v>
      </c>
      <c r="C6" s="323"/>
      <c r="D6" s="323"/>
      <c r="E6" s="323" t="s">
        <v>4269</v>
      </c>
      <c r="F6" s="323"/>
      <c r="G6" s="323"/>
      <c r="H6" s="323"/>
      <c r="I6" s="323"/>
      <c r="J6" s="323"/>
      <c r="K6" s="323"/>
      <c r="L6" s="323"/>
      <c r="M6" s="323"/>
      <c r="N6" s="323"/>
      <c r="O6" s="323"/>
      <c r="P6" s="323"/>
      <c r="Q6" s="323"/>
      <c r="R6" s="323"/>
      <c r="S6" s="323"/>
      <c r="T6" s="323"/>
      <c r="U6" s="323"/>
      <c r="V6" s="323"/>
      <c r="W6" s="323"/>
      <c r="X6" s="323"/>
      <c r="Y6" s="323"/>
      <c r="Z6" s="323"/>
    </row>
    <row r="7" ht="15.75" customHeight="1">
      <c r="A7" s="323" t="s">
        <v>4270</v>
      </c>
      <c r="B7" s="323" t="s">
        <v>4271</v>
      </c>
      <c r="C7" s="323"/>
      <c r="D7" s="323"/>
      <c r="E7" s="323" t="s">
        <v>4272</v>
      </c>
      <c r="F7" s="323"/>
      <c r="G7" s="323"/>
      <c r="H7" s="323"/>
      <c r="I7" s="323"/>
      <c r="J7" s="323"/>
      <c r="K7" s="323"/>
      <c r="L7" s="323"/>
      <c r="M7" s="323"/>
      <c r="N7" s="323"/>
      <c r="O7" s="323"/>
      <c r="P7" s="323"/>
      <c r="Q7" s="323"/>
      <c r="R7" s="323"/>
      <c r="S7" s="323"/>
      <c r="T7" s="323"/>
      <c r="U7" s="323"/>
      <c r="V7" s="323"/>
      <c r="W7" s="323"/>
      <c r="X7" s="323"/>
      <c r="Y7" s="323"/>
      <c r="Z7" s="323"/>
    </row>
    <row r="8" ht="15.75" customHeight="1">
      <c r="A8" s="323" t="s">
        <v>4273</v>
      </c>
      <c r="B8" s="323" t="s">
        <v>4274</v>
      </c>
      <c r="C8" s="323"/>
      <c r="D8" s="323"/>
      <c r="E8" s="323" t="s">
        <v>4275</v>
      </c>
      <c r="F8" s="323"/>
      <c r="G8" s="323"/>
      <c r="H8" s="323"/>
      <c r="I8" s="323"/>
      <c r="J8" s="323"/>
      <c r="K8" s="323"/>
      <c r="L8" s="323"/>
      <c r="M8" s="323"/>
      <c r="N8" s="323"/>
      <c r="O8" s="323"/>
      <c r="P8" s="323"/>
      <c r="Q8" s="323"/>
      <c r="R8" s="323"/>
      <c r="S8" s="323"/>
      <c r="T8" s="323"/>
      <c r="U8" s="323"/>
      <c r="V8" s="323"/>
      <c r="W8" s="323"/>
      <c r="X8" s="323"/>
      <c r="Y8" s="323"/>
      <c r="Z8" s="323"/>
    </row>
    <row r="9" ht="15.75" customHeight="1">
      <c r="A9" s="323" t="s">
        <v>4276</v>
      </c>
      <c r="B9" s="323" t="s">
        <v>4277</v>
      </c>
      <c r="C9" s="323"/>
      <c r="D9" s="323"/>
      <c r="E9" s="323" t="s">
        <v>4278</v>
      </c>
      <c r="F9" s="323"/>
      <c r="G9" s="323"/>
      <c r="H9" s="323"/>
      <c r="I9" s="323"/>
      <c r="J9" s="323"/>
      <c r="K9" s="323"/>
      <c r="L9" s="323"/>
      <c r="M9" s="323"/>
      <c r="N9" s="323"/>
      <c r="O9" s="323"/>
      <c r="P9" s="323"/>
      <c r="Q9" s="323"/>
      <c r="R9" s="323"/>
      <c r="S9" s="323"/>
      <c r="T9" s="323"/>
      <c r="U9" s="323"/>
      <c r="V9" s="323"/>
      <c r="W9" s="323"/>
      <c r="X9" s="323"/>
      <c r="Y9" s="323"/>
      <c r="Z9" s="323"/>
    </row>
    <row r="10" ht="15.75" customHeight="1">
      <c r="A10" s="323" t="s">
        <v>4279</v>
      </c>
      <c r="B10" s="323" t="s">
        <v>4280</v>
      </c>
      <c r="C10" s="323"/>
      <c r="D10" s="323"/>
      <c r="E10" s="323" t="s">
        <v>4281</v>
      </c>
      <c r="F10" s="323"/>
      <c r="G10" s="323"/>
      <c r="H10" s="323"/>
      <c r="I10" s="323"/>
      <c r="J10" s="323"/>
      <c r="K10" s="323"/>
      <c r="L10" s="323"/>
      <c r="M10" s="323"/>
      <c r="N10" s="323"/>
      <c r="O10" s="323"/>
      <c r="P10" s="323"/>
      <c r="Q10" s="323"/>
      <c r="R10" s="323"/>
      <c r="S10" s="323"/>
      <c r="T10" s="323"/>
      <c r="U10" s="323"/>
      <c r="V10" s="323"/>
      <c r="W10" s="323"/>
      <c r="X10" s="323"/>
      <c r="Y10" s="323"/>
      <c r="Z10" s="323"/>
    </row>
    <row r="11" ht="15.75" customHeight="1">
      <c r="A11" s="181"/>
      <c r="B11" s="181"/>
      <c r="C11" s="181"/>
      <c r="D11" s="318"/>
      <c r="E11" s="318"/>
      <c r="F11" s="318"/>
      <c r="G11" s="318"/>
      <c r="H11" s="318"/>
      <c r="I11" s="318"/>
      <c r="J11" s="318"/>
      <c r="K11" s="318"/>
      <c r="L11" s="318"/>
      <c r="M11" s="318"/>
      <c r="N11" s="318"/>
      <c r="O11" s="318"/>
      <c r="P11" s="318"/>
      <c r="Q11" s="318"/>
      <c r="R11" s="318"/>
      <c r="S11" s="318"/>
      <c r="T11" s="318"/>
      <c r="U11" s="318"/>
      <c r="V11" s="318"/>
      <c r="W11" s="318"/>
      <c r="X11" s="318"/>
      <c r="Y11" s="318"/>
      <c r="Z11" s="318"/>
    </row>
    <row r="12" ht="15.75" customHeight="1">
      <c r="A12" s="181"/>
      <c r="B12" s="181"/>
      <c r="C12" s="181"/>
      <c r="D12" s="318"/>
      <c r="E12" s="318"/>
      <c r="F12" s="318"/>
      <c r="G12" s="318"/>
      <c r="H12" s="318"/>
      <c r="I12" s="318"/>
      <c r="J12" s="318"/>
      <c r="K12" s="318"/>
      <c r="L12" s="318"/>
      <c r="M12" s="318"/>
      <c r="N12" s="318"/>
      <c r="O12" s="318"/>
      <c r="P12" s="318"/>
      <c r="Q12" s="318"/>
      <c r="R12" s="318"/>
      <c r="S12" s="318"/>
      <c r="T12" s="318"/>
      <c r="U12" s="318"/>
      <c r="V12" s="318"/>
      <c r="W12" s="318"/>
      <c r="X12" s="318"/>
      <c r="Y12" s="318"/>
      <c r="Z12" s="318"/>
    </row>
    <row r="13" ht="15.75" customHeight="1">
      <c r="A13" s="181"/>
      <c r="B13" s="181"/>
      <c r="C13" s="181"/>
      <c r="D13" s="318"/>
      <c r="E13" s="318"/>
      <c r="F13" s="318"/>
      <c r="G13" s="318"/>
      <c r="H13" s="318"/>
      <c r="I13" s="318"/>
      <c r="J13" s="318"/>
      <c r="K13" s="318"/>
      <c r="L13" s="318"/>
      <c r="M13" s="318"/>
      <c r="N13" s="318"/>
      <c r="O13" s="318"/>
      <c r="P13" s="318"/>
      <c r="Q13" s="318"/>
      <c r="R13" s="318"/>
      <c r="S13" s="318"/>
      <c r="T13" s="318"/>
      <c r="U13" s="318"/>
      <c r="V13" s="318"/>
      <c r="W13" s="318"/>
      <c r="X13" s="318"/>
      <c r="Y13" s="318"/>
      <c r="Z13" s="318"/>
    </row>
    <row r="14" ht="15.75" customHeight="1">
      <c r="A14" s="181"/>
      <c r="B14" s="181"/>
      <c r="C14" s="181"/>
      <c r="D14" s="318"/>
      <c r="E14" s="318"/>
      <c r="F14" s="318"/>
      <c r="G14" s="318"/>
      <c r="H14" s="318"/>
      <c r="I14" s="318"/>
      <c r="J14" s="318"/>
      <c r="K14" s="318"/>
      <c r="L14" s="318"/>
      <c r="M14" s="318"/>
      <c r="N14" s="318"/>
      <c r="O14" s="318"/>
      <c r="P14" s="318"/>
      <c r="Q14" s="318"/>
      <c r="R14" s="318"/>
      <c r="S14" s="318"/>
      <c r="T14" s="318"/>
      <c r="U14" s="318"/>
      <c r="V14" s="318"/>
      <c r="W14" s="318"/>
      <c r="X14" s="318"/>
      <c r="Y14" s="318"/>
      <c r="Z14" s="318"/>
    </row>
    <row r="15" ht="15.75" customHeight="1">
      <c r="A15" s="181"/>
      <c r="B15" s="181"/>
      <c r="C15" s="181"/>
      <c r="D15" s="318"/>
      <c r="E15" s="318"/>
      <c r="F15" s="318"/>
      <c r="G15" s="318"/>
      <c r="H15" s="318"/>
      <c r="I15" s="318"/>
      <c r="J15" s="318"/>
      <c r="K15" s="318"/>
      <c r="L15" s="318"/>
      <c r="M15" s="318"/>
      <c r="N15" s="318"/>
      <c r="O15" s="318"/>
      <c r="P15" s="318"/>
      <c r="Q15" s="318"/>
      <c r="R15" s="318"/>
      <c r="S15" s="318"/>
      <c r="T15" s="318"/>
      <c r="U15" s="318"/>
      <c r="V15" s="318"/>
      <c r="W15" s="318"/>
      <c r="X15" s="318"/>
      <c r="Y15" s="318"/>
      <c r="Z15" s="318"/>
    </row>
    <row r="16" ht="15.75" customHeight="1">
      <c r="A16" s="181"/>
      <c r="B16" s="181"/>
      <c r="C16" s="181"/>
      <c r="D16" s="318"/>
      <c r="E16" s="318"/>
      <c r="F16" s="318"/>
      <c r="G16" s="318"/>
      <c r="H16" s="318"/>
      <c r="I16" s="318"/>
      <c r="J16" s="318"/>
      <c r="K16" s="318"/>
      <c r="L16" s="318"/>
      <c r="M16" s="318"/>
      <c r="N16" s="318"/>
      <c r="O16" s="318"/>
      <c r="P16" s="318"/>
      <c r="Q16" s="318"/>
      <c r="R16" s="318"/>
      <c r="S16" s="318"/>
      <c r="T16" s="318"/>
      <c r="U16" s="318"/>
      <c r="V16" s="318"/>
      <c r="W16" s="318"/>
      <c r="X16" s="318"/>
      <c r="Y16" s="318"/>
      <c r="Z16" s="318"/>
    </row>
    <row r="17" ht="15.75" customHeight="1">
      <c r="A17" s="181"/>
      <c r="B17" s="181"/>
      <c r="C17" s="181"/>
      <c r="D17" s="318"/>
      <c r="E17" s="318"/>
      <c r="F17" s="318"/>
      <c r="G17" s="318"/>
      <c r="H17" s="318"/>
      <c r="I17" s="318"/>
      <c r="J17" s="318"/>
      <c r="K17" s="318"/>
      <c r="L17" s="318"/>
      <c r="M17" s="318"/>
      <c r="N17" s="318"/>
      <c r="O17" s="318"/>
      <c r="P17" s="318"/>
      <c r="Q17" s="318"/>
      <c r="R17" s="318"/>
      <c r="S17" s="318"/>
      <c r="T17" s="318"/>
      <c r="U17" s="318"/>
      <c r="V17" s="318"/>
      <c r="W17" s="318"/>
      <c r="X17" s="318"/>
      <c r="Y17" s="318"/>
      <c r="Z17" s="318"/>
    </row>
    <row r="18" ht="15.75" customHeight="1">
      <c r="A18" s="181"/>
      <c r="B18" s="181"/>
      <c r="C18" s="181"/>
      <c r="D18" s="318"/>
      <c r="E18" s="318"/>
      <c r="F18" s="318"/>
      <c r="G18" s="318"/>
      <c r="H18" s="318"/>
      <c r="I18" s="318"/>
      <c r="J18" s="318"/>
      <c r="K18" s="318"/>
      <c r="L18" s="318"/>
      <c r="M18" s="318"/>
      <c r="N18" s="318"/>
      <c r="O18" s="318"/>
      <c r="P18" s="318"/>
      <c r="Q18" s="318"/>
      <c r="R18" s="318"/>
      <c r="S18" s="318"/>
      <c r="T18" s="318"/>
      <c r="U18" s="318"/>
      <c r="V18" s="318"/>
      <c r="W18" s="318"/>
      <c r="X18" s="318"/>
      <c r="Y18" s="318"/>
      <c r="Z18" s="318"/>
    </row>
    <row r="19" ht="15.75" customHeight="1">
      <c r="A19" s="181"/>
      <c r="B19" s="181"/>
      <c r="C19" s="181"/>
      <c r="D19" s="318"/>
      <c r="E19" s="318"/>
      <c r="F19" s="318"/>
      <c r="G19" s="318"/>
      <c r="H19" s="318"/>
      <c r="I19" s="318"/>
      <c r="J19" s="318"/>
      <c r="K19" s="318"/>
      <c r="L19" s="318"/>
      <c r="M19" s="318"/>
      <c r="N19" s="318"/>
      <c r="O19" s="318"/>
      <c r="P19" s="318"/>
      <c r="Q19" s="318"/>
      <c r="R19" s="318"/>
      <c r="S19" s="318"/>
      <c r="T19" s="318"/>
      <c r="U19" s="318"/>
      <c r="V19" s="318"/>
      <c r="W19" s="318"/>
      <c r="X19" s="318"/>
      <c r="Y19" s="318"/>
      <c r="Z19" s="318"/>
    </row>
    <row r="20" ht="15.75" customHeight="1">
      <c r="A20" s="181"/>
      <c r="B20" s="181"/>
      <c r="C20" s="181"/>
      <c r="D20" s="318"/>
      <c r="E20" s="318"/>
      <c r="F20" s="318"/>
      <c r="G20" s="318"/>
      <c r="H20" s="318"/>
      <c r="I20" s="318"/>
      <c r="J20" s="318"/>
      <c r="K20" s="318"/>
      <c r="L20" s="318"/>
      <c r="M20" s="318"/>
      <c r="N20" s="318"/>
      <c r="O20" s="318"/>
      <c r="P20" s="318"/>
      <c r="Q20" s="318"/>
      <c r="R20" s="318"/>
      <c r="S20" s="318"/>
      <c r="T20" s="318"/>
      <c r="U20" s="318"/>
      <c r="V20" s="318"/>
      <c r="W20" s="318"/>
      <c r="X20" s="318"/>
      <c r="Y20" s="318"/>
      <c r="Z20" s="318"/>
    </row>
    <row r="21" ht="15.75" customHeight="1">
      <c r="A21" s="181"/>
      <c r="B21" s="181"/>
      <c r="C21" s="181"/>
      <c r="D21" s="318"/>
      <c r="E21" s="318"/>
      <c r="F21" s="318"/>
      <c r="G21" s="318"/>
      <c r="H21" s="318"/>
      <c r="I21" s="318"/>
      <c r="J21" s="318"/>
      <c r="K21" s="318"/>
      <c r="L21" s="318"/>
      <c r="M21" s="318"/>
      <c r="N21" s="318"/>
      <c r="O21" s="318"/>
      <c r="P21" s="318"/>
      <c r="Q21" s="318"/>
      <c r="R21" s="318"/>
      <c r="S21" s="318"/>
      <c r="T21" s="318"/>
      <c r="U21" s="318"/>
      <c r="V21" s="318"/>
      <c r="W21" s="318"/>
      <c r="X21" s="318"/>
      <c r="Y21" s="318"/>
      <c r="Z21" s="318"/>
    </row>
    <row r="22" ht="15.75" customHeight="1">
      <c r="A22" s="320"/>
      <c r="B22" s="320"/>
      <c r="C22" s="318"/>
      <c r="D22" s="318"/>
      <c r="E22" s="318"/>
      <c r="F22" s="318"/>
      <c r="G22" s="318"/>
      <c r="H22" s="318"/>
      <c r="I22" s="318"/>
      <c r="J22" s="318"/>
      <c r="K22" s="318"/>
      <c r="L22" s="318"/>
      <c r="M22" s="318"/>
      <c r="N22" s="318"/>
      <c r="O22" s="318"/>
      <c r="P22" s="318"/>
      <c r="Q22" s="318"/>
      <c r="R22" s="318"/>
      <c r="S22" s="318"/>
      <c r="T22" s="318"/>
      <c r="U22" s="318"/>
      <c r="V22" s="318"/>
      <c r="W22" s="318"/>
      <c r="X22" s="318"/>
      <c r="Y22" s="318"/>
      <c r="Z22" s="318"/>
    </row>
    <row r="23" ht="15.75" customHeight="1">
      <c r="A23" s="320"/>
      <c r="B23" s="320"/>
      <c r="C23" s="318"/>
      <c r="D23" s="318"/>
      <c r="E23" s="318"/>
      <c r="F23" s="318"/>
      <c r="G23" s="318"/>
      <c r="H23" s="318"/>
      <c r="I23" s="318"/>
      <c r="J23" s="318"/>
      <c r="K23" s="318"/>
      <c r="L23" s="318"/>
      <c r="M23" s="318"/>
      <c r="N23" s="318"/>
      <c r="O23" s="318"/>
      <c r="P23" s="318"/>
      <c r="Q23" s="318"/>
      <c r="R23" s="318"/>
      <c r="S23" s="318"/>
      <c r="T23" s="318"/>
      <c r="U23" s="318"/>
      <c r="V23" s="318"/>
      <c r="W23" s="318"/>
      <c r="X23" s="318"/>
      <c r="Y23" s="318"/>
      <c r="Z23" s="318"/>
    </row>
    <row r="24" ht="15.75" customHeight="1">
      <c r="A24" s="320"/>
      <c r="B24" s="320"/>
      <c r="C24" s="318"/>
      <c r="D24" s="318"/>
      <c r="E24" s="318"/>
      <c r="F24" s="318"/>
      <c r="G24" s="318"/>
      <c r="H24" s="318"/>
      <c r="I24" s="318"/>
      <c r="J24" s="318"/>
      <c r="K24" s="318"/>
      <c r="L24" s="318"/>
      <c r="M24" s="318"/>
      <c r="N24" s="318"/>
      <c r="O24" s="318"/>
      <c r="P24" s="318"/>
      <c r="Q24" s="318"/>
      <c r="R24" s="318"/>
      <c r="S24" s="318"/>
      <c r="T24" s="318"/>
      <c r="U24" s="318"/>
      <c r="V24" s="318"/>
      <c r="W24" s="318"/>
      <c r="X24" s="318"/>
      <c r="Y24" s="318"/>
      <c r="Z24" s="318"/>
    </row>
    <row r="25" ht="15.75" customHeight="1">
      <c r="A25" s="320"/>
      <c r="B25" s="320"/>
      <c r="C25" s="318"/>
      <c r="D25" s="318"/>
      <c r="E25" s="318"/>
      <c r="F25" s="318"/>
      <c r="G25" s="318"/>
      <c r="H25" s="318"/>
      <c r="I25" s="318"/>
      <c r="J25" s="318"/>
      <c r="K25" s="318"/>
      <c r="L25" s="318"/>
      <c r="M25" s="318"/>
      <c r="N25" s="318"/>
      <c r="O25" s="318"/>
      <c r="P25" s="318"/>
      <c r="Q25" s="318"/>
      <c r="R25" s="318"/>
      <c r="S25" s="318"/>
      <c r="T25" s="318"/>
      <c r="U25" s="318"/>
      <c r="V25" s="318"/>
      <c r="W25" s="318"/>
      <c r="X25" s="318"/>
      <c r="Y25" s="318"/>
      <c r="Z25" s="318"/>
    </row>
    <row r="26" ht="15.75" customHeight="1">
      <c r="A26" s="320"/>
      <c r="B26" s="320"/>
      <c r="C26" s="318"/>
      <c r="D26" s="318"/>
      <c r="E26" s="318"/>
      <c r="F26" s="318"/>
      <c r="G26" s="318"/>
      <c r="H26" s="318"/>
      <c r="I26" s="318"/>
      <c r="J26" s="318"/>
      <c r="K26" s="318"/>
      <c r="L26" s="318"/>
      <c r="M26" s="318"/>
      <c r="N26" s="318"/>
      <c r="O26" s="318"/>
      <c r="P26" s="318"/>
      <c r="Q26" s="318"/>
      <c r="R26" s="318"/>
      <c r="S26" s="318"/>
      <c r="T26" s="318"/>
      <c r="U26" s="318"/>
      <c r="V26" s="318"/>
      <c r="W26" s="318"/>
      <c r="X26" s="318"/>
      <c r="Y26" s="318"/>
      <c r="Z26" s="318"/>
    </row>
    <row r="27" ht="15.75" customHeight="1">
      <c r="A27" s="320"/>
      <c r="B27" s="181"/>
      <c r="C27" s="318"/>
      <c r="D27" s="318"/>
      <c r="E27" s="320"/>
      <c r="F27" s="318"/>
      <c r="G27" s="318"/>
      <c r="H27" s="318"/>
      <c r="I27" s="318"/>
      <c r="J27" s="318"/>
      <c r="K27" s="318"/>
      <c r="L27" s="318"/>
      <c r="M27" s="318"/>
      <c r="N27" s="318"/>
      <c r="O27" s="318"/>
      <c r="P27" s="318"/>
      <c r="Q27" s="318"/>
      <c r="R27" s="318"/>
      <c r="S27" s="318"/>
      <c r="T27" s="318"/>
      <c r="U27" s="318"/>
      <c r="V27" s="318"/>
      <c r="W27" s="318"/>
      <c r="X27" s="318"/>
      <c r="Y27" s="318"/>
      <c r="Z27" s="318"/>
    </row>
    <row r="28" ht="15.75" customHeight="1">
      <c r="A28" s="318"/>
      <c r="B28" s="318"/>
      <c r="C28" s="318"/>
      <c r="D28" s="318"/>
      <c r="E28" s="318"/>
      <c r="F28" s="318"/>
      <c r="G28" s="318"/>
      <c r="H28" s="318"/>
      <c r="I28" s="318"/>
      <c r="J28" s="318"/>
      <c r="K28" s="318"/>
      <c r="L28" s="318"/>
      <c r="M28" s="318"/>
      <c r="N28" s="318"/>
      <c r="O28" s="318"/>
      <c r="P28" s="318"/>
      <c r="Q28" s="318"/>
      <c r="R28" s="318"/>
      <c r="S28" s="318"/>
      <c r="T28" s="318"/>
      <c r="U28" s="318"/>
      <c r="V28" s="318"/>
      <c r="W28" s="318"/>
      <c r="X28" s="318"/>
      <c r="Y28" s="318"/>
      <c r="Z28" s="318"/>
    </row>
    <row r="29" ht="15.75" customHeight="1">
      <c r="A29" s="318"/>
      <c r="B29" s="318"/>
      <c r="C29" s="318"/>
      <c r="D29" s="318"/>
      <c r="E29" s="318"/>
      <c r="F29" s="318"/>
      <c r="G29" s="318"/>
      <c r="H29" s="318"/>
      <c r="I29" s="318"/>
      <c r="J29" s="318"/>
      <c r="K29" s="318"/>
      <c r="L29" s="318"/>
      <c r="M29" s="318"/>
      <c r="N29" s="318"/>
      <c r="O29" s="318"/>
      <c r="P29" s="318"/>
      <c r="Q29" s="318"/>
      <c r="R29" s="318"/>
      <c r="S29" s="318"/>
      <c r="T29" s="318"/>
      <c r="U29" s="318"/>
      <c r="V29" s="318"/>
      <c r="W29" s="318"/>
      <c r="X29" s="318"/>
      <c r="Y29" s="318"/>
      <c r="Z29" s="318"/>
    </row>
    <row r="30" ht="15.75" customHeight="1">
      <c r="A30" s="318"/>
      <c r="B30" s="318"/>
      <c r="C30" s="318"/>
      <c r="D30" s="318"/>
      <c r="E30" s="318"/>
      <c r="F30" s="318"/>
      <c r="G30" s="318"/>
      <c r="H30" s="318"/>
      <c r="I30" s="318"/>
      <c r="J30" s="318"/>
      <c r="K30" s="318"/>
      <c r="L30" s="318"/>
      <c r="M30" s="318"/>
      <c r="N30" s="318"/>
      <c r="O30" s="318"/>
      <c r="P30" s="318"/>
      <c r="Q30" s="318"/>
      <c r="R30" s="318"/>
      <c r="S30" s="318"/>
      <c r="T30" s="318"/>
      <c r="U30" s="318"/>
      <c r="V30" s="318"/>
      <c r="W30" s="318"/>
      <c r="X30" s="318"/>
      <c r="Y30" s="318"/>
      <c r="Z30" s="318"/>
    </row>
    <row r="31" ht="15.75" customHeight="1">
      <c r="A31" s="318"/>
      <c r="C31" s="318"/>
      <c r="D31" s="318"/>
      <c r="E31" s="318"/>
      <c r="F31" s="318"/>
      <c r="G31" s="318"/>
      <c r="H31" s="318"/>
      <c r="I31" s="318"/>
      <c r="J31" s="318"/>
      <c r="K31" s="318"/>
      <c r="L31" s="318"/>
      <c r="M31" s="318"/>
      <c r="N31" s="318"/>
      <c r="O31" s="318"/>
      <c r="P31" s="318"/>
      <c r="Q31" s="318"/>
      <c r="R31" s="318"/>
      <c r="S31" s="318"/>
      <c r="T31" s="318"/>
      <c r="U31" s="318"/>
      <c r="V31" s="318"/>
      <c r="W31" s="318"/>
      <c r="X31" s="318"/>
      <c r="Y31" s="318"/>
      <c r="Z31" s="318"/>
    </row>
    <row r="32" ht="15.75" customHeight="1">
      <c r="A32" s="325"/>
      <c r="B32" s="318"/>
      <c r="C32" s="318"/>
      <c r="D32" s="318"/>
      <c r="E32" s="318"/>
      <c r="F32" s="318"/>
      <c r="G32" s="318"/>
      <c r="H32" s="318"/>
      <c r="I32" s="318"/>
      <c r="J32" s="318"/>
      <c r="K32" s="318"/>
      <c r="L32" s="318"/>
      <c r="M32" s="318"/>
      <c r="N32" s="318"/>
      <c r="O32" s="318"/>
      <c r="P32" s="318"/>
      <c r="Q32" s="318"/>
      <c r="R32" s="318"/>
      <c r="S32" s="318"/>
      <c r="T32" s="318"/>
      <c r="U32" s="318"/>
      <c r="V32" s="318"/>
      <c r="W32" s="318"/>
      <c r="X32" s="318"/>
      <c r="Y32" s="318"/>
      <c r="Z32" s="318"/>
    </row>
    <row r="33" ht="15.75" customHeight="1">
      <c r="A33" s="318"/>
      <c r="B33" s="318"/>
      <c r="C33" s="318"/>
      <c r="D33" s="318"/>
      <c r="E33" s="318"/>
      <c r="F33" s="318"/>
      <c r="G33" s="318"/>
      <c r="H33" s="318"/>
      <c r="I33" s="318"/>
      <c r="J33" s="318"/>
      <c r="K33" s="318"/>
      <c r="L33" s="318"/>
      <c r="M33" s="318"/>
      <c r="N33" s="318"/>
      <c r="O33" s="318"/>
      <c r="P33" s="318"/>
      <c r="Q33" s="318"/>
      <c r="R33" s="318"/>
      <c r="S33" s="318"/>
      <c r="T33" s="318"/>
      <c r="U33" s="318"/>
      <c r="V33" s="318"/>
      <c r="W33" s="318"/>
      <c r="X33" s="318"/>
      <c r="Y33" s="318"/>
      <c r="Z33" s="318"/>
    </row>
    <row r="34" ht="15.75" customHeight="1">
      <c r="A34" s="318"/>
      <c r="B34" s="318"/>
      <c r="C34" s="318"/>
      <c r="D34" s="318"/>
      <c r="E34" s="318"/>
      <c r="F34" s="318"/>
      <c r="G34" s="318"/>
      <c r="H34" s="318"/>
      <c r="I34" s="318"/>
      <c r="J34" s="318"/>
      <c r="K34" s="318"/>
      <c r="L34" s="318"/>
      <c r="M34" s="318"/>
      <c r="N34" s="318"/>
      <c r="O34" s="318"/>
      <c r="P34" s="318"/>
      <c r="Q34" s="318"/>
      <c r="R34" s="318"/>
      <c r="S34" s="318"/>
      <c r="T34" s="318"/>
      <c r="U34" s="318"/>
      <c r="V34" s="318"/>
      <c r="W34" s="318"/>
      <c r="X34" s="318"/>
      <c r="Y34" s="318"/>
      <c r="Z34" s="318"/>
    </row>
    <row r="35" ht="15.75" customHeight="1">
      <c r="A35" s="318"/>
      <c r="B35" s="318"/>
      <c r="C35" s="318"/>
      <c r="D35" s="318"/>
      <c r="E35" s="318"/>
      <c r="F35" s="318"/>
      <c r="G35" s="318"/>
      <c r="H35" s="318"/>
      <c r="I35" s="318"/>
      <c r="J35" s="318"/>
      <c r="K35" s="318"/>
      <c r="L35" s="318"/>
      <c r="M35" s="318"/>
      <c r="N35" s="318"/>
      <c r="O35" s="318"/>
      <c r="P35" s="318"/>
      <c r="Q35" s="318"/>
      <c r="R35" s="318"/>
      <c r="S35" s="318"/>
      <c r="T35" s="318"/>
      <c r="U35" s="318"/>
      <c r="V35" s="318"/>
      <c r="W35" s="318"/>
      <c r="X35" s="318"/>
      <c r="Y35" s="318"/>
      <c r="Z35" s="318"/>
    </row>
    <row r="36" ht="15.75" customHeight="1">
      <c r="A36" s="318"/>
      <c r="B36" s="318"/>
      <c r="C36" s="318"/>
      <c r="D36" s="318"/>
      <c r="E36" s="318"/>
      <c r="F36" s="318"/>
      <c r="G36" s="318"/>
      <c r="H36" s="318"/>
      <c r="I36" s="318"/>
      <c r="J36" s="318"/>
      <c r="K36" s="318"/>
      <c r="L36" s="318"/>
      <c r="M36" s="318"/>
      <c r="N36" s="318"/>
      <c r="O36" s="318"/>
      <c r="P36" s="318"/>
      <c r="Q36" s="318"/>
      <c r="R36" s="318"/>
      <c r="S36" s="318"/>
      <c r="T36" s="318"/>
      <c r="U36" s="318"/>
      <c r="V36" s="318"/>
      <c r="W36" s="318"/>
      <c r="X36" s="318"/>
      <c r="Y36" s="318"/>
      <c r="Z36" s="318"/>
    </row>
    <row r="37" ht="15.75" customHeight="1">
      <c r="A37" s="318"/>
      <c r="B37" s="318"/>
      <c r="C37" s="318"/>
      <c r="D37" s="318"/>
      <c r="E37" s="318"/>
      <c r="F37" s="318"/>
      <c r="G37" s="318"/>
      <c r="H37" s="318"/>
      <c r="I37" s="318"/>
      <c r="J37" s="318"/>
      <c r="K37" s="318"/>
      <c r="L37" s="318"/>
      <c r="M37" s="318"/>
      <c r="N37" s="318"/>
      <c r="O37" s="318"/>
      <c r="P37" s="318"/>
      <c r="Q37" s="318"/>
      <c r="R37" s="318"/>
      <c r="S37" s="318"/>
      <c r="T37" s="318"/>
      <c r="U37" s="318"/>
      <c r="V37" s="318"/>
      <c r="W37" s="318"/>
      <c r="X37" s="318"/>
      <c r="Y37" s="318"/>
      <c r="Z37" s="318"/>
    </row>
    <row r="38" ht="15.75" customHeight="1">
      <c r="A38" s="318"/>
      <c r="B38" s="318"/>
      <c r="C38" s="318"/>
      <c r="D38" s="318"/>
      <c r="E38" s="318"/>
      <c r="F38" s="318"/>
      <c r="G38" s="318"/>
      <c r="H38" s="318"/>
      <c r="I38" s="318"/>
      <c r="J38" s="318"/>
      <c r="K38" s="318"/>
      <c r="L38" s="318"/>
      <c r="M38" s="318"/>
      <c r="N38" s="318"/>
      <c r="O38" s="318"/>
      <c r="P38" s="318"/>
      <c r="Q38" s="318"/>
      <c r="R38" s="318"/>
      <c r="S38" s="318"/>
      <c r="T38" s="318"/>
      <c r="U38" s="318"/>
      <c r="V38" s="318"/>
      <c r="W38" s="318"/>
      <c r="X38" s="318"/>
      <c r="Y38" s="318"/>
      <c r="Z38" s="318"/>
    </row>
    <row r="39" ht="15.75" customHeight="1">
      <c r="A39" s="318"/>
      <c r="B39" s="318"/>
      <c r="C39" s="318"/>
      <c r="D39" s="318"/>
      <c r="E39" s="318"/>
      <c r="F39" s="318"/>
      <c r="G39" s="318"/>
      <c r="H39" s="318"/>
      <c r="I39" s="318"/>
      <c r="J39" s="318"/>
      <c r="K39" s="318"/>
      <c r="L39" s="318"/>
      <c r="M39" s="318"/>
      <c r="N39" s="318"/>
      <c r="O39" s="318"/>
      <c r="P39" s="318"/>
      <c r="Q39" s="318"/>
      <c r="R39" s="318"/>
      <c r="S39" s="318"/>
      <c r="T39" s="318"/>
      <c r="U39" s="318"/>
      <c r="V39" s="318"/>
      <c r="W39" s="318"/>
      <c r="X39" s="318"/>
      <c r="Y39" s="318"/>
      <c r="Z39" s="318"/>
    </row>
    <row r="40" ht="15.75" customHeight="1">
      <c r="A40" s="318"/>
      <c r="B40" s="318"/>
      <c r="C40" s="318"/>
      <c r="D40" s="318"/>
      <c r="E40" s="318"/>
      <c r="F40" s="318"/>
      <c r="G40" s="318"/>
      <c r="H40" s="318"/>
      <c r="I40" s="318"/>
      <c r="J40" s="318"/>
      <c r="K40" s="318"/>
      <c r="L40" s="318"/>
      <c r="M40" s="318"/>
      <c r="N40" s="318"/>
      <c r="O40" s="318"/>
      <c r="P40" s="318"/>
      <c r="Q40" s="318"/>
      <c r="R40" s="318"/>
      <c r="S40" s="318"/>
      <c r="T40" s="318"/>
      <c r="U40" s="318"/>
      <c r="V40" s="318"/>
      <c r="W40" s="318"/>
      <c r="X40" s="318"/>
      <c r="Y40" s="318"/>
      <c r="Z40" s="318"/>
    </row>
    <row r="41" ht="15.75" customHeight="1">
      <c r="A41" s="318"/>
      <c r="B41" s="318"/>
      <c r="C41" s="318"/>
      <c r="D41" s="318"/>
      <c r="E41" s="318"/>
      <c r="F41" s="318"/>
      <c r="G41" s="318"/>
      <c r="H41" s="318"/>
      <c r="I41" s="318"/>
      <c r="J41" s="318"/>
      <c r="K41" s="318"/>
      <c r="L41" s="318"/>
      <c r="M41" s="318"/>
      <c r="N41" s="318"/>
      <c r="O41" s="318"/>
      <c r="P41" s="318"/>
      <c r="Q41" s="318"/>
      <c r="R41" s="318"/>
      <c r="S41" s="318"/>
      <c r="T41" s="318"/>
      <c r="U41" s="318"/>
      <c r="V41" s="318"/>
      <c r="W41" s="318"/>
      <c r="X41" s="318"/>
      <c r="Y41" s="318"/>
      <c r="Z41" s="318"/>
    </row>
    <row r="42" ht="15.75" customHeight="1">
      <c r="A42" s="318"/>
      <c r="B42" s="318"/>
      <c r="C42" s="318"/>
      <c r="D42" s="318"/>
      <c r="E42" s="318"/>
      <c r="F42" s="318"/>
      <c r="G42" s="318"/>
      <c r="H42" s="318"/>
      <c r="I42" s="318"/>
      <c r="J42" s="318"/>
      <c r="K42" s="318"/>
      <c r="L42" s="318"/>
      <c r="M42" s="318"/>
      <c r="N42" s="318"/>
      <c r="O42" s="318"/>
      <c r="P42" s="318"/>
      <c r="Q42" s="318"/>
      <c r="R42" s="318"/>
      <c r="S42" s="318"/>
      <c r="T42" s="318"/>
      <c r="U42" s="318"/>
      <c r="V42" s="318"/>
      <c r="W42" s="318"/>
      <c r="X42" s="318"/>
      <c r="Y42" s="318"/>
      <c r="Z42" s="318"/>
    </row>
    <row r="43" ht="15.75" customHeight="1">
      <c r="A43" s="318"/>
      <c r="B43" s="318"/>
      <c r="C43" s="318"/>
      <c r="D43" s="318"/>
      <c r="E43" s="318"/>
      <c r="F43" s="318"/>
      <c r="G43" s="318"/>
      <c r="H43" s="318"/>
      <c r="I43" s="318"/>
      <c r="J43" s="318"/>
      <c r="K43" s="318"/>
      <c r="L43" s="318"/>
      <c r="M43" s="318"/>
      <c r="N43" s="318"/>
      <c r="O43" s="318"/>
      <c r="P43" s="318"/>
      <c r="Q43" s="318"/>
      <c r="R43" s="318"/>
      <c r="S43" s="318"/>
      <c r="T43" s="318"/>
      <c r="U43" s="318"/>
      <c r="V43" s="318"/>
      <c r="W43" s="318"/>
      <c r="X43" s="318"/>
      <c r="Y43" s="318"/>
      <c r="Z43" s="318"/>
    </row>
    <row r="44" ht="15.75" customHeight="1">
      <c r="A44" s="318"/>
      <c r="B44" s="318"/>
      <c r="C44" s="318"/>
      <c r="D44" s="318"/>
      <c r="E44" s="318"/>
      <c r="F44" s="318"/>
      <c r="G44" s="318"/>
      <c r="H44" s="318"/>
      <c r="I44" s="318"/>
      <c r="J44" s="318"/>
      <c r="K44" s="318"/>
      <c r="L44" s="318"/>
      <c r="M44" s="318"/>
      <c r="N44" s="318"/>
      <c r="O44" s="318"/>
      <c r="P44" s="318"/>
      <c r="Q44" s="318"/>
      <c r="R44" s="318"/>
      <c r="S44" s="318"/>
      <c r="T44" s="318"/>
      <c r="U44" s="318"/>
      <c r="V44" s="318"/>
      <c r="W44" s="318"/>
      <c r="X44" s="318"/>
      <c r="Y44" s="318"/>
      <c r="Z44" s="318"/>
    </row>
    <row r="45" ht="15.75" customHeight="1">
      <c r="A45" s="318"/>
      <c r="B45" s="318"/>
      <c r="C45" s="318"/>
      <c r="D45" s="318"/>
      <c r="E45" s="318"/>
      <c r="F45" s="318"/>
      <c r="G45" s="318"/>
      <c r="H45" s="318"/>
      <c r="I45" s="318"/>
      <c r="J45" s="318"/>
      <c r="K45" s="318"/>
      <c r="L45" s="318"/>
      <c r="M45" s="318"/>
      <c r="N45" s="318"/>
      <c r="O45" s="318"/>
      <c r="P45" s="318"/>
      <c r="Q45" s="318"/>
      <c r="R45" s="318"/>
      <c r="S45" s="318"/>
      <c r="T45" s="318"/>
      <c r="U45" s="318"/>
      <c r="V45" s="318"/>
      <c r="W45" s="318"/>
      <c r="X45" s="318"/>
      <c r="Y45" s="318"/>
      <c r="Z45" s="318"/>
    </row>
    <row r="46" ht="15.75" customHeight="1">
      <c r="A46" s="318"/>
      <c r="B46" s="318"/>
      <c r="C46" s="318"/>
      <c r="D46" s="318"/>
      <c r="E46" s="318"/>
      <c r="F46" s="318"/>
      <c r="G46" s="318"/>
      <c r="H46" s="318"/>
      <c r="I46" s="318"/>
      <c r="J46" s="318"/>
      <c r="K46" s="318"/>
      <c r="L46" s="318"/>
      <c r="M46" s="318"/>
      <c r="N46" s="318"/>
      <c r="O46" s="318"/>
      <c r="P46" s="318"/>
      <c r="Q46" s="318"/>
      <c r="R46" s="318"/>
      <c r="S46" s="318"/>
      <c r="T46" s="318"/>
      <c r="U46" s="318"/>
      <c r="V46" s="318"/>
      <c r="W46" s="318"/>
      <c r="X46" s="318"/>
      <c r="Y46" s="318"/>
      <c r="Z46" s="318"/>
    </row>
    <row r="47" ht="15.75" customHeight="1">
      <c r="A47" s="318"/>
      <c r="B47" s="318"/>
      <c r="C47" s="318"/>
      <c r="D47" s="318"/>
      <c r="E47" s="318"/>
      <c r="F47" s="318"/>
      <c r="G47" s="318"/>
      <c r="H47" s="318"/>
      <c r="I47" s="318"/>
      <c r="J47" s="318"/>
      <c r="K47" s="318"/>
      <c r="L47" s="318"/>
      <c r="M47" s="318"/>
      <c r="N47" s="318"/>
      <c r="O47" s="318"/>
      <c r="P47" s="318"/>
      <c r="Q47" s="318"/>
      <c r="R47" s="318"/>
      <c r="S47" s="318"/>
      <c r="T47" s="318"/>
      <c r="U47" s="318"/>
      <c r="V47" s="318"/>
      <c r="W47" s="318"/>
      <c r="X47" s="318"/>
      <c r="Y47" s="318"/>
      <c r="Z47" s="318"/>
    </row>
    <row r="48" ht="15.75" customHeight="1">
      <c r="A48" s="318"/>
      <c r="B48" s="318"/>
      <c r="C48" s="318"/>
      <c r="D48" s="318"/>
      <c r="E48" s="318"/>
      <c r="F48" s="318"/>
      <c r="G48" s="318"/>
      <c r="H48" s="318"/>
      <c r="I48" s="318"/>
      <c r="J48" s="318"/>
      <c r="K48" s="318"/>
      <c r="L48" s="318"/>
      <c r="M48" s="318"/>
      <c r="N48" s="318"/>
      <c r="O48" s="318"/>
      <c r="P48" s="318"/>
      <c r="Q48" s="318"/>
      <c r="R48" s="318"/>
      <c r="S48" s="318"/>
      <c r="T48" s="318"/>
      <c r="U48" s="318"/>
      <c r="V48" s="318"/>
      <c r="W48" s="318"/>
      <c r="X48" s="318"/>
      <c r="Y48" s="318"/>
      <c r="Z48" s="318"/>
    </row>
    <row r="49" ht="15.75" customHeight="1">
      <c r="A49" s="318"/>
      <c r="B49" s="318"/>
      <c r="C49" s="318"/>
      <c r="D49" s="318"/>
      <c r="E49" s="318"/>
      <c r="F49" s="318"/>
      <c r="G49" s="318"/>
      <c r="H49" s="318"/>
      <c r="I49" s="318"/>
      <c r="J49" s="318"/>
      <c r="K49" s="318"/>
      <c r="L49" s="318"/>
      <c r="M49" s="318"/>
      <c r="N49" s="318"/>
      <c r="O49" s="318"/>
      <c r="P49" s="318"/>
      <c r="Q49" s="318"/>
      <c r="R49" s="318"/>
      <c r="S49" s="318"/>
      <c r="T49" s="318"/>
      <c r="U49" s="318"/>
      <c r="V49" s="318"/>
      <c r="W49" s="318"/>
      <c r="X49" s="318"/>
      <c r="Y49" s="318"/>
      <c r="Z49" s="318"/>
    </row>
    <row r="50" ht="15.75" customHeight="1">
      <c r="A50" s="318"/>
      <c r="B50" s="318"/>
      <c r="C50" s="318"/>
      <c r="D50" s="318"/>
      <c r="E50" s="318"/>
      <c r="F50" s="318"/>
      <c r="G50" s="318"/>
      <c r="H50" s="318"/>
      <c r="I50" s="318"/>
      <c r="J50" s="318"/>
      <c r="K50" s="318"/>
      <c r="L50" s="318"/>
      <c r="M50" s="318"/>
      <c r="N50" s="318"/>
      <c r="O50" s="318"/>
      <c r="P50" s="318"/>
      <c r="Q50" s="318"/>
      <c r="R50" s="318"/>
      <c r="S50" s="318"/>
      <c r="T50" s="318"/>
      <c r="U50" s="318"/>
      <c r="V50" s="318"/>
      <c r="W50" s="318"/>
      <c r="X50" s="318"/>
      <c r="Y50" s="318"/>
      <c r="Z50" s="318"/>
    </row>
    <row r="51" ht="15.75" customHeight="1">
      <c r="A51" s="318"/>
      <c r="B51" s="318"/>
      <c r="C51" s="318"/>
      <c r="D51" s="318"/>
      <c r="E51" s="318"/>
      <c r="F51" s="318"/>
      <c r="G51" s="318"/>
      <c r="H51" s="318"/>
      <c r="I51" s="318"/>
      <c r="J51" s="318"/>
      <c r="K51" s="318"/>
      <c r="L51" s="318"/>
      <c r="M51" s="318"/>
      <c r="N51" s="318"/>
      <c r="O51" s="318"/>
      <c r="P51" s="318"/>
      <c r="Q51" s="318"/>
      <c r="R51" s="318"/>
      <c r="S51" s="318"/>
      <c r="T51" s="318"/>
      <c r="U51" s="318"/>
      <c r="V51" s="318"/>
      <c r="W51" s="318"/>
      <c r="X51" s="318"/>
      <c r="Y51" s="318"/>
      <c r="Z51" s="318"/>
    </row>
    <row r="52" ht="15.75" customHeight="1">
      <c r="A52" s="318"/>
      <c r="B52" s="318"/>
      <c r="C52" s="318"/>
      <c r="D52" s="318"/>
      <c r="E52" s="318"/>
      <c r="F52" s="318"/>
      <c r="G52" s="318"/>
      <c r="H52" s="318"/>
      <c r="I52" s="318"/>
      <c r="J52" s="318"/>
      <c r="K52" s="318"/>
      <c r="L52" s="318"/>
      <c r="M52" s="318"/>
      <c r="N52" s="318"/>
      <c r="O52" s="318"/>
      <c r="P52" s="318"/>
      <c r="Q52" s="318"/>
      <c r="R52" s="318"/>
      <c r="S52" s="318"/>
      <c r="T52" s="318"/>
      <c r="U52" s="318"/>
      <c r="V52" s="318"/>
      <c r="W52" s="318"/>
      <c r="X52" s="318"/>
      <c r="Y52" s="318"/>
      <c r="Z52" s="318"/>
    </row>
    <row r="53" ht="15.75" customHeight="1">
      <c r="B53" s="318"/>
      <c r="C53" s="318"/>
      <c r="D53" s="318"/>
      <c r="E53" s="318"/>
      <c r="F53" s="318"/>
      <c r="G53" s="318"/>
      <c r="H53" s="318"/>
      <c r="I53" s="318"/>
      <c r="J53" s="318"/>
      <c r="K53" s="318"/>
      <c r="L53" s="318"/>
      <c r="M53" s="318"/>
      <c r="N53" s="318"/>
      <c r="O53" s="318"/>
      <c r="P53" s="318"/>
      <c r="Q53" s="318"/>
      <c r="R53" s="318"/>
      <c r="S53" s="318"/>
      <c r="T53" s="318"/>
      <c r="U53" s="318"/>
      <c r="V53" s="318"/>
      <c r="W53" s="318"/>
      <c r="X53" s="318"/>
      <c r="Y53" s="318"/>
      <c r="Z53" s="318"/>
    </row>
    <row r="54" ht="15.75" customHeight="1">
      <c r="A54" s="318"/>
      <c r="B54" s="318"/>
      <c r="C54" s="318"/>
      <c r="D54" s="318"/>
      <c r="E54" s="318"/>
      <c r="F54" s="318"/>
      <c r="G54" s="318"/>
      <c r="H54" s="318"/>
      <c r="I54" s="318"/>
      <c r="J54" s="318"/>
      <c r="K54" s="318"/>
      <c r="L54" s="318"/>
      <c r="M54" s="318"/>
      <c r="N54" s="318"/>
      <c r="O54" s="318"/>
      <c r="P54" s="318"/>
      <c r="Q54" s="318"/>
      <c r="R54" s="318"/>
      <c r="S54" s="318"/>
      <c r="T54" s="318"/>
      <c r="U54" s="318"/>
      <c r="V54" s="318"/>
      <c r="W54" s="318"/>
      <c r="X54" s="318"/>
      <c r="Y54" s="318"/>
      <c r="Z54" s="318"/>
    </row>
    <row r="55" ht="15.75" customHeight="1">
      <c r="A55" s="318"/>
      <c r="B55" s="318"/>
      <c r="C55" s="318"/>
      <c r="D55" s="318"/>
      <c r="E55" s="318"/>
      <c r="F55" s="318"/>
      <c r="G55" s="318"/>
      <c r="H55" s="318"/>
      <c r="I55" s="318"/>
      <c r="J55" s="318"/>
      <c r="K55" s="318"/>
      <c r="L55" s="318"/>
      <c r="M55" s="318"/>
      <c r="N55" s="318"/>
      <c r="O55" s="318"/>
      <c r="P55" s="318"/>
      <c r="Q55" s="318"/>
      <c r="R55" s="318"/>
      <c r="S55" s="318"/>
      <c r="T55" s="318"/>
      <c r="U55" s="318"/>
      <c r="V55" s="318"/>
      <c r="W55" s="318"/>
      <c r="X55" s="318"/>
      <c r="Y55" s="318"/>
      <c r="Z55" s="318"/>
    </row>
    <row r="56" ht="15.75" customHeight="1">
      <c r="A56" s="318"/>
      <c r="B56" s="318"/>
      <c r="C56" s="318"/>
      <c r="D56" s="318"/>
      <c r="E56" s="318"/>
      <c r="F56" s="318"/>
      <c r="G56" s="318"/>
      <c r="H56" s="318"/>
      <c r="I56" s="318"/>
      <c r="J56" s="318"/>
      <c r="K56" s="318"/>
      <c r="L56" s="318"/>
      <c r="M56" s="318"/>
      <c r="N56" s="318"/>
      <c r="O56" s="318"/>
      <c r="P56" s="318"/>
      <c r="Q56" s="318"/>
      <c r="R56" s="318"/>
      <c r="S56" s="318"/>
      <c r="T56" s="318"/>
      <c r="U56" s="318"/>
      <c r="V56" s="318"/>
      <c r="W56" s="318"/>
      <c r="X56" s="318"/>
      <c r="Y56" s="318"/>
      <c r="Z56" s="318"/>
    </row>
    <row r="57" ht="15.75" customHeight="1">
      <c r="A57" s="318"/>
      <c r="B57" s="318"/>
      <c r="C57" s="318"/>
      <c r="D57" s="318"/>
      <c r="E57" s="318"/>
      <c r="F57" s="318"/>
      <c r="G57" s="318"/>
      <c r="H57" s="318"/>
      <c r="I57" s="318"/>
      <c r="J57" s="318"/>
      <c r="K57" s="318"/>
      <c r="L57" s="318"/>
      <c r="M57" s="318"/>
      <c r="N57" s="318"/>
      <c r="O57" s="318"/>
      <c r="P57" s="318"/>
      <c r="Q57" s="318"/>
      <c r="R57" s="318"/>
      <c r="S57" s="318"/>
      <c r="T57" s="318"/>
      <c r="U57" s="318"/>
      <c r="V57" s="318"/>
      <c r="W57" s="318"/>
      <c r="X57" s="318"/>
      <c r="Y57" s="318"/>
      <c r="Z57" s="318"/>
    </row>
    <row r="58" ht="15.75" customHeight="1">
      <c r="A58" s="318"/>
      <c r="B58" s="318"/>
      <c r="C58" s="318"/>
      <c r="D58" s="318"/>
      <c r="E58" s="318"/>
      <c r="F58" s="318"/>
      <c r="G58" s="318"/>
      <c r="H58" s="318"/>
      <c r="I58" s="318"/>
      <c r="J58" s="318"/>
      <c r="K58" s="318"/>
      <c r="L58" s="318"/>
      <c r="M58" s="318"/>
      <c r="N58" s="318"/>
      <c r="O58" s="318"/>
      <c r="P58" s="318"/>
      <c r="Q58" s="318"/>
      <c r="R58" s="318"/>
      <c r="S58" s="318"/>
      <c r="T58" s="318"/>
      <c r="U58" s="318"/>
      <c r="V58" s="318"/>
      <c r="W58" s="318"/>
      <c r="X58" s="318"/>
      <c r="Y58" s="318"/>
      <c r="Z58" s="318"/>
    </row>
    <row r="59" ht="15.75" customHeight="1">
      <c r="A59" s="318"/>
      <c r="B59" s="318"/>
      <c r="C59" s="318"/>
      <c r="D59" s="318"/>
      <c r="E59" s="318"/>
      <c r="F59" s="318"/>
      <c r="G59" s="318"/>
      <c r="H59" s="318"/>
      <c r="I59" s="318"/>
      <c r="J59" s="318"/>
      <c r="K59" s="318"/>
      <c r="L59" s="318"/>
      <c r="M59" s="318"/>
      <c r="N59" s="318"/>
      <c r="O59" s="318"/>
      <c r="P59" s="318"/>
      <c r="Q59" s="318"/>
      <c r="R59" s="318"/>
      <c r="S59" s="318"/>
      <c r="T59" s="318"/>
      <c r="U59" s="318"/>
      <c r="V59" s="318"/>
      <c r="W59" s="318"/>
      <c r="X59" s="318"/>
      <c r="Y59" s="318"/>
      <c r="Z59" s="318"/>
    </row>
    <row r="60" ht="15.75" customHeight="1">
      <c r="A60" s="318"/>
      <c r="B60" s="318"/>
      <c r="C60" s="318"/>
      <c r="D60" s="318"/>
      <c r="E60" s="318"/>
      <c r="F60" s="318"/>
      <c r="G60" s="318"/>
      <c r="H60" s="318"/>
      <c r="I60" s="318"/>
      <c r="J60" s="318"/>
      <c r="K60" s="318"/>
      <c r="L60" s="318"/>
      <c r="M60" s="318"/>
      <c r="N60" s="318"/>
      <c r="O60" s="318"/>
      <c r="P60" s="318"/>
      <c r="Q60" s="318"/>
      <c r="R60" s="318"/>
      <c r="S60" s="318"/>
      <c r="T60" s="318"/>
      <c r="U60" s="318"/>
      <c r="V60" s="318"/>
      <c r="W60" s="318"/>
      <c r="X60" s="318"/>
      <c r="Y60" s="318"/>
      <c r="Z60" s="318"/>
    </row>
    <row r="61" ht="15.75" customHeight="1">
      <c r="A61" s="318"/>
      <c r="B61" s="318"/>
      <c r="C61" s="318"/>
      <c r="D61" s="318"/>
      <c r="E61" s="318"/>
      <c r="F61" s="318"/>
      <c r="G61" s="318"/>
      <c r="H61" s="318"/>
      <c r="I61" s="318"/>
      <c r="J61" s="318"/>
      <c r="K61" s="318"/>
      <c r="L61" s="318"/>
      <c r="M61" s="318"/>
      <c r="N61" s="318"/>
      <c r="O61" s="318"/>
      <c r="P61" s="318"/>
      <c r="Q61" s="318"/>
      <c r="R61" s="318"/>
      <c r="S61" s="318"/>
      <c r="T61" s="318"/>
      <c r="U61" s="318"/>
      <c r="V61" s="318"/>
      <c r="W61" s="318"/>
      <c r="X61" s="318"/>
      <c r="Y61" s="318"/>
      <c r="Z61" s="318"/>
    </row>
    <row r="62" ht="15.75" customHeight="1">
      <c r="A62" s="318"/>
      <c r="B62" s="318"/>
      <c r="C62" s="318"/>
      <c r="D62" s="318"/>
      <c r="E62" s="318"/>
      <c r="F62" s="318"/>
      <c r="G62" s="318"/>
      <c r="H62" s="318"/>
      <c r="I62" s="318"/>
      <c r="J62" s="318"/>
      <c r="K62" s="318"/>
      <c r="L62" s="318"/>
      <c r="M62" s="318"/>
      <c r="N62" s="318"/>
      <c r="O62" s="318"/>
      <c r="P62" s="318"/>
      <c r="Q62" s="318"/>
      <c r="R62" s="318"/>
      <c r="S62" s="318"/>
      <c r="T62" s="318"/>
      <c r="U62" s="318"/>
      <c r="V62" s="318"/>
      <c r="W62" s="318"/>
      <c r="X62" s="318"/>
      <c r="Y62" s="318"/>
      <c r="Z62" s="318"/>
    </row>
    <row r="63" ht="15.75" customHeight="1">
      <c r="A63" s="318"/>
      <c r="B63" s="318"/>
      <c r="C63" s="318"/>
      <c r="D63" s="318"/>
      <c r="E63" s="318"/>
      <c r="F63" s="318"/>
      <c r="G63" s="318"/>
      <c r="H63" s="318"/>
      <c r="I63" s="318"/>
      <c r="J63" s="318"/>
      <c r="K63" s="318"/>
      <c r="L63" s="318"/>
      <c r="M63" s="318"/>
      <c r="N63" s="318"/>
      <c r="O63" s="318"/>
      <c r="P63" s="318"/>
      <c r="Q63" s="318"/>
      <c r="R63" s="318"/>
      <c r="S63" s="318"/>
      <c r="T63" s="318"/>
      <c r="U63" s="318"/>
      <c r="V63" s="318"/>
      <c r="W63" s="318"/>
      <c r="X63" s="318"/>
      <c r="Y63" s="318"/>
      <c r="Z63" s="318"/>
    </row>
    <row r="64" ht="15.75" customHeight="1">
      <c r="A64" s="318"/>
      <c r="B64" s="318"/>
      <c r="C64" s="318"/>
      <c r="D64" s="318"/>
      <c r="E64" s="318"/>
      <c r="F64" s="318"/>
      <c r="G64" s="318"/>
      <c r="H64" s="318"/>
      <c r="I64" s="318"/>
      <c r="J64" s="318"/>
      <c r="K64" s="318"/>
      <c r="L64" s="318"/>
      <c r="M64" s="318"/>
      <c r="N64" s="318"/>
      <c r="O64" s="318"/>
      <c r="P64" s="318"/>
      <c r="Q64" s="318"/>
      <c r="R64" s="318"/>
      <c r="S64" s="318"/>
      <c r="T64" s="318"/>
      <c r="U64" s="318"/>
      <c r="V64" s="318"/>
      <c r="W64" s="318"/>
      <c r="X64" s="318"/>
      <c r="Y64" s="318"/>
      <c r="Z64" s="318"/>
    </row>
    <row r="65" ht="15.75" customHeight="1">
      <c r="A65" s="318"/>
      <c r="B65" s="318"/>
      <c r="C65" s="318"/>
      <c r="D65" s="318"/>
      <c r="E65" s="318"/>
      <c r="F65" s="318"/>
      <c r="G65" s="318"/>
      <c r="H65" s="318"/>
      <c r="I65" s="318"/>
      <c r="J65" s="318"/>
      <c r="K65" s="318"/>
      <c r="L65" s="318"/>
      <c r="M65" s="318"/>
      <c r="N65" s="318"/>
      <c r="O65" s="318"/>
      <c r="P65" s="318"/>
      <c r="Q65" s="318"/>
      <c r="R65" s="318"/>
      <c r="S65" s="318"/>
      <c r="T65" s="318"/>
      <c r="U65" s="318"/>
      <c r="V65" s="318"/>
      <c r="W65" s="318"/>
      <c r="X65" s="318"/>
      <c r="Y65" s="318"/>
      <c r="Z65" s="318"/>
    </row>
    <row r="66" ht="15.75" customHeight="1">
      <c r="A66" s="318"/>
      <c r="B66" s="318"/>
      <c r="C66" s="318"/>
      <c r="D66" s="318"/>
      <c r="E66" s="318"/>
      <c r="F66" s="318"/>
      <c r="G66" s="318"/>
      <c r="H66" s="318"/>
      <c r="I66" s="318"/>
      <c r="J66" s="318"/>
      <c r="K66" s="318"/>
      <c r="L66" s="318"/>
      <c r="M66" s="318"/>
      <c r="N66" s="318"/>
      <c r="O66" s="318"/>
      <c r="P66" s="318"/>
      <c r="Q66" s="318"/>
      <c r="R66" s="318"/>
      <c r="S66" s="318"/>
      <c r="T66" s="318"/>
      <c r="U66" s="318"/>
      <c r="V66" s="318"/>
      <c r="W66" s="318"/>
      <c r="X66" s="318"/>
      <c r="Y66" s="318"/>
      <c r="Z66" s="318"/>
    </row>
    <row r="67" ht="15.75" customHeight="1">
      <c r="A67" s="318"/>
      <c r="B67" s="318"/>
      <c r="C67" s="318"/>
      <c r="D67" s="318"/>
      <c r="E67" s="318"/>
      <c r="F67" s="318"/>
      <c r="G67" s="318"/>
      <c r="H67" s="318"/>
      <c r="I67" s="318"/>
      <c r="J67" s="318"/>
      <c r="K67" s="318"/>
      <c r="L67" s="318"/>
      <c r="M67" s="318"/>
      <c r="N67" s="318"/>
      <c r="O67" s="318"/>
      <c r="P67" s="318"/>
      <c r="Q67" s="318"/>
      <c r="R67" s="318"/>
      <c r="S67" s="318"/>
      <c r="T67" s="318"/>
      <c r="U67" s="318"/>
      <c r="V67" s="318"/>
      <c r="W67" s="318"/>
      <c r="X67" s="318"/>
      <c r="Y67" s="318"/>
      <c r="Z67" s="318"/>
    </row>
    <row r="68" ht="15.75" customHeight="1">
      <c r="A68" s="318"/>
      <c r="B68" s="318"/>
      <c r="C68" s="318"/>
      <c r="D68" s="318"/>
      <c r="E68" s="318"/>
      <c r="F68" s="318"/>
      <c r="G68" s="318"/>
      <c r="H68" s="318"/>
      <c r="I68" s="318"/>
      <c r="J68" s="318"/>
      <c r="K68" s="318"/>
      <c r="L68" s="318"/>
      <c r="M68" s="318"/>
      <c r="N68" s="318"/>
      <c r="O68" s="318"/>
      <c r="P68" s="318"/>
      <c r="Q68" s="318"/>
      <c r="R68" s="318"/>
      <c r="S68" s="318"/>
      <c r="T68" s="318"/>
      <c r="U68" s="318"/>
      <c r="V68" s="318"/>
      <c r="W68" s="318"/>
      <c r="X68" s="318"/>
      <c r="Y68" s="318"/>
      <c r="Z68" s="318"/>
    </row>
    <row r="69" ht="15.75" customHeight="1">
      <c r="A69" s="318"/>
      <c r="B69" s="318"/>
      <c r="C69" s="318"/>
      <c r="D69" s="318"/>
      <c r="E69" s="318"/>
      <c r="F69" s="318"/>
      <c r="G69" s="318"/>
      <c r="H69" s="318"/>
      <c r="I69" s="318"/>
      <c r="J69" s="318"/>
      <c r="K69" s="318"/>
      <c r="L69" s="318"/>
      <c r="M69" s="318"/>
      <c r="N69" s="318"/>
      <c r="O69" s="318"/>
      <c r="P69" s="318"/>
      <c r="Q69" s="318"/>
      <c r="R69" s="318"/>
      <c r="S69" s="318"/>
      <c r="T69" s="318"/>
      <c r="U69" s="318"/>
      <c r="V69" s="318"/>
      <c r="W69" s="318"/>
      <c r="X69" s="318"/>
      <c r="Y69" s="318"/>
      <c r="Z69" s="318"/>
    </row>
    <row r="70" ht="15.75" customHeight="1">
      <c r="A70" s="318"/>
      <c r="B70" s="318"/>
      <c r="C70" s="318"/>
      <c r="D70" s="318"/>
      <c r="E70" s="318"/>
      <c r="F70" s="318"/>
      <c r="G70" s="318"/>
      <c r="H70" s="318"/>
      <c r="I70" s="318"/>
      <c r="J70" s="318"/>
      <c r="K70" s="318"/>
      <c r="L70" s="318"/>
      <c r="M70" s="318"/>
      <c r="N70" s="318"/>
      <c r="O70" s="318"/>
      <c r="P70" s="318"/>
      <c r="Q70" s="318"/>
      <c r="R70" s="318"/>
      <c r="S70" s="318"/>
      <c r="T70" s="318"/>
      <c r="U70" s="318"/>
      <c r="V70" s="318"/>
      <c r="W70" s="318"/>
      <c r="X70" s="318"/>
      <c r="Y70" s="318"/>
      <c r="Z70" s="318"/>
    </row>
    <row r="71" ht="15.75" customHeight="1">
      <c r="A71" s="318"/>
      <c r="B71" s="318"/>
      <c r="C71" s="318"/>
      <c r="D71" s="318"/>
      <c r="E71" s="318"/>
      <c r="F71" s="318"/>
      <c r="G71" s="318"/>
      <c r="H71" s="318"/>
      <c r="I71" s="318"/>
      <c r="J71" s="318"/>
      <c r="K71" s="318"/>
      <c r="L71" s="318"/>
      <c r="M71" s="318"/>
      <c r="N71" s="318"/>
      <c r="O71" s="318"/>
      <c r="P71" s="318"/>
      <c r="Q71" s="318"/>
      <c r="R71" s="318"/>
      <c r="S71" s="318"/>
      <c r="T71" s="318"/>
      <c r="U71" s="318"/>
      <c r="V71" s="318"/>
      <c r="W71" s="318"/>
      <c r="X71" s="318"/>
      <c r="Y71" s="318"/>
      <c r="Z71" s="318"/>
    </row>
    <row r="72" ht="15.75" customHeight="1">
      <c r="A72" s="318"/>
      <c r="B72" s="318"/>
      <c r="C72" s="318"/>
      <c r="D72" s="318"/>
      <c r="E72" s="318"/>
      <c r="F72" s="318"/>
      <c r="G72" s="318"/>
      <c r="H72" s="318"/>
      <c r="I72" s="318"/>
      <c r="J72" s="318"/>
      <c r="K72" s="318"/>
      <c r="L72" s="318"/>
      <c r="M72" s="318"/>
      <c r="N72" s="318"/>
      <c r="O72" s="318"/>
      <c r="P72" s="318"/>
      <c r="Q72" s="318"/>
      <c r="R72" s="318"/>
      <c r="S72" s="318"/>
      <c r="T72" s="318"/>
      <c r="U72" s="318"/>
      <c r="V72" s="318"/>
      <c r="W72" s="318"/>
      <c r="X72" s="318"/>
      <c r="Y72" s="318"/>
      <c r="Z72" s="318"/>
    </row>
    <row r="73" ht="15.75" customHeight="1">
      <c r="A73" s="318"/>
      <c r="B73" s="318"/>
      <c r="C73" s="318"/>
      <c r="D73" s="318"/>
      <c r="E73" s="318"/>
      <c r="F73" s="318"/>
      <c r="G73" s="318"/>
      <c r="H73" s="318"/>
      <c r="I73" s="318"/>
      <c r="J73" s="318"/>
      <c r="K73" s="318"/>
      <c r="L73" s="318"/>
      <c r="M73" s="318"/>
      <c r="N73" s="318"/>
      <c r="O73" s="318"/>
      <c r="P73" s="318"/>
      <c r="Q73" s="318"/>
      <c r="R73" s="318"/>
      <c r="S73" s="318"/>
      <c r="T73" s="318"/>
      <c r="U73" s="318"/>
      <c r="V73" s="318"/>
      <c r="W73" s="318"/>
      <c r="X73" s="318"/>
      <c r="Y73" s="318"/>
      <c r="Z73" s="318"/>
    </row>
    <row r="74" ht="15.75" customHeight="1">
      <c r="A74" s="318"/>
      <c r="B74" s="318"/>
      <c r="C74" s="318"/>
      <c r="D74" s="318"/>
      <c r="E74" s="318"/>
      <c r="F74" s="318"/>
      <c r="G74" s="318"/>
      <c r="H74" s="318"/>
      <c r="I74" s="318"/>
      <c r="J74" s="318"/>
      <c r="K74" s="318"/>
      <c r="L74" s="318"/>
      <c r="M74" s="318"/>
      <c r="N74" s="318"/>
      <c r="O74" s="318"/>
      <c r="P74" s="318"/>
      <c r="Q74" s="318"/>
      <c r="R74" s="318"/>
      <c r="S74" s="318"/>
      <c r="T74" s="318"/>
      <c r="U74" s="318"/>
      <c r="V74" s="318"/>
      <c r="W74" s="318"/>
      <c r="X74" s="318"/>
      <c r="Y74" s="318"/>
      <c r="Z74" s="318"/>
    </row>
    <row r="75" ht="15.75" customHeight="1">
      <c r="A75" s="318"/>
      <c r="B75" s="318"/>
      <c r="C75" s="318"/>
      <c r="D75" s="318"/>
      <c r="E75" s="318"/>
      <c r="F75" s="318"/>
      <c r="G75" s="318"/>
      <c r="H75" s="318"/>
      <c r="I75" s="318"/>
      <c r="J75" s="318"/>
      <c r="K75" s="318"/>
      <c r="L75" s="318"/>
      <c r="M75" s="318"/>
      <c r="N75" s="318"/>
      <c r="O75" s="318"/>
      <c r="P75" s="318"/>
      <c r="Q75" s="318"/>
      <c r="R75" s="318"/>
      <c r="S75" s="318"/>
      <c r="T75" s="318"/>
      <c r="U75" s="318"/>
      <c r="V75" s="318"/>
      <c r="W75" s="318"/>
      <c r="X75" s="318"/>
      <c r="Y75" s="318"/>
      <c r="Z75" s="318"/>
    </row>
    <row r="76" ht="15.75" customHeight="1">
      <c r="A76" s="318"/>
      <c r="B76" s="318"/>
      <c r="C76" s="318"/>
      <c r="D76" s="318"/>
      <c r="E76" s="318"/>
      <c r="F76" s="318"/>
      <c r="G76" s="318"/>
      <c r="H76" s="318"/>
      <c r="I76" s="318"/>
      <c r="J76" s="318"/>
      <c r="K76" s="318"/>
      <c r="L76" s="318"/>
      <c r="M76" s="318"/>
      <c r="N76" s="318"/>
      <c r="O76" s="318"/>
      <c r="P76" s="318"/>
      <c r="Q76" s="318"/>
      <c r="R76" s="318"/>
      <c r="S76" s="318"/>
      <c r="T76" s="318"/>
      <c r="U76" s="318"/>
      <c r="V76" s="318"/>
      <c r="W76" s="318"/>
      <c r="X76" s="318"/>
      <c r="Y76" s="318"/>
      <c r="Z76" s="318"/>
    </row>
    <row r="77" ht="15.75" customHeight="1">
      <c r="A77" s="318"/>
      <c r="B77" s="318"/>
      <c r="C77" s="318"/>
      <c r="D77" s="318"/>
      <c r="E77" s="318"/>
      <c r="F77" s="318"/>
      <c r="G77" s="318"/>
      <c r="H77" s="318"/>
      <c r="I77" s="318"/>
      <c r="J77" s="318"/>
      <c r="K77" s="318"/>
      <c r="L77" s="318"/>
      <c r="M77" s="318"/>
      <c r="N77" s="318"/>
      <c r="O77" s="318"/>
      <c r="P77" s="318"/>
      <c r="Q77" s="318"/>
      <c r="R77" s="318"/>
      <c r="S77" s="318"/>
      <c r="T77" s="318"/>
      <c r="U77" s="318"/>
      <c r="V77" s="318"/>
      <c r="W77" s="318"/>
      <c r="X77" s="318"/>
      <c r="Y77" s="318"/>
      <c r="Z77" s="318"/>
    </row>
    <row r="78" ht="15.75" customHeight="1">
      <c r="A78" s="318"/>
      <c r="B78" s="318"/>
      <c r="C78" s="318"/>
      <c r="D78" s="318"/>
      <c r="E78" s="318"/>
      <c r="F78" s="318"/>
      <c r="G78" s="318"/>
      <c r="H78" s="318"/>
      <c r="I78" s="318"/>
      <c r="J78" s="318"/>
      <c r="K78" s="318"/>
      <c r="L78" s="318"/>
      <c r="M78" s="318"/>
      <c r="N78" s="318"/>
      <c r="O78" s="318"/>
      <c r="P78" s="318"/>
      <c r="Q78" s="318"/>
      <c r="R78" s="318"/>
      <c r="S78" s="318"/>
      <c r="T78" s="318"/>
      <c r="U78" s="318"/>
      <c r="V78" s="318"/>
      <c r="W78" s="318"/>
      <c r="X78" s="318"/>
      <c r="Y78" s="318"/>
      <c r="Z78" s="318"/>
    </row>
    <row r="79" ht="15.75" customHeight="1">
      <c r="A79" s="318"/>
      <c r="B79" s="318"/>
      <c r="C79" s="318"/>
      <c r="D79" s="318"/>
      <c r="E79" s="318"/>
      <c r="F79" s="318"/>
      <c r="G79" s="318"/>
      <c r="H79" s="318"/>
      <c r="I79" s="318"/>
      <c r="J79" s="318"/>
      <c r="K79" s="318"/>
      <c r="L79" s="318"/>
      <c r="M79" s="318"/>
      <c r="N79" s="318"/>
      <c r="O79" s="318"/>
      <c r="P79" s="318"/>
      <c r="Q79" s="318"/>
      <c r="R79" s="318"/>
      <c r="S79" s="318"/>
      <c r="T79" s="318"/>
      <c r="U79" s="318"/>
      <c r="V79" s="318"/>
      <c r="W79" s="318"/>
      <c r="X79" s="318"/>
      <c r="Y79" s="318"/>
      <c r="Z79" s="318"/>
    </row>
    <row r="80" ht="15.75" customHeight="1">
      <c r="A80" s="318"/>
      <c r="B80" s="318"/>
      <c r="C80" s="318"/>
      <c r="D80" s="318"/>
      <c r="E80" s="318"/>
      <c r="F80" s="318"/>
      <c r="G80" s="318"/>
      <c r="H80" s="318"/>
      <c r="I80" s="318"/>
      <c r="J80" s="318"/>
      <c r="K80" s="318"/>
      <c r="L80" s="318"/>
      <c r="M80" s="318"/>
      <c r="N80" s="318"/>
      <c r="O80" s="318"/>
      <c r="P80" s="318"/>
      <c r="Q80" s="318"/>
      <c r="R80" s="318"/>
      <c r="S80" s="318"/>
      <c r="T80" s="318"/>
      <c r="U80" s="318"/>
      <c r="V80" s="318"/>
      <c r="W80" s="318"/>
      <c r="X80" s="318"/>
      <c r="Y80" s="318"/>
      <c r="Z80" s="318"/>
    </row>
    <row r="81" ht="15.75" customHeight="1">
      <c r="A81" s="318"/>
      <c r="B81" s="318"/>
      <c r="C81" s="318"/>
      <c r="D81" s="318"/>
      <c r="E81" s="318"/>
      <c r="F81" s="318"/>
      <c r="G81" s="318"/>
      <c r="H81" s="318"/>
      <c r="I81" s="318"/>
      <c r="J81" s="318"/>
      <c r="K81" s="318"/>
      <c r="L81" s="318"/>
      <c r="M81" s="318"/>
      <c r="N81" s="318"/>
      <c r="O81" s="318"/>
      <c r="P81" s="318"/>
      <c r="Q81" s="318"/>
      <c r="R81" s="318"/>
      <c r="S81" s="318"/>
      <c r="T81" s="318"/>
      <c r="U81" s="318"/>
      <c r="V81" s="318"/>
      <c r="W81" s="318"/>
      <c r="X81" s="318"/>
      <c r="Y81" s="318"/>
      <c r="Z81" s="318"/>
    </row>
    <row r="82" ht="15.75" customHeight="1">
      <c r="A82" s="318"/>
      <c r="B82" s="318"/>
      <c r="C82" s="318"/>
      <c r="D82" s="318"/>
      <c r="E82" s="318"/>
      <c r="F82" s="318"/>
      <c r="G82" s="318"/>
      <c r="H82" s="318"/>
      <c r="I82" s="318"/>
      <c r="J82" s="318"/>
      <c r="K82" s="318"/>
      <c r="L82" s="318"/>
      <c r="M82" s="318"/>
      <c r="N82" s="318"/>
      <c r="O82" s="318"/>
      <c r="P82" s="318"/>
      <c r="Q82" s="318"/>
      <c r="R82" s="318"/>
      <c r="S82" s="318"/>
      <c r="T82" s="318"/>
      <c r="U82" s="318"/>
      <c r="V82" s="318"/>
      <c r="W82" s="318"/>
      <c r="X82" s="318"/>
      <c r="Y82" s="318"/>
      <c r="Z82" s="318"/>
    </row>
    <row r="83" ht="15.75" customHeight="1">
      <c r="A83" s="318"/>
      <c r="B83" s="318"/>
      <c r="C83" s="318"/>
      <c r="D83" s="318"/>
      <c r="E83" s="318"/>
      <c r="F83" s="318"/>
      <c r="G83" s="318"/>
      <c r="H83" s="318"/>
      <c r="I83" s="318"/>
      <c r="J83" s="318"/>
      <c r="K83" s="318"/>
      <c r="L83" s="318"/>
      <c r="M83" s="318"/>
      <c r="N83" s="318"/>
      <c r="O83" s="318"/>
      <c r="P83" s="318"/>
      <c r="Q83" s="318"/>
      <c r="R83" s="318"/>
      <c r="S83" s="318"/>
      <c r="T83" s="318"/>
      <c r="U83" s="318"/>
      <c r="V83" s="318"/>
      <c r="W83" s="318"/>
      <c r="X83" s="318"/>
      <c r="Y83" s="318"/>
      <c r="Z83" s="318"/>
    </row>
    <row r="84" ht="15.75" customHeight="1">
      <c r="A84" s="318"/>
      <c r="B84" s="318"/>
      <c r="C84" s="318"/>
      <c r="D84" s="318"/>
      <c r="E84" s="318"/>
      <c r="F84" s="318"/>
      <c r="G84" s="318"/>
      <c r="H84" s="318"/>
      <c r="I84" s="318"/>
      <c r="J84" s="318"/>
      <c r="K84" s="318"/>
      <c r="L84" s="318"/>
      <c r="M84" s="318"/>
      <c r="N84" s="318"/>
      <c r="O84" s="318"/>
      <c r="P84" s="318"/>
      <c r="Q84" s="318"/>
      <c r="R84" s="318"/>
      <c r="S84" s="318"/>
      <c r="T84" s="318"/>
      <c r="U84" s="318"/>
      <c r="V84" s="318"/>
      <c r="W84" s="318"/>
      <c r="X84" s="318"/>
      <c r="Y84" s="318"/>
      <c r="Z84" s="318"/>
    </row>
    <row r="85" ht="15.75" customHeight="1">
      <c r="A85" s="318"/>
      <c r="B85" s="318"/>
      <c r="C85" s="318"/>
      <c r="D85" s="318"/>
      <c r="E85" s="318"/>
      <c r="F85" s="318"/>
      <c r="G85" s="318"/>
      <c r="H85" s="318"/>
      <c r="I85" s="318"/>
      <c r="J85" s="318"/>
      <c r="K85" s="318"/>
      <c r="L85" s="318"/>
      <c r="M85" s="318"/>
      <c r="N85" s="318"/>
      <c r="O85" s="318"/>
      <c r="P85" s="318"/>
      <c r="Q85" s="318"/>
      <c r="R85" s="318"/>
      <c r="S85" s="318"/>
      <c r="T85" s="318"/>
      <c r="U85" s="318"/>
      <c r="V85" s="318"/>
      <c r="W85" s="318"/>
      <c r="X85" s="318"/>
      <c r="Y85" s="318"/>
      <c r="Z85" s="318"/>
    </row>
    <row r="86" ht="15.75" customHeight="1">
      <c r="A86" s="318"/>
      <c r="B86" s="318"/>
      <c r="C86" s="318"/>
      <c r="D86" s="318"/>
      <c r="E86" s="318"/>
      <c r="F86" s="318"/>
      <c r="G86" s="318"/>
      <c r="H86" s="318"/>
      <c r="I86" s="318"/>
      <c r="J86" s="318"/>
      <c r="K86" s="318"/>
      <c r="L86" s="318"/>
      <c r="M86" s="318"/>
      <c r="N86" s="318"/>
      <c r="O86" s="318"/>
      <c r="P86" s="318"/>
      <c r="Q86" s="318"/>
      <c r="R86" s="318"/>
      <c r="S86" s="318"/>
      <c r="T86" s="318"/>
      <c r="U86" s="318"/>
      <c r="V86" s="318"/>
      <c r="W86" s="318"/>
      <c r="X86" s="318"/>
      <c r="Y86" s="318"/>
      <c r="Z86" s="318"/>
    </row>
    <row r="87" ht="15.75" customHeight="1">
      <c r="A87" s="318"/>
      <c r="B87" s="318"/>
      <c r="C87" s="318"/>
      <c r="D87" s="318"/>
      <c r="E87" s="318"/>
      <c r="F87" s="318"/>
      <c r="G87" s="318"/>
      <c r="H87" s="318"/>
      <c r="I87" s="318"/>
      <c r="J87" s="318"/>
      <c r="K87" s="318"/>
      <c r="L87" s="318"/>
      <c r="M87" s="318"/>
      <c r="N87" s="318"/>
      <c r="O87" s="318"/>
      <c r="P87" s="318"/>
      <c r="Q87" s="318"/>
      <c r="R87" s="318"/>
      <c r="S87" s="318"/>
      <c r="T87" s="318"/>
      <c r="U87" s="318"/>
      <c r="V87" s="318"/>
      <c r="W87" s="318"/>
      <c r="X87" s="318"/>
      <c r="Y87" s="318"/>
      <c r="Z87" s="318"/>
    </row>
    <row r="88" ht="15.75" customHeight="1">
      <c r="A88" s="318"/>
      <c r="B88" s="318"/>
      <c r="C88" s="318"/>
      <c r="D88" s="318"/>
      <c r="E88" s="318"/>
      <c r="F88" s="318"/>
      <c r="G88" s="318"/>
      <c r="H88" s="318"/>
      <c r="I88" s="318"/>
      <c r="J88" s="318"/>
      <c r="K88" s="318"/>
      <c r="L88" s="318"/>
      <c r="M88" s="318"/>
      <c r="N88" s="318"/>
      <c r="O88" s="318"/>
      <c r="P88" s="318"/>
      <c r="Q88" s="318"/>
      <c r="R88" s="318"/>
      <c r="S88" s="318"/>
      <c r="T88" s="318"/>
      <c r="U88" s="318"/>
      <c r="V88" s="318"/>
      <c r="W88" s="318"/>
      <c r="X88" s="318"/>
      <c r="Y88" s="318"/>
      <c r="Z88" s="318"/>
    </row>
    <row r="89" ht="15.75" customHeight="1">
      <c r="A89" s="318"/>
      <c r="B89" s="318"/>
      <c r="C89" s="318"/>
      <c r="D89" s="318"/>
      <c r="E89" s="318"/>
      <c r="F89" s="318"/>
      <c r="G89" s="318"/>
      <c r="H89" s="318"/>
      <c r="I89" s="318"/>
      <c r="J89" s="318"/>
      <c r="K89" s="318"/>
      <c r="L89" s="318"/>
      <c r="M89" s="318"/>
      <c r="N89" s="318"/>
      <c r="O89" s="318"/>
      <c r="P89" s="318"/>
      <c r="Q89" s="318"/>
      <c r="R89" s="318"/>
      <c r="S89" s="318"/>
      <c r="T89" s="318"/>
      <c r="U89" s="318"/>
      <c r="V89" s="318"/>
      <c r="W89" s="318"/>
      <c r="X89" s="318"/>
      <c r="Y89" s="318"/>
      <c r="Z89" s="318"/>
    </row>
    <row r="90" ht="15.75" customHeight="1">
      <c r="A90" s="318"/>
      <c r="B90" s="318"/>
      <c r="C90" s="318"/>
      <c r="D90" s="318"/>
      <c r="E90" s="318"/>
      <c r="F90" s="318"/>
      <c r="G90" s="318"/>
      <c r="H90" s="318"/>
      <c r="I90" s="318"/>
      <c r="J90" s="318"/>
      <c r="K90" s="318"/>
      <c r="L90" s="318"/>
      <c r="M90" s="318"/>
      <c r="N90" s="318"/>
      <c r="O90" s="318"/>
      <c r="P90" s="318"/>
      <c r="Q90" s="318"/>
      <c r="R90" s="318"/>
      <c r="S90" s="318"/>
      <c r="T90" s="318"/>
      <c r="U90" s="318"/>
      <c r="V90" s="318"/>
      <c r="W90" s="318"/>
      <c r="X90" s="318"/>
      <c r="Y90" s="318"/>
      <c r="Z90" s="318"/>
    </row>
    <row r="91" ht="15.75" customHeight="1">
      <c r="A91" s="318"/>
      <c r="B91" s="318"/>
      <c r="C91" s="318"/>
      <c r="D91" s="318"/>
      <c r="E91" s="318"/>
      <c r="F91" s="318"/>
      <c r="G91" s="318"/>
      <c r="H91" s="318"/>
      <c r="I91" s="318"/>
      <c r="J91" s="318"/>
      <c r="K91" s="318"/>
      <c r="L91" s="318"/>
      <c r="M91" s="318"/>
      <c r="N91" s="318"/>
      <c r="O91" s="318"/>
      <c r="P91" s="318"/>
      <c r="Q91" s="318"/>
      <c r="R91" s="318"/>
      <c r="S91" s="318"/>
      <c r="T91" s="318"/>
      <c r="U91" s="318"/>
      <c r="V91" s="318"/>
      <c r="W91" s="318"/>
      <c r="X91" s="318"/>
      <c r="Y91" s="318"/>
      <c r="Z91" s="318"/>
    </row>
    <row r="92" ht="15.75" customHeight="1">
      <c r="A92" s="318"/>
      <c r="B92" s="318"/>
      <c r="C92" s="318"/>
      <c r="D92" s="318"/>
      <c r="E92" s="318"/>
      <c r="F92" s="318"/>
      <c r="G92" s="318"/>
      <c r="H92" s="318"/>
      <c r="I92" s="318"/>
      <c r="J92" s="318"/>
      <c r="K92" s="318"/>
      <c r="L92" s="318"/>
      <c r="M92" s="318"/>
      <c r="N92" s="318"/>
      <c r="O92" s="318"/>
      <c r="P92" s="318"/>
      <c r="Q92" s="318"/>
      <c r="R92" s="318"/>
      <c r="S92" s="318"/>
      <c r="T92" s="318"/>
      <c r="U92" s="318"/>
      <c r="V92" s="318"/>
      <c r="W92" s="318"/>
      <c r="X92" s="318"/>
      <c r="Y92" s="318"/>
      <c r="Z92" s="318"/>
    </row>
    <row r="93" ht="15.75" customHeight="1">
      <c r="A93" s="318"/>
      <c r="B93" s="318"/>
      <c r="C93" s="318"/>
      <c r="D93" s="318"/>
      <c r="E93" s="318"/>
      <c r="F93" s="318"/>
      <c r="G93" s="318"/>
      <c r="H93" s="318"/>
      <c r="I93" s="318"/>
      <c r="J93" s="318"/>
      <c r="K93" s="318"/>
      <c r="L93" s="318"/>
      <c r="M93" s="318"/>
      <c r="N93" s="318"/>
      <c r="O93" s="318"/>
      <c r="P93" s="318"/>
      <c r="Q93" s="318"/>
      <c r="R93" s="318"/>
      <c r="S93" s="318"/>
      <c r="T93" s="318"/>
      <c r="U93" s="318"/>
      <c r="V93" s="318"/>
      <c r="W93" s="318"/>
      <c r="X93" s="318"/>
      <c r="Y93" s="318"/>
      <c r="Z93" s="318"/>
    </row>
    <row r="94" ht="15.75" customHeight="1">
      <c r="A94" s="318"/>
      <c r="B94" s="318"/>
      <c r="C94" s="318"/>
      <c r="D94" s="318"/>
      <c r="E94" s="318"/>
      <c r="F94" s="318"/>
      <c r="G94" s="318"/>
      <c r="H94" s="318"/>
      <c r="I94" s="318"/>
      <c r="J94" s="318"/>
      <c r="K94" s="318"/>
      <c r="L94" s="318"/>
      <c r="M94" s="318"/>
      <c r="N94" s="318"/>
      <c r="O94" s="318"/>
      <c r="P94" s="318"/>
      <c r="Q94" s="318"/>
      <c r="R94" s="318"/>
      <c r="S94" s="318"/>
      <c r="T94" s="318"/>
      <c r="U94" s="318"/>
      <c r="V94" s="318"/>
      <c r="W94" s="318"/>
      <c r="X94" s="318"/>
      <c r="Y94" s="318"/>
      <c r="Z94" s="318"/>
    </row>
    <row r="95" ht="15.75" customHeight="1">
      <c r="A95" s="318"/>
      <c r="B95" s="318"/>
      <c r="C95" s="318"/>
      <c r="D95" s="318"/>
      <c r="E95" s="318"/>
      <c r="F95" s="318"/>
      <c r="G95" s="318"/>
      <c r="H95" s="318"/>
      <c r="I95" s="318"/>
      <c r="J95" s="318"/>
      <c r="K95" s="318"/>
      <c r="L95" s="318"/>
      <c r="M95" s="318"/>
      <c r="N95" s="318"/>
      <c r="O95" s="318"/>
      <c r="P95" s="318"/>
      <c r="Q95" s="318"/>
      <c r="R95" s="318"/>
      <c r="S95" s="318"/>
      <c r="T95" s="318"/>
      <c r="U95" s="318"/>
      <c r="V95" s="318"/>
      <c r="W95" s="318"/>
      <c r="X95" s="318"/>
      <c r="Y95" s="318"/>
      <c r="Z95" s="318"/>
    </row>
    <row r="96" ht="15.75" customHeight="1">
      <c r="A96" s="318"/>
      <c r="B96" s="318"/>
      <c r="C96" s="318"/>
      <c r="D96" s="318"/>
      <c r="E96" s="318"/>
      <c r="F96" s="318"/>
      <c r="G96" s="318"/>
      <c r="H96" s="318"/>
      <c r="I96" s="318"/>
      <c r="J96" s="318"/>
      <c r="K96" s="318"/>
      <c r="L96" s="318"/>
      <c r="M96" s="318"/>
      <c r="N96" s="318"/>
      <c r="O96" s="318"/>
      <c r="P96" s="318"/>
      <c r="Q96" s="318"/>
      <c r="R96" s="318"/>
      <c r="S96" s="318"/>
      <c r="T96" s="318"/>
      <c r="U96" s="318"/>
      <c r="V96" s="318"/>
      <c r="W96" s="318"/>
      <c r="X96" s="318"/>
      <c r="Y96" s="318"/>
      <c r="Z96" s="318"/>
    </row>
    <row r="97" ht="15.75" customHeight="1">
      <c r="A97" s="318"/>
      <c r="B97" s="318"/>
      <c r="C97" s="318"/>
      <c r="D97" s="318"/>
      <c r="E97" s="318"/>
      <c r="F97" s="318"/>
      <c r="G97" s="318"/>
      <c r="H97" s="318"/>
      <c r="I97" s="318"/>
      <c r="J97" s="318"/>
      <c r="K97" s="318"/>
      <c r="L97" s="318"/>
      <c r="M97" s="318"/>
      <c r="N97" s="318"/>
      <c r="O97" s="318"/>
      <c r="P97" s="318"/>
      <c r="Q97" s="318"/>
      <c r="R97" s="318"/>
      <c r="S97" s="318"/>
      <c r="T97" s="318"/>
      <c r="U97" s="318"/>
      <c r="V97" s="318"/>
      <c r="W97" s="318"/>
      <c r="X97" s="318"/>
      <c r="Y97" s="318"/>
      <c r="Z97" s="318"/>
    </row>
    <row r="98" ht="15.75" customHeight="1">
      <c r="A98" s="318"/>
      <c r="B98" s="318"/>
      <c r="C98" s="318"/>
      <c r="D98" s="318"/>
      <c r="E98" s="318"/>
      <c r="F98" s="318"/>
      <c r="G98" s="318"/>
      <c r="H98" s="318"/>
      <c r="I98" s="318"/>
      <c r="J98" s="318"/>
      <c r="K98" s="318"/>
      <c r="L98" s="318"/>
      <c r="M98" s="318"/>
      <c r="N98" s="318"/>
      <c r="O98" s="318"/>
      <c r="P98" s="318"/>
      <c r="Q98" s="318"/>
      <c r="R98" s="318"/>
      <c r="S98" s="318"/>
      <c r="T98" s="318"/>
      <c r="U98" s="318"/>
      <c r="V98" s="318"/>
      <c r="W98" s="318"/>
      <c r="X98" s="318"/>
      <c r="Y98" s="318"/>
      <c r="Z98" s="318"/>
    </row>
    <row r="99" ht="15.75" customHeight="1">
      <c r="A99" s="318"/>
      <c r="B99" s="318"/>
      <c r="C99" s="318"/>
      <c r="D99" s="318"/>
      <c r="E99" s="318"/>
      <c r="F99" s="318"/>
      <c r="G99" s="318"/>
      <c r="H99" s="318"/>
      <c r="I99" s="318"/>
      <c r="J99" s="318"/>
      <c r="K99" s="318"/>
      <c r="L99" s="318"/>
      <c r="M99" s="318"/>
      <c r="N99" s="318"/>
      <c r="O99" s="318"/>
      <c r="P99" s="318"/>
      <c r="Q99" s="318"/>
      <c r="R99" s="318"/>
      <c r="S99" s="318"/>
      <c r="T99" s="318"/>
      <c r="U99" s="318"/>
      <c r="V99" s="318"/>
      <c r="W99" s="318"/>
      <c r="X99" s="318"/>
      <c r="Y99" s="318"/>
      <c r="Z99" s="318"/>
    </row>
    <row r="100" ht="15.75" customHeight="1">
      <c r="A100" s="318"/>
      <c r="B100" s="318"/>
      <c r="C100" s="318"/>
      <c r="D100" s="318"/>
      <c r="E100" s="318"/>
      <c r="F100" s="318"/>
      <c r="G100" s="318"/>
      <c r="H100" s="318"/>
      <c r="I100" s="318"/>
      <c r="J100" s="318"/>
      <c r="K100" s="318"/>
      <c r="L100" s="318"/>
      <c r="M100" s="318"/>
      <c r="N100" s="318"/>
      <c r="O100" s="318"/>
      <c r="P100" s="318"/>
      <c r="Q100" s="318"/>
      <c r="R100" s="318"/>
      <c r="S100" s="318"/>
      <c r="T100" s="318"/>
      <c r="U100" s="318"/>
      <c r="V100" s="318"/>
      <c r="W100" s="318"/>
      <c r="X100" s="318"/>
      <c r="Y100" s="318"/>
      <c r="Z100" s="318"/>
    </row>
    <row r="101" ht="15.75" customHeight="1">
      <c r="A101" s="318"/>
      <c r="B101" s="318"/>
      <c r="C101" s="318"/>
      <c r="D101" s="318"/>
      <c r="E101" s="318"/>
      <c r="F101" s="318"/>
      <c r="G101" s="318"/>
      <c r="H101" s="318"/>
      <c r="I101" s="318"/>
      <c r="J101" s="318"/>
      <c r="K101" s="318"/>
      <c r="L101" s="318"/>
      <c r="M101" s="318"/>
      <c r="N101" s="318"/>
      <c r="O101" s="318"/>
      <c r="P101" s="318"/>
      <c r="Q101" s="318"/>
      <c r="R101" s="318"/>
      <c r="S101" s="318"/>
      <c r="T101" s="318"/>
      <c r="U101" s="318"/>
      <c r="V101" s="318"/>
      <c r="W101" s="318"/>
      <c r="X101" s="318"/>
      <c r="Y101" s="318"/>
      <c r="Z101" s="318"/>
    </row>
    <row r="102" ht="15.75" customHeight="1">
      <c r="A102" s="318"/>
      <c r="B102" s="318"/>
      <c r="C102" s="318"/>
      <c r="D102" s="318"/>
      <c r="E102" s="318"/>
      <c r="F102" s="318"/>
      <c r="G102" s="318"/>
      <c r="H102" s="318"/>
      <c r="I102" s="318"/>
      <c r="J102" s="318"/>
      <c r="K102" s="318"/>
      <c r="L102" s="318"/>
      <c r="M102" s="318"/>
      <c r="N102" s="318"/>
      <c r="O102" s="318"/>
      <c r="P102" s="318"/>
      <c r="Q102" s="318"/>
      <c r="R102" s="318"/>
      <c r="S102" s="318"/>
      <c r="T102" s="318"/>
      <c r="U102" s="318"/>
      <c r="V102" s="318"/>
      <c r="W102" s="318"/>
      <c r="X102" s="318"/>
      <c r="Y102" s="318"/>
      <c r="Z102" s="318"/>
    </row>
    <row r="103" ht="15.75" customHeight="1">
      <c r="A103" s="318"/>
      <c r="B103" s="318"/>
      <c r="C103" s="318"/>
      <c r="D103" s="318"/>
      <c r="E103" s="318"/>
      <c r="F103" s="318"/>
      <c r="G103" s="318"/>
      <c r="H103" s="318"/>
      <c r="I103" s="318"/>
      <c r="J103" s="318"/>
      <c r="K103" s="318"/>
      <c r="L103" s="318"/>
      <c r="M103" s="318"/>
      <c r="N103" s="318"/>
      <c r="O103" s="318"/>
      <c r="P103" s="318"/>
      <c r="Q103" s="318"/>
      <c r="R103" s="318"/>
      <c r="S103" s="318"/>
      <c r="T103" s="318"/>
      <c r="U103" s="318"/>
      <c r="V103" s="318"/>
      <c r="W103" s="318"/>
      <c r="X103" s="318"/>
      <c r="Y103" s="318"/>
      <c r="Z103" s="318"/>
    </row>
    <row r="104" ht="15.75" customHeight="1">
      <c r="A104" s="318"/>
      <c r="B104" s="318"/>
      <c r="C104" s="318"/>
      <c r="D104" s="318"/>
      <c r="E104" s="318"/>
      <c r="F104" s="318"/>
      <c r="G104" s="318"/>
      <c r="H104" s="318"/>
      <c r="I104" s="318"/>
      <c r="J104" s="318"/>
      <c r="K104" s="318"/>
      <c r="L104" s="318"/>
      <c r="M104" s="318"/>
      <c r="N104" s="318"/>
      <c r="O104" s="318"/>
      <c r="P104" s="318"/>
      <c r="Q104" s="318"/>
      <c r="R104" s="318"/>
      <c r="S104" s="318"/>
      <c r="T104" s="318"/>
      <c r="U104" s="318"/>
      <c r="V104" s="318"/>
      <c r="W104" s="318"/>
      <c r="X104" s="318"/>
      <c r="Y104" s="318"/>
      <c r="Z104" s="318"/>
    </row>
    <row r="105" ht="15.75" customHeight="1">
      <c r="A105" s="318"/>
      <c r="B105" s="318"/>
      <c r="C105" s="318"/>
      <c r="D105" s="318"/>
      <c r="E105" s="318"/>
      <c r="F105" s="318"/>
      <c r="G105" s="318"/>
      <c r="H105" s="318"/>
      <c r="I105" s="318"/>
      <c r="J105" s="318"/>
      <c r="K105" s="318"/>
      <c r="L105" s="318"/>
      <c r="M105" s="318"/>
      <c r="N105" s="318"/>
      <c r="O105" s="318"/>
      <c r="P105" s="318"/>
      <c r="Q105" s="318"/>
      <c r="R105" s="318"/>
      <c r="S105" s="318"/>
      <c r="T105" s="318"/>
      <c r="U105" s="318"/>
      <c r="V105" s="318"/>
      <c r="W105" s="318"/>
      <c r="X105" s="318"/>
      <c r="Y105" s="318"/>
      <c r="Z105" s="318"/>
    </row>
    <row r="106" ht="15.75" customHeight="1">
      <c r="A106" s="318"/>
      <c r="B106" s="318"/>
      <c r="C106" s="318"/>
      <c r="D106" s="318"/>
      <c r="E106" s="318"/>
      <c r="F106" s="318"/>
      <c r="G106" s="318"/>
      <c r="H106" s="318"/>
      <c r="I106" s="318"/>
      <c r="J106" s="318"/>
      <c r="K106" s="318"/>
      <c r="L106" s="318"/>
      <c r="M106" s="318"/>
      <c r="N106" s="318"/>
      <c r="O106" s="318"/>
      <c r="P106" s="318"/>
      <c r="Q106" s="318"/>
      <c r="R106" s="318"/>
      <c r="S106" s="318"/>
      <c r="T106" s="318"/>
      <c r="U106" s="318"/>
      <c r="V106" s="318"/>
      <c r="W106" s="318"/>
      <c r="X106" s="318"/>
      <c r="Y106" s="318"/>
      <c r="Z106" s="318"/>
    </row>
    <row r="107" ht="15.75" customHeight="1">
      <c r="A107" s="318"/>
      <c r="B107" s="318"/>
      <c r="C107" s="318"/>
      <c r="D107" s="318"/>
      <c r="E107" s="318"/>
      <c r="F107" s="318"/>
      <c r="G107" s="318"/>
      <c r="H107" s="318"/>
      <c r="I107" s="318"/>
      <c r="J107" s="318"/>
      <c r="K107" s="318"/>
      <c r="L107" s="318"/>
      <c r="M107" s="318"/>
      <c r="N107" s="318"/>
      <c r="O107" s="318"/>
      <c r="P107" s="318"/>
      <c r="Q107" s="318"/>
      <c r="R107" s="318"/>
      <c r="S107" s="318"/>
      <c r="T107" s="318"/>
      <c r="U107" s="318"/>
      <c r="V107" s="318"/>
      <c r="W107" s="318"/>
      <c r="X107" s="318"/>
      <c r="Y107" s="318"/>
      <c r="Z107" s="318"/>
    </row>
    <row r="108" ht="15.75" customHeight="1">
      <c r="A108" s="318"/>
      <c r="B108" s="318"/>
      <c r="C108" s="318"/>
      <c r="D108" s="318"/>
      <c r="E108" s="318"/>
      <c r="F108" s="318"/>
      <c r="G108" s="318"/>
      <c r="H108" s="318"/>
      <c r="I108" s="318"/>
      <c r="J108" s="318"/>
      <c r="K108" s="318"/>
      <c r="L108" s="318"/>
      <c r="M108" s="318"/>
      <c r="N108" s="318"/>
      <c r="O108" s="318"/>
      <c r="P108" s="318"/>
      <c r="Q108" s="318"/>
      <c r="R108" s="318"/>
      <c r="S108" s="318"/>
      <c r="T108" s="318"/>
      <c r="U108" s="318"/>
      <c r="V108" s="318"/>
      <c r="W108" s="318"/>
      <c r="X108" s="318"/>
      <c r="Y108" s="318"/>
      <c r="Z108" s="318"/>
    </row>
    <row r="109" ht="15.75" customHeight="1">
      <c r="A109" s="318"/>
      <c r="B109" s="318"/>
      <c r="C109" s="318"/>
      <c r="D109" s="318"/>
      <c r="E109" s="318"/>
      <c r="F109" s="318"/>
      <c r="G109" s="318"/>
      <c r="H109" s="318"/>
      <c r="I109" s="318"/>
      <c r="J109" s="318"/>
      <c r="K109" s="318"/>
      <c r="L109" s="318"/>
      <c r="M109" s="318"/>
      <c r="N109" s="318"/>
      <c r="O109" s="318"/>
      <c r="P109" s="318"/>
      <c r="Q109" s="318"/>
      <c r="R109" s="318"/>
      <c r="S109" s="318"/>
      <c r="T109" s="318"/>
      <c r="U109" s="318"/>
      <c r="V109" s="318"/>
      <c r="W109" s="318"/>
      <c r="X109" s="318"/>
      <c r="Y109" s="318"/>
      <c r="Z109" s="318"/>
    </row>
    <row r="110" ht="15.75" customHeight="1">
      <c r="A110" s="318"/>
      <c r="B110" s="318"/>
      <c r="C110" s="318"/>
      <c r="D110" s="318"/>
      <c r="E110" s="318"/>
      <c r="F110" s="318"/>
      <c r="G110" s="318"/>
      <c r="H110" s="318"/>
      <c r="I110" s="318"/>
      <c r="J110" s="318"/>
      <c r="K110" s="318"/>
      <c r="L110" s="318"/>
      <c r="M110" s="318"/>
      <c r="N110" s="318"/>
      <c r="O110" s="318"/>
      <c r="P110" s="318"/>
      <c r="Q110" s="318"/>
      <c r="R110" s="318"/>
      <c r="S110" s="318"/>
      <c r="T110" s="318"/>
      <c r="U110" s="318"/>
      <c r="V110" s="318"/>
      <c r="W110" s="318"/>
      <c r="X110" s="318"/>
      <c r="Y110" s="318"/>
      <c r="Z110" s="318"/>
    </row>
    <row r="111" ht="15.75" customHeight="1">
      <c r="A111" s="318"/>
      <c r="B111" s="318"/>
      <c r="C111" s="318"/>
      <c r="D111" s="318"/>
      <c r="E111" s="318"/>
      <c r="F111" s="318"/>
      <c r="G111" s="318"/>
      <c r="H111" s="318"/>
      <c r="I111" s="318"/>
      <c r="J111" s="318"/>
      <c r="K111" s="318"/>
      <c r="L111" s="318"/>
      <c r="M111" s="318"/>
      <c r="N111" s="318"/>
      <c r="O111" s="318"/>
      <c r="P111" s="318"/>
      <c r="Q111" s="318"/>
      <c r="R111" s="318"/>
      <c r="S111" s="318"/>
      <c r="T111" s="318"/>
      <c r="U111" s="318"/>
      <c r="V111" s="318"/>
      <c r="W111" s="318"/>
      <c r="X111" s="318"/>
      <c r="Y111" s="318"/>
      <c r="Z111" s="318"/>
    </row>
    <row r="112" ht="15.75" customHeight="1">
      <c r="A112" s="318"/>
      <c r="B112" s="318"/>
      <c r="C112" s="318"/>
      <c r="D112" s="318"/>
      <c r="E112" s="318"/>
      <c r="F112" s="318"/>
      <c r="G112" s="318"/>
      <c r="H112" s="318"/>
      <c r="I112" s="318"/>
      <c r="J112" s="318"/>
      <c r="K112" s="318"/>
      <c r="L112" s="318"/>
      <c r="M112" s="318"/>
      <c r="N112" s="318"/>
      <c r="O112" s="318"/>
      <c r="P112" s="318"/>
      <c r="Q112" s="318"/>
      <c r="R112" s="318"/>
      <c r="S112" s="318"/>
      <c r="T112" s="318"/>
      <c r="U112" s="318"/>
      <c r="V112" s="318"/>
      <c r="W112" s="318"/>
      <c r="X112" s="318"/>
      <c r="Y112" s="318"/>
      <c r="Z112" s="318"/>
    </row>
    <row r="113" ht="15.75" customHeight="1">
      <c r="A113" s="318"/>
      <c r="B113" s="318"/>
      <c r="C113" s="318"/>
      <c r="D113" s="318"/>
      <c r="E113" s="318"/>
      <c r="F113" s="318"/>
      <c r="G113" s="318"/>
      <c r="H113" s="318"/>
      <c r="I113" s="318"/>
      <c r="J113" s="318"/>
      <c r="K113" s="318"/>
      <c r="L113" s="318"/>
      <c r="M113" s="318"/>
      <c r="N113" s="318"/>
      <c r="O113" s="318"/>
      <c r="P113" s="318"/>
      <c r="Q113" s="318"/>
      <c r="R113" s="318"/>
      <c r="S113" s="318"/>
      <c r="T113" s="318"/>
      <c r="U113" s="318"/>
      <c r="V113" s="318"/>
      <c r="W113" s="318"/>
      <c r="X113" s="318"/>
      <c r="Y113" s="318"/>
      <c r="Z113" s="318"/>
    </row>
    <row r="114" ht="15.75" customHeight="1">
      <c r="A114" s="318"/>
      <c r="B114" s="318"/>
      <c r="C114" s="318"/>
      <c r="D114" s="318"/>
      <c r="E114" s="318"/>
      <c r="F114" s="318"/>
      <c r="G114" s="318"/>
      <c r="H114" s="318"/>
      <c r="I114" s="318"/>
      <c r="J114" s="318"/>
      <c r="K114" s="318"/>
      <c r="L114" s="318"/>
      <c r="M114" s="318"/>
      <c r="N114" s="318"/>
      <c r="O114" s="318"/>
      <c r="P114" s="318"/>
      <c r="Q114" s="318"/>
      <c r="R114" s="318"/>
      <c r="S114" s="318"/>
      <c r="T114" s="318"/>
      <c r="U114" s="318"/>
      <c r="V114" s="318"/>
      <c r="W114" s="318"/>
      <c r="X114" s="318"/>
      <c r="Y114" s="318"/>
      <c r="Z114" s="318"/>
    </row>
    <row r="115" ht="15.75" customHeight="1">
      <c r="A115" s="318"/>
      <c r="B115" s="318"/>
      <c r="C115" s="318"/>
      <c r="D115" s="318"/>
      <c r="E115" s="318"/>
      <c r="F115" s="318"/>
      <c r="G115" s="318"/>
      <c r="H115" s="318"/>
      <c r="I115" s="318"/>
      <c r="J115" s="318"/>
      <c r="K115" s="318"/>
      <c r="L115" s="318"/>
      <c r="M115" s="318"/>
      <c r="N115" s="318"/>
      <c r="O115" s="318"/>
      <c r="P115" s="318"/>
      <c r="Q115" s="318"/>
      <c r="R115" s="318"/>
      <c r="S115" s="318"/>
      <c r="T115" s="318"/>
      <c r="U115" s="318"/>
      <c r="V115" s="318"/>
      <c r="W115" s="318"/>
      <c r="X115" s="318"/>
      <c r="Y115" s="318"/>
      <c r="Z115" s="318"/>
    </row>
    <row r="116" ht="15.75" customHeight="1">
      <c r="A116" s="318"/>
      <c r="B116" s="318"/>
      <c r="C116" s="318"/>
      <c r="D116" s="318"/>
      <c r="E116" s="318"/>
      <c r="F116" s="318"/>
      <c r="G116" s="318"/>
      <c r="H116" s="318"/>
      <c r="I116" s="318"/>
      <c r="J116" s="318"/>
      <c r="K116" s="318"/>
      <c r="L116" s="318"/>
      <c r="M116" s="318"/>
      <c r="N116" s="318"/>
      <c r="O116" s="318"/>
      <c r="P116" s="318"/>
      <c r="Q116" s="318"/>
      <c r="R116" s="318"/>
      <c r="S116" s="318"/>
      <c r="T116" s="318"/>
      <c r="U116" s="318"/>
      <c r="V116" s="318"/>
      <c r="W116" s="318"/>
      <c r="X116" s="318"/>
      <c r="Y116" s="318"/>
      <c r="Z116" s="318"/>
    </row>
    <row r="117" ht="15.75" customHeight="1">
      <c r="A117" s="318"/>
      <c r="B117" s="318"/>
      <c r="C117" s="318"/>
      <c r="D117" s="318"/>
      <c r="E117" s="318"/>
      <c r="F117" s="318"/>
      <c r="G117" s="318"/>
      <c r="H117" s="318"/>
      <c r="I117" s="318"/>
      <c r="J117" s="318"/>
      <c r="K117" s="318"/>
      <c r="L117" s="318"/>
      <c r="M117" s="318"/>
      <c r="N117" s="318"/>
      <c r="O117" s="318"/>
      <c r="P117" s="318"/>
      <c r="Q117" s="318"/>
      <c r="R117" s="318"/>
      <c r="S117" s="318"/>
      <c r="T117" s="318"/>
      <c r="U117" s="318"/>
      <c r="V117" s="318"/>
      <c r="W117" s="318"/>
      <c r="X117" s="318"/>
      <c r="Y117" s="318"/>
      <c r="Z117" s="318"/>
    </row>
    <row r="118" ht="15.75" customHeight="1">
      <c r="A118" s="318"/>
      <c r="B118" s="318"/>
      <c r="C118" s="318"/>
      <c r="D118" s="318"/>
      <c r="E118" s="318"/>
      <c r="F118" s="318"/>
      <c r="G118" s="318"/>
      <c r="H118" s="318"/>
      <c r="I118" s="318"/>
      <c r="J118" s="318"/>
      <c r="K118" s="318"/>
      <c r="L118" s="318"/>
      <c r="M118" s="318"/>
      <c r="N118" s="318"/>
      <c r="O118" s="318"/>
      <c r="P118" s="318"/>
      <c r="Q118" s="318"/>
      <c r="R118" s="318"/>
      <c r="S118" s="318"/>
      <c r="T118" s="318"/>
      <c r="U118" s="318"/>
      <c r="V118" s="318"/>
      <c r="W118" s="318"/>
      <c r="X118" s="318"/>
      <c r="Y118" s="318"/>
      <c r="Z118" s="318"/>
    </row>
    <row r="119" ht="15.75" customHeight="1">
      <c r="A119" s="318"/>
      <c r="B119" s="318"/>
      <c r="C119" s="318"/>
      <c r="D119" s="318"/>
      <c r="E119" s="318"/>
      <c r="F119" s="318"/>
      <c r="G119" s="318"/>
      <c r="H119" s="318"/>
      <c r="I119" s="318"/>
      <c r="J119" s="318"/>
      <c r="K119" s="318"/>
      <c r="L119" s="318"/>
      <c r="M119" s="318"/>
      <c r="N119" s="318"/>
      <c r="O119" s="318"/>
      <c r="P119" s="318"/>
      <c r="Q119" s="318"/>
      <c r="R119" s="318"/>
      <c r="S119" s="318"/>
      <c r="T119" s="318"/>
      <c r="U119" s="318"/>
      <c r="V119" s="318"/>
      <c r="W119" s="318"/>
      <c r="X119" s="318"/>
      <c r="Y119" s="318"/>
      <c r="Z119" s="318"/>
    </row>
    <row r="120" ht="15.75" customHeight="1">
      <c r="A120" s="318"/>
      <c r="B120" s="318"/>
      <c r="C120" s="318"/>
      <c r="D120" s="318"/>
      <c r="E120" s="318"/>
      <c r="F120" s="318"/>
      <c r="G120" s="318"/>
      <c r="H120" s="318"/>
      <c r="I120" s="318"/>
      <c r="J120" s="318"/>
      <c r="K120" s="318"/>
      <c r="L120" s="318"/>
      <c r="M120" s="318"/>
      <c r="N120" s="318"/>
      <c r="O120" s="318"/>
      <c r="P120" s="318"/>
      <c r="Q120" s="318"/>
      <c r="R120" s="318"/>
      <c r="S120" s="318"/>
      <c r="T120" s="318"/>
      <c r="U120" s="318"/>
      <c r="V120" s="318"/>
      <c r="W120" s="318"/>
      <c r="X120" s="318"/>
      <c r="Y120" s="318"/>
      <c r="Z120" s="318"/>
    </row>
    <row r="121" ht="15.75" customHeight="1">
      <c r="A121" s="318"/>
      <c r="B121" s="318"/>
      <c r="C121" s="318"/>
      <c r="D121" s="318"/>
      <c r="E121" s="318"/>
      <c r="F121" s="318"/>
      <c r="G121" s="318"/>
      <c r="H121" s="318"/>
      <c r="I121" s="318"/>
      <c r="J121" s="318"/>
      <c r="K121" s="318"/>
      <c r="L121" s="318"/>
      <c r="M121" s="318"/>
      <c r="N121" s="318"/>
      <c r="O121" s="318"/>
      <c r="P121" s="318"/>
      <c r="Q121" s="318"/>
      <c r="R121" s="318"/>
      <c r="S121" s="318"/>
      <c r="T121" s="318"/>
      <c r="U121" s="318"/>
      <c r="V121" s="318"/>
      <c r="W121" s="318"/>
      <c r="X121" s="318"/>
      <c r="Y121" s="318"/>
      <c r="Z121" s="318"/>
    </row>
    <row r="122" ht="15.75" customHeight="1">
      <c r="A122" s="318"/>
      <c r="B122" s="318"/>
      <c r="C122" s="318"/>
      <c r="D122" s="318"/>
      <c r="E122" s="318"/>
      <c r="F122" s="318"/>
      <c r="G122" s="318"/>
      <c r="H122" s="318"/>
      <c r="I122" s="318"/>
      <c r="J122" s="318"/>
      <c r="K122" s="318"/>
      <c r="L122" s="318"/>
      <c r="M122" s="318"/>
      <c r="N122" s="318"/>
      <c r="O122" s="318"/>
      <c r="P122" s="318"/>
      <c r="Q122" s="318"/>
      <c r="R122" s="318"/>
      <c r="S122" s="318"/>
      <c r="T122" s="318"/>
      <c r="U122" s="318"/>
      <c r="V122" s="318"/>
      <c r="W122" s="318"/>
      <c r="X122" s="318"/>
      <c r="Y122" s="318"/>
      <c r="Z122" s="318"/>
    </row>
    <row r="123" ht="15.75" customHeight="1">
      <c r="A123" s="318"/>
      <c r="B123" s="318"/>
      <c r="C123" s="318"/>
      <c r="D123" s="318"/>
      <c r="E123" s="318"/>
      <c r="F123" s="318"/>
      <c r="G123" s="318"/>
      <c r="H123" s="318"/>
      <c r="I123" s="318"/>
      <c r="J123" s="318"/>
      <c r="K123" s="318"/>
      <c r="L123" s="318"/>
      <c r="M123" s="318"/>
      <c r="N123" s="318"/>
      <c r="O123" s="318"/>
      <c r="P123" s="318"/>
      <c r="Q123" s="318"/>
      <c r="R123" s="318"/>
      <c r="S123" s="318"/>
      <c r="T123" s="318"/>
      <c r="U123" s="318"/>
      <c r="V123" s="318"/>
      <c r="W123" s="318"/>
      <c r="X123" s="318"/>
      <c r="Y123" s="318"/>
      <c r="Z123" s="318"/>
    </row>
    <row r="124" ht="15.75" customHeight="1">
      <c r="A124" s="318"/>
      <c r="B124" s="318"/>
      <c r="C124" s="318"/>
      <c r="D124" s="318"/>
      <c r="E124" s="318"/>
      <c r="F124" s="318"/>
      <c r="G124" s="318"/>
      <c r="H124" s="318"/>
      <c r="I124" s="318"/>
      <c r="J124" s="318"/>
      <c r="K124" s="318"/>
      <c r="L124" s="318"/>
      <c r="M124" s="318"/>
      <c r="N124" s="318"/>
      <c r="O124" s="318"/>
      <c r="P124" s="318"/>
      <c r="Q124" s="318"/>
      <c r="R124" s="318"/>
      <c r="S124" s="318"/>
      <c r="T124" s="318"/>
      <c r="U124" s="318"/>
      <c r="V124" s="318"/>
      <c r="W124" s="318"/>
      <c r="X124" s="318"/>
      <c r="Y124" s="318"/>
      <c r="Z124" s="318"/>
    </row>
    <row r="125" ht="15.75" customHeight="1">
      <c r="A125" s="318"/>
      <c r="B125" s="318"/>
      <c r="C125" s="318"/>
      <c r="D125" s="318"/>
      <c r="E125" s="318"/>
      <c r="F125" s="318"/>
      <c r="G125" s="318"/>
      <c r="H125" s="318"/>
      <c r="I125" s="318"/>
      <c r="J125" s="318"/>
      <c r="K125" s="318"/>
      <c r="L125" s="318"/>
      <c r="M125" s="318"/>
      <c r="N125" s="318"/>
      <c r="O125" s="318"/>
      <c r="P125" s="318"/>
      <c r="Q125" s="318"/>
      <c r="R125" s="318"/>
      <c r="S125" s="318"/>
      <c r="T125" s="318"/>
      <c r="U125" s="318"/>
      <c r="V125" s="318"/>
      <c r="W125" s="318"/>
      <c r="X125" s="318"/>
      <c r="Y125" s="318"/>
      <c r="Z125" s="318"/>
    </row>
    <row r="126" ht="15.75" customHeight="1">
      <c r="A126" s="318"/>
      <c r="B126" s="318"/>
      <c r="C126" s="318"/>
      <c r="D126" s="318"/>
      <c r="E126" s="318"/>
      <c r="F126" s="318"/>
      <c r="G126" s="318"/>
      <c r="H126" s="318"/>
      <c r="I126" s="318"/>
      <c r="J126" s="318"/>
      <c r="K126" s="318"/>
      <c r="L126" s="318"/>
      <c r="M126" s="318"/>
      <c r="N126" s="318"/>
      <c r="O126" s="318"/>
      <c r="P126" s="318"/>
      <c r="Q126" s="318"/>
      <c r="R126" s="318"/>
      <c r="S126" s="318"/>
      <c r="T126" s="318"/>
      <c r="U126" s="318"/>
      <c r="V126" s="318"/>
      <c r="W126" s="318"/>
      <c r="X126" s="318"/>
      <c r="Y126" s="318"/>
      <c r="Z126" s="318"/>
    </row>
    <row r="127" ht="15.75" customHeight="1">
      <c r="A127" s="318"/>
      <c r="B127" s="318"/>
      <c r="C127" s="318"/>
      <c r="D127" s="318"/>
      <c r="E127" s="318"/>
      <c r="F127" s="318"/>
      <c r="G127" s="318"/>
      <c r="H127" s="318"/>
      <c r="I127" s="318"/>
      <c r="J127" s="318"/>
      <c r="K127" s="318"/>
      <c r="L127" s="318"/>
      <c r="M127" s="318"/>
      <c r="N127" s="318"/>
      <c r="O127" s="318"/>
      <c r="P127" s="318"/>
      <c r="Q127" s="318"/>
      <c r="R127" s="318"/>
      <c r="S127" s="318"/>
      <c r="T127" s="318"/>
      <c r="U127" s="318"/>
      <c r="V127" s="318"/>
      <c r="W127" s="318"/>
      <c r="X127" s="318"/>
      <c r="Y127" s="318"/>
      <c r="Z127" s="318"/>
    </row>
    <row r="128" ht="15.75" customHeight="1">
      <c r="A128" s="318"/>
      <c r="B128" s="318"/>
      <c r="C128" s="318"/>
      <c r="D128" s="318"/>
      <c r="E128" s="318"/>
      <c r="F128" s="318"/>
      <c r="G128" s="318"/>
      <c r="H128" s="318"/>
      <c r="I128" s="318"/>
      <c r="J128" s="318"/>
      <c r="K128" s="318"/>
      <c r="L128" s="318"/>
      <c r="M128" s="318"/>
      <c r="N128" s="318"/>
      <c r="O128" s="318"/>
      <c r="P128" s="318"/>
      <c r="Q128" s="318"/>
      <c r="R128" s="318"/>
      <c r="S128" s="318"/>
      <c r="T128" s="318"/>
      <c r="U128" s="318"/>
      <c r="V128" s="318"/>
      <c r="W128" s="318"/>
      <c r="X128" s="318"/>
      <c r="Y128" s="318"/>
      <c r="Z128" s="318"/>
    </row>
    <row r="129" ht="15.75" customHeight="1">
      <c r="A129" s="318"/>
      <c r="B129" s="318"/>
      <c r="C129" s="318"/>
      <c r="D129" s="318"/>
      <c r="E129" s="318"/>
      <c r="F129" s="318"/>
      <c r="G129" s="318"/>
      <c r="H129" s="318"/>
      <c r="I129" s="318"/>
      <c r="J129" s="318"/>
      <c r="K129" s="318"/>
      <c r="L129" s="318"/>
      <c r="M129" s="318"/>
      <c r="N129" s="318"/>
      <c r="O129" s="318"/>
      <c r="P129" s="318"/>
      <c r="Q129" s="318"/>
      <c r="R129" s="318"/>
      <c r="S129" s="318"/>
      <c r="T129" s="318"/>
      <c r="U129" s="318"/>
      <c r="V129" s="318"/>
      <c r="W129" s="318"/>
      <c r="X129" s="318"/>
      <c r="Y129" s="318"/>
      <c r="Z129" s="318"/>
    </row>
    <row r="130" ht="15.75" customHeight="1">
      <c r="A130" s="318"/>
      <c r="B130" s="318"/>
      <c r="C130" s="318"/>
      <c r="D130" s="318"/>
      <c r="E130" s="318"/>
      <c r="F130" s="318"/>
      <c r="G130" s="318"/>
      <c r="H130" s="318"/>
      <c r="I130" s="318"/>
      <c r="J130" s="318"/>
      <c r="K130" s="318"/>
      <c r="L130" s="318"/>
      <c r="M130" s="318"/>
      <c r="N130" s="318"/>
      <c r="O130" s="318"/>
      <c r="P130" s="318"/>
      <c r="Q130" s="318"/>
      <c r="R130" s="318"/>
      <c r="S130" s="318"/>
      <c r="T130" s="318"/>
      <c r="U130" s="318"/>
      <c r="V130" s="318"/>
      <c r="W130" s="318"/>
      <c r="X130" s="318"/>
      <c r="Y130" s="318"/>
      <c r="Z130" s="318"/>
    </row>
    <row r="131" ht="15.75" customHeight="1">
      <c r="A131" s="318"/>
      <c r="B131" s="318"/>
      <c r="C131" s="318"/>
      <c r="D131" s="318"/>
      <c r="E131" s="318"/>
      <c r="F131" s="318"/>
      <c r="G131" s="318"/>
      <c r="H131" s="318"/>
      <c r="I131" s="318"/>
      <c r="J131" s="318"/>
      <c r="K131" s="318"/>
      <c r="L131" s="318"/>
      <c r="M131" s="318"/>
      <c r="N131" s="318"/>
      <c r="O131" s="318"/>
      <c r="P131" s="318"/>
      <c r="Q131" s="318"/>
      <c r="R131" s="318"/>
      <c r="S131" s="318"/>
      <c r="T131" s="318"/>
      <c r="U131" s="318"/>
      <c r="V131" s="318"/>
      <c r="W131" s="318"/>
      <c r="X131" s="318"/>
      <c r="Y131" s="318"/>
      <c r="Z131" s="318"/>
    </row>
    <row r="132" ht="15.75" customHeight="1">
      <c r="A132" s="318"/>
      <c r="B132" s="318"/>
      <c r="C132" s="318"/>
      <c r="D132" s="318"/>
      <c r="E132" s="318"/>
      <c r="F132" s="318"/>
      <c r="G132" s="318"/>
      <c r="H132" s="318"/>
      <c r="I132" s="318"/>
      <c r="J132" s="318"/>
      <c r="K132" s="318"/>
      <c r="L132" s="318"/>
      <c r="M132" s="318"/>
      <c r="N132" s="318"/>
      <c r="O132" s="318"/>
      <c r="P132" s="318"/>
      <c r="Q132" s="318"/>
      <c r="R132" s="318"/>
      <c r="S132" s="318"/>
      <c r="T132" s="318"/>
      <c r="U132" s="318"/>
      <c r="V132" s="318"/>
      <c r="W132" s="318"/>
      <c r="X132" s="318"/>
      <c r="Y132" s="318"/>
      <c r="Z132" s="318"/>
    </row>
    <row r="133" ht="15.75" customHeight="1">
      <c r="A133" s="318"/>
      <c r="B133" s="318"/>
      <c r="C133" s="318"/>
      <c r="D133" s="318"/>
      <c r="E133" s="318"/>
      <c r="F133" s="318"/>
      <c r="G133" s="318"/>
      <c r="H133" s="318"/>
      <c r="I133" s="318"/>
      <c r="J133" s="318"/>
      <c r="K133" s="318"/>
      <c r="L133" s="318"/>
      <c r="M133" s="318"/>
      <c r="N133" s="318"/>
      <c r="O133" s="318"/>
      <c r="P133" s="318"/>
      <c r="Q133" s="318"/>
      <c r="R133" s="318"/>
      <c r="S133" s="318"/>
      <c r="T133" s="318"/>
      <c r="U133" s="318"/>
      <c r="V133" s="318"/>
      <c r="W133" s="318"/>
      <c r="X133" s="318"/>
      <c r="Y133" s="318"/>
      <c r="Z133" s="318"/>
    </row>
    <row r="134" ht="15.75" customHeight="1">
      <c r="A134" s="318"/>
      <c r="B134" s="318"/>
      <c r="C134" s="318"/>
      <c r="D134" s="318"/>
      <c r="E134" s="318"/>
      <c r="F134" s="318"/>
      <c r="G134" s="318"/>
      <c r="H134" s="318"/>
      <c r="I134" s="318"/>
      <c r="J134" s="318"/>
      <c r="K134" s="318"/>
      <c r="L134" s="318"/>
      <c r="M134" s="318"/>
      <c r="N134" s="318"/>
      <c r="O134" s="318"/>
      <c r="P134" s="318"/>
      <c r="Q134" s="318"/>
      <c r="R134" s="318"/>
      <c r="S134" s="318"/>
      <c r="T134" s="318"/>
      <c r="U134" s="318"/>
      <c r="V134" s="318"/>
      <c r="W134" s="318"/>
      <c r="X134" s="318"/>
      <c r="Y134" s="318"/>
      <c r="Z134" s="318"/>
    </row>
    <row r="135" ht="15.75" customHeight="1">
      <c r="A135" s="318"/>
      <c r="B135" s="318"/>
      <c r="C135" s="318"/>
      <c r="D135" s="318"/>
      <c r="E135" s="318"/>
      <c r="F135" s="318"/>
      <c r="G135" s="318"/>
      <c r="H135" s="318"/>
      <c r="I135" s="318"/>
      <c r="J135" s="318"/>
      <c r="K135" s="318"/>
      <c r="L135" s="318"/>
      <c r="M135" s="318"/>
      <c r="N135" s="318"/>
      <c r="O135" s="318"/>
      <c r="P135" s="318"/>
      <c r="Q135" s="318"/>
      <c r="R135" s="318"/>
      <c r="S135" s="318"/>
      <c r="T135" s="318"/>
      <c r="U135" s="318"/>
      <c r="V135" s="318"/>
      <c r="W135" s="318"/>
      <c r="X135" s="318"/>
      <c r="Y135" s="318"/>
      <c r="Z135" s="318"/>
    </row>
    <row r="136" ht="15.75" customHeight="1">
      <c r="A136" s="318"/>
      <c r="B136" s="318"/>
      <c r="C136" s="318"/>
      <c r="D136" s="318"/>
      <c r="E136" s="318"/>
      <c r="F136" s="318"/>
      <c r="G136" s="318"/>
      <c r="H136" s="318"/>
      <c r="I136" s="318"/>
      <c r="J136" s="318"/>
      <c r="K136" s="318"/>
      <c r="L136" s="318"/>
      <c r="M136" s="318"/>
      <c r="N136" s="318"/>
      <c r="O136" s="318"/>
      <c r="P136" s="318"/>
      <c r="Q136" s="318"/>
      <c r="R136" s="318"/>
      <c r="S136" s="318"/>
      <c r="T136" s="318"/>
      <c r="U136" s="318"/>
      <c r="V136" s="318"/>
      <c r="W136" s="318"/>
      <c r="X136" s="318"/>
      <c r="Y136" s="318"/>
      <c r="Z136" s="318"/>
    </row>
    <row r="137" ht="15.75" customHeight="1">
      <c r="A137" s="318"/>
      <c r="B137" s="318"/>
      <c r="C137" s="318"/>
      <c r="D137" s="318"/>
      <c r="E137" s="318"/>
      <c r="F137" s="318"/>
      <c r="G137" s="318"/>
      <c r="H137" s="318"/>
      <c r="I137" s="318"/>
      <c r="J137" s="318"/>
      <c r="K137" s="318"/>
      <c r="L137" s="318"/>
      <c r="M137" s="318"/>
      <c r="N137" s="318"/>
      <c r="O137" s="318"/>
      <c r="P137" s="318"/>
      <c r="Q137" s="318"/>
      <c r="R137" s="318"/>
      <c r="S137" s="318"/>
      <c r="T137" s="318"/>
      <c r="U137" s="318"/>
      <c r="V137" s="318"/>
      <c r="W137" s="318"/>
      <c r="X137" s="318"/>
      <c r="Y137" s="318"/>
      <c r="Z137" s="318"/>
    </row>
    <row r="138" ht="15.75" customHeight="1">
      <c r="A138" s="318"/>
      <c r="B138" s="318"/>
      <c r="C138" s="318"/>
      <c r="D138" s="318"/>
      <c r="E138" s="318"/>
      <c r="F138" s="318"/>
      <c r="G138" s="318"/>
      <c r="H138" s="318"/>
      <c r="I138" s="318"/>
      <c r="J138" s="318"/>
      <c r="K138" s="318"/>
      <c r="L138" s="318"/>
      <c r="M138" s="318"/>
      <c r="N138" s="318"/>
      <c r="O138" s="318"/>
      <c r="P138" s="318"/>
      <c r="Q138" s="318"/>
      <c r="R138" s="318"/>
      <c r="S138" s="318"/>
      <c r="T138" s="318"/>
      <c r="U138" s="318"/>
      <c r="V138" s="318"/>
      <c r="W138" s="318"/>
      <c r="X138" s="318"/>
      <c r="Y138" s="318"/>
      <c r="Z138" s="318"/>
    </row>
    <row r="139" ht="15.75" customHeight="1">
      <c r="A139" s="318"/>
      <c r="B139" s="318"/>
      <c r="C139" s="318"/>
      <c r="D139" s="318"/>
      <c r="E139" s="318"/>
      <c r="F139" s="318"/>
      <c r="G139" s="318"/>
      <c r="H139" s="318"/>
      <c r="I139" s="318"/>
      <c r="J139" s="318"/>
      <c r="K139" s="318"/>
      <c r="L139" s="318"/>
      <c r="M139" s="318"/>
      <c r="N139" s="318"/>
      <c r="O139" s="318"/>
      <c r="P139" s="318"/>
      <c r="Q139" s="318"/>
      <c r="R139" s="318"/>
      <c r="S139" s="318"/>
      <c r="T139" s="318"/>
      <c r="U139" s="318"/>
      <c r="V139" s="318"/>
      <c r="W139" s="318"/>
      <c r="X139" s="318"/>
      <c r="Y139" s="318"/>
      <c r="Z139" s="318"/>
    </row>
    <row r="140" ht="15.75" customHeight="1">
      <c r="A140" s="318"/>
      <c r="B140" s="318"/>
      <c r="C140" s="318"/>
      <c r="D140" s="318"/>
      <c r="E140" s="318"/>
      <c r="F140" s="318"/>
      <c r="G140" s="318"/>
      <c r="H140" s="318"/>
      <c r="I140" s="318"/>
      <c r="J140" s="318"/>
      <c r="K140" s="318"/>
      <c r="L140" s="318"/>
      <c r="M140" s="318"/>
      <c r="N140" s="318"/>
      <c r="O140" s="318"/>
      <c r="P140" s="318"/>
      <c r="Q140" s="318"/>
      <c r="R140" s="318"/>
      <c r="S140" s="318"/>
      <c r="T140" s="318"/>
      <c r="U140" s="318"/>
      <c r="V140" s="318"/>
      <c r="W140" s="318"/>
      <c r="X140" s="318"/>
      <c r="Y140" s="318"/>
      <c r="Z140" s="318"/>
    </row>
    <row r="141" ht="15.75" customHeight="1">
      <c r="A141" s="318"/>
      <c r="B141" s="318"/>
      <c r="C141" s="318"/>
      <c r="D141" s="318"/>
      <c r="E141" s="318"/>
      <c r="F141" s="318"/>
      <c r="G141" s="318"/>
      <c r="H141" s="318"/>
      <c r="I141" s="318"/>
      <c r="J141" s="318"/>
      <c r="K141" s="318"/>
      <c r="L141" s="318"/>
      <c r="M141" s="318"/>
      <c r="N141" s="318"/>
      <c r="O141" s="318"/>
      <c r="P141" s="318"/>
      <c r="Q141" s="318"/>
      <c r="R141" s="318"/>
      <c r="S141" s="318"/>
      <c r="T141" s="318"/>
      <c r="U141" s="318"/>
      <c r="V141" s="318"/>
      <c r="W141" s="318"/>
      <c r="X141" s="318"/>
      <c r="Y141" s="318"/>
      <c r="Z141" s="318"/>
    </row>
    <row r="142" ht="15.75" customHeight="1">
      <c r="A142" s="318"/>
      <c r="B142" s="318"/>
      <c r="C142" s="318"/>
      <c r="D142" s="318"/>
      <c r="E142" s="318"/>
      <c r="F142" s="318"/>
      <c r="G142" s="318"/>
      <c r="H142" s="318"/>
      <c r="I142" s="318"/>
      <c r="J142" s="318"/>
      <c r="K142" s="318"/>
      <c r="L142" s="318"/>
      <c r="M142" s="318"/>
      <c r="N142" s="318"/>
      <c r="O142" s="318"/>
      <c r="P142" s="318"/>
      <c r="Q142" s="318"/>
      <c r="R142" s="318"/>
      <c r="S142" s="318"/>
      <c r="T142" s="318"/>
      <c r="U142" s="318"/>
      <c r="V142" s="318"/>
      <c r="W142" s="318"/>
      <c r="X142" s="318"/>
      <c r="Y142" s="318"/>
      <c r="Z142" s="318"/>
    </row>
    <row r="143" ht="15.75" customHeight="1">
      <c r="A143" s="318"/>
      <c r="B143" s="318"/>
      <c r="C143" s="318"/>
      <c r="D143" s="318"/>
      <c r="E143" s="318"/>
      <c r="F143" s="318"/>
      <c r="G143" s="318"/>
      <c r="H143" s="318"/>
      <c r="I143" s="318"/>
      <c r="J143" s="318"/>
      <c r="K143" s="318"/>
      <c r="L143" s="318"/>
      <c r="M143" s="318"/>
      <c r="N143" s="318"/>
      <c r="O143" s="318"/>
      <c r="P143" s="318"/>
      <c r="Q143" s="318"/>
      <c r="R143" s="318"/>
      <c r="S143" s="318"/>
      <c r="T143" s="318"/>
      <c r="U143" s="318"/>
      <c r="V143" s="318"/>
      <c r="W143" s="318"/>
      <c r="X143" s="318"/>
      <c r="Y143" s="318"/>
      <c r="Z143" s="318"/>
    </row>
    <row r="144" ht="15.75" customHeight="1">
      <c r="A144" s="318"/>
      <c r="B144" s="318"/>
      <c r="C144" s="318"/>
      <c r="D144" s="318"/>
      <c r="E144" s="318"/>
      <c r="F144" s="318"/>
      <c r="G144" s="318"/>
      <c r="H144" s="318"/>
      <c r="I144" s="318"/>
      <c r="J144" s="318"/>
      <c r="K144" s="318"/>
      <c r="L144" s="318"/>
      <c r="M144" s="318"/>
      <c r="N144" s="318"/>
      <c r="O144" s="318"/>
      <c r="P144" s="318"/>
      <c r="Q144" s="318"/>
      <c r="R144" s="318"/>
      <c r="S144" s="318"/>
      <c r="T144" s="318"/>
      <c r="U144" s="318"/>
      <c r="V144" s="318"/>
      <c r="W144" s="318"/>
      <c r="X144" s="318"/>
      <c r="Y144" s="318"/>
      <c r="Z144" s="318"/>
    </row>
    <row r="145" ht="15.75" customHeight="1">
      <c r="A145" s="318"/>
      <c r="B145" s="318"/>
      <c r="C145" s="318"/>
      <c r="D145" s="318"/>
      <c r="E145" s="318"/>
      <c r="F145" s="318"/>
      <c r="G145" s="318"/>
      <c r="H145" s="318"/>
      <c r="I145" s="318"/>
      <c r="J145" s="318"/>
      <c r="K145" s="318"/>
      <c r="L145" s="318"/>
      <c r="M145" s="318"/>
      <c r="N145" s="318"/>
      <c r="O145" s="318"/>
      <c r="P145" s="318"/>
      <c r="Q145" s="318"/>
      <c r="R145" s="318"/>
      <c r="S145" s="318"/>
      <c r="T145" s="318"/>
      <c r="U145" s="318"/>
      <c r="V145" s="318"/>
      <c r="W145" s="318"/>
      <c r="X145" s="318"/>
      <c r="Y145" s="318"/>
      <c r="Z145" s="318"/>
    </row>
    <row r="146" ht="15.75" customHeight="1">
      <c r="A146" s="318"/>
      <c r="B146" s="318"/>
      <c r="C146" s="318"/>
      <c r="D146" s="318"/>
      <c r="E146" s="318"/>
      <c r="F146" s="318"/>
      <c r="G146" s="318"/>
      <c r="H146" s="318"/>
      <c r="I146" s="318"/>
      <c r="J146" s="318"/>
      <c r="K146" s="318"/>
      <c r="L146" s="318"/>
      <c r="M146" s="318"/>
      <c r="N146" s="318"/>
      <c r="O146" s="318"/>
      <c r="P146" s="318"/>
      <c r="Q146" s="318"/>
      <c r="R146" s="318"/>
      <c r="S146" s="318"/>
      <c r="T146" s="318"/>
      <c r="U146" s="318"/>
      <c r="V146" s="318"/>
      <c r="W146" s="318"/>
      <c r="X146" s="318"/>
      <c r="Y146" s="318"/>
      <c r="Z146" s="318"/>
    </row>
    <row r="147" ht="15.75" customHeight="1">
      <c r="A147" s="318"/>
      <c r="B147" s="318"/>
      <c r="C147" s="318"/>
      <c r="D147" s="318"/>
      <c r="E147" s="318"/>
      <c r="F147" s="318"/>
      <c r="G147" s="318"/>
      <c r="H147" s="318"/>
      <c r="I147" s="318"/>
      <c r="J147" s="318"/>
      <c r="K147" s="318"/>
      <c r="L147" s="318"/>
      <c r="M147" s="318"/>
      <c r="N147" s="318"/>
      <c r="O147" s="318"/>
      <c r="P147" s="318"/>
      <c r="Q147" s="318"/>
      <c r="R147" s="318"/>
      <c r="S147" s="318"/>
      <c r="T147" s="318"/>
      <c r="U147" s="318"/>
      <c r="V147" s="318"/>
      <c r="W147" s="318"/>
      <c r="X147" s="318"/>
      <c r="Y147" s="318"/>
      <c r="Z147" s="318"/>
    </row>
    <row r="148" ht="15.75" customHeight="1">
      <c r="A148" s="318"/>
      <c r="B148" s="318"/>
      <c r="C148" s="318"/>
      <c r="D148" s="318"/>
      <c r="E148" s="318"/>
      <c r="F148" s="318"/>
      <c r="G148" s="318"/>
      <c r="H148" s="318"/>
      <c r="I148" s="318"/>
      <c r="J148" s="318"/>
      <c r="K148" s="318"/>
      <c r="L148" s="318"/>
      <c r="M148" s="318"/>
      <c r="N148" s="318"/>
      <c r="O148" s="318"/>
      <c r="P148" s="318"/>
      <c r="Q148" s="318"/>
      <c r="R148" s="318"/>
      <c r="S148" s="318"/>
      <c r="T148" s="318"/>
      <c r="U148" s="318"/>
      <c r="V148" s="318"/>
      <c r="W148" s="318"/>
      <c r="X148" s="318"/>
      <c r="Y148" s="318"/>
      <c r="Z148" s="318"/>
    </row>
    <row r="149" ht="15.75" customHeight="1">
      <c r="A149" s="318"/>
      <c r="B149" s="318"/>
      <c r="C149" s="318"/>
      <c r="D149" s="318"/>
      <c r="E149" s="318"/>
      <c r="F149" s="318"/>
      <c r="G149" s="318"/>
      <c r="H149" s="318"/>
      <c r="I149" s="318"/>
      <c r="J149" s="318"/>
      <c r="K149" s="318"/>
      <c r="L149" s="318"/>
      <c r="M149" s="318"/>
      <c r="N149" s="318"/>
      <c r="O149" s="318"/>
      <c r="P149" s="318"/>
      <c r="Q149" s="318"/>
      <c r="R149" s="318"/>
      <c r="S149" s="318"/>
      <c r="T149" s="318"/>
      <c r="U149" s="318"/>
      <c r="V149" s="318"/>
      <c r="W149" s="318"/>
      <c r="X149" s="318"/>
      <c r="Y149" s="318"/>
      <c r="Z149" s="318"/>
    </row>
    <row r="150" ht="15.75" customHeight="1">
      <c r="A150" s="318"/>
      <c r="B150" s="318"/>
      <c r="C150" s="318"/>
      <c r="D150" s="318"/>
      <c r="E150" s="318"/>
      <c r="F150" s="318"/>
      <c r="G150" s="318"/>
      <c r="H150" s="318"/>
      <c r="I150" s="318"/>
      <c r="J150" s="318"/>
      <c r="K150" s="318"/>
      <c r="L150" s="318"/>
      <c r="M150" s="318"/>
      <c r="N150" s="318"/>
      <c r="O150" s="318"/>
      <c r="P150" s="318"/>
      <c r="Q150" s="318"/>
      <c r="R150" s="318"/>
      <c r="S150" s="318"/>
      <c r="T150" s="318"/>
      <c r="U150" s="318"/>
      <c r="V150" s="318"/>
      <c r="W150" s="318"/>
      <c r="X150" s="318"/>
      <c r="Y150" s="318"/>
      <c r="Z150" s="318"/>
    </row>
    <row r="151" ht="15.75" customHeight="1">
      <c r="A151" s="318"/>
      <c r="B151" s="318"/>
      <c r="C151" s="318"/>
      <c r="D151" s="318"/>
      <c r="E151" s="318"/>
      <c r="F151" s="318"/>
      <c r="G151" s="318"/>
      <c r="H151" s="318"/>
      <c r="I151" s="318"/>
      <c r="J151" s="318"/>
      <c r="K151" s="318"/>
      <c r="L151" s="318"/>
      <c r="M151" s="318"/>
      <c r="N151" s="318"/>
      <c r="O151" s="318"/>
      <c r="P151" s="318"/>
      <c r="Q151" s="318"/>
      <c r="R151" s="318"/>
      <c r="S151" s="318"/>
      <c r="T151" s="318"/>
      <c r="U151" s="318"/>
      <c r="V151" s="318"/>
      <c r="W151" s="318"/>
      <c r="X151" s="318"/>
      <c r="Y151" s="318"/>
      <c r="Z151" s="318"/>
    </row>
    <row r="152" ht="15.75" customHeight="1">
      <c r="A152" s="318"/>
      <c r="B152" s="318"/>
      <c r="C152" s="318"/>
      <c r="D152" s="318"/>
      <c r="E152" s="318"/>
      <c r="F152" s="318"/>
      <c r="G152" s="318"/>
      <c r="H152" s="318"/>
      <c r="I152" s="318"/>
      <c r="J152" s="318"/>
      <c r="K152" s="318"/>
      <c r="L152" s="318"/>
      <c r="M152" s="318"/>
      <c r="N152" s="318"/>
      <c r="O152" s="318"/>
      <c r="P152" s="318"/>
      <c r="Q152" s="318"/>
      <c r="R152" s="318"/>
      <c r="S152" s="318"/>
      <c r="T152" s="318"/>
      <c r="U152" s="318"/>
      <c r="V152" s="318"/>
      <c r="W152" s="318"/>
      <c r="X152" s="318"/>
      <c r="Y152" s="318"/>
      <c r="Z152" s="318"/>
    </row>
    <row r="153" ht="15.75" customHeight="1">
      <c r="A153" s="318"/>
      <c r="B153" s="318"/>
      <c r="C153" s="318"/>
      <c r="D153" s="318"/>
      <c r="E153" s="318"/>
      <c r="F153" s="318"/>
      <c r="G153" s="318"/>
      <c r="H153" s="318"/>
      <c r="I153" s="318"/>
      <c r="J153" s="318"/>
      <c r="K153" s="318"/>
      <c r="L153" s="318"/>
      <c r="M153" s="318"/>
      <c r="N153" s="318"/>
      <c r="O153" s="318"/>
      <c r="P153" s="318"/>
      <c r="Q153" s="318"/>
      <c r="R153" s="318"/>
      <c r="S153" s="318"/>
      <c r="T153" s="318"/>
      <c r="U153" s="318"/>
      <c r="V153" s="318"/>
      <c r="W153" s="318"/>
      <c r="X153" s="318"/>
      <c r="Y153" s="318"/>
      <c r="Z153" s="318"/>
    </row>
    <row r="154" ht="15.75" customHeight="1">
      <c r="A154" s="318"/>
      <c r="B154" s="318"/>
      <c r="C154" s="318"/>
      <c r="D154" s="318"/>
      <c r="E154" s="318"/>
      <c r="F154" s="318"/>
      <c r="G154" s="318"/>
      <c r="H154" s="318"/>
      <c r="I154" s="318"/>
      <c r="J154" s="318"/>
      <c r="K154" s="318"/>
      <c r="L154" s="318"/>
      <c r="M154" s="318"/>
      <c r="N154" s="318"/>
      <c r="O154" s="318"/>
      <c r="P154" s="318"/>
      <c r="Q154" s="318"/>
      <c r="R154" s="318"/>
      <c r="S154" s="318"/>
      <c r="T154" s="318"/>
      <c r="U154" s="318"/>
      <c r="V154" s="318"/>
      <c r="W154" s="318"/>
      <c r="X154" s="318"/>
      <c r="Y154" s="318"/>
      <c r="Z154" s="318"/>
    </row>
    <row r="155" ht="15.75" customHeight="1">
      <c r="A155" s="318"/>
      <c r="B155" s="318"/>
      <c r="C155" s="318"/>
      <c r="D155" s="318"/>
      <c r="E155" s="318"/>
      <c r="F155" s="318"/>
      <c r="G155" s="318"/>
      <c r="H155" s="318"/>
      <c r="I155" s="318"/>
      <c r="J155" s="318"/>
      <c r="K155" s="318"/>
      <c r="L155" s="318"/>
      <c r="M155" s="318"/>
      <c r="N155" s="318"/>
      <c r="O155" s="318"/>
      <c r="P155" s="318"/>
      <c r="Q155" s="318"/>
      <c r="R155" s="318"/>
      <c r="S155" s="318"/>
      <c r="T155" s="318"/>
      <c r="U155" s="318"/>
      <c r="V155" s="318"/>
      <c r="W155" s="318"/>
      <c r="X155" s="318"/>
      <c r="Y155" s="318"/>
      <c r="Z155" s="318"/>
    </row>
    <row r="156" ht="15.75" customHeight="1">
      <c r="A156" s="318"/>
      <c r="B156" s="318"/>
      <c r="C156" s="318"/>
      <c r="D156" s="318"/>
      <c r="E156" s="318"/>
      <c r="F156" s="318"/>
      <c r="G156" s="318"/>
      <c r="H156" s="318"/>
      <c r="I156" s="318"/>
      <c r="J156" s="318"/>
      <c r="K156" s="318"/>
      <c r="L156" s="318"/>
      <c r="M156" s="318"/>
      <c r="N156" s="318"/>
      <c r="O156" s="318"/>
      <c r="P156" s="318"/>
      <c r="Q156" s="318"/>
      <c r="R156" s="318"/>
      <c r="S156" s="318"/>
      <c r="T156" s="318"/>
      <c r="U156" s="318"/>
      <c r="V156" s="318"/>
      <c r="W156" s="318"/>
      <c r="X156" s="318"/>
      <c r="Y156" s="318"/>
      <c r="Z156" s="318"/>
    </row>
    <row r="157" ht="15.75" customHeight="1">
      <c r="A157" s="318"/>
      <c r="B157" s="318"/>
      <c r="C157" s="318"/>
      <c r="D157" s="318"/>
      <c r="E157" s="318"/>
      <c r="F157" s="318"/>
      <c r="G157" s="318"/>
      <c r="H157" s="318"/>
      <c r="I157" s="318"/>
      <c r="J157" s="318"/>
      <c r="K157" s="318"/>
      <c r="L157" s="318"/>
      <c r="M157" s="318"/>
      <c r="N157" s="318"/>
      <c r="O157" s="318"/>
      <c r="P157" s="318"/>
      <c r="Q157" s="318"/>
      <c r="R157" s="318"/>
      <c r="S157" s="318"/>
      <c r="T157" s="318"/>
      <c r="U157" s="318"/>
      <c r="V157" s="318"/>
      <c r="W157" s="318"/>
      <c r="X157" s="318"/>
      <c r="Y157" s="318"/>
      <c r="Z157" s="318"/>
    </row>
    <row r="158" ht="15.75" customHeight="1">
      <c r="A158" s="318"/>
      <c r="B158" s="318"/>
      <c r="C158" s="318"/>
      <c r="D158" s="318"/>
      <c r="E158" s="318"/>
      <c r="F158" s="318"/>
      <c r="G158" s="318"/>
      <c r="H158" s="318"/>
      <c r="I158" s="318"/>
      <c r="J158" s="318"/>
      <c r="K158" s="318"/>
      <c r="L158" s="318"/>
      <c r="M158" s="318"/>
      <c r="N158" s="318"/>
      <c r="O158" s="318"/>
      <c r="P158" s="318"/>
      <c r="Q158" s="318"/>
      <c r="R158" s="318"/>
      <c r="S158" s="318"/>
      <c r="T158" s="318"/>
      <c r="U158" s="318"/>
      <c r="V158" s="318"/>
      <c r="W158" s="318"/>
      <c r="X158" s="318"/>
      <c r="Y158" s="318"/>
      <c r="Z158" s="318"/>
    </row>
    <row r="159" ht="15.75" customHeight="1">
      <c r="A159" s="318"/>
      <c r="B159" s="318"/>
      <c r="C159" s="318"/>
      <c r="D159" s="318"/>
      <c r="E159" s="318"/>
      <c r="F159" s="318"/>
      <c r="G159" s="318"/>
      <c r="H159" s="318"/>
      <c r="I159" s="318"/>
      <c r="J159" s="318"/>
      <c r="K159" s="318"/>
      <c r="L159" s="318"/>
      <c r="M159" s="318"/>
      <c r="N159" s="318"/>
      <c r="O159" s="318"/>
      <c r="P159" s="318"/>
      <c r="Q159" s="318"/>
      <c r="R159" s="318"/>
      <c r="S159" s="318"/>
      <c r="T159" s="318"/>
      <c r="U159" s="318"/>
      <c r="V159" s="318"/>
      <c r="W159" s="318"/>
      <c r="X159" s="318"/>
      <c r="Y159" s="318"/>
      <c r="Z159" s="318"/>
    </row>
    <row r="160" ht="15.75" customHeight="1">
      <c r="A160" s="318"/>
      <c r="B160" s="318"/>
      <c r="C160" s="318"/>
      <c r="D160" s="318"/>
      <c r="E160" s="318"/>
      <c r="F160" s="318"/>
      <c r="G160" s="318"/>
      <c r="H160" s="318"/>
      <c r="I160" s="318"/>
      <c r="J160" s="318"/>
      <c r="K160" s="318"/>
      <c r="L160" s="318"/>
      <c r="M160" s="318"/>
      <c r="N160" s="318"/>
      <c r="O160" s="318"/>
      <c r="P160" s="318"/>
      <c r="Q160" s="318"/>
      <c r="R160" s="318"/>
      <c r="S160" s="318"/>
      <c r="T160" s="318"/>
      <c r="U160" s="318"/>
      <c r="V160" s="318"/>
      <c r="W160" s="318"/>
      <c r="X160" s="318"/>
      <c r="Y160" s="318"/>
      <c r="Z160" s="318"/>
    </row>
    <row r="161" ht="15.75" customHeight="1">
      <c r="A161" s="318"/>
      <c r="B161" s="318"/>
      <c r="C161" s="318"/>
      <c r="D161" s="318"/>
      <c r="E161" s="318"/>
      <c r="F161" s="318"/>
      <c r="G161" s="318"/>
      <c r="H161" s="318"/>
      <c r="I161" s="318"/>
      <c r="J161" s="318"/>
      <c r="K161" s="318"/>
      <c r="L161" s="318"/>
      <c r="M161" s="318"/>
      <c r="N161" s="318"/>
      <c r="O161" s="318"/>
      <c r="P161" s="318"/>
      <c r="Q161" s="318"/>
      <c r="R161" s="318"/>
      <c r="S161" s="318"/>
      <c r="T161" s="318"/>
      <c r="U161" s="318"/>
      <c r="V161" s="318"/>
      <c r="W161" s="318"/>
      <c r="X161" s="318"/>
      <c r="Y161" s="318"/>
      <c r="Z161" s="318"/>
    </row>
    <row r="162" ht="15.75" customHeight="1">
      <c r="A162" s="318"/>
      <c r="B162" s="318"/>
      <c r="C162" s="318"/>
      <c r="D162" s="318"/>
      <c r="E162" s="318"/>
      <c r="F162" s="318"/>
      <c r="G162" s="318"/>
      <c r="H162" s="318"/>
      <c r="I162" s="318"/>
      <c r="J162" s="318"/>
      <c r="K162" s="318"/>
      <c r="L162" s="318"/>
      <c r="M162" s="318"/>
      <c r="N162" s="318"/>
      <c r="O162" s="318"/>
      <c r="P162" s="318"/>
      <c r="Q162" s="318"/>
      <c r="R162" s="318"/>
      <c r="S162" s="318"/>
      <c r="T162" s="318"/>
      <c r="U162" s="318"/>
      <c r="V162" s="318"/>
      <c r="W162" s="318"/>
      <c r="X162" s="318"/>
      <c r="Y162" s="318"/>
      <c r="Z162" s="318"/>
    </row>
    <row r="163" ht="15.75" customHeight="1">
      <c r="A163" s="318"/>
      <c r="B163" s="318"/>
      <c r="C163" s="318"/>
      <c r="D163" s="318"/>
      <c r="E163" s="318"/>
      <c r="F163" s="318"/>
      <c r="G163" s="318"/>
      <c r="H163" s="318"/>
      <c r="I163" s="318"/>
      <c r="J163" s="318"/>
      <c r="K163" s="318"/>
      <c r="L163" s="318"/>
      <c r="M163" s="318"/>
      <c r="N163" s="318"/>
      <c r="O163" s="318"/>
      <c r="P163" s="318"/>
      <c r="Q163" s="318"/>
      <c r="R163" s="318"/>
      <c r="S163" s="318"/>
      <c r="T163" s="318"/>
      <c r="U163" s="318"/>
      <c r="V163" s="318"/>
      <c r="W163" s="318"/>
      <c r="X163" s="318"/>
      <c r="Y163" s="318"/>
      <c r="Z163" s="318"/>
    </row>
    <row r="164" ht="15.75" customHeight="1">
      <c r="A164" s="318"/>
      <c r="B164" s="318"/>
      <c r="C164" s="318"/>
      <c r="D164" s="318"/>
      <c r="E164" s="318"/>
      <c r="F164" s="318"/>
      <c r="G164" s="318"/>
      <c r="H164" s="318"/>
      <c r="I164" s="318"/>
      <c r="J164" s="318"/>
      <c r="K164" s="318"/>
      <c r="L164" s="318"/>
      <c r="M164" s="318"/>
      <c r="N164" s="318"/>
      <c r="O164" s="318"/>
      <c r="P164" s="318"/>
      <c r="Q164" s="318"/>
      <c r="R164" s="318"/>
      <c r="S164" s="318"/>
      <c r="T164" s="318"/>
      <c r="U164" s="318"/>
      <c r="V164" s="318"/>
      <c r="W164" s="318"/>
      <c r="X164" s="318"/>
      <c r="Y164" s="318"/>
      <c r="Z164" s="318"/>
    </row>
    <row r="165" ht="15.75" customHeight="1">
      <c r="A165" s="318"/>
      <c r="B165" s="318"/>
      <c r="C165" s="318"/>
      <c r="D165" s="318"/>
      <c r="E165" s="318"/>
      <c r="F165" s="318"/>
      <c r="G165" s="318"/>
      <c r="H165" s="318"/>
      <c r="I165" s="318"/>
      <c r="J165" s="318"/>
      <c r="K165" s="318"/>
      <c r="L165" s="318"/>
      <c r="M165" s="318"/>
      <c r="N165" s="318"/>
      <c r="O165" s="318"/>
      <c r="P165" s="318"/>
      <c r="Q165" s="318"/>
      <c r="R165" s="318"/>
      <c r="S165" s="318"/>
      <c r="T165" s="318"/>
      <c r="U165" s="318"/>
      <c r="V165" s="318"/>
      <c r="W165" s="318"/>
      <c r="X165" s="318"/>
      <c r="Y165" s="318"/>
      <c r="Z165" s="318"/>
    </row>
    <row r="166" ht="15.75" customHeight="1">
      <c r="A166" s="318"/>
      <c r="B166" s="318"/>
      <c r="C166" s="318"/>
      <c r="D166" s="318"/>
      <c r="E166" s="318"/>
      <c r="F166" s="318"/>
      <c r="G166" s="318"/>
      <c r="H166" s="318"/>
      <c r="I166" s="318"/>
      <c r="J166" s="318"/>
      <c r="K166" s="318"/>
      <c r="L166" s="318"/>
      <c r="M166" s="318"/>
      <c r="N166" s="318"/>
      <c r="O166" s="318"/>
      <c r="P166" s="318"/>
      <c r="Q166" s="318"/>
      <c r="R166" s="318"/>
      <c r="S166" s="318"/>
      <c r="T166" s="318"/>
      <c r="U166" s="318"/>
      <c r="V166" s="318"/>
      <c r="W166" s="318"/>
      <c r="X166" s="318"/>
      <c r="Y166" s="318"/>
      <c r="Z166" s="318"/>
    </row>
    <row r="167" ht="15.75" customHeight="1">
      <c r="A167" s="318"/>
      <c r="B167" s="318"/>
      <c r="C167" s="318"/>
      <c r="D167" s="318"/>
      <c r="E167" s="318"/>
      <c r="F167" s="318"/>
      <c r="G167" s="318"/>
      <c r="H167" s="318"/>
      <c r="I167" s="318"/>
      <c r="J167" s="318"/>
      <c r="K167" s="318"/>
      <c r="L167" s="318"/>
      <c r="M167" s="318"/>
      <c r="N167" s="318"/>
      <c r="O167" s="318"/>
      <c r="P167" s="318"/>
      <c r="Q167" s="318"/>
      <c r="R167" s="318"/>
      <c r="S167" s="318"/>
      <c r="T167" s="318"/>
      <c r="U167" s="318"/>
      <c r="V167" s="318"/>
      <c r="W167" s="318"/>
      <c r="X167" s="318"/>
      <c r="Y167" s="318"/>
      <c r="Z167" s="318"/>
    </row>
    <row r="168" ht="15.75" customHeight="1">
      <c r="A168" s="318"/>
      <c r="B168" s="318"/>
      <c r="C168" s="318"/>
      <c r="D168" s="318"/>
      <c r="E168" s="318"/>
      <c r="F168" s="318"/>
      <c r="G168" s="318"/>
      <c r="H168" s="318"/>
      <c r="I168" s="318"/>
      <c r="J168" s="318"/>
      <c r="K168" s="318"/>
      <c r="L168" s="318"/>
      <c r="M168" s="318"/>
      <c r="N168" s="318"/>
      <c r="O168" s="318"/>
      <c r="P168" s="318"/>
      <c r="Q168" s="318"/>
      <c r="R168" s="318"/>
      <c r="S168" s="318"/>
      <c r="T168" s="318"/>
      <c r="U168" s="318"/>
      <c r="V168" s="318"/>
      <c r="W168" s="318"/>
      <c r="X168" s="318"/>
      <c r="Y168" s="318"/>
      <c r="Z168" s="318"/>
    </row>
    <row r="169" ht="15.75" customHeight="1">
      <c r="A169" s="318"/>
      <c r="B169" s="318"/>
      <c r="C169" s="318"/>
      <c r="D169" s="318"/>
      <c r="E169" s="318"/>
      <c r="F169" s="318"/>
      <c r="G169" s="318"/>
      <c r="H169" s="318"/>
      <c r="I169" s="318"/>
      <c r="J169" s="318"/>
      <c r="K169" s="318"/>
      <c r="L169" s="318"/>
      <c r="M169" s="318"/>
      <c r="N169" s="318"/>
      <c r="O169" s="318"/>
      <c r="P169" s="318"/>
      <c r="Q169" s="318"/>
      <c r="R169" s="318"/>
      <c r="S169" s="318"/>
      <c r="T169" s="318"/>
      <c r="U169" s="318"/>
      <c r="V169" s="318"/>
      <c r="W169" s="318"/>
      <c r="X169" s="318"/>
      <c r="Y169" s="318"/>
      <c r="Z169" s="318"/>
    </row>
    <row r="170" ht="15.75" customHeight="1">
      <c r="A170" s="318"/>
      <c r="B170" s="318"/>
      <c r="C170" s="318"/>
      <c r="D170" s="318"/>
      <c r="E170" s="318"/>
      <c r="F170" s="318"/>
      <c r="G170" s="318"/>
      <c r="H170" s="318"/>
      <c r="I170" s="318"/>
      <c r="J170" s="318"/>
      <c r="K170" s="318"/>
      <c r="L170" s="318"/>
      <c r="M170" s="318"/>
      <c r="N170" s="318"/>
      <c r="O170" s="318"/>
      <c r="P170" s="318"/>
      <c r="Q170" s="318"/>
      <c r="R170" s="318"/>
      <c r="S170" s="318"/>
      <c r="T170" s="318"/>
      <c r="U170" s="318"/>
      <c r="V170" s="318"/>
      <c r="W170" s="318"/>
      <c r="X170" s="318"/>
      <c r="Y170" s="318"/>
      <c r="Z170" s="318"/>
    </row>
    <row r="171" ht="15.75" customHeight="1">
      <c r="A171" s="318"/>
      <c r="B171" s="318"/>
      <c r="C171" s="318"/>
      <c r="D171" s="318"/>
      <c r="E171" s="318"/>
      <c r="F171" s="318"/>
      <c r="G171" s="318"/>
      <c r="H171" s="318"/>
      <c r="I171" s="318"/>
      <c r="J171" s="318"/>
      <c r="K171" s="318"/>
      <c r="L171" s="318"/>
      <c r="M171" s="318"/>
      <c r="N171" s="318"/>
      <c r="O171" s="318"/>
      <c r="P171" s="318"/>
      <c r="Q171" s="318"/>
      <c r="R171" s="318"/>
      <c r="S171" s="318"/>
      <c r="T171" s="318"/>
      <c r="U171" s="318"/>
      <c r="V171" s="318"/>
      <c r="W171" s="318"/>
      <c r="X171" s="318"/>
      <c r="Y171" s="318"/>
      <c r="Z171" s="318"/>
    </row>
    <row r="172" ht="15.75" customHeight="1">
      <c r="A172" s="318"/>
      <c r="B172" s="318"/>
      <c r="C172" s="318"/>
      <c r="D172" s="318"/>
      <c r="E172" s="318"/>
      <c r="F172" s="318"/>
      <c r="G172" s="318"/>
      <c r="H172" s="318"/>
      <c r="I172" s="318"/>
      <c r="J172" s="318"/>
      <c r="K172" s="318"/>
      <c r="L172" s="318"/>
      <c r="M172" s="318"/>
      <c r="N172" s="318"/>
      <c r="O172" s="318"/>
      <c r="P172" s="318"/>
      <c r="Q172" s="318"/>
      <c r="R172" s="318"/>
      <c r="S172" s="318"/>
      <c r="T172" s="318"/>
      <c r="U172" s="318"/>
      <c r="V172" s="318"/>
      <c r="W172" s="318"/>
      <c r="X172" s="318"/>
      <c r="Y172" s="318"/>
      <c r="Z172" s="318"/>
    </row>
    <row r="173" ht="15.75" customHeight="1">
      <c r="A173" s="318"/>
      <c r="B173" s="318"/>
      <c r="C173" s="318"/>
      <c r="D173" s="318"/>
      <c r="E173" s="318"/>
      <c r="F173" s="318"/>
      <c r="G173" s="318"/>
      <c r="H173" s="318"/>
      <c r="I173" s="318"/>
      <c r="J173" s="318"/>
      <c r="K173" s="318"/>
      <c r="L173" s="318"/>
      <c r="M173" s="318"/>
      <c r="N173" s="318"/>
      <c r="O173" s="318"/>
      <c r="P173" s="318"/>
      <c r="Q173" s="318"/>
      <c r="R173" s="318"/>
      <c r="S173" s="318"/>
      <c r="T173" s="318"/>
      <c r="U173" s="318"/>
      <c r="V173" s="318"/>
      <c r="W173" s="318"/>
      <c r="X173" s="318"/>
      <c r="Y173" s="318"/>
      <c r="Z173" s="318"/>
    </row>
    <row r="174" ht="15.75" customHeight="1">
      <c r="A174" s="318"/>
      <c r="B174" s="318"/>
      <c r="C174" s="318"/>
      <c r="D174" s="318"/>
      <c r="E174" s="318"/>
      <c r="F174" s="318"/>
      <c r="G174" s="318"/>
      <c r="H174" s="318"/>
      <c r="I174" s="318"/>
      <c r="J174" s="318"/>
      <c r="K174" s="318"/>
      <c r="L174" s="318"/>
      <c r="M174" s="318"/>
      <c r="N174" s="318"/>
      <c r="O174" s="318"/>
      <c r="P174" s="318"/>
      <c r="Q174" s="318"/>
      <c r="R174" s="318"/>
      <c r="S174" s="318"/>
      <c r="T174" s="318"/>
      <c r="U174" s="318"/>
      <c r="V174" s="318"/>
      <c r="W174" s="318"/>
      <c r="X174" s="318"/>
      <c r="Y174" s="318"/>
      <c r="Z174" s="318"/>
    </row>
    <row r="175" ht="15.75" customHeight="1">
      <c r="A175" s="318"/>
      <c r="B175" s="318"/>
      <c r="C175" s="318"/>
      <c r="D175" s="318"/>
      <c r="E175" s="318"/>
      <c r="F175" s="318"/>
      <c r="G175" s="318"/>
      <c r="H175" s="318"/>
      <c r="I175" s="318"/>
      <c r="J175" s="318"/>
      <c r="K175" s="318"/>
      <c r="L175" s="318"/>
      <c r="M175" s="318"/>
      <c r="N175" s="318"/>
      <c r="O175" s="318"/>
      <c r="P175" s="318"/>
      <c r="Q175" s="318"/>
      <c r="R175" s="318"/>
      <c r="S175" s="318"/>
      <c r="T175" s="318"/>
      <c r="U175" s="318"/>
      <c r="V175" s="318"/>
      <c r="W175" s="318"/>
      <c r="X175" s="318"/>
      <c r="Y175" s="318"/>
      <c r="Z175" s="318"/>
    </row>
    <row r="176" ht="15.75" customHeight="1">
      <c r="A176" s="318"/>
      <c r="B176" s="318"/>
      <c r="C176" s="318"/>
      <c r="D176" s="318"/>
      <c r="E176" s="318"/>
      <c r="F176" s="318"/>
      <c r="G176" s="318"/>
      <c r="H176" s="318"/>
      <c r="I176" s="318"/>
      <c r="J176" s="318"/>
      <c r="K176" s="318"/>
      <c r="L176" s="318"/>
      <c r="M176" s="318"/>
      <c r="N176" s="318"/>
      <c r="O176" s="318"/>
      <c r="P176" s="318"/>
      <c r="Q176" s="318"/>
      <c r="R176" s="318"/>
      <c r="S176" s="318"/>
      <c r="T176" s="318"/>
      <c r="U176" s="318"/>
      <c r="V176" s="318"/>
      <c r="W176" s="318"/>
      <c r="X176" s="318"/>
      <c r="Y176" s="318"/>
      <c r="Z176" s="318"/>
    </row>
    <row r="177" ht="15.75" customHeight="1">
      <c r="A177" s="318"/>
      <c r="B177" s="318"/>
      <c r="C177" s="318"/>
      <c r="D177" s="318"/>
      <c r="E177" s="318"/>
      <c r="F177" s="318"/>
      <c r="G177" s="318"/>
      <c r="H177" s="318"/>
      <c r="I177" s="318"/>
      <c r="J177" s="318"/>
      <c r="K177" s="318"/>
      <c r="L177" s="318"/>
      <c r="M177" s="318"/>
      <c r="N177" s="318"/>
      <c r="O177" s="318"/>
      <c r="P177" s="318"/>
      <c r="Q177" s="318"/>
      <c r="R177" s="318"/>
      <c r="S177" s="318"/>
      <c r="T177" s="318"/>
      <c r="U177" s="318"/>
      <c r="V177" s="318"/>
      <c r="W177" s="318"/>
      <c r="X177" s="318"/>
      <c r="Y177" s="318"/>
      <c r="Z177" s="318"/>
    </row>
    <row r="178" ht="15.75" customHeight="1">
      <c r="A178" s="318"/>
      <c r="B178" s="318"/>
      <c r="C178" s="318"/>
      <c r="D178" s="318"/>
      <c r="E178" s="318"/>
      <c r="F178" s="318"/>
      <c r="G178" s="318"/>
      <c r="H178" s="318"/>
      <c r="I178" s="318"/>
      <c r="J178" s="318"/>
      <c r="K178" s="318"/>
      <c r="L178" s="318"/>
      <c r="M178" s="318"/>
      <c r="N178" s="318"/>
      <c r="O178" s="318"/>
      <c r="P178" s="318"/>
      <c r="Q178" s="318"/>
      <c r="R178" s="318"/>
      <c r="S178" s="318"/>
      <c r="T178" s="318"/>
      <c r="U178" s="318"/>
      <c r="V178" s="318"/>
      <c r="W178" s="318"/>
      <c r="X178" s="318"/>
      <c r="Y178" s="318"/>
      <c r="Z178" s="318"/>
    </row>
    <row r="179" ht="15.75" customHeight="1">
      <c r="A179" s="318"/>
      <c r="B179" s="318"/>
      <c r="C179" s="318"/>
      <c r="D179" s="318"/>
      <c r="E179" s="318"/>
      <c r="F179" s="318"/>
      <c r="G179" s="318"/>
      <c r="H179" s="318"/>
      <c r="I179" s="318"/>
      <c r="J179" s="318"/>
      <c r="K179" s="318"/>
      <c r="L179" s="318"/>
      <c r="M179" s="318"/>
      <c r="N179" s="318"/>
      <c r="O179" s="318"/>
      <c r="P179" s="318"/>
      <c r="Q179" s="318"/>
      <c r="R179" s="318"/>
      <c r="S179" s="318"/>
      <c r="T179" s="318"/>
      <c r="U179" s="318"/>
      <c r="V179" s="318"/>
      <c r="W179" s="318"/>
      <c r="X179" s="318"/>
      <c r="Y179" s="318"/>
      <c r="Z179" s="318"/>
    </row>
    <row r="180" ht="15.75" customHeight="1">
      <c r="A180" s="318"/>
      <c r="B180" s="318"/>
      <c r="C180" s="318"/>
      <c r="D180" s="318"/>
      <c r="E180" s="318"/>
      <c r="F180" s="318"/>
      <c r="G180" s="318"/>
      <c r="H180" s="318"/>
      <c r="I180" s="318"/>
      <c r="J180" s="318"/>
      <c r="K180" s="318"/>
      <c r="L180" s="318"/>
      <c r="M180" s="318"/>
      <c r="N180" s="318"/>
      <c r="O180" s="318"/>
      <c r="P180" s="318"/>
      <c r="Q180" s="318"/>
      <c r="R180" s="318"/>
      <c r="S180" s="318"/>
      <c r="T180" s="318"/>
      <c r="U180" s="318"/>
      <c r="V180" s="318"/>
      <c r="W180" s="318"/>
      <c r="X180" s="318"/>
      <c r="Y180" s="318"/>
      <c r="Z180" s="318"/>
    </row>
    <row r="181" ht="15.75" customHeight="1">
      <c r="A181" s="318"/>
      <c r="B181" s="318"/>
      <c r="C181" s="318"/>
      <c r="D181" s="318"/>
      <c r="E181" s="318"/>
      <c r="F181" s="318"/>
      <c r="G181" s="318"/>
      <c r="H181" s="318"/>
      <c r="I181" s="318"/>
      <c r="J181" s="318"/>
      <c r="K181" s="318"/>
      <c r="L181" s="318"/>
      <c r="M181" s="318"/>
      <c r="N181" s="318"/>
      <c r="O181" s="318"/>
      <c r="P181" s="318"/>
      <c r="Q181" s="318"/>
      <c r="R181" s="318"/>
      <c r="S181" s="318"/>
      <c r="T181" s="318"/>
      <c r="U181" s="318"/>
      <c r="V181" s="318"/>
      <c r="W181" s="318"/>
      <c r="X181" s="318"/>
      <c r="Y181" s="318"/>
      <c r="Z181" s="318"/>
    </row>
    <row r="182" ht="15.75" customHeight="1">
      <c r="A182" s="318"/>
      <c r="B182" s="318"/>
      <c r="C182" s="318"/>
      <c r="D182" s="318"/>
      <c r="E182" s="318"/>
      <c r="F182" s="318"/>
      <c r="G182" s="318"/>
      <c r="H182" s="318"/>
      <c r="I182" s="318"/>
      <c r="J182" s="318"/>
      <c r="K182" s="318"/>
      <c r="L182" s="318"/>
      <c r="M182" s="318"/>
      <c r="N182" s="318"/>
      <c r="O182" s="318"/>
      <c r="P182" s="318"/>
      <c r="Q182" s="318"/>
      <c r="R182" s="318"/>
      <c r="S182" s="318"/>
      <c r="T182" s="318"/>
      <c r="U182" s="318"/>
      <c r="V182" s="318"/>
      <c r="W182" s="318"/>
      <c r="X182" s="318"/>
      <c r="Y182" s="318"/>
      <c r="Z182" s="318"/>
    </row>
    <row r="183" ht="15.75" customHeight="1">
      <c r="A183" s="318"/>
      <c r="B183" s="318"/>
      <c r="C183" s="318"/>
      <c r="D183" s="318"/>
      <c r="E183" s="318"/>
      <c r="F183" s="318"/>
      <c r="G183" s="318"/>
      <c r="H183" s="318"/>
      <c r="I183" s="318"/>
      <c r="J183" s="318"/>
      <c r="K183" s="318"/>
      <c r="L183" s="318"/>
      <c r="M183" s="318"/>
      <c r="N183" s="318"/>
      <c r="O183" s="318"/>
      <c r="P183" s="318"/>
      <c r="Q183" s="318"/>
      <c r="R183" s="318"/>
      <c r="S183" s="318"/>
      <c r="T183" s="318"/>
      <c r="U183" s="318"/>
      <c r="V183" s="318"/>
      <c r="W183" s="318"/>
      <c r="X183" s="318"/>
      <c r="Y183" s="318"/>
      <c r="Z183" s="318"/>
    </row>
    <row r="184" ht="15.75" customHeight="1">
      <c r="A184" s="318"/>
      <c r="B184" s="318"/>
      <c r="C184" s="318"/>
      <c r="D184" s="318"/>
      <c r="E184" s="318"/>
      <c r="F184" s="318"/>
      <c r="G184" s="318"/>
      <c r="H184" s="318"/>
      <c r="I184" s="318"/>
      <c r="J184" s="318"/>
      <c r="K184" s="318"/>
      <c r="L184" s="318"/>
      <c r="M184" s="318"/>
      <c r="N184" s="318"/>
      <c r="O184" s="318"/>
      <c r="P184" s="318"/>
      <c r="Q184" s="318"/>
      <c r="R184" s="318"/>
      <c r="S184" s="318"/>
      <c r="T184" s="318"/>
      <c r="U184" s="318"/>
      <c r="V184" s="318"/>
      <c r="W184" s="318"/>
      <c r="X184" s="318"/>
      <c r="Y184" s="318"/>
      <c r="Z184" s="318"/>
    </row>
    <row r="185" ht="15.75" customHeight="1">
      <c r="A185" s="318"/>
      <c r="B185" s="318"/>
      <c r="C185" s="318"/>
      <c r="D185" s="318"/>
      <c r="E185" s="318"/>
      <c r="F185" s="318"/>
      <c r="G185" s="318"/>
      <c r="H185" s="318"/>
      <c r="I185" s="318"/>
      <c r="J185" s="318"/>
      <c r="K185" s="318"/>
      <c r="L185" s="318"/>
      <c r="M185" s="318"/>
      <c r="N185" s="318"/>
      <c r="O185" s="318"/>
      <c r="P185" s="318"/>
      <c r="Q185" s="318"/>
      <c r="R185" s="318"/>
      <c r="S185" s="318"/>
      <c r="T185" s="318"/>
      <c r="U185" s="318"/>
      <c r="V185" s="318"/>
      <c r="W185" s="318"/>
      <c r="X185" s="318"/>
      <c r="Y185" s="318"/>
      <c r="Z185" s="318"/>
    </row>
    <row r="186" ht="15.75" customHeight="1">
      <c r="A186" s="318"/>
      <c r="B186" s="318"/>
      <c r="C186" s="318"/>
      <c r="D186" s="318"/>
      <c r="E186" s="318"/>
      <c r="F186" s="318"/>
      <c r="G186" s="318"/>
      <c r="H186" s="318"/>
      <c r="I186" s="318"/>
      <c r="J186" s="318"/>
      <c r="K186" s="318"/>
      <c r="L186" s="318"/>
      <c r="M186" s="318"/>
      <c r="N186" s="318"/>
      <c r="O186" s="318"/>
      <c r="P186" s="318"/>
      <c r="Q186" s="318"/>
      <c r="R186" s="318"/>
      <c r="S186" s="318"/>
      <c r="T186" s="318"/>
      <c r="U186" s="318"/>
      <c r="V186" s="318"/>
      <c r="W186" s="318"/>
      <c r="X186" s="318"/>
      <c r="Y186" s="318"/>
      <c r="Z186" s="318"/>
    </row>
    <row r="187" ht="15.75" customHeight="1">
      <c r="A187" s="318"/>
      <c r="B187" s="318"/>
      <c r="C187" s="318"/>
      <c r="D187" s="318"/>
      <c r="E187" s="318"/>
      <c r="F187" s="318"/>
      <c r="G187" s="318"/>
      <c r="H187" s="318"/>
      <c r="I187" s="318"/>
      <c r="J187" s="318"/>
      <c r="K187" s="318"/>
      <c r="L187" s="318"/>
      <c r="M187" s="318"/>
      <c r="N187" s="318"/>
      <c r="O187" s="318"/>
      <c r="P187" s="318"/>
      <c r="Q187" s="318"/>
      <c r="R187" s="318"/>
      <c r="S187" s="318"/>
      <c r="T187" s="318"/>
      <c r="U187" s="318"/>
      <c r="V187" s="318"/>
      <c r="W187" s="318"/>
      <c r="X187" s="318"/>
      <c r="Y187" s="318"/>
      <c r="Z187" s="318"/>
    </row>
    <row r="188" ht="15.75" customHeight="1">
      <c r="A188" s="318"/>
      <c r="B188" s="318"/>
      <c r="C188" s="318"/>
      <c r="D188" s="318"/>
      <c r="E188" s="318"/>
      <c r="F188" s="318"/>
      <c r="G188" s="318"/>
      <c r="H188" s="318"/>
      <c r="I188" s="318"/>
      <c r="J188" s="318"/>
      <c r="K188" s="318"/>
      <c r="L188" s="318"/>
      <c r="M188" s="318"/>
      <c r="N188" s="318"/>
      <c r="O188" s="318"/>
      <c r="P188" s="318"/>
      <c r="Q188" s="318"/>
      <c r="R188" s="318"/>
      <c r="S188" s="318"/>
      <c r="T188" s="318"/>
      <c r="U188" s="318"/>
      <c r="V188" s="318"/>
      <c r="W188" s="318"/>
      <c r="X188" s="318"/>
      <c r="Y188" s="318"/>
      <c r="Z188" s="318"/>
    </row>
    <row r="189" ht="15.75" customHeight="1">
      <c r="A189" s="318"/>
      <c r="B189" s="318"/>
      <c r="C189" s="318"/>
      <c r="D189" s="318"/>
      <c r="E189" s="318"/>
      <c r="F189" s="318"/>
      <c r="G189" s="318"/>
      <c r="H189" s="318"/>
      <c r="I189" s="318"/>
      <c r="J189" s="318"/>
      <c r="K189" s="318"/>
      <c r="L189" s="318"/>
      <c r="M189" s="318"/>
      <c r="N189" s="318"/>
      <c r="O189" s="318"/>
      <c r="P189" s="318"/>
      <c r="Q189" s="318"/>
      <c r="R189" s="318"/>
      <c r="S189" s="318"/>
      <c r="T189" s="318"/>
      <c r="U189" s="318"/>
      <c r="V189" s="318"/>
      <c r="W189" s="318"/>
      <c r="X189" s="318"/>
      <c r="Y189" s="318"/>
      <c r="Z189" s="318"/>
    </row>
    <row r="190" ht="15.75" customHeight="1">
      <c r="A190" s="318"/>
      <c r="B190" s="318"/>
      <c r="C190" s="318"/>
      <c r="D190" s="318"/>
      <c r="E190" s="318"/>
      <c r="F190" s="318"/>
      <c r="G190" s="318"/>
      <c r="H190" s="318"/>
      <c r="I190" s="318"/>
      <c r="J190" s="318"/>
      <c r="K190" s="318"/>
      <c r="L190" s="318"/>
      <c r="M190" s="318"/>
      <c r="N190" s="318"/>
      <c r="O190" s="318"/>
      <c r="P190" s="318"/>
      <c r="Q190" s="318"/>
      <c r="R190" s="318"/>
      <c r="S190" s="318"/>
      <c r="T190" s="318"/>
      <c r="U190" s="318"/>
      <c r="V190" s="318"/>
      <c r="W190" s="318"/>
      <c r="X190" s="318"/>
      <c r="Y190" s="318"/>
      <c r="Z190" s="318"/>
    </row>
    <row r="191" ht="15.75" customHeight="1">
      <c r="A191" s="318"/>
      <c r="B191" s="318"/>
      <c r="C191" s="318"/>
      <c r="D191" s="318"/>
      <c r="E191" s="318"/>
      <c r="F191" s="318"/>
      <c r="G191" s="318"/>
      <c r="H191" s="318"/>
      <c r="I191" s="318"/>
      <c r="J191" s="318"/>
      <c r="K191" s="318"/>
      <c r="L191" s="318"/>
      <c r="M191" s="318"/>
      <c r="N191" s="318"/>
      <c r="O191" s="318"/>
      <c r="P191" s="318"/>
      <c r="Q191" s="318"/>
      <c r="R191" s="318"/>
      <c r="S191" s="318"/>
      <c r="T191" s="318"/>
      <c r="U191" s="318"/>
      <c r="V191" s="318"/>
      <c r="W191" s="318"/>
      <c r="X191" s="318"/>
      <c r="Y191" s="318"/>
      <c r="Z191" s="318"/>
    </row>
    <row r="192" ht="15.75" customHeight="1">
      <c r="A192" s="318"/>
      <c r="B192" s="318"/>
      <c r="C192" s="318"/>
      <c r="D192" s="318"/>
      <c r="E192" s="318"/>
      <c r="F192" s="318"/>
      <c r="G192" s="318"/>
      <c r="H192" s="318"/>
      <c r="I192" s="318"/>
      <c r="J192" s="318"/>
      <c r="K192" s="318"/>
      <c r="L192" s="318"/>
      <c r="M192" s="318"/>
      <c r="N192" s="318"/>
      <c r="O192" s="318"/>
      <c r="P192" s="318"/>
      <c r="Q192" s="318"/>
      <c r="R192" s="318"/>
      <c r="S192" s="318"/>
      <c r="T192" s="318"/>
      <c r="U192" s="318"/>
      <c r="V192" s="318"/>
      <c r="W192" s="318"/>
      <c r="X192" s="318"/>
      <c r="Y192" s="318"/>
      <c r="Z192" s="318"/>
    </row>
    <row r="193" ht="15.75" customHeight="1">
      <c r="A193" s="318"/>
      <c r="B193" s="318"/>
      <c r="C193" s="318"/>
      <c r="D193" s="318"/>
      <c r="E193" s="318"/>
      <c r="F193" s="318"/>
      <c r="G193" s="318"/>
      <c r="H193" s="318"/>
      <c r="I193" s="318"/>
      <c r="J193" s="318"/>
      <c r="K193" s="318"/>
      <c r="L193" s="318"/>
      <c r="M193" s="318"/>
      <c r="N193" s="318"/>
      <c r="O193" s="318"/>
      <c r="P193" s="318"/>
      <c r="Q193" s="318"/>
      <c r="R193" s="318"/>
      <c r="S193" s="318"/>
      <c r="T193" s="318"/>
      <c r="U193" s="318"/>
      <c r="V193" s="318"/>
      <c r="W193" s="318"/>
      <c r="X193" s="318"/>
      <c r="Y193" s="318"/>
      <c r="Z193" s="318"/>
    </row>
    <row r="194" ht="15.75" customHeight="1">
      <c r="A194" s="318"/>
      <c r="B194" s="318"/>
      <c r="C194" s="318"/>
      <c r="D194" s="318"/>
      <c r="E194" s="318"/>
      <c r="F194" s="318"/>
      <c r="G194" s="318"/>
      <c r="H194" s="318"/>
      <c r="I194" s="318"/>
      <c r="J194" s="318"/>
      <c r="K194" s="318"/>
      <c r="L194" s="318"/>
      <c r="M194" s="318"/>
      <c r="N194" s="318"/>
      <c r="O194" s="318"/>
      <c r="P194" s="318"/>
      <c r="Q194" s="318"/>
      <c r="R194" s="318"/>
      <c r="S194" s="318"/>
      <c r="T194" s="318"/>
      <c r="U194" s="318"/>
      <c r="V194" s="318"/>
      <c r="W194" s="318"/>
      <c r="X194" s="318"/>
      <c r="Y194" s="318"/>
      <c r="Z194" s="318"/>
    </row>
    <row r="195" ht="15.75" customHeight="1">
      <c r="A195" s="318"/>
      <c r="B195" s="318"/>
      <c r="C195" s="318"/>
      <c r="D195" s="318"/>
      <c r="E195" s="318"/>
      <c r="F195" s="318"/>
      <c r="G195" s="318"/>
      <c r="H195" s="318"/>
      <c r="I195" s="318"/>
      <c r="J195" s="318"/>
      <c r="K195" s="318"/>
      <c r="L195" s="318"/>
      <c r="M195" s="318"/>
      <c r="N195" s="318"/>
      <c r="O195" s="318"/>
      <c r="P195" s="318"/>
      <c r="Q195" s="318"/>
      <c r="R195" s="318"/>
      <c r="S195" s="318"/>
      <c r="T195" s="318"/>
      <c r="U195" s="318"/>
      <c r="V195" s="318"/>
      <c r="W195" s="318"/>
      <c r="X195" s="318"/>
      <c r="Y195" s="318"/>
      <c r="Z195" s="318"/>
    </row>
    <row r="196" ht="15.75" customHeight="1">
      <c r="A196" s="318"/>
      <c r="B196" s="318"/>
      <c r="C196" s="318"/>
      <c r="D196" s="318"/>
      <c r="E196" s="318"/>
      <c r="F196" s="318"/>
      <c r="G196" s="318"/>
      <c r="H196" s="318"/>
      <c r="I196" s="318"/>
      <c r="J196" s="318"/>
      <c r="K196" s="318"/>
      <c r="L196" s="318"/>
      <c r="M196" s="318"/>
      <c r="N196" s="318"/>
      <c r="O196" s="318"/>
      <c r="P196" s="318"/>
      <c r="Q196" s="318"/>
      <c r="R196" s="318"/>
      <c r="S196" s="318"/>
      <c r="T196" s="318"/>
      <c r="U196" s="318"/>
      <c r="V196" s="318"/>
      <c r="W196" s="318"/>
      <c r="X196" s="318"/>
      <c r="Y196" s="318"/>
      <c r="Z196" s="318"/>
    </row>
    <row r="197" ht="15.75" customHeight="1">
      <c r="A197" s="318"/>
      <c r="B197" s="318"/>
      <c r="C197" s="318"/>
      <c r="D197" s="318"/>
      <c r="E197" s="318"/>
      <c r="F197" s="318"/>
      <c r="G197" s="318"/>
      <c r="H197" s="318"/>
      <c r="I197" s="318"/>
      <c r="J197" s="318"/>
      <c r="K197" s="318"/>
      <c r="L197" s="318"/>
      <c r="M197" s="318"/>
      <c r="N197" s="318"/>
      <c r="O197" s="318"/>
      <c r="P197" s="318"/>
      <c r="Q197" s="318"/>
      <c r="R197" s="318"/>
      <c r="S197" s="318"/>
      <c r="T197" s="318"/>
      <c r="U197" s="318"/>
      <c r="V197" s="318"/>
      <c r="W197" s="318"/>
      <c r="X197" s="318"/>
      <c r="Y197" s="318"/>
      <c r="Z197" s="318"/>
    </row>
    <row r="198" ht="15.75" customHeight="1">
      <c r="A198" s="318"/>
      <c r="B198" s="318"/>
      <c r="C198" s="318"/>
      <c r="D198" s="318"/>
      <c r="E198" s="318"/>
      <c r="F198" s="318"/>
      <c r="G198" s="318"/>
      <c r="H198" s="318"/>
      <c r="I198" s="318"/>
      <c r="J198" s="318"/>
      <c r="K198" s="318"/>
      <c r="L198" s="318"/>
      <c r="M198" s="318"/>
      <c r="N198" s="318"/>
      <c r="O198" s="318"/>
      <c r="P198" s="318"/>
      <c r="Q198" s="318"/>
      <c r="R198" s="318"/>
      <c r="S198" s="318"/>
      <c r="T198" s="318"/>
      <c r="U198" s="318"/>
      <c r="V198" s="318"/>
      <c r="W198" s="318"/>
      <c r="X198" s="318"/>
      <c r="Y198" s="318"/>
      <c r="Z198" s="318"/>
    </row>
    <row r="199" ht="15.75" customHeight="1">
      <c r="A199" s="318"/>
      <c r="B199" s="318"/>
      <c r="C199" s="318"/>
      <c r="D199" s="318"/>
      <c r="E199" s="318"/>
      <c r="F199" s="318"/>
      <c r="G199" s="318"/>
      <c r="H199" s="318"/>
      <c r="I199" s="318"/>
      <c r="J199" s="318"/>
      <c r="K199" s="318"/>
      <c r="L199" s="318"/>
      <c r="M199" s="318"/>
      <c r="N199" s="318"/>
      <c r="O199" s="318"/>
      <c r="P199" s="318"/>
      <c r="Q199" s="318"/>
      <c r="R199" s="318"/>
      <c r="S199" s="318"/>
      <c r="T199" s="318"/>
      <c r="U199" s="318"/>
      <c r="V199" s="318"/>
      <c r="W199" s="318"/>
      <c r="X199" s="318"/>
      <c r="Y199" s="318"/>
      <c r="Z199" s="318"/>
    </row>
    <row r="200" ht="15.75" customHeight="1">
      <c r="A200" s="318"/>
      <c r="B200" s="318"/>
      <c r="C200" s="318"/>
      <c r="D200" s="318"/>
      <c r="E200" s="318"/>
      <c r="F200" s="318"/>
      <c r="G200" s="318"/>
      <c r="H200" s="318"/>
      <c r="I200" s="318"/>
      <c r="J200" s="318"/>
      <c r="K200" s="318"/>
      <c r="L200" s="318"/>
      <c r="M200" s="318"/>
      <c r="N200" s="318"/>
      <c r="O200" s="318"/>
      <c r="P200" s="318"/>
      <c r="Q200" s="318"/>
      <c r="R200" s="318"/>
      <c r="S200" s="318"/>
      <c r="T200" s="318"/>
      <c r="U200" s="318"/>
      <c r="V200" s="318"/>
      <c r="W200" s="318"/>
      <c r="X200" s="318"/>
      <c r="Y200" s="318"/>
      <c r="Z200" s="318"/>
    </row>
    <row r="201" ht="15.75" customHeight="1">
      <c r="A201" s="318"/>
      <c r="B201" s="318"/>
      <c r="C201" s="318"/>
      <c r="D201" s="318"/>
      <c r="E201" s="318"/>
      <c r="F201" s="318"/>
      <c r="G201" s="318"/>
      <c r="H201" s="318"/>
      <c r="I201" s="318"/>
      <c r="J201" s="318"/>
      <c r="K201" s="318"/>
      <c r="L201" s="318"/>
      <c r="M201" s="318"/>
      <c r="N201" s="318"/>
      <c r="O201" s="318"/>
      <c r="P201" s="318"/>
      <c r="Q201" s="318"/>
      <c r="R201" s="318"/>
      <c r="S201" s="318"/>
      <c r="T201" s="318"/>
      <c r="U201" s="318"/>
      <c r="V201" s="318"/>
      <c r="W201" s="318"/>
      <c r="X201" s="318"/>
      <c r="Y201" s="318"/>
      <c r="Z201" s="318"/>
    </row>
    <row r="202" ht="15.75" customHeight="1">
      <c r="A202" s="318"/>
      <c r="B202" s="318"/>
      <c r="C202" s="318"/>
      <c r="D202" s="318"/>
      <c r="E202" s="318"/>
      <c r="F202" s="318"/>
      <c r="G202" s="318"/>
      <c r="H202" s="318"/>
      <c r="I202" s="318"/>
      <c r="J202" s="318"/>
      <c r="K202" s="318"/>
      <c r="L202" s="318"/>
      <c r="M202" s="318"/>
      <c r="N202" s="318"/>
      <c r="O202" s="318"/>
      <c r="P202" s="318"/>
      <c r="Q202" s="318"/>
      <c r="R202" s="318"/>
      <c r="S202" s="318"/>
      <c r="T202" s="318"/>
      <c r="U202" s="318"/>
      <c r="V202" s="318"/>
      <c r="W202" s="318"/>
      <c r="X202" s="318"/>
      <c r="Y202" s="318"/>
      <c r="Z202" s="318"/>
    </row>
    <row r="203" ht="15.75" customHeight="1">
      <c r="A203" s="318"/>
      <c r="B203" s="318"/>
      <c r="C203" s="318"/>
      <c r="D203" s="318"/>
      <c r="E203" s="318"/>
      <c r="F203" s="318"/>
      <c r="G203" s="318"/>
      <c r="H203" s="318"/>
      <c r="I203" s="318"/>
      <c r="J203" s="318"/>
      <c r="K203" s="318"/>
      <c r="L203" s="318"/>
      <c r="M203" s="318"/>
      <c r="N203" s="318"/>
      <c r="O203" s="318"/>
      <c r="P203" s="318"/>
      <c r="Q203" s="318"/>
      <c r="R203" s="318"/>
      <c r="S203" s="318"/>
      <c r="T203" s="318"/>
      <c r="U203" s="318"/>
      <c r="V203" s="318"/>
      <c r="W203" s="318"/>
      <c r="X203" s="318"/>
      <c r="Y203" s="318"/>
      <c r="Z203" s="318"/>
    </row>
    <row r="204" ht="15.75" customHeight="1">
      <c r="A204" s="318"/>
      <c r="B204" s="318"/>
      <c r="C204" s="318"/>
      <c r="D204" s="318"/>
      <c r="E204" s="318"/>
      <c r="F204" s="318"/>
      <c r="G204" s="318"/>
      <c r="H204" s="318"/>
      <c r="I204" s="318"/>
      <c r="J204" s="318"/>
      <c r="K204" s="318"/>
      <c r="L204" s="318"/>
      <c r="M204" s="318"/>
      <c r="N204" s="318"/>
      <c r="O204" s="318"/>
      <c r="P204" s="318"/>
      <c r="Q204" s="318"/>
      <c r="R204" s="318"/>
      <c r="S204" s="318"/>
      <c r="T204" s="318"/>
      <c r="U204" s="318"/>
      <c r="V204" s="318"/>
      <c r="W204" s="318"/>
      <c r="X204" s="318"/>
      <c r="Y204" s="318"/>
      <c r="Z204" s="318"/>
    </row>
    <row r="205" ht="15.75" customHeight="1">
      <c r="A205" s="318"/>
      <c r="B205" s="318"/>
      <c r="C205" s="318"/>
      <c r="D205" s="318"/>
      <c r="E205" s="318"/>
      <c r="F205" s="318"/>
      <c r="G205" s="318"/>
      <c r="H205" s="318"/>
      <c r="I205" s="318"/>
      <c r="J205" s="318"/>
      <c r="K205" s="318"/>
      <c r="L205" s="318"/>
      <c r="M205" s="318"/>
      <c r="N205" s="318"/>
      <c r="O205" s="318"/>
      <c r="P205" s="318"/>
      <c r="Q205" s="318"/>
      <c r="R205" s="318"/>
      <c r="S205" s="318"/>
      <c r="T205" s="318"/>
      <c r="U205" s="318"/>
      <c r="V205" s="318"/>
      <c r="W205" s="318"/>
      <c r="X205" s="318"/>
      <c r="Y205" s="318"/>
      <c r="Z205" s="318"/>
    </row>
    <row r="206" ht="15.75" customHeight="1">
      <c r="A206" s="318"/>
      <c r="B206" s="318"/>
      <c r="C206" s="318"/>
      <c r="D206" s="318"/>
      <c r="E206" s="318"/>
      <c r="F206" s="318"/>
      <c r="G206" s="318"/>
      <c r="H206" s="318"/>
      <c r="I206" s="318"/>
      <c r="J206" s="318"/>
      <c r="K206" s="318"/>
      <c r="L206" s="318"/>
      <c r="M206" s="318"/>
      <c r="N206" s="318"/>
      <c r="O206" s="318"/>
      <c r="P206" s="318"/>
      <c r="Q206" s="318"/>
      <c r="R206" s="318"/>
      <c r="S206" s="318"/>
      <c r="T206" s="318"/>
      <c r="U206" s="318"/>
      <c r="V206" s="318"/>
      <c r="W206" s="318"/>
      <c r="X206" s="318"/>
      <c r="Y206" s="318"/>
      <c r="Z206" s="318"/>
    </row>
    <row r="207" ht="15.75" customHeight="1">
      <c r="A207" s="318"/>
      <c r="B207" s="318"/>
      <c r="C207" s="318"/>
      <c r="D207" s="318"/>
      <c r="E207" s="318"/>
      <c r="F207" s="318"/>
      <c r="G207" s="318"/>
      <c r="H207" s="318"/>
      <c r="I207" s="318"/>
      <c r="J207" s="318"/>
      <c r="K207" s="318"/>
      <c r="L207" s="318"/>
      <c r="M207" s="318"/>
      <c r="N207" s="318"/>
      <c r="O207" s="318"/>
      <c r="P207" s="318"/>
      <c r="Q207" s="318"/>
      <c r="R207" s="318"/>
      <c r="S207" s="318"/>
      <c r="T207" s="318"/>
      <c r="U207" s="318"/>
      <c r="V207" s="318"/>
      <c r="W207" s="318"/>
      <c r="X207" s="318"/>
      <c r="Y207" s="318"/>
      <c r="Z207" s="318"/>
    </row>
    <row r="208" ht="15.75" customHeight="1">
      <c r="A208" s="318"/>
      <c r="B208" s="318"/>
      <c r="C208" s="318"/>
      <c r="D208" s="318"/>
      <c r="E208" s="318"/>
      <c r="F208" s="318"/>
      <c r="G208" s="318"/>
      <c r="H208" s="318"/>
      <c r="I208" s="318"/>
      <c r="J208" s="318"/>
      <c r="K208" s="318"/>
      <c r="L208" s="318"/>
      <c r="M208" s="318"/>
      <c r="N208" s="318"/>
      <c r="O208" s="318"/>
      <c r="P208" s="318"/>
      <c r="Q208" s="318"/>
      <c r="R208" s="318"/>
      <c r="S208" s="318"/>
      <c r="T208" s="318"/>
      <c r="U208" s="318"/>
      <c r="V208" s="318"/>
      <c r="W208" s="318"/>
      <c r="X208" s="318"/>
      <c r="Y208" s="318"/>
      <c r="Z208" s="318"/>
    </row>
    <row r="209" ht="15.75" customHeight="1">
      <c r="A209" s="318"/>
      <c r="B209" s="318"/>
      <c r="C209" s="318"/>
      <c r="D209" s="318"/>
      <c r="E209" s="318"/>
      <c r="F209" s="318"/>
      <c r="G209" s="318"/>
      <c r="H209" s="318"/>
      <c r="I209" s="318"/>
      <c r="J209" s="318"/>
      <c r="K209" s="318"/>
      <c r="L209" s="318"/>
      <c r="M209" s="318"/>
      <c r="N209" s="318"/>
      <c r="O209" s="318"/>
      <c r="P209" s="318"/>
      <c r="Q209" s="318"/>
      <c r="R209" s="318"/>
      <c r="S209" s="318"/>
      <c r="T209" s="318"/>
      <c r="U209" s="318"/>
      <c r="V209" s="318"/>
      <c r="W209" s="318"/>
      <c r="X209" s="318"/>
      <c r="Y209" s="318"/>
      <c r="Z209" s="318"/>
    </row>
    <row r="210" ht="15.75" customHeight="1">
      <c r="A210" s="318"/>
      <c r="B210" s="318"/>
      <c r="C210" s="318"/>
      <c r="D210" s="318"/>
      <c r="E210" s="318"/>
      <c r="F210" s="318"/>
      <c r="G210" s="318"/>
      <c r="H210" s="318"/>
      <c r="I210" s="318"/>
      <c r="J210" s="318"/>
      <c r="K210" s="318"/>
      <c r="L210" s="318"/>
      <c r="M210" s="318"/>
      <c r="N210" s="318"/>
      <c r="O210" s="318"/>
      <c r="P210" s="318"/>
      <c r="Q210" s="318"/>
      <c r="R210" s="318"/>
      <c r="S210" s="318"/>
      <c r="T210" s="318"/>
      <c r="U210" s="318"/>
      <c r="V210" s="318"/>
      <c r="W210" s="318"/>
      <c r="X210" s="318"/>
      <c r="Y210" s="318"/>
      <c r="Z210" s="318"/>
    </row>
    <row r="211" ht="15.75" customHeight="1">
      <c r="A211" s="318"/>
      <c r="B211" s="318"/>
      <c r="C211" s="318"/>
      <c r="D211" s="318"/>
      <c r="E211" s="318"/>
      <c r="F211" s="318"/>
      <c r="G211" s="318"/>
      <c r="H211" s="318"/>
      <c r="I211" s="318"/>
      <c r="J211" s="318"/>
      <c r="K211" s="318"/>
      <c r="L211" s="318"/>
      <c r="M211" s="318"/>
      <c r="N211" s="318"/>
      <c r="O211" s="318"/>
      <c r="P211" s="318"/>
      <c r="Q211" s="318"/>
      <c r="R211" s="318"/>
      <c r="S211" s="318"/>
      <c r="T211" s="318"/>
      <c r="U211" s="318"/>
      <c r="V211" s="318"/>
      <c r="W211" s="318"/>
      <c r="X211" s="318"/>
      <c r="Y211" s="318"/>
      <c r="Z211" s="318"/>
    </row>
    <row r="212" ht="15.75" customHeight="1">
      <c r="A212" s="318"/>
      <c r="B212" s="318"/>
      <c r="C212" s="318"/>
      <c r="D212" s="318"/>
      <c r="E212" s="318"/>
      <c r="F212" s="318"/>
      <c r="G212" s="318"/>
      <c r="H212" s="318"/>
      <c r="I212" s="318"/>
      <c r="J212" s="318"/>
      <c r="K212" s="318"/>
      <c r="L212" s="318"/>
      <c r="M212" s="318"/>
      <c r="N212" s="318"/>
      <c r="O212" s="318"/>
      <c r="P212" s="318"/>
      <c r="Q212" s="318"/>
      <c r="R212" s="318"/>
      <c r="S212" s="318"/>
      <c r="T212" s="318"/>
      <c r="U212" s="318"/>
      <c r="V212" s="318"/>
      <c r="W212" s="318"/>
      <c r="X212" s="318"/>
      <c r="Y212" s="318"/>
      <c r="Z212" s="318"/>
    </row>
    <row r="213" ht="15.75" customHeight="1">
      <c r="A213" s="318"/>
      <c r="B213" s="318"/>
      <c r="C213" s="318"/>
      <c r="D213" s="318"/>
      <c r="E213" s="318"/>
      <c r="F213" s="318"/>
      <c r="G213" s="318"/>
      <c r="H213" s="318"/>
      <c r="I213" s="318"/>
      <c r="J213" s="318"/>
      <c r="K213" s="318"/>
      <c r="L213" s="318"/>
      <c r="M213" s="318"/>
      <c r="N213" s="318"/>
      <c r="O213" s="318"/>
      <c r="P213" s="318"/>
      <c r="Q213" s="318"/>
      <c r="R213" s="318"/>
      <c r="S213" s="318"/>
      <c r="T213" s="318"/>
      <c r="U213" s="318"/>
      <c r="V213" s="318"/>
      <c r="W213" s="318"/>
      <c r="X213" s="318"/>
      <c r="Y213" s="318"/>
      <c r="Z213" s="318"/>
    </row>
    <row r="214" ht="15.75" customHeight="1">
      <c r="A214" s="318"/>
      <c r="B214" s="318"/>
      <c r="C214" s="318"/>
      <c r="D214" s="318"/>
      <c r="E214" s="318"/>
      <c r="F214" s="318"/>
      <c r="G214" s="318"/>
      <c r="H214" s="318"/>
      <c r="I214" s="318"/>
      <c r="J214" s="318"/>
      <c r="K214" s="318"/>
      <c r="L214" s="318"/>
      <c r="M214" s="318"/>
      <c r="N214" s="318"/>
      <c r="O214" s="318"/>
      <c r="P214" s="318"/>
      <c r="Q214" s="318"/>
      <c r="R214" s="318"/>
      <c r="S214" s="318"/>
      <c r="T214" s="318"/>
      <c r="U214" s="318"/>
      <c r="V214" s="318"/>
      <c r="W214" s="318"/>
      <c r="X214" s="318"/>
      <c r="Y214" s="318"/>
      <c r="Z214" s="318"/>
    </row>
    <row r="215" ht="15.75" customHeight="1">
      <c r="A215" s="318"/>
      <c r="B215" s="318"/>
      <c r="C215" s="318"/>
      <c r="D215" s="318"/>
      <c r="E215" s="318"/>
      <c r="F215" s="318"/>
      <c r="G215" s="318"/>
      <c r="H215" s="318"/>
      <c r="I215" s="318"/>
      <c r="J215" s="318"/>
      <c r="K215" s="318"/>
      <c r="L215" s="318"/>
      <c r="M215" s="318"/>
      <c r="N215" s="318"/>
      <c r="O215" s="318"/>
      <c r="P215" s="318"/>
      <c r="Q215" s="318"/>
      <c r="R215" s="318"/>
      <c r="S215" s="318"/>
      <c r="T215" s="318"/>
      <c r="U215" s="318"/>
      <c r="V215" s="318"/>
      <c r="W215" s="318"/>
      <c r="X215" s="318"/>
      <c r="Y215" s="318"/>
      <c r="Z215" s="318"/>
    </row>
    <row r="216" ht="15.75" customHeight="1">
      <c r="A216" s="318"/>
      <c r="B216" s="318"/>
      <c r="C216" s="318"/>
      <c r="D216" s="318"/>
      <c r="E216" s="318"/>
      <c r="F216" s="318"/>
      <c r="G216" s="318"/>
      <c r="H216" s="318"/>
      <c r="I216" s="318"/>
      <c r="J216" s="318"/>
      <c r="K216" s="318"/>
      <c r="L216" s="318"/>
      <c r="M216" s="318"/>
      <c r="N216" s="318"/>
      <c r="O216" s="318"/>
      <c r="P216" s="318"/>
      <c r="Q216" s="318"/>
      <c r="R216" s="318"/>
      <c r="S216" s="318"/>
      <c r="T216" s="318"/>
      <c r="U216" s="318"/>
      <c r="V216" s="318"/>
      <c r="W216" s="318"/>
      <c r="X216" s="318"/>
      <c r="Y216" s="318"/>
      <c r="Z216" s="318"/>
    </row>
    <row r="217" ht="15.75" customHeight="1">
      <c r="A217" s="318"/>
      <c r="B217" s="318"/>
      <c r="C217" s="318"/>
      <c r="D217" s="318"/>
      <c r="E217" s="318"/>
      <c r="F217" s="318"/>
      <c r="G217" s="318"/>
      <c r="H217" s="318"/>
      <c r="I217" s="318"/>
      <c r="J217" s="318"/>
      <c r="K217" s="318"/>
      <c r="L217" s="318"/>
      <c r="M217" s="318"/>
      <c r="N217" s="318"/>
      <c r="O217" s="318"/>
      <c r="P217" s="318"/>
      <c r="Q217" s="318"/>
      <c r="R217" s="318"/>
      <c r="S217" s="318"/>
      <c r="T217" s="318"/>
      <c r="U217" s="318"/>
      <c r="V217" s="318"/>
      <c r="W217" s="318"/>
      <c r="X217" s="318"/>
      <c r="Y217" s="318"/>
      <c r="Z217" s="318"/>
    </row>
    <row r="218" ht="15.75" customHeight="1">
      <c r="A218" s="318"/>
      <c r="B218" s="318"/>
      <c r="C218" s="318"/>
      <c r="D218" s="318"/>
      <c r="E218" s="318"/>
      <c r="F218" s="318"/>
      <c r="G218" s="318"/>
      <c r="H218" s="318"/>
      <c r="I218" s="318"/>
      <c r="J218" s="318"/>
      <c r="K218" s="318"/>
      <c r="L218" s="318"/>
      <c r="M218" s="318"/>
      <c r="N218" s="318"/>
      <c r="O218" s="318"/>
      <c r="P218" s="318"/>
      <c r="Q218" s="318"/>
      <c r="R218" s="318"/>
      <c r="S218" s="318"/>
      <c r="T218" s="318"/>
      <c r="U218" s="318"/>
      <c r="V218" s="318"/>
      <c r="W218" s="318"/>
      <c r="X218" s="318"/>
      <c r="Y218" s="318"/>
      <c r="Z218" s="318"/>
    </row>
    <row r="219" ht="15.75" customHeight="1">
      <c r="A219" s="318"/>
      <c r="B219" s="318"/>
      <c r="C219" s="318"/>
      <c r="D219" s="318"/>
      <c r="E219" s="318"/>
      <c r="F219" s="318"/>
      <c r="G219" s="318"/>
      <c r="H219" s="318"/>
      <c r="I219" s="318"/>
      <c r="J219" s="318"/>
      <c r="K219" s="318"/>
      <c r="L219" s="318"/>
      <c r="M219" s="318"/>
      <c r="N219" s="318"/>
      <c r="O219" s="318"/>
      <c r="P219" s="318"/>
      <c r="Q219" s="318"/>
      <c r="R219" s="318"/>
      <c r="S219" s="318"/>
      <c r="T219" s="318"/>
      <c r="U219" s="318"/>
      <c r="V219" s="318"/>
      <c r="W219" s="318"/>
      <c r="X219" s="318"/>
      <c r="Y219" s="318"/>
      <c r="Z219" s="318"/>
    </row>
    <row r="220" ht="15.75" customHeight="1">
      <c r="A220" s="318"/>
      <c r="B220" s="318"/>
      <c r="C220" s="318"/>
      <c r="D220" s="318"/>
      <c r="E220" s="318"/>
      <c r="F220" s="318"/>
      <c r="G220" s="318"/>
      <c r="H220" s="318"/>
      <c r="I220" s="318"/>
      <c r="J220" s="318"/>
      <c r="K220" s="318"/>
      <c r="L220" s="318"/>
      <c r="M220" s="318"/>
      <c r="N220" s="318"/>
      <c r="O220" s="318"/>
      <c r="P220" s="318"/>
      <c r="Q220" s="318"/>
      <c r="R220" s="318"/>
      <c r="S220" s="318"/>
      <c r="T220" s="318"/>
      <c r="U220" s="318"/>
      <c r="V220" s="318"/>
      <c r="W220" s="318"/>
      <c r="X220" s="318"/>
      <c r="Y220" s="318"/>
      <c r="Z220" s="3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25"/>
    <col customWidth="1" min="2" max="2" width="92.0"/>
    <col customWidth="1" min="3" max="3" width="39.13"/>
    <col customWidth="1" min="4" max="5" width="31.63"/>
    <col customWidth="1" min="6" max="6" width="19.88"/>
  </cols>
  <sheetData>
    <row r="1" ht="15.75" customHeight="1">
      <c r="A1" s="318" t="s">
        <v>4282</v>
      </c>
      <c r="B1" s="318"/>
      <c r="C1" s="318"/>
      <c r="D1" s="318"/>
      <c r="E1" s="318"/>
      <c r="F1" s="318"/>
      <c r="G1" s="318"/>
      <c r="H1" s="318"/>
      <c r="I1" s="318"/>
      <c r="J1" s="318"/>
      <c r="K1" s="318"/>
      <c r="L1" s="318"/>
      <c r="M1" s="318"/>
      <c r="N1" s="318"/>
      <c r="O1" s="318"/>
      <c r="P1" s="318"/>
      <c r="Q1" s="318"/>
      <c r="R1" s="318"/>
      <c r="S1" s="318"/>
      <c r="T1" s="318"/>
      <c r="U1" s="318"/>
      <c r="V1" s="318"/>
      <c r="W1" s="318"/>
      <c r="X1" s="318"/>
      <c r="Y1" s="318"/>
      <c r="Z1" s="318"/>
    </row>
    <row r="2" ht="15.75" customHeight="1">
      <c r="A2" s="318"/>
      <c r="B2" s="318"/>
      <c r="C2" s="318"/>
      <c r="D2" s="318"/>
      <c r="E2" s="318"/>
      <c r="F2" s="318"/>
      <c r="G2" s="318"/>
      <c r="H2" s="318"/>
      <c r="I2" s="318"/>
      <c r="J2" s="318"/>
      <c r="K2" s="318"/>
      <c r="L2" s="318"/>
      <c r="M2" s="318"/>
      <c r="N2" s="318"/>
      <c r="O2" s="318"/>
      <c r="P2" s="318"/>
      <c r="Q2" s="318"/>
      <c r="R2" s="318"/>
      <c r="S2" s="318"/>
      <c r="T2" s="318"/>
      <c r="U2" s="318"/>
      <c r="V2" s="318"/>
      <c r="W2" s="318"/>
      <c r="X2" s="318"/>
      <c r="Y2" s="318"/>
      <c r="Z2" s="318"/>
    </row>
    <row r="3" ht="15.75" customHeight="1">
      <c r="A3" s="319" t="s">
        <v>4013</v>
      </c>
      <c r="B3" s="319" t="s">
        <v>4014</v>
      </c>
      <c r="C3" s="319" t="s">
        <v>4259</v>
      </c>
      <c r="D3" s="319" t="s">
        <v>4260</v>
      </c>
      <c r="E3" s="319" t="s">
        <v>4015</v>
      </c>
      <c r="F3" s="319" t="s">
        <v>4016</v>
      </c>
      <c r="G3" s="318"/>
      <c r="H3" s="318"/>
      <c r="I3" s="318"/>
      <c r="J3" s="318"/>
      <c r="K3" s="318"/>
      <c r="L3" s="318"/>
      <c r="M3" s="318"/>
      <c r="N3" s="318"/>
      <c r="O3" s="318"/>
      <c r="P3" s="318"/>
      <c r="Q3" s="318"/>
      <c r="R3" s="318"/>
      <c r="S3" s="318"/>
      <c r="T3" s="318"/>
      <c r="U3" s="318"/>
      <c r="V3" s="318"/>
      <c r="W3" s="318"/>
      <c r="X3" s="318"/>
      <c r="Y3" s="318"/>
      <c r="Z3" s="318"/>
    </row>
    <row r="4" ht="15.75" customHeight="1">
      <c r="A4" s="320"/>
      <c r="B4" s="320"/>
      <c r="C4" s="318"/>
      <c r="D4" s="318"/>
      <c r="E4" s="318"/>
      <c r="F4" s="318"/>
      <c r="G4" s="318"/>
      <c r="H4" s="318"/>
      <c r="I4" s="318"/>
      <c r="J4" s="318"/>
      <c r="K4" s="318"/>
      <c r="L4" s="318"/>
      <c r="M4" s="318"/>
      <c r="N4" s="318"/>
      <c r="O4" s="318"/>
      <c r="P4" s="318"/>
      <c r="Q4" s="318"/>
      <c r="R4" s="318"/>
      <c r="S4" s="318"/>
      <c r="T4" s="318"/>
      <c r="U4" s="318"/>
      <c r="V4" s="318"/>
      <c r="W4" s="318"/>
      <c r="X4" s="318"/>
      <c r="Y4" s="318"/>
      <c r="Z4" s="318"/>
    </row>
    <row r="5" ht="15.75" customHeight="1">
      <c r="A5" s="320"/>
      <c r="B5" s="320"/>
      <c r="C5" s="318"/>
      <c r="D5" s="318"/>
      <c r="E5" s="318"/>
      <c r="F5" s="318"/>
      <c r="G5" s="318"/>
      <c r="H5" s="318"/>
      <c r="I5" s="318"/>
      <c r="J5" s="318"/>
      <c r="K5" s="318"/>
      <c r="L5" s="318"/>
      <c r="M5" s="318"/>
      <c r="N5" s="318"/>
      <c r="O5" s="318"/>
      <c r="P5" s="318"/>
      <c r="Q5" s="318"/>
      <c r="R5" s="318"/>
      <c r="S5" s="318"/>
      <c r="T5" s="318"/>
      <c r="U5" s="318"/>
      <c r="V5" s="318"/>
      <c r="W5" s="318"/>
      <c r="X5" s="318"/>
      <c r="Y5" s="318"/>
      <c r="Z5" s="318"/>
    </row>
    <row r="6" ht="15.75" customHeight="1">
      <c r="A6" s="320"/>
      <c r="B6" s="320"/>
      <c r="C6" s="318"/>
      <c r="D6" s="318"/>
      <c r="E6" s="318"/>
      <c r="F6" s="318"/>
      <c r="G6" s="318"/>
      <c r="H6" s="318"/>
      <c r="I6" s="318"/>
      <c r="J6" s="318"/>
      <c r="K6" s="318"/>
      <c r="L6" s="318"/>
      <c r="M6" s="318"/>
      <c r="N6" s="318"/>
      <c r="O6" s="318"/>
      <c r="P6" s="318"/>
      <c r="Q6" s="318"/>
      <c r="R6" s="318"/>
      <c r="S6" s="318"/>
      <c r="T6" s="318"/>
      <c r="U6" s="318"/>
      <c r="V6" s="318"/>
      <c r="W6" s="318"/>
      <c r="X6" s="318"/>
      <c r="Y6" s="318"/>
      <c r="Z6" s="318"/>
    </row>
    <row r="7" ht="15.75" customHeight="1">
      <c r="A7" s="320"/>
      <c r="B7" s="320"/>
      <c r="C7" s="318"/>
      <c r="D7" s="318"/>
      <c r="E7" s="318"/>
      <c r="F7" s="318"/>
      <c r="G7" s="318"/>
      <c r="H7" s="318"/>
      <c r="I7" s="318"/>
      <c r="J7" s="318"/>
      <c r="K7" s="318"/>
      <c r="L7" s="318"/>
      <c r="M7" s="318"/>
      <c r="N7" s="318"/>
      <c r="O7" s="318"/>
      <c r="P7" s="318"/>
      <c r="Q7" s="318"/>
      <c r="R7" s="318"/>
      <c r="S7" s="318"/>
      <c r="T7" s="318"/>
      <c r="U7" s="318"/>
      <c r="V7" s="318"/>
      <c r="W7" s="318"/>
      <c r="X7" s="318"/>
      <c r="Y7" s="318"/>
      <c r="Z7" s="318"/>
    </row>
    <row r="8" ht="15.75" customHeight="1">
      <c r="A8" s="181"/>
      <c r="B8" s="181"/>
      <c r="C8" s="181"/>
      <c r="D8" s="318"/>
      <c r="E8" s="318"/>
      <c r="F8" s="318"/>
      <c r="G8" s="318"/>
      <c r="H8" s="318"/>
      <c r="I8" s="318"/>
      <c r="J8" s="318"/>
      <c r="K8" s="318"/>
      <c r="L8" s="318"/>
      <c r="M8" s="318"/>
      <c r="N8" s="318"/>
      <c r="O8" s="318"/>
      <c r="P8" s="318"/>
      <c r="Q8" s="318"/>
      <c r="R8" s="318"/>
      <c r="S8" s="318"/>
      <c r="T8" s="318"/>
      <c r="U8" s="318"/>
      <c r="V8" s="318"/>
      <c r="W8" s="318"/>
      <c r="X8" s="318"/>
      <c r="Y8" s="318"/>
      <c r="Z8" s="318"/>
    </row>
    <row r="9" ht="15.75" customHeight="1">
      <c r="A9" s="181"/>
      <c r="B9" s="181"/>
      <c r="C9" s="181"/>
      <c r="D9" s="318"/>
      <c r="E9" s="318"/>
      <c r="F9" s="318"/>
      <c r="G9" s="318"/>
      <c r="H9" s="318"/>
      <c r="I9" s="318"/>
      <c r="J9" s="318"/>
      <c r="K9" s="318"/>
      <c r="L9" s="318"/>
      <c r="M9" s="318"/>
      <c r="N9" s="318"/>
      <c r="O9" s="318"/>
      <c r="P9" s="318"/>
      <c r="Q9" s="318"/>
      <c r="R9" s="318"/>
      <c r="S9" s="318"/>
      <c r="T9" s="318"/>
      <c r="U9" s="318"/>
      <c r="V9" s="318"/>
      <c r="W9" s="318"/>
      <c r="X9" s="318"/>
      <c r="Y9" s="318"/>
      <c r="Z9" s="318"/>
    </row>
    <row r="10" ht="15.75" customHeight="1">
      <c r="A10" s="181"/>
      <c r="B10" s="181"/>
      <c r="C10" s="181"/>
      <c r="D10" s="318"/>
      <c r="E10" s="318"/>
      <c r="F10" s="318"/>
      <c r="G10" s="318"/>
      <c r="H10" s="318"/>
      <c r="I10" s="318"/>
      <c r="J10" s="318"/>
      <c r="K10" s="318"/>
      <c r="L10" s="318"/>
      <c r="M10" s="318"/>
      <c r="N10" s="318"/>
      <c r="O10" s="318"/>
      <c r="P10" s="318"/>
      <c r="Q10" s="318"/>
      <c r="R10" s="318"/>
      <c r="S10" s="318"/>
      <c r="T10" s="318"/>
      <c r="U10" s="318"/>
      <c r="V10" s="318"/>
      <c r="W10" s="318"/>
      <c r="X10" s="318"/>
      <c r="Y10" s="318"/>
      <c r="Z10" s="318"/>
    </row>
    <row r="11" ht="15.75" customHeight="1">
      <c r="A11" s="181"/>
      <c r="B11" s="181"/>
      <c r="C11" s="181"/>
      <c r="D11" s="318"/>
      <c r="E11" s="318"/>
      <c r="F11" s="318"/>
      <c r="G11" s="318"/>
      <c r="H11" s="318"/>
      <c r="I11" s="318"/>
      <c r="J11" s="318"/>
      <c r="K11" s="318"/>
      <c r="L11" s="318"/>
      <c r="M11" s="318"/>
      <c r="N11" s="318"/>
      <c r="O11" s="318"/>
      <c r="P11" s="318"/>
      <c r="Q11" s="318"/>
      <c r="R11" s="318"/>
      <c r="S11" s="318"/>
      <c r="T11" s="318"/>
      <c r="U11" s="318"/>
      <c r="V11" s="318"/>
      <c r="W11" s="318"/>
      <c r="X11" s="318"/>
      <c r="Y11" s="318"/>
      <c r="Z11" s="318"/>
    </row>
    <row r="12" ht="15.75" customHeight="1">
      <c r="A12" s="181"/>
      <c r="B12" s="181"/>
      <c r="C12" s="181"/>
      <c r="D12" s="318"/>
      <c r="E12" s="318"/>
      <c r="F12" s="318"/>
      <c r="G12" s="318"/>
      <c r="H12" s="318"/>
      <c r="I12" s="318"/>
      <c r="J12" s="318"/>
      <c r="K12" s="318"/>
      <c r="L12" s="318"/>
      <c r="M12" s="318"/>
      <c r="N12" s="318"/>
      <c r="O12" s="318"/>
      <c r="P12" s="318"/>
      <c r="Q12" s="318"/>
      <c r="R12" s="318"/>
      <c r="S12" s="318"/>
      <c r="T12" s="318"/>
      <c r="U12" s="318"/>
      <c r="V12" s="318"/>
      <c r="W12" s="318"/>
      <c r="X12" s="318"/>
      <c r="Y12" s="318"/>
      <c r="Z12" s="318"/>
    </row>
    <row r="13" ht="15.75" customHeight="1">
      <c r="A13" s="181"/>
      <c r="B13" s="181"/>
      <c r="C13" s="181"/>
      <c r="D13" s="318"/>
      <c r="E13" s="318"/>
      <c r="F13" s="318"/>
      <c r="G13" s="318"/>
      <c r="H13" s="318"/>
      <c r="I13" s="318"/>
      <c r="J13" s="318"/>
      <c r="K13" s="318"/>
      <c r="L13" s="318"/>
      <c r="M13" s="318"/>
      <c r="N13" s="318"/>
      <c r="O13" s="318"/>
      <c r="P13" s="318"/>
      <c r="Q13" s="318"/>
      <c r="R13" s="318"/>
      <c r="S13" s="318"/>
      <c r="T13" s="318"/>
      <c r="U13" s="318"/>
      <c r="V13" s="318"/>
      <c r="W13" s="318"/>
      <c r="X13" s="318"/>
      <c r="Y13" s="318"/>
      <c r="Z13" s="318"/>
    </row>
    <row r="14" ht="15.75" customHeight="1">
      <c r="A14" s="181"/>
      <c r="B14" s="181"/>
      <c r="C14" s="181"/>
      <c r="D14" s="318"/>
      <c r="E14" s="318"/>
      <c r="F14" s="318"/>
      <c r="G14" s="318"/>
      <c r="H14" s="318"/>
      <c r="I14" s="318"/>
      <c r="J14" s="318"/>
      <c r="K14" s="318"/>
      <c r="L14" s="318"/>
      <c r="M14" s="318"/>
      <c r="N14" s="318"/>
      <c r="O14" s="318"/>
      <c r="P14" s="318"/>
      <c r="Q14" s="318"/>
      <c r="R14" s="318"/>
      <c r="S14" s="318"/>
      <c r="T14" s="318"/>
      <c r="U14" s="318"/>
      <c r="V14" s="318"/>
      <c r="W14" s="318"/>
      <c r="X14" s="318"/>
      <c r="Y14" s="318"/>
      <c r="Z14" s="318"/>
    </row>
    <row r="15" ht="15.75" customHeight="1">
      <c r="A15" s="181"/>
      <c r="B15" s="181"/>
      <c r="C15" s="181"/>
      <c r="D15" s="318"/>
      <c r="E15" s="318"/>
      <c r="F15" s="318"/>
      <c r="G15" s="318"/>
      <c r="H15" s="318"/>
      <c r="I15" s="318"/>
      <c r="J15" s="318"/>
      <c r="K15" s="318"/>
      <c r="L15" s="318"/>
      <c r="M15" s="318"/>
      <c r="N15" s="318"/>
      <c r="O15" s="318"/>
      <c r="P15" s="318"/>
      <c r="Q15" s="318"/>
      <c r="R15" s="318"/>
      <c r="S15" s="318"/>
      <c r="T15" s="318"/>
      <c r="U15" s="318"/>
      <c r="V15" s="318"/>
      <c r="W15" s="318"/>
      <c r="X15" s="318"/>
      <c r="Y15" s="318"/>
      <c r="Z15" s="318"/>
    </row>
    <row r="16" ht="15.75" customHeight="1">
      <c r="A16" s="181"/>
      <c r="B16" s="181"/>
      <c r="C16" s="181"/>
      <c r="D16" s="318"/>
      <c r="E16" s="318"/>
      <c r="F16" s="318"/>
      <c r="G16" s="318"/>
      <c r="H16" s="318"/>
      <c r="I16" s="318"/>
      <c r="J16" s="318"/>
      <c r="K16" s="318"/>
      <c r="L16" s="318"/>
      <c r="M16" s="318"/>
      <c r="N16" s="318"/>
      <c r="O16" s="318"/>
      <c r="P16" s="318"/>
      <c r="Q16" s="318"/>
      <c r="R16" s="318"/>
      <c r="S16" s="318"/>
      <c r="T16" s="318"/>
      <c r="U16" s="318"/>
      <c r="V16" s="318"/>
      <c r="W16" s="318"/>
      <c r="X16" s="318"/>
      <c r="Y16" s="318"/>
      <c r="Z16" s="318"/>
    </row>
    <row r="17" ht="15.75" customHeight="1">
      <c r="A17" s="181"/>
      <c r="B17" s="181"/>
      <c r="C17" s="181"/>
      <c r="D17" s="318"/>
      <c r="E17" s="318"/>
      <c r="F17" s="318"/>
      <c r="G17" s="318"/>
      <c r="H17" s="318"/>
      <c r="I17" s="318"/>
      <c r="J17" s="318"/>
      <c r="K17" s="318"/>
      <c r="L17" s="318"/>
      <c r="M17" s="318"/>
      <c r="N17" s="318"/>
      <c r="O17" s="318"/>
      <c r="P17" s="318"/>
      <c r="Q17" s="318"/>
      <c r="R17" s="318"/>
      <c r="S17" s="318"/>
      <c r="T17" s="318"/>
      <c r="U17" s="318"/>
      <c r="V17" s="318"/>
      <c r="W17" s="318"/>
      <c r="X17" s="318"/>
      <c r="Y17" s="318"/>
      <c r="Z17" s="318"/>
    </row>
    <row r="18" ht="15.75" customHeight="1">
      <c r="A18" s="181"/>
      <c r="B18" s="181"/>
      <c r="C18" s="181"/>
      <c r="D18" s="318"/>
      <c r="E18" s="318"/>
      <c r="F18" s="318"/>
      <c r="G18" s="318"/>
      <c r="H18" s="318"/>
      <c r="I18" s="318"/>
      <c r="J18" s="318"/>
      <c r="K18" s="318"/>
      <c r="L18" s="318"/>
      <c r="M18" s="318"/>
      <c r="N18" s="318"/>
      <c r="O18" s="318"/>
      <c r="P18" s="318"/>
      <c r="Q18" s="318"/>
      <c r="R18" s="318"/>
      <c r="S18" s="318"/>
      <c r="T18" s="318"/>
      <c r="U18" s="318"/>
      <c r="V18" s="318"/>
      <c r="W18" s="318"/>
      <c r="X18" s="318"/>
      <c r="Y18" s="318"/>
      <c r="Z18" s="318"/>
    </row>
    <row r="19" ht="15.75" customHeight="1">
      <c r="A19" s="181"/>
      <c r="B19" s="181"/>
      <c r="C19" s="181"/>
      <c r="D19" s="318"/>
      <c r="E19" s="318"/>
      <c r="F19" s="318"/>
      <c r="G19" s="318"/>
      <c r="H19" s="318"/>
      <c r="I19" s="318"/>
      <c r="J19" s="318"/>
      <c r="K19" s="318"/>
      <c r="L19" s="318"/>
      <c r="M19" s="318"/>
      <c r="N19" s="318"/>
      <c r="O19" s="318"/>
      <c r="P19" s="318"/>
      <c r="Q19" s="318"/>
      <c r="R19" s="318"/>
      <c r="S19" s="318"/>
      <c r="T19" s="318"/>
      <c r="U19" s="318"/>
      <c r="V19" s="318"/>
      <c r="W19" s="318"/>
      <c r="X19" s="318"/>
      <c r="Y19" s="318"/>
      <c r="Z19" s="318"/>
    </row>
    <row r="20" ht="15.75" customHeight="1">
      <c r="A20" s="181"/>
      <c r="B20" s="181"/>
      <c r="C20" s="181"/>
      <c r="D20" s="318"/>
      <c r="E20" s="318"/>
      <c r="F20" s="318"/>
      <c r="G20" s="318"/>
      <c r="H20" s="318"/>
      <c r="I20" s="318"/>
      <c r="J20" s="318"/>
      <c r="K20" s="318"/>
      <c r="L20" s="318"/>
      <c r="M20" s="318"/>
      <c r="N20" s="318"/>
      <c r="O20" s="318"/>
      <c r="P20" s="318"/>
      <c r="Q20" s="318"/>
      <c r="R20" s="318"/>
      <c r="S20" s="318"/>
      <c r="T20" s="318"/>
      <c r="U20" s="318"/>
      <c r="V20" s="318"/>
      <c r="W20" s="318"/>
      <c r="X20" s="318"/>
      <c r="Y20" s="318"/>
      <c r="Z20" s="318"/>
    </row>
    <row r="21" ht="15.75" customHeight="1">
      <c r="A21" s="181"/>
      <c r="B21" s="181"/>
      <c r="C21" s="181"/>
      <c r="D21" s="318"/>
      <c r="E21" s="318"/>
      <c r="F21" s="318"/>
      <c r="G21" s="318"/>
      <c r="H21" s="318"/>
      <c r="I21" s="318"/>
      <c r="J21" s="318"/>
      <c r="K21" s="318"/>
      <c r="L21" s="318"/>
      <c r="M21" s="318"/>
      <c r="N21" s="318"/>
      <c r="O21" s="318"/>
      <c r="P21" s="318"/>
      <c r="Q21" s="318"/>
      <c r="R21" s="318"/>
      <c r="S21" s="318"/>
      <c r="T21" s="318"/>
      <c r="U21" s="318"/>
      <c r="V21" s="318"/>
      <c r="W21" s="318"/>
      <c r="X21" s="318"/>
      <c r="Y21" s="318"/>
      <c r="Z21" s="318"/>
    </row>
    <row r="22" ht="15.75" customHeight="1">
      <c r="A22" s="320"/>
      <c r="B22" s="320"/>
      <c r="C22" s="318"/>
      <c r="D22" s="318"/>
      <c r="E22" s="318"/>
      <c r="F22" s="318"/>
      <c r="G22" s="318"/>
      <c r="H22" s="318"/>
      <c r="I22" s="318"/>
      <c r="J22" s="318"/>
      <c r="K22" s="318"/>
      <c r="L22" s="318"/>
      <c r="M22" s="318"/>
      <c r="N22" s="318"/>
      <c r="O22" s="318"/>
      <c r="P22" s="318"/>
      <c r="Q22" s="318"/>
      <c r="R22" s="318"/>
      <c r="S22" s="318"/>
      <c r="T22" s="318"/>
      <c r="U22" s="318"/>
      <c r="V22" s="318"/>
      <c r="W22" s="318"/>
      <c r="X22" s="318"/>
      <c r="Y22" s="318"/>
      <c r="Z22" s="318"/>
    </row>
    <row r="23" ht="15.75" customHeight="1">
      <c r="A23" s="320"/>
      <c r="B23" s="320"/>
      <c r="C23" s="318"/>
      <c r="D23" s="318"/>
      <c r="E23" s="318"/>
      <c r="F23" s="318"/>
      <c r="G23" s="318"/>
      <c r="H23" s="318"/>
      <c r="I23" s="318"/>
      <c r="J23" s="318"/>
      <c r="K23" s="318"/>
      <c r="L23" s="318"/>
      <c r="M23" s="318"/>
      <c r="N23" s="318"/>
      <c r="O23" s="318"/>
      <c r="P23" s="318"/>
      <c r="Q23" s="318"/>
      <c r="R23" s="318"/>
      <c r="S23" s="318"/>
      <c r="T23" s="318"/>
      <c r="U23" s="318"/>
      <c r="V23" s="318"/>
      <c r="W23" s="318"/>
      <c r="X23" s="318"/>
      <c r="Y23" s="318"/>
      <c r="Z23" s="318"/>
    </row>
    <row r="24" ht="15.75" customHeight="1">
      <c r="A24" s="320"/>
      <c r="B24" s="320"/>
      <c r="C24" s="318"/>
      <c r="D24" s="318"/>
      <c r="E24" s="318"/>
      <c r="F24" s="318"/>
      <c r="G24" s="318"/>
      <c r="H24" s="318"/>
      <c r="I24" s="318"/>
      <c r="J24" s="318"/>
      <c r="K24" s="318"/>
      <c r="L24" s="318"/>
      <c r="M24" s="318"/>
      <c r="N24" s="318"/>
      <c r="O24" s="318"/>
      <c r="P24" s="318"/>
      <c r="Q24" s="318"/>
      <c r="R24" s="318"/>
      <c r="S24" s="318"/>
      <c r="T24" s="318"/>
      <c r="U24" s="318"/>
      <c r="V24" s="318"/>
      <c r="W24" s="318"/>
      <c r="X24" s="318"/>
      <c r="Y24" s="318"/>
      <c r="Z24" s="318"/>
    </row>
    <row r="25" ht="15.75" customHeight="1">
      <c r="A25" s="320"/>
      <c r="B25" s="320"/>
      <c r="C25" s="318"/>
      <c r="D25" s="318"/>
      <c r="E25" s="318"/>
      <c r="F25" s="318"/>
      <c r="G25" s="318"/>
      <c r="H25" s="318"/>
      <c r="I25" s="318"/>
      <c r="J25" s="318"/>
      <c r="K25" s="318"/>
      <c r="L25" s="318"/>
      <c r="M25" s="318"/>
      <c r="N25" s="318"/>
      <c r="O25" s="318"/>
      <c r="P25" s="318"/>
      <c r="Q25" s="318"/>
      <c r="R25" s="318"/>
      <c r="S25" s="318"/>
      <c r="T25" s="318"/>
      <c r="U25" s="318"/>
      <c r="V25" s="318"/>
      <c r="W25" s="318"/>
      <c r="X25" s="318"/>
      <c r="Y25" s="318"/>
      <c r="Z25" s="318"/>
    </row>
    <row r="26" ht="15.75" customHeight="1">
      <c r="A26" s="320"/>
      <c r="B26" s="320"/>
      <c r="C26" s="318"/>
      <c r="D26" s="318"/>
      <c r="E26" s="318"/>
      <c r="F26" s="318"/>
      <c r="G26" s="318"/>
      <c r="H26" s="318"/>
      <c r="I26" s="318"/>
      <c r="J26" s="318"/>
      <c r="K26" s="318"/>
      <c r="L26" s="318"/>
      <c r="M26" s="318"/>
      <c r="N26" s="318"/>
      <c r="O26" s="318"/>
      <c r="P26" s="318"/>
      <c r="Q26" s="318"/>
      <c r="R26" s="318"/>
      <c r="S26" s="318"/>
      <c r="T26" s="318"/>
      <c r="U26" s="318"/>
      <c r="V26" s="318"/>
      <c r="W26" s="318"/>
      <c r="X26" s="318"/>
      <c r="Y26" s="318"/>
      <c r="Z26" s="318"/>
    </row>
    <row r="27" ht="15.75" customHeight="1">
      <c r="A27" s="320"/>
      <c r="B27" s="181"/>
      <c r="C27" s="318"/>
      <c r="D27" s="318"/>
      <c r="E27" s="320"/>
      <c r="F27" s="318"/>
      <c r="G27" s="318"/>
      <c r="H27" s="318"/>
      <c r="I27" s="318"/>
      <c r="J27" s="318"/>
      <c r="K27" s="318"/>
      <c r="L27" s="318"/>
      <c r="M27" s="318"/>
      <c r="N27" s="318"/>
      <c r="O27" s="318"/>
      <c r="P27" s="318"/>
      <c r="Q27" s="318"/>
      <c r="R27" s="318"/>
      <c r="S27" s="318"/>
      <c r="T27" s="318"/>
      <c r="U27" s="318"/>
      <c r="V27" s="318"/>
      <c r="W27" s="318"/>
      <c r="X27" s="318"/>
      <c r="Y27" s="318"/>
      <c r="Z27" s="318"/>
    </row>
    <row r="28" ht="15.75" customHeight="1">
      <c r="A28" s="318"/>
      <c r="B28" s="318"/>
      <c r="C28" s="318"/>
      <c r="D28" s="318"/>
      <c r="E28" s="318"/>
      <c r="F28" s="318"/>
      <c r="G28" s="318"/>
      <c r="H28" s="318"/>
      <c r="I28" s="318"/>
      <c r="J28" s="318"/>
      <c r="K28" s="318"/>
      <c r="L28" s="318"/>
      <c r="M28" s="318"/>
      <c r="N28" s="318"/>
      <c r="O28" s="318"/>
      <c r="P28" s="318"/>
      <c r="Q28" s="318"/>
      <c r="R28" s="318"/>
      <c r="S28" s="318"/>
      <c r="T28" s="318"/>
      <c r="U28" s="318"/>
      <c r="V28" s="318"/>
      <c r="W28" s="318"/>
      <c r="X28" s="318"/>
      <c r="Y28" s="318"/>
      <c r="Z28" s="318"/>
    </row>
    <row r="29" ht="15.75" customHeight="1">
      <c r="A29" s="318"/>
      <c r="B29" s="318"/>
      <c r="C29" s="318"/>
      <c r="D29" s="318"/>
      <c r="E29" s="318"/>
      <c r="F29" s="318"/>
      <c r="G29" s="318"/>
      <c r="H29" s="318"/>
      <c r="I29" s="318"/>
      <c r="J29" s="318"/>
      <c r="K29" s="318"/>
      <c r="L29" s="318"/>
      <c r="M29" s="318"/>
      <c r="N29" s="318"/>
      <c r="O29" s="318"/>
      <c r="P29" s="318"/>
      <c r="Q29" s="318"/>
      <c r="R29" s="318"/>
      <c r="S29" s="318"/>
      <c r="T29" s="318"/>
      <c r="U29" s="318"/>
      <c r="V29" s="318"/>
      <c r="W29" s="318"/>
      <c r="X29" s="318"/>
      <c r="Y29" s="318"/>
      <c r="Z29" s="318"/>
    </row>
    <row r="30" ht="15.75" customHeight="1">
      <c r="A30" s="318"/>
      <c r="B30" s="318"/>
      <c r="C30" s="318"/>
      <c r="D30" s="318"/>
      <c r="E30" s="318"/>
      <c r="F30" s="318"/>
      <c r="G30" s="318"/>
      <c r="H30" s="318"/>
      <c r="I30" s="318"/>
      <c r="J30" s="318"/>
      <c r="K30" s="318"/>
      <c r="L30" s="318"/>
      <c r="M30" s="318"/>
      <c r="N30" s="318"/>
      <c r="O30" s="318"/>
      <c r="P30" s="318"/>
      <c r="Q30" s="318"/>
      <c r="R30" s="318"/>
      <c r="S30" s="318"/>
      <c r="T30" s="318"/>
      <c r="U30" s="318"/>
      <c r="V30" s="318"/>
      <c r="W30" s="318"/>
      <c r="X30" s="318"/>
      <c r="Y30" s="318"/>
      <c r="Z30" s="318"/>
    </row>
    <row r="31" ht="15.75" customHeight="1">
      <c r="A31" s="318"/>
      <c r="C31" s="318"/>
      <c r="D31" s="318"/>
      <c r="E31" s="318"/>
      <c r="F31" s="318"/>
      <c r="G31" s="318"/>
      <c r="H31" s="318"/>
      <c r="I31" s="318"/>
      <c r="J31" s="318"/>
      <c r="K31" s="318"/>
      <c r="L31" s="318"/>
      <c r="M31" s="318"/>
      <c r="N31" s="318"/>
      <c r="O31" s="318"/>
      <c r="P31" s="318"/>
      <c r="Q31" s="318"/>
      <c r="R31" s="318"/>
      <c r="S31" s="318"/>
      <c r="T31" s="318"/>
      <c r="U31" s="318"/>
      <c r="V31" s="318"/>
      <c r="W31" s="318"/>
      <c r="X31" s="318"/>
      <c r="Y31" s="318"/>
      <c r="Z31" s="318"/>
    </row>
    <row r="32" ht="15.75" customHeight="1">
      <c r="A32" s="325"/>
      <c r="B32" s="318"/>
      <c r="C32" s="318"/>
      <c r="D32" s="318"/>
      <c r="E32" s="318"/>
      <c r="F32" s="318"/>
      <c r="G32" s="318"/>
      <c r="H32" s="318"/>
      <c r="I32" s="318"/>
      <c r="J32" s="318"/>
      <c r="K32" s="318"/>
      <c r="L32" s="318"/>
      <c r="M32" s="318"/>
      <c r="N32" s="318"/>
      <c r="O32" s="318"/>
      <c r="P32" s="318"/>
      <c r="Q32" s="318"/>
      <c r="R32" s="318"/>
      <c r="S32" s="318"/>
      <c r="T32" s="318"/>
      <c r="U32" s="318"/>
      <c r="V32" s="318"/>
      <c r="W32" s="318"/>
      <c r="X32" s="318"/>
      <c r="Y32" s="318"/>
      <c r="Z32" s="318"/>
    </row>
    <row r="33" ht="15.75" customHeight="1">
      <c r="A33" s="318"/>
      <c r="B33" s="318"/>
      <c r="C33" s="318"/>
      <c r="D33" s="318"/>
      <c r="E33" s="318"/>
      <c r="F33" s="318"/>
      <c r="G33" s="318"/>
      <c r="H33" s="318"/>
      <c r="I33" s="318"/>
      <c r="J33" s="318"/>
      <c r="K33" s="318"/>
      <c r="L33" s="318"/>
      <c r="M33" s="318"/>
      <c r="N33" s="318"/>
      <c r="O33" s="318"/>
      <c r="P33" s="318"/>
      <c r="Q33" s="318"/>
      <c r="R33" s="318"/>
      <c r="S33" s="318"/>
      <c r="T33" s="318"/>
      <c r="U33" s="318"/>
      <c r="V33" s="318"/>
      <c r="W33" s="318"/>
      <c r="X33" s="318"/>
      <c r="Y33" s="318"/>
      <c r="Z33" s="318"/>
    </row>
    <row r="34" ht="15.75" customHeight="1">
      <c r="A34" s="318"/>
      <c r="B34" s="318"/>
      <c r="C34" s="318"/>
      <c r="D34" s="318"/>
      <c r="E34" s="318"/>
      <c r="F34" s="318"/>
      <c r="G34" s="318"/>
      <c r="H34" s="318"/>
      <c r="I34" s="318"/>
      <c r="J34" s="318"/>
      <c r="K34" s="318"/>
      <c r="L34" s="318"/>
      <c r="M34" s="318"/>
      <c r="N34" s="318"/>
      <c r="O34" s="318"/>
      <c r="P34" s="318"/>
      <c r="Q34" s="318"/>
      <c r="R34" s="318"/>
      <c r="S34" s="318"/>
      <c r="T34" s="318"/>
      <c r="U34" s="318"/>
      <c r="V34" s="318"/>
      <c r="W34" s="318"/>
      <c r="X34" s="318"/>
      <c r="Y34" s="318"/>
      <c r="Z34" s="318"/>
    </row>
    <row r="35" ht="15.75" customHeight="1">
      <c r="A35" s="318"/>
      <c r="B35" s="318"/>
      <c r="C35" s="318"/>
      <c r="D35" s="318"/>
      <c r="E35" s="318"/>
      <c r="F35" s="318"/>
      <c r="G35" s="318"/>
      <c r="H35" s="318"/>
      <c r="I35" s="318"/>
      <c r="J35" s="318"/>
      <c r="K35" s="318"/>
      <c r="L35" s="318"/>
      <c r="M35" s="318"/>
      <c r="N35" s="318"/>
      <c r="O35" s="318"/>
      <c r="P35" s="318"/>
      <c r="Q35" s="318"/>
      <c r="R35" s="318"/>
      <c r="S35" s="318"/>
      <c r="T35" s="318"/>
      <c r="U35" s="318"/>
      <c r="V35" s="318"/>
      <c r="W35" s="318"/>
      <c r="X35" s="318"/>
      <c r="Y35" s="318"/>
      <c r="Z35" s="318"/>
    </row>
    <row r="36" ht="15.75" customHeight="1">
      <c r="A36" s="318"/>
      <c r="B36" s="318"/>
      <c r="C36" s="318"/>
      <c r="D36" s="318"/>
      <c r="E36" s="318"/>
      <c r="F36" s="318"/>
      <c r="G36" s="318"/>
      <c r="H36" s="318"/>
      <c r="I36" s="318"/>
      <c r="J36" s="318"/>
      <c r="K36" s="318"/>
      <c r="L36" s="318"/>
      <c r="M36" s="318"/>
      <c r="N36" s="318"/>
      <c r="O36" s="318"/>
      <c r="P36" s="318"/>
      <c r="Q36" s="318"/>
      <c r="R36" s="318"/>
      <c r="S36" s="318"/>
      <c r="T36" s="318"/>
      <c r="U36" s="318"/>
      <c r="V36" s="318"/>
      <c r="W36" s="318"/>
      <c r="X36" s="318"/>
      <c r="Y36" s="318"/>
      <c r="Z36" s="318"/>
    </row>
    <row r="37" ht="15.75" customHeight="1">
      <c r="A37" s="318"/>
      <c r="B37" s="318"/>
      <c r="C37" s="318"/>
      <c r="D37" s="318"/>
      <c r="E37" s="318"/>
      <c r="F37" s="318"/>
      <c r="G37" s="318"/>
      <c r="H37" s="318"/>
      <c r="I37" s="318"/>
      <c r="J37" s="318"/>
      <c r="K37" s="318"/>
      <c r="L37" s="318"/>
      <c r="M37" s="318"/>
      <c r="N37" s="318"/>
      <c r="O37" s="318"/>
      <c r="P37" s="318"/>
      <c r="Q37" s="318"/>
      <c r="R37" s="318"/>
      <c r="S37" s="318"/>
      <c r="T37" s="318"/>
      <c r="U37" s="318"/>
      <c r="V37" s="318"/>
      <c r="W37" s="318"/>
      <c r="X37" s="318"/>
      <c r="Y37" s="318"/>
      <c r="Z37" s="318"/>
    </row>
    <row r="38" ht="15.75" customHeight="1">
      <c r="A38" s="318"/>
      <c r="B38" s="318"/>
      <c r="C38" s="318"/>
      <c r="D38" s="318"/>
      <c r="E38" s="318"/>
      <c r="F38" s="318"/>
      <c r="G38" s="318"/>
      <c r="H38" s="318"/>
      <c r="I38" s="318"/>
      <c r="J38" s="318"/>
      <c r="K38" s="318"/>
      <c r="L38" s="318"/>
      <c r="M38" s="318"/>
      <c r="N38" s="318"/>
      <c r="O38" s="318"/>
      <c r="P38" s="318"/>
      <c r="Q38" s="318"/>
      <c r="R38" s="318"/>
      <c r="S38" s="318"/>
      <c r="T38" s="318"/>
      <c r="U38" s="318"/>
      <c r="V38" s="318"/>
      <c r="W38" s="318"/>
      <c r="X38" s="318"/>
      <c r="Y38" s="318"/>
      <c r="Z38" s="318"/>
    </row>
    <row r="39" ht="15.75" customHeight="1">
      <c r="A39" s="318"/>
      <c r="B39" s="318"/>
      <c r="C39" s="318"/>
      <c r="D39" s="318"/>
      <c r="E39" s="318"/>
      <c r="F39" s="318"/>
      <c r="G39" s="318"/>
      <c r="H39" s="318"/>
      <c r="I39" s="318"/>
      <c r="J39" s="318"/>
      <c r="K39" s="318"/>
      <c r="L39" s="318"/>
      <c r="M39" s="318"/>
      <c r="N39" s="318"/>
      <c r="O39" s="318"/>
      <c r="P39" s="318"/>
      <c r="Q39" s="318"/>
      <c r="R39" s="318"/>
      <c r="S39" s="318"/>
      <c r="T39" s="318"/>
      <c r="U39" s="318"/>
      <c r="V39" s="318"/>
      <c r="W39" s="318"/>
      <c r="X39" s="318"/>
      <c r="Y39" s="318"/>
      <c r="Z39" s="318"/>
    </row>
    <row r="40" ht="15.75" customHeight="1">
      <c r="A40" s="318"/>
      <c r="B40" s="318"/>
      <c r="C40" s="318"/>
      <c r="D40" s="318"/>
      <c r="E40" s="318"/>
      <c r="F40" s="318"/>
      <c r="G40" s="318"/>
      <c r="H40" s="318"/>
      <c r="I40" s="318"/>
      <c r="J40" s="318"/>
      <c r="K40" s="318"/>
      <c r="L40" s="318"/>
      <c r="M40" s="318"/>
      <c r="N40" s="318"/>
      <c r="O40" s="318"/>
      <c r="P40" s="318"/>
      <c r="Q40" s="318"/>
      <c r="R40" s="318"/>
      <c r="S40" s="318"/>
      <c r="T40" s="318"/>
      <c r="U40" s="318"/>
      <c r="V40" s="318"/>
      <c r="W40" s="318"/>
      <c r="X40" s="318"/>
      <c r="Y40" s="318"/>
      <c r="Z40" s="318"/>
    </row>
    <row r="41" ht="15.75" customHeight="1">
      <c r="A41" s="318"/>
      <c r="B41" s="318"/>
      <c r="C41" s="318"/>
      <c r="D41" s="318"/>
      <c r="E41" s="318"/>
      <c r="F41" s="318"/>
      <c r="G41" s="318"/>
      <c r="H41" s="318"/>
      <c r="I41" s="318"/>
      <c r="J41" s="318"/>
      <c r="K41" s="318"/>
      <c r="L41" s="318"/>
      <c r="M41" s="318"/>
      <c r="N41" s="318"/>
      <c r="O41" s="318"/>
      <c r="P41" s="318"/>
      <c r="Q41" s="318"/>
      <c r="R41" s="318"/>
      <c r="S41" s="318"/>
      <c r="T41" s="318"/>
      <c r="U41" s="318"/>
      <c r="V41" s="318"/>
      <c r="W41" s="318"/>
      <c r="X41" s="318"/>
      <c r="Y41" s="318"/>
      <c r="Z41" s="318"/>
    </row>
    <row r="42" ht="15.75" customHeight="1">
      <c r="A42" s="318"/>
      <c r="B42" s="318"/>
      <c r="C42" s="318"/>
      <c r="D42" s="318"/>
      <c r="E42" s="318"/>
      <c r="F42" s="318"/>
      <c r="G42" s="318"/>
      <c r="H42" s="318"/>
      <c r="I42" s="318"/>
      <c r="J42" s="318"/>
      <c r="K42" s="318"/>
      <c r="L42" s="318"/>
      <c r="M42" s="318"/>
      <c r="N42" s="318"/>
      <c r="O42" s="318"/>
      <c r="P42" s="318"/>
      <c r="Q42" s="318"/>
      <c r="R42" s="318"/>
      <c r="S42" s="318"/>
      <c r="T42" s="318"/>
      <c r="U42" s="318"/>
      <c r="V42" s="318"/>
      <c r="W42" s="318"/>
      <c r="X42" s="318"/>
      <c r="Y42" s="318"/>
      <c r="Z42" s="318"/>
    </row>
    <row r="43" ht="15.75" customHeight="1">
      <c r="A43" s="318"/>
      <c r="B43" s="318"/>
      <c r="C43" s="318"/>
      <c r="D43" s="318"/>
      <c r="E43" s="318"/>
      <c r="F43" s="318"/>
      <c r="G43" s="318"/>
      <c r="H43" s="318"/>
      <c r="I43" s="318"/>
      <c r="J43" s="318"/>
      <c r="K43" s="318"/>
      <c r="L43" s="318"/>
      <c r="M43" s="318"/>
      <c r="N43" s="318"/>
      <c r="O43" s="318"/>
      <c r="P43" s="318"/>
      <c r="Q43" s="318"/>
      <c r="R43" s="318"/>
      <c r="S43" s="318"/>
      <c r="T43" s="318"/>
      <c r="U43" s="318"/>
      <c r="V43" s="318"/>
      <c r="W43" s="318"/>
      <c r="X43" s="318"/>
      <c r="Y43" s="318"/>
      <c r="Z43" s="318"/>
    </row>
    <row r="44" ht="15.75" customHeight="1">
      <c r="A44" s="318"/>
      <c r="B44" s="318"/>
      <c r="C44" s="318"/>
      <c r="D44" s="318"/>
      <c r="E44" s="318"/>
      <c r="F44" s="318"/>
      <c r="G44" s="318"/>
      <c r="H44" s="318"/>
      <c r="I44" s="318"/>
      <c r="J44" s="318"/>
      <c r="K44" s="318"/>
      <c r="L44" s="318"/>
      <c r="M44" s="318"/>
      <c r="N44" s="318"/>
      <c r="O44" s="318"/>
      <c r="P44" s="318"/>
      <c r="Q44" s="318"/>
      <c r="R44" s="318"/>
      <c r="S44" s="318"/>
      <c r="T44" s="318"/>
      <c r="U44" s="318"/>
      <c r="V44" s="318"/>
      <c r="W44" s="318"/>
      <c r="X44" s="318"/>
      <c r="Y44" s="318"/>
      <c r="Z44" s="318"/>
    </row>
    <row r="45" ht="15.75" customHeight="1">
      <c r="A45" s="318"/>
      <c r="B45" s="318"/>
      <c r="C45" s="318"/>
      <c r="D45" s="318"/>
      <c r="E45" s="318"/>
      <c r="F45" s="318"/>
      <c r="G45" s="318"/>
      <c r="H45" s="318"/>
      <c r="I45" s="318"/>
      <c r="J45" s="318"/>
      <c r="K45" s="318"/>
      <c r="L45" s="318"/>
      <c r="M45" s="318"/>
      <c r="N45" s="318"/>
      <c r="O45" s="318"/>
      <c r="P45" s="318"/>
      <c r="Q45" s="318"/>
      <c r="R45" s="318"/>
      <c r="S45" s="318"/>
      <c r="T45" s="318"/>
      <c r="U45" s="318"/>
      <c r="V45" s="318"/>
      <c r="W45" s="318"/>
      <c r="X45" s="318"/>
      <c r="Y45" s="318"/>
      <c r="Z45" s="318"/>
    </row>
    <row r="46" ht="15.75" customHeight="1">
      <c r="A46" s="318"/>
      <c r="B46" s="318"/>
      <c r="C46" s="318"/>
      <c r="D46" s="318"/>
      <c r="E46" s="318"/>
      <c r="F46" s="318"/>
      <c r="G46" s="318"/>
      <c r="H46" s="318"/>
      <c r="I46" s="318"/>
      <c r="J46" s="318"/>
      <c r="K46" s="318"/>
      <c r="L46" s="318"/>
      <c r="M46" s="318"/>
      <c r="N46" s="318"/>
      <c r="O46" s="318"/>
      <c r="P46" s="318"/>
      <c r="Q46" s="318"/>
      <c r="R46" s="318"/>
      <c r="S46" s="318"/>
      <c r="T46" s="318"/>
      <c r="U46" s="318"/>
      <c r="V46" s="318"/>
      <c r="W46" s="318"/>
      <c r="X46" s="318"/>
      <c r="Y46" s="318"/>
      <c r="Z46" s="318"/>
    </row>
    <row r="47" ht="15.75" customHeight="1">
      <c r="A47" s="318"/>
      <c r="B47" s="318"/>
      <c r="C47" s="318"/>
      <c r="D47" s="318"/>
      <c r="E47" s="318"/>
      <c r="F47" s="318"/>
      <c r="G47" s="318"/>
      <c r="H47" s="318"/>
      <c r="I47" s="318"/>
      <c r="J47" s="318"/>
      <c r="K47" s="318"/>
      <c r="L47" s="318"/>
      <c r="M47" s="318"/>
      <c r="N47" s="318"/>
      <c r="O47" s="318"/>
      <c r="P47" s="318"/>
      <c r="Q47" s="318"/>
      <c r="R47" s="318"/>
      <c r="S47" s="318"/>
      <c r="T47" s="318"/>
      <c r="U47" s="318"/>
      <c r="V47" s="318"/>
      <c r="W47" s="318"/>
      <c r="X47" s="318"/>
      <c r="Y47" s="318"/>
      <c r="Z47" s="318"/>
    </row>
    <row r="48" ht="15.75" customHeight="1">
      <c r="A48" s="318"/>
      <c r="B48" s="318"/>
      <c r="C48" s="318"/>
      <c r="D48" s="318"/>
      <c r="E48" s="318"/>
      <c r="F48" s="318"/>
      <c r="G48" s="318"/>
      <c r="H48" s="318"/>
      <c r="I48" s="318"/>
      <c r="J48" s="318"/>
      <c r="K48" s="318"/>
      <c r="L48" s="318"/>
      <c r="M48" s="318"/>
      <c r="N48" s="318"/>
      <c r="O48" s="318"/>
      <c r="P48" s="318"/>
      <c r="Q48" s="318"/>
      <c r="R48" s="318"/>
      <c r="S48" s="318"/>
      <c r="T48" s="318"/>
      <c r="U48" s="318"/>
      <c r="V48" s="318"/>
      <c r="W48" s="318"/>
      <c r="X48" s="318"/>
      <c r="Y48" s="318"/>
      <c r="Z48" s="318"/>
    </row>
    <row r="49" ht="15.75" customHeight="1">
      <c r="A49" s="318"/>
      <c r="B49" s="318"/>
      <c r="C49" s="318"/>
      <c r="D49" s="318"/>
      <c r="E49" s="318"/>
      <c r="F49" s="318"/>
      <c r="G49" s="318"/>
      <c r="H49" s="318"/>
      <c r="I49" s="318"/>
      <c r="J49" s="318"/>
      <c r="K49" s="318"/>
      <c r="L49" s="318"/>
      <c r="M49" s="318"/>
      <c r="N49" s="318"/>
      <c r="O49" s="318"/>
      <c r="P49" s="318"/>
      <c r="Q49" s="318"/>
      <c r="R49" s="318"/>
      <c r="S49" s="318"/>
      <c r="T49" s="318"/>
      <c r="U49" s="318"/>
      <c r="V49" s="318"/>
      <c r="W49" s="318"/>
      <c r="X49" s="318"/>
      <c r="Y49" s="318"/>
      <c r="Z49" s="318"/>
    </row>
    <row r="50" ht="15.75" customHeight="1">
      <c r="A50" s="318"/>
      <c r="B50" s="318"/>
      <c r="C50" s="318"/>
      <c r="D50" s="318"/>
      <c r="E50" s="318"/>
      <c r="F50" s="318"/>
      <c r="G50" s="318"/>
      <c r="H50" s="318"/>
      <c r="I50" s="318"/>
      <c r="J50" s="318"/>
      <c r="K50" s="318"/>
      <c r="L50" s="318"/>
      <c r="M50" s="318"/>
      <c r="N50" s="318"/>
      <c r="O50" s="318"/>
      <c r="P50" s="318"/>
      <c r="Q50" s="318"/>
      <c r="R50" s="318"/>
      <c r="S50" s="318"/>
      <c r="T50" s="318"/>
      <c r="U50" s="318"/>
      <c r="V50" s="318"/>
      <c r="W50" s="318"/>
      <c r="X50" s="318"/>
      <c r="Y50" s="318"/>
      <c r="Z50" s="318"/>
    </row>
    <row r="51" ht="15.75" customHeight="1">
      <c r="A51" s="318"/>
      <c r="B51" s="318"/>
      <c r="C51" s="318"/>
      <c r="D51" s="318"/>
      <c r="E51" s="318"/>
      <c r="F51" s="318"/>
      <c r="G51" s="318"/>
      <c r="H51" s="318"/>
      <c r="I51" s="318"/>
      <c r="J51" s="318"/>
      <c r="K51" s="318"/>
      <c r="L51" s="318"/>
      <c r="M51" s="318"/>
      <c r="N51" s="318"/>
      <c r="O51" s="318"/>
      <c r="P51" s="318"/>
      <c r="Q51" s="318"/>
      <c r="R51" s="318"/>
      <c r="S51" s="318"/>
      <c r="T51" s="318"/>
      <c r="U51" s="318"/>
      <c r="V51" s="318"/>
      <c r="W51" s="318"/>
      <c r="X51" s="318"/>
      <c r="Y51" s="318"/>
      <c r="Z51" s="318"/>
    </row>
    <row r="52" ht="15.75" customHeight="1">
      <c r="A52" s="318"/>
      <c r="B52" s="318"/>
      <c r="C52" s="318"/>
      <c r="D52" s="318"/>
      <c r="E52" s="318"/>
      <c r="F52" s="318"/>
      <c r="G52" s="318"/>
      <c r="H52" s="318"/>
      <c r="I52" s="318"/>
      <c r="J52" s="318"/>
      <c r="K52" s="318"/>
      <c r="L52" s="318"/>
      <c r="M52" s="318"/>
      <c r="N52" s="318"/>
      <c r="O52" s="318"/>
      <c r="P52" s="318"/>
      <c r="Q52" s="318"/>
      <c r="R52" s="318"/>
      <c r="S52" s="318"/>
      <c r="T52" s="318"/>
      <c r="U52" s="318"/>
      <c r="V52" s="318"/>
      <c r="W52" s="318"/>
      <c r="X52" s="318"/>
      <c r="Y52" s="318"/>
      <c r="Z52" s="318"/>
    </row>
    <row r="53" ht="15.75" customHeight="1">
      <c r="B53" s="318"/>
      <c r="C53" s="318"/>
      <c r="D53" s="318"/>
      <c r="E53" s="318"/>
      <c r="F53" s="318"/>
      <c r="G53" s="318"/>
      <c r="H53" s="318"/>
      <c r="I53" s="318"/>
      <c r="J53" s="318"/>
      <c r="K53" s="318"/>
      <c r="L53" s="318"/>
      <c r="M53" s="318"/>
      <c r="N53" s="318"/>
      <c r="O53" s="318"/>
      <c r="P53" s="318"/>
      <c r="Q53" s="318"/>
      <c r="R53" s="318"/>
      <c r="S53" s="318"/>
      <c r="T53" s="318"/>
      <c r="U53" s="318"/>
      <c r="V53" s="318"/>
      <c r="W53" s="318"/>
      <c r="X53" s="318"/>
      <c r="Y53" s="318"/>
      <c r="Z53" s="318"/>
    </row>
    <row r="54" ht="15.75" customHeight="1">
      <c r="A54" s="318"/>
      <c r="B54" s="318"/>
      <c r="C54" s="318"/>
      <c r="D54" s="318"/>
      <c r="E54" s="318"/>
      <c r="F54" s="318"/>
      <c r="G54" s="318"/>
      <c r="H54" s="318"/>
      <c r="I54" s="318"/>
      <c r="J54" s="318"/>
      <c r="K54" s="318"/>
      <c r="L54" s="318"/>
      <c r="M54" s="318"/>
      <c r="N54" s="318"/>
      <c r="O54" s="318"/>
      <c r="P54" s="318"/>
      <c r="Q54" s="318"/>
      <c r="R54" s="318"/>
      <c r="S54" s="318"/>
      <c r="T54" s="318"/>
      <c r="U54" s="318"/>
      <c r="V54" s="318"/>
      <c r="W54" s="318"/>
      <c r="X54" s="318"/>
      <c r="Y54" s="318"/>
      <c r="Z54" s="318"/>
    </row>
    <row r="55" ht="15.75" customHeight="1">
      <c r="A55" s="318"/>
      <c r="B55" s="318"/>
      <c r="C55" s="318"/>
      <c r="D55" s="318"/>
      <c r="E55" s="318"/>
      <c r="F55" s="318"/>
      <c r="G55" s="318"/>
      <c r="H55" s="318"/>
      <c r="I55" s="318"/>
      <c r="J55" s="318"/>
      <c r="K55" s="318"/>
      <c r="L55" s="318"/>
      <c r="M55" s="318"/>
      <c r="N55" s="318"/>
      <c r="O55" s="318"/>
      <c r="P55" s="318"/>
      <c r="Q55" s="318"/>
      <c r="R55" s="318"/>
      <c r="S55" s="318"/>
      <c r="T55" s="318"/>
      <c r="U55" s="318"/>
      <c r="V55" s="318"/>
      <c r="W55" s="318"/>
      <c r="X55" s="318"/>
      <c r="Y55" s="318"/>
      <c r="Z55" s="318"/>
    </row>
    <row r="56" ht="15.75" customHeight="1">
      <c r="A56" s="318"/>
      <c r="B56" s="318"/>
      <c r="C56" s="318"/>
      <c r="D56" s="318"/>
      <c r="E56" s="318"/>
      <c r="F56" s="318"/>
      <c r="G56" s="318"/>
      <c r="H56" s="318"/>
      <c r="I56" s="318"/>
      <c r="J56" s="318"/>
      <c r="K56" s="318"/>
      <c r="L56" s="318"/>
      <c r="M56" s="318"/>
      <c r="N56" s="318"/>
      <c r="O56" s="318"/>
      <c r="P56" s="318"/>
      <c r="Q56" s="318"/>
      <c r="R56" s="318"/>
      <c r="S56" s="318"/>
      <c r="T56" s="318"/>
      <c r="U56" s="318"/>
      <c r="V56" s="318"/>
      <c r="W56" s="318"/>
      <c r="X56" s="318"/>
      <c r="Y56" s="318"/>
      <c r="Z56" s="318"/>
    </row>
    <row r="57" ht="15.75" customHeight="1">
      <c r="A57" s="318"/>
      <c r="B57" s="318"/>
      <c r="C57" s="318"/>
      <c r="D57" s="318"/>
      <c r="E57" s="318"/>
      <c r="F57" s="318"/>
      <c r="G57" s="318"/>
      <c r="H57" s="318"/>
      <c r="I57" s="318"/>
      <c r="J57" s="318"/>
      <c r="K57" s="318"/>
      <c r="L57" s="318"/>
      <c r="M57" s="318"/>
      <c r="N57" s="318"/>
      <c r="O57" s="318"/>
      <c r="P57" s="318"/>
      <c r="Q57" s="318"/>
      <c r="R57" s="318"/>
      <c r="S57" s="318"/>
      <c r="T57" s="318"/>
      <c r="U57" s="318"/>
      <c r="V57" s="318"/>
      <c r="W57" s="318"/>
      <c r="X57" s="318"/>
      <c r="Y57" s="318"/>
      <c r="Z57" s="318"/>
    </row>
    <row r="58" ht="15.75" customHeight="1">
      <c r="A58" s="318"/>
      <c r="B58" s="318"/>
      <c r="C58" s="318"/>
      <c r="D58" s="318"/>
      <c r="E58" s="318"/>
      <c r="F58" s="318"/>
      <c r="G58" s="318"/>
      <c r="H58" s="318"/>
      <c r="I58" s="318"/>
      <c r="J58" s="318"/>
      <c r="K58" s="318"/>
      <c r="L58" s="318"/>
      <c r="M58" s="318"/>
      <c r="N58" s="318"/>
      <c r="O58" s="318"/>
      <c r="P58" s="318"/>
      <c r="Q58" s="318"/>
      <c r="R58" s="318"/>
      <c r="S58" s="318"/>
      <c r="T58" s="318"/>
      <c r="U58" s="318"/>
      <c r="V58" s="318"/>
      <c r="W58" s="318"/>
      <c r="X58" s="318"/>
      <c r="Y58" s="318"/>
      <c r="Z58" s="318"/>
    </row>
    <row r="59" ht="15.75" customHeight="1">
      <c r="A59" s="318"/>
      <c r="B59" s="318"/>
      <c r="C59" s="318"/>
      <c r="D59" s="318"/>
      <c r="E59" s="318"/>
      <c r="F59" s="318"/>
      <c r="G59" s="318"/>
      <c r="H59" s="318"/>
      <c r="I59" s="318"/>
      <c r="J59" s="318"/>
      <c r="K59" s="318"/>
      <c r="L59" s="318"/>
      <c r="M59" s="318"/>
      <c r="N59" s="318"/>
      <c r="O59" s="318"/>
      <c r="P59" s="318"/>
      <c r="Q59" s="318"/>
      <c r="R59" s="318"/>
      <c r="S59" s="318"/>
      <c r="T59" s="318"/>
      <c r="U59" s="318"/>
      <c r="V59" s="318"/>
      <c r="W59" s="318"/>
      <c r="X59" s="318"/>
      <c r="Y59" s="318"/>
      <c r="Z59" s="318"/>
    </row>
    <row r="60" ht="15.75" customHeight="1">
      <c r="A60" s="318"/>
      <c r="B60" s="318"/>
      <c r="C60" s="318"/>
      <c r="D60" s="318"/>
      <c r="E60" s="318"/>
      <c r="F60" s="318"/>
      <c r="G60" s="318"/>
      <c r="H60" s="318"/>
      <c r="I60" s="318"/>
      <c r="J60" s="318"/>
      <c r="K60" s="318"/>
      <c r="L60" s="318"/>
      <c r="M60" s="318"/>
      <c r="N60" s="318"/>
      <c r="O60" s="318"/>
      <c r="P60" s="318"/>
      <c r="Q60" s="318"/>
      <c r="R60" s="318"/>
      <c r="S60" s="318"/>
      <c r="T60" s="318"/>
      <c r="U60" s="318"/>
      <c r="V60" s="318"/>
      <c r="W60" s="318"/>
      <c r="X60" s="318"/>
      <c r="Y60" s="318"/>
      <c r="Z60" s="318"/>
    </row>
    <row r="61" ht="15.75" customHeight="1">
      <c r="A61" s="318"/>
      <c r="B61" s="318"/>
      <c r="C61" s="318"/>
      <c r="D61" s="318"/>
      <c r="E61" s="318"/>
      <c r="F61" s="318"/>
      <c r="G61" s="318"/>
      <c r="H61" s="318"/>
      <c r="I61" s="318"/>
      <c r="J61" s="318"/>
      <c r="K61" s="318"/>
      <c r="L61" s="318"/>
      <c r="M61" s="318"/>
      <c r="N61" s="318"/>
      <c r="O61" s="318"/>
      <c r="P61" s="318"/>
      <c r="Q61" s="318"/>
      <c r="R61" s="318"/>
      <c r="S61" s="318"/>
      <c r="T61" s="318"/>
      <c r="U61" s="318"/>
      <c r="V61" s="318"/>
      <c r="W61" s="318"/>
      <c r="X61" s="318"/>
      <c r="Y61" s="318"/>
      <c r="Z61" s="318"/>
    </row>
    <row r="62" ht="15.75" customHeight="1">
      <c r="A62" s="318"/>
      <c r="B62" s="318"/>
      <c r="C62" s="318"/>
      <c r="D62" s="318"/>
      <c r="E62" s="318"/>
      <c r="F62" s="318"/>
      <c r="G62" s="318"/>
      <c r="H62" s="318"/>
      <c r="I62" s="318"/>
      <c r="J62" s="318"/>
      <c r="K62" s="318"/>
      <c r="L62" s="318"/>
      <c r="M62" s="318"/>
      <c r="N62" s="318"/>
      <c r="O62" s="318"/>
      <c r="P62" s="318"/>
      <c r="Q62" s="318"/>
      <c r="R62" s="318"/>
      <c r="S62" s="318"/>
      <c r="T62" s="318"/>
      <c r="U62" s="318"/>
      <c r="V62" s="318"/>
      <c r="W62" s="318"/>
      <c r="X62" s="318"/>
      <c r="Y62" s="318"/>
      <c r="Z62" s="318"/>
    </row>
    <row r="63" ht="15.75" customHeight="1">
      <c r="A63" s="318"/>
      <c r="B63" s="318"/>
      <c r="C63" s="318"/>
      <c r="D63" s="318"/>
      <c r="E63" s="318"/>
      <c r="F63" s="318"/>
      <c r="G63" s="318"/>
      <c r="H63" s="318"/>
      <c r="I63" s="318"/>
      <c r="J63" s="318"/>
      <c r="K63" s="318"/>
      <c r="L63" s="318"/>
      <c r="M63" s="318"/>
      <c r="N63" s="318"/>
      <c r="O63" s="318"/>
      <c r="P63" s="318"/>
      <c r="Q63" s="318"/>
      <c r="R63" s="318"/>
      <c r="S63" s="318"/>
      <c r="T63" s="318"/>
      <c r="U63" s="318"/>
      <c r="V63" s="318"/>
      <c r="W63" s="318"/>
      <c r="X63" s="318"/>
      <c r="Y63" s="318"/>
      <c r="Z63" s="318"/>
    </row>
    <row r="64" ht="15.75" customHeight="1">
      <c r="A64" s="318"/>
      <c r="B64" s="318"/>
      <c r="C64" s="318"/>
      <c r="D64" s="318"/>
      <c r="E64" s="318"/>
      <c r="F64" s="318"/>
      <c r="G64" s="318"/>
      <c r="H64" s="318"/>
      <c r="I64" s="318"/>
      <c r="J64" s="318"/>
      <c r="K64" s="318"/>
      <c r="L64" s="318"/>
      <c r="M64" s="318"/>
      <c r="N64" s="318"/>
      <c r="O64" s="318"/>
      <c r="P64" s="318"/>
      <c r="Q64" s="318"/>
      <c r="R64" s="318"/>
      <c r="S64" s="318"/>
      <c r="T64" s="318"/>
      <c r="U64" s="318"/>
      <c r="V64" s="318"/>
      <c r="W64" s="318"/>
      <c r="X64" s="318"/>
      <c r="Y64" s="318"/>
      <c r="Z64" s="318"/>
    </row>
    <row r="65" ht="15.75" customHeight="1">
      <c r="A65" s="318"/>
      <c r="B65" s="318"/>
      <c r="C65" s="318"/>
      <c r="D65" s="318"/>
      <c r="E65" s="318"/>
      <c r="F65" s="318"/>
      <c r="G65" s="318"/>
      <c r="H65" s="318"/>
      <c r="I65" s="318"/>
      <c r="J65" s="318"/>
      <c r="K65" s="318"/>
      <c r="L65" s="318"/>
      <c r="M65" s="318"/>
      <c r="N65" s="318"/>
      <c r="O65" s="318"/>
      <c r="P65" s="318"/>
      <c r="Q65" s="318"/>
      <c r="R65" s="318"/>
      <c r="S65" s="318"/>
      <c r="T65" s="318"/>
      <c r="U65" s="318"/>
      <c r="V65" s="318"/>
      <c r="W65" s="318"/>
      <c r="X65" s="318"/>
      <c r="Y65" s="318"/>
      <c r="Z65" s="318"/>
    </row>
    <row r="66" ht="15.75" customHeight="1">
      <c r="A66" s="318"/>
      <c r="B66" s="318"/>
      <c r="C66" s="318"/>
      <c r="D66" s="318"/>
      <c r="E66" s="318"/>
      <c r="F66" s="318"/>
      <c r="G66" s="318"/>
      <c r="H66" s="318"/>
      <c r="I66" s="318"/>
      <c r="J66" s="318"/>
      <c r="K66" s="318"/>
      <c r="L66" s="318"/>
      <c r="M66" s="318"/>
      <c r="N66" s="318"/>
      <c r="O66" s="318"/>
      <c r="P66" s="318"/>
      <c r="Q66" s="318"/>
      <c r="R66" s="318"/>
      <c r="S66" s="318"/>
      <c r="T66" s="318"/>
      <c r="U66" s="318"/>
      <c r="V66" s="318"/>
      <c r="W66" s="318"/>
      <c r="X66" s="318"/>
      <c r="Y66" s="318"/>
      <c r="Z66" s="318"/>
    </row>
    <row r="67" ht="15.75" customHeight="1">
      <c r="A67" s="318"/>
      <c r="B67" s="318"/>
      <c r="C67" s="318"/>
      <c r="D67" s="318"/>
      <c r="E67" s="318"/>
      <c r="F67" s="318"/>
      <c r="G67" s="318"/>
      <c r="H67" s="318"/>
      <c r="I67" s="318"/>
      <c r="J67" s="318"/>
      <c r="K67" s="318"/>
      <c r="L67" s="318"/>
      <c r="M67" s="318"/>
      <c r="N67" s="318"/>
      <c r="O67" s="318"/>
      <c r="P67" s="318"/>
      <c r="Q67" s="318"/>
      <c r="R67" s="318"/>
      <c r="S67" s="318"/>
      <c r="T67" s="318"/>
      <c r="U67" s="318"/>
      <c r="V67" s="318"/>
      <c r="W67" s="318"/>
      <c r="X67" s="318"/>
      <c r="Y67" s="318"/>
      <c r="Z67" s="318"/>
    </row>
    <row r="68" ht="15.75" customHeight="1">
      <c r="A68" s="318"/>
      <c r="B68" s="318"/>
      <c r="C68" s="318"/>
      <c r="D68" s="318"/>
      <c r="E68" s="318"/>
      <c r="F68" s="318"/>
      <c r="G68" s="318"/>
      <c r="H68" s="318"/>
      <c r="I68" s="318"/>
      <c r="J68" s="318"/>
      <c r="K68" s="318"/>
      <c r="L68" s="318"/>
      <c r="M68" s="318"/>
      <c r="N68" s="318"/>
      <c r="O68" s="318"/>
      <c r="P68" s="318"/>
      <c r="Q68" s="318"/>
      <c r="R68" s="318"/>
      <c r="S68" s="318"/>
      <c r="T68" s="318"/>
      <c r="U68" s="318"/>
      <c r="V68" s="318"/>
      <c r="W68" s="318"/>
      <c r="X68" s="318"/>
      <c r="Y68" s="318"/>
      <c r="Z68" s="318"/>
    </row>
    <row r="69" ht="15.75" customHeight="1">
      <c r="A69" s="318"/>
      <c r="B69" s="318"/>
      <c r="C69" s="318"/>
      <c r="D69" s="318"/>
      <c r="E69" s="318"/>
      <c r="F69" s="318"/>
      <c r="G69" s="318"/>
      <c r="H69" s="318"/>
      <c r="I69" s="318"/>
      <c r="J69" s="318"/>
      <c r="K69" s="318"/>
      <c r="L69" s="318"/>
      <c r="M69" s="318"/>
      <c r="N69" s="318"/>
      <c r="O69" s="318"/>
      <c r="P69" s="318"/>
      <c r="Q69" s="318"/>
      <c r="R69" s="318"/>
      <c r="S69" s="318"/>
      <c r="T69" s="318"/>
      <c r="U69" s="318"/>
      <c r="V69" s="318"/>
      <c r="W69" s="318"/>
      <c r="X69" s="318"/>
      <c r="Y69" s="318"/>
      <c r="Z69" s="318"/>
    </row>
    <row r="70" ht="15.75" customHeight="1">
      <c r="A70" s="318"/>
      <c r="B70" s="318"/>
      <c r="C70" s="318"/>
      <c r="D70" s="318"/>
      <c r="E70" s="318"/>
      <c r="F70" s="318"/>
      <c r="G70" s="318"/>
      <c r="H70" s="318"/>
      <c r="I70" s="318"/>
      <c r="J70" s="318"/>
      <c r="K70" s="318"/>
      <c r="L70" s="318"/>
      <c r="M70" s="318"/>
      <c r="N70" s="318"/>
      <c r="O70" s="318"/>
      <c r="P70" s="318"/>
      <c r="Q70" s="318"/>
      <c r="R70" s="318"/>
      <c r="S70" s="318"/>
      <c r="T70" s="318"/>
      <c r="U70" s="318"/>
      <c r="V70" s="318"/>
      <c r="W70" s="318"/>
      <c r="X70" s="318"/>
      <c r="Y70" s="318"/>
      <c r="Z70" s="318"/>
    </row>
    <row r="71" ht="15.75" customHeight="1">
      <c r="A71" s="318"/>
      <c r="B71" s="318"/>
      <c r="C71" s="318"/>
      <c r="D71" s="318"/>
      <c r="E71" s="318"/>
      <c r="F71" s="318"/>
      <c r="G71" s="318"/>
      <c r="H71" s="318"/>
      <c r="I71" s="318"/>
      <c r="J71" s="318"/>
      <c r="K71" s="318"/>
      <c r="L71" s="318"/>
      <c r="M71" s="318"/>
      <c r="N71" s="318"/>
      <c r="O71" s="318"/>
      <c r="P71" s="318"/>
      <c r="Q71" s="318"/>
      <c r="R71" s="318"/>
      <c r="S71" s="318"/>
      <c r="T71" s="318"/>
      <c r="U71" s="318"/>
      <c r="V71" s="318"/>
      <c r="W71" s="318"/>
      <c r="X71" s="318"/>
      <c r="Y71" s="318"/>
      <c r="Z71" s="318"/>
    </row>
    <row r="72" ht="15.75" customHeight="1">
      <c r="A72" s="318"/>
      <c r="B72" s="318"/>
      <c r="C72" s="318"/>
      <c r="D72" s="318"/>
      <c r="E72" s="318"/>
      <c r="F72" s="318"/>
      <c r="G72" s="318"/>
      <c r="H72" s="318"/>
      <c r="I72" s="318"/>
      <c r="J72" s="318"/>
      <c r="K72" s="318"/>
      <c r="L72" s="318"/>
      <c r="M72" s="318"/>
      <c r="N72" s="318"/>
      <c r="O72" s="318"/>
      <c r="P72" s="318"/>
      <c r="Q72" s="318"/>
      <c r="R72" s="318"/>
      <c r="S72" s="318"/>
      <c r="T72" s="318"/>
      <c r="U72" s="318"/>
      <c r="V72" s="318"/>
      <c r="W72" s="318"/>
      <c r="X72" s="318"/>
      <c r="Y72" s="318"/>
      <c r="Z72" s="318"/>
    </row>
    <row r="73" ht="15.75" customHeight="1">
      <c r="A73" s="318"/>
      <c r="B73" s="318"/>
      <c r="C73" s="318"/>
      <c r="D73" s="318"/>
      <c r="E73" s="318"/>
      <c r="F73" s="318"/>
      <c r="G73" s="318"/>
      <c r="H73" s="318"/>
      <c r="I73" s="318"/>
      <c r="J73" s="318"/>
      <c r="K73" s="318"/>
      <c r="L73" s="318"/>
      <c r="M73" s="318"/>
      <c r="N73" s="318"/>
      <c r="O73" s="318"/>
      <c r="P73" s="318"/>
      <c r="Q73" s="318"/>
      <c r="R73" s="318"/>
      <c r="S73" s="318"/>
      <c r="T73" s="318"/>
      <c r="U73" s="318"/>
      <c r="V73" s="318"/>
      <c r="W73" s="318"/>
      <c r="X73" s="318"/>
      <c r="Y73" s="318"/>
      <c r="Z73" s="318"/>
    </row>
    <row r="74" ht="15.75" customHeight="1">
      <c r="A74" s="318"/>
      <c r="B74" s="318"/>
      <c r="C74" s="318"/>
      <c r="D74" s="318"/>
      <c r="E74" s="318"/>
      <c r="F74" s="318"/>
      <c r="G74" s="318"/>
      <c r="H74" s="318"/>
      <c r="I74" s="318"/>
      <c r="J74" s="318"/>
      <c r="K74" s="318"/>
      <c r="L74" s="318"/>
      <c r="M74" s="318"/>
      <c r="N74" s="318"/>
      <c r="O74" s="318"/>
      <c r="P74" s="318"/>
      <c r="Q74" s="318"/>
      <c r="R74" s="318"/>
      <c r="S74" s="318"/>
      <c r="T74" s="318"/>
      <c r="U74" s="318"/>
      <c r="V74" s="318"/>
      <c r="W74" s="318"/>
      <c r="X74" s="318"/>
      <c r="Y74" s="318"/>
      <c r="Z74" s="318"/>
    </row>
    <row r="75" ht="15.75" customHeight="1">
      <c r="A75" s="318"/>
      <c r="B75" s="318"/>
      <c r="C75" s="318"/>
      <c r="D75" s="318"/>
      <c r="E75" s="318"/>
      <c r="F75" s="318"/>
      <c r="G75" s="318"/>
      <c r="H75" s="318"/>
      <c r="I75" s="318"/>
      <c r="J75" s="318"/>
      <c r="K75" s="318"/>
      <c r="L75" s="318"/>
      <c r="M75" s="318"/>
      <c r="N75" s="318"/>
      <c r="O75" s="318"/>
      <c r="P75" s="318"/>
      <c r="Q75" s="318"/>
      <c r="R75" s="318"/>
      <c r="S75" s="318"/>
      <c r="T75" s="318"/>
      <c r="U75" s="318"/>
      <c r="V75" s="318"/>
      <c r="W75" s="318"/>
      <c r="X75" s="318"/>
      <c r="Y75" s="318"/>
      <c r="Z75" s="318"/>
    </row>
    <row r="76" ht="15.75" customHeight="1">
      <c r="A76" s="318"/>
      <c r="B76" s="318"/>
      <c r="C76" s="318"/>
      <c r="D76" s="318"/>
      <c r="E76" s="318"/>
      <c r="F76" s="318"/>
      <c r="G76" s="318"/>
      <c r="H76" s="318"/>
      <c r="I76" s="318"/>
      <c r="J76" s="318"/>
      <c r="K76" s="318"/>
      <c r="L76" s="318"/>
      <c r="M76" s="318"/>
      <c r="N76" s="318"/>
      <c r="O76" s="318"/>
      <c r="P76" s="318"/>
      <c r="Q76" s="318"/>
      <c r="R76" s="318"/>
      <c r="S76" s="318"/>
      <c r="T76" s="318"/>
      <c r="U76" s="318"/>
      <c r="V76" s="318"/>
      <c r="W76" s="318"/>
      <c r="X76" s="318"/>
      <c r="Y76" s="318"/>
      <c r="Z76" s="318"/>
    </row>
    <row r="77" ht="15.75" customHeight="1">
      <c r="A77" s="318"/>
      <c r="B77" s="318"/>
      <c r="C77" s="318"/>
      <c r="D77" s="318"/>
      <c r="E77" s="318"/>
      <c r="F77" s="318"/>
      <c r="G77" s="318"/>
      <c r="H77" s="318"/>
      <c r="I77" s="318"/>
      <c r="J77" s="318"/>
      <c r="K77" s="318"/>
      <c r="L77" s="318"/>
      <c r="M77" s="318"/>
      <c r="N77" s="318"/>
      <c r="O77" s="318"/>
      <c r="P77" s="318"/>
      <c r="Q77" s="318"/>
      <c r="R77" s="318"/>
      <c r="S77" s="318"/>
      <c r="T77" s="318"/>
      <c r="U77" s="318"/>
      <c r="V77" s="318"/>
      <c r="W77" s="318"/>
      <c r="X77" s="318"/>
      <c r="Y77" s="318"/>
      <c r="Z77" s="318"/>
    </row>
    <row r="78" ht="15.75" customHeight="1">
      <c r="A78" s="318"/>
      <c r="B78" s="318"/>
      <c r="C78" s="318"/>
      <c r="D78" s="318"/>
      <c r="E78" s="318"/>
      <c r="F78" s="318"/>
      <c r="G78" s="318"/>
      <c r="H78" s="318"/>
      <c r="I78" s="318"/>
      <c r="J78" s="318"/>
      <c r="K78" s="318"/>
      <c r="L78" s="318"/>
      <c r="M78" s="318"/>
      <c r="N78" s="318"/>
      <c r="O78" s="318"/>
      <c r="P78" s="318"/>
      <c r="Q78" s="318"/>
      <c r="R78" s="318"/>
      <c r="S78" s="318"/>
      <c r="T78" s="318"/>
      <c r="U78" s="318"/>
      <c r="V78" s="318"/>
      <c r="W78" s="318"/>
      <c r="X78" s="318"/>
      <c r="Y78" s="318"/>
      <c r="Z78" s="318"/>
    </row>
    <row r="79" ht="15.75" customHeight="1">
      <c r="A79" s="318"/>
      <c r="B79" s="318"/>
      <c r="C79" s="318"/>
      <c r="D79" s="318"/>
      <c r="E79" s="318"/>
      <c r="F79" s="318"/>
      <c r="G79" s="318"/>
      <c r="H79" s="318"/>
      <c r="I79" s="318"/>
      <c r="J79" s="318"/>
      <c r="K79" s="318"/>
      <c r="L79" s="318"/>
      <c r="M79" s="318"/>
      <c r="N79" s="318"/>
      <c r="O79" s="318"/>
      <c r="P79" s="318"/>
      <c r="Q79" s="318"/>
      <c r="R79" s="318"/>
      <c r="S79" s="318"/>
      <c r="T79" s="318"/>
      <c r="U79" s="318"/>
      <c r="V79" s="318"/>
      <c r="W79" s="318"/>
      <c r="X79" s="318"/>
      <c r="Y79" s="318"/>
      <c r="Z79" s="318"/>
    </row>
    <row r="80" ht="15.75" customHeight="1">
      <c r="A80" s="318"/>
      <c r="B80" s="318"/>
      <c r="C80" s="318"/>
      <c r="D80" s="318"/>
      <c r="E80" s="318"/>
      <c r="F80" s="318"/>
      <c r="G80" s="318"/>
      <c r="H80" s="318"/>
      <c r="I80" s="318"/>
      <c r="J80" s="318"/>
      <c r="K80" s="318"/>
      <c r="L80" s="318"/>
      <c r="M80" s="318"/>
      <c r="N80" s="318"/>
      <c r="O80" s="318"/>
      <c r="P80" s="318"/>
      <c r="Q80" s="318"/>
      <c r="R80" s="318"/>
      <c r="S80" s="318"/>
      <c r="T80" s="318"/>
      <c r="U80" s="318"/>
      <c r="V80" s="318"/>
      <c r="W80" s="318"/>
      <c r="X80" s="318"/>
      <c r="Y80" s="318"/>
      <c r="Z80" s="318"/>
    </row>
    <row r="81" ht="15.75" customHeight="1">
      <c r="A81" s="318"/>
      <c r="B81" s="318"/>
      <c r="C81" s="318"/>
      <c r="D81" s="318"/>
      <c r="E81" s="318"/>
      <c r="F81" s="318"/>
      <c r="G81" s="318"/>
      <c r="H81" s="318"/>
      <c r="I81" s="318"/>
      <c r="J81" s="318"/>
      <c r="K81" s="318"/>
      <c r="L81" s="318"/>
      <c r="M81" s="318"/>
      <c r="N81" s="318"/>
      <c r="O81" s="318"/>
      <c r="P81" s="318"/>
      <c r="Q81" s="318"/>
      <c r="R81" s="318"/>
      <c r="S81" s="318"/>
      <c r="T81" s="318"/>
      <c r="U81" s="318"/>
      <c r="V81" s="318"/>
      <c r="W81" s="318"/>
      <c r="X81" s="318"/>
      <c r="Y81" s="318"/>
      <c r="Z81" s="318"/>
    </row>
    <row r="82" ht="15.75" customHeight="1">
      <c r="A82" s="318"/>
      <c r="B82" s="318"/>
      <c r="C82" s="318"/>
      <c r="D82" s="318"/>
      <c r="E82" s="318"/>
      <c r="F82" s="318"/>
      <c r="G82" s="318"/>
      <c r="H82" s="318"/>
      <c r="I82" s="318"/>
      <c r="J82" s="318"/>
      <c r="K82" s="318"/>
      <c r="L82" s="318"/>
      <c r="M82" s="318"/>
      <c r="N82" s="318"/>
      <c r="O82" s="318"/>
      <c r="P82" s="318"/>
      <c r="Q82" s="318"/>
      <c r="R82" s="318"/>
      <c r="S82" s="318"/>
      <c r="T82" s="318"/>
      <c r="U82" s="318"/>
      <c r="V82" s="318"/>
      <c r="W82" s="318"/>
      <c r="X82" s="318"/>
      <c r="Y82" s="318"/>
      <c r="Z82" s="318"/>
    </row>
    <row r="83" ht="15.75" customHeight="1">
      <c r="A83" s="318"/>
      <c r="B83" s="318"/>
      <c r="C83" s="318"/>
      <c r="D83" s="318"/>
      <c r="E83" s="318"/>
      <c r="F83" s="318"/>
      <c r="G83" s="318"/>
      <c r="H83" s="318"/>
      <c r="I83" s="318"/>
      <c r="J83" s="318"/>
      <c r="K83" s="318"/>
      <c r="L83" s="318"/>
      <c r="M83" s="318"/>
      <c r="N83" s="318"/>
      <c r="O83" s="318"/>
      <c r="P83" s="318"/>
      <c r="Q83" s="318"/>
      <c r="R83" s="318"/>
      <c r="S83" s="318"/>
      <c r="T83" s="318"/>
      <c r="U83" s="318"/>
      <c r="V83" s="318"/>
      <c r="W83" s="318"/>
      <c r="X83" s="318"/>
      <c r="Y83" s="318"/>
      <c r="Z83" s="318"/>
    </row>
    <row r="84" ht="15.75" customHeight="1">
      <c r="A84" s="318"/>
      <c r="B84" s="318"/>
      <c r="C84" s="318"/>
      <c r="D84" s="318"/>
      <c r="E84" s="318"/>
      <c r="F84" s="318"/>
      <c r="G84" s="318"/>
      <c r="H84" s="318"/>
      <c r="I84" s="318"/>
      <c r="J84" s="318"/>
      <c r="K84" s="318"/>
      <c r="L84" s="318"/>
      <c r="M84" s="318"/>
      <c r="N84" s="318"/>
      <c r="O84" s="318"/>
      <c r="P84" s="318"/>
      <c r="Q84" s="318"/>
      <c r="R84" s="318"/>
      <c r="S84" s="318"/>
      <c r="T84" s="318"/>
      <c r="U84" s="318"/>
      <c r="V84" s="318"/>
      <c r="W84" s="318"/>
      <c r="X84" s="318"/>
      <c r="Y84" s="318"/>
      <c r="Z84" s="318"/>
    </row>
    <row r="85" ht="15.75" customHeight="1">
      <c r="A85" s="318"/>
      <c r="B85" s="318"/>
      <c r="C85" s="318"/>
      <c r="D85" s="318"/>
      <c r="E85" s="318"/>
      <c r="F85" s="318"/>
      <c r="G85" s="318"/>
      <c r="H85" s="318"/>
      <c r="I85" s="318"/>
      <c r="J85" s="318"/>
      <c r="K85" s="318"/>
      <c r="L85" s="318"/>
      <c r="M85" s="318"/>
      <c r="N85" s="318"/>
      <c r="O85" s="318"/>
      <c r="P85" s="318"/>
      <c r="Q85" s="318"/>
      <c r="R85" s="318"/>
      <c r="S85" s="318"/>
      <c r="T85" s="318"/>
      <c r="U85" s="318"/>
      <c r="V85" s="318"/>
      <c r="W85" s="318"/>
      <c r="X85" s="318"/>
      <c r="Y85" s="318"/>
      <c r="Z85" s="318"/>
    </row>
    <row r="86" ht="15.75" customHeight="1">
      <c r="A86" s="318"/>
      <c r="B86" s="318"/>
      <c r="C86" s="318"/>
      <c r="D86" s="318"/>
      <c r="E86" s="318"/>
      <c r="F86" s="318"/>
      <c r="G86" s="318"/>
      <c r="H86" s="318"/>
      <c r="I86" s="318"/>
      <c r="J86" s="318"/>
      <c r="K86" s="318"/>
      <c r="L86" s="318"/>
      <c r="M86" s="318"/>
      <c r="N86" s="318"/>
      <c r="O86" s="318"/>
      <c r="P86" s="318"/>
      <c r="Q86" s="318"/>
      <c r="R86" s="318"/>
      <c r="S86" s="318"/>
      <c r="T86" s="318"/>
      <c r="U86" s="318"/>
      <c r="V86" s="318"/>
      <c r="W86" s="318"/>
      <c r="X86" s="318"/>
      <c r="Y86" s="318"/>
      <c r="Z86" s="318"/>
    </row>
    <row r="87" ht="15.75" customHeight="1">
      <c r="A87" s="318"/>
      <c r="B87" s="318"/>
      <c r="C87" s="318"/>
      <c r="D87" s="318"/>
      <c r="E87" s="318"/>
      <c r="F87" s="318"/>
      <c r="G87" s="318"/>
      <c r="H87" s="318"/>
      <c r="I87" s="318"/>
      <c r="J87" s="318"/>
      <c r="K87" s="318"/>
      <c r="L87" s="318"/>
      <c r="M87" s="318"/>
      <c r="N87" s="318"/>
      <c r="O87" s="318"/>
      <c r="P87" s="318"/>
      <c r="Q87" s="318"/>
      <c r="R87" s="318"/>
      <c r="S87" s="318"/>
      <c r="T87" s="318"/>
      <c r="U87" s="318"/>
      <c r="V87" s="318"/>
      <c r="W87" s="318"/>
      <c r="X87" s="318"/>
      <c r="Y87" s="318"/>
      <c r="Z87" s="318"/>
    </row>
    <row r="88" ht="15.75" customHeight="1">
      <c r="A88" s="318"/>
      <c r="B88" s="318"/>
      <c r="C88" s="318"/>
      <c r="D88" s="318"/>
      <c r="E88" s="318"/>
      <c r="F88" s="318"/>
      <c r="G88" s="318"/>
      <c r="H88" s="318"/>
      <c r="I88" s="318"/>
      <c r="J88" s="318"/>
      <c r="K88" s="318"/>
      <c r="L88" s="318"/>
      <c r="M88" s="318"/>
      <c r="N88" s="318"/>
      <c r="O88" s="318"/>
      <c r="P88" s="318"/>
      <c r="Q88" s="318"/>
      <c r="R88" s="318"/>
      <c r="S88" s="318"/>
      <c r="T88" s="318"/>
      <c r="U88" s="318"/>
      <c r="V88" s="318"/>
      <c r="W88" s="318"/>
      <c r="X88" s="318"/>
      <c r="Y88" s="318"/>
      <c r="Z88" s="318"/>
    </row>
    <row r="89" ht="15.75" customHeight="1">
      <c r="A89" s="318"/>
      <c r="B89" s="318"/>
      <c r="C89" s="318"/>
      <c r="D89" s="318"/>
      <c r="E89" s="318"/>
      <c r="F89" s="318"/>
      <c r="G89" s="318"/>
      <c r="H89" s="318"/>
      <c r="I89" s="318"/>
      <c r="J89" s="318"/>
      <c r="K89" s="318"/>
      <c r="L89" s="318"/>
      <c r="M89" s="318"/>
      <c r="N89" s="318"/>
      <c r="O89" s="318"/>
      <c r="P89" s="318"/>
      <c r="Q89" s="318"/>
      <c r="R89" s="318"/>
      <c r="S89" s="318"/>
      <c r="T89" s="318"/>
      <c r="U89" s="318"/>
      <c r="V89" s="318"/>
      <c r="W89" s="318"/>
      <c r="X89" s="318"/>
      <c r="Y89" s="318"/>
      <c r="Z89" s="318"/>
    </row>
    <row r="90" ht="15.75" customHeight="1">
      <c r="A90" s="318"/>
      <c r="B90" s="318"/>
      <c r="C90" s="318"/>
      <c r="D90" s="318"/>
      <c r="E90" s="318"/>
      <c r="F90" s="318"/>
      <c r="G90" s="318"/>
      <c r="H90" s="318"/>
      <c r="I90" s="318"/>
      <c r="J90" s="318"/>
      <c r="K90" s="318"/>
      <c r="L90" s="318"/>
      <c r="M90" s="318"/>
      <c r="N90" s="318"/>
      <c r="O90" s="318"/>
      <c r="P90" s="318"/>
      <c r="Q90" s="318"/>
      <c r="R90" s="318"/>
      <c r="S90" s="318"/>
      <c r="T90" s="318"/>
      <c r="U90" s="318"/>
      <c r="V90" s="318"/>
      <c r="W90" s="318"/>
      <c r="X90" s="318"/>
      <c r="Y90" s="318"/>
      <c r="Z90" s="318"/>
    </row>
    <row r="91" ht="15.75" customHeight="1">
      <c r="A91" s="318"/>
      <c r="B91" s="318"/>
      <c r="C91" s="318"/>
      <c r="D91" s="318"/>
      <c r="E91" s="318"/>
      <c r="F91" s="318"/>
      <c r="G91" s="318"/>
      <c r="H91" s="318"/>
      <c r="I91" s="318"/>
      <c r="J91" s="318"/>
      <c r="K91" s="318"/>
      <c r="L91" s="318"/>
      <c r="M91" s="318"/>
      <c r="N91" s="318"/>
      <c r="O91" s="318"/>
      <c r="P91" s="318"/>
      <c r="Q91" s="318"/>
      <c r="R91" s="318"/>
      <c r="S91" s="318"/>
      <c r="T91" s="318"/>
      <c r="U91" s="318"/>
      <c r="V91" s="318"/>
      <c r="W91" s="318"/>
      <c r="X91" s="318"/>
      <c r="Y91" s="318"/>
      <c r="Z91" s="318"/>
    </row>
    <row r="92" ht="15.75" customHeight="1">
      <c r="A92" s="318"/>
      <c r="B92" s="318"/>
      <c r="C92" s="318"/>
      <c r="D92" s="318"/>
      <c r="E92" s="318"/>
      <c r="F92" s="318"/>
      <c r="G92" s="318"/>
      <c r="H92" s="318"/>
      <c r="I92" s="318"/>
      <c r="J92" s="318"/>
      <c r="K92" s="318"/>
      <c r="L92" s="318"/>
      <c r="M92" s="318"/>
      <c r="N92" s="318"/>
      <c r="O92" s="318"/>
      <c r="P92" s="318"/>
      <c r="Q92" s="318"/>
      <c r="R92" s="318"/>
      <c r="S92" s="318"/>
      <c r="T92" s="318"/>
      <c r="U92" s="318"/>
      <c r="V92" s="318"/>
      <c r="W92" s="318"/>
      <c r="X92" s="318"/>
      <c r="Y92" s="318"/>
      <c r="Z92" s="318"/>
    </row>
    <row r="93" ht="15.75" customHeight="1">
      <c r="A93" s="318"/>
      <c r="B93" s="318"/>
      <c r="C93" s="318"/>
      <c r="D93" s="318"/>
      <c r="E93" s="318"/>
      <c r="F93" s="318"/>
      <c r="G93" s="318"/>
      <c r="H93" s="318"/>
      <c r="I93" s="318"/>
      <c r="J93" s="318"/>
      <c r="K93" s="318"/>
      <c r="L93" s="318"/>
      <c r="M93" s="318"/>
      <c r="N93" s="318"/>
      <c r="O93" s="318"/>
      <c r="P93" s="318"/>
      <c r="Q93" s="318"/>
      <c r="R93" s="318"/>
      <c r="S93" s="318"/>
      <c r="T93" s="318"/>
      <c r="U93" s="318"/>
      <c r="V93" s="318"/>
      <c r="W93" s="318"/>
      <c r="X93" s="318"/>
      <c r="Y93" s="318"/>
      <c r="Z93" s="318"/>
    </row>
    <row r="94" ht="15.75" customHeight="1">
      <c r="A94" s="318"/>
      <c r="B94" s="318"/>
      <c r="C94" s="318"/>
      <c r="D94" s="318"/>
      <c r="E94" s="318"/>
      <c r="F94" s="318"/>
      <c r="G94" s="318"/>
      <c r="H94" s="318"/>
      <c r="I94" s="318"/>
      <c r="J94" s="318"/>
      <c r="K94" s="318"/>
      <c r="L94" s="318"/>
      <c r="M94" s="318"/>
      <c r="N94" s="318"/>
      <c r="O94" s="318"/>
      <c r="P94" s="318"/>
      <c r="Q94" s="318"/>
      <c r="R94" s="318"/>
      <c r="S94" s="318"/>
      <c r="T94" s="318"/>
      <c r="U94" s="318"/>
      <c r="V94" s="318"/>
      <c r="W94" s="318"/>
      <c r="X94" s="318"/>
      <c r="Y94" s="318"/>
      <c r="Z94" s="318"/>
    </row>
    <row r="95" ht="15.75" customHeight="1">
      <c r="A95" s="318"/>
      <c r="B95" s="318"/>
      <c r="C95" s="318"/>
      <c r="D95" s="318"/>
      <c r="E95" s="318"/>
      <c r="F95" s="318"/>
      <c r="G95" s="318"/>
      <c r="H95" s="318"/>
      <c r="I95" s="318"/>
      <c r="J95" s="318"/>
      <c r="K95" s="318"/>
      <c r="L95" s="318"/>
      <c r="M95" s="318"/>
      <c r="N95" s="318"/>
      <c r="O95" s="318"/>
      <c r="P95" s="318"/>
      <c r="Q95" s="318"/>
      <c r="R95" s="318"/>
      <c r="S95" s="318"/>
      <c r="T95" s="318"/>
      <c r="U95" s="318"/>
      <c r="V95" s="318"/>
      <c r="W95" s="318"/>
      <c r="X95" s="318"/>
      <c r="Y95" s="318"/>
      <c r="Z95" s="318"/>
    </row>
    <row r="96" ht="15.75" customHeight="1">
      <c r="A96" s="318"/>
      <c r="B96" s="318"/>
      <c r="C96" s="318"/>
      <c r="D96" s="318"/>
      <c r="E96" s="318"/>
      <c r="F96" s="318"/>
      <c r="G96" s="318"/>
      <c r="H96" s="318"/>
      <c r="I96" s="318"/>
      <c r="J96" s="318"/>
      <c r="K96" s="318"/>
      <c r="L96" s="318"/>
      <c r="M96" s="318"/>
      <c r="N96" s="318"/>
      <c r="O96" s="318"/>
      <c r="P96" s="318"/>
      <c r="Q96" s="318"/>
      <c r="R96" s="318"/>
      <c r="S96" s="318"/>
      <c r="T96" s="318"/>
      <c r="U96" s="318"/>
      <c r="V96" s="318"/>
      <c r="W96" s="318"/>
      <c r="X96" s="318"/>
      <c r="Y96" s="318"/>
      <c r="Z96" s="318"/>
    </row>
    <row r="97" ht="15.75" customHeight="1">
      <c r="A97" s="318"/>
      <c r="B97" s="318"/>
      <c r="C97" s="318"/>
      <c r="D97" s="318"/>
      <c r="E97" s="318"/>
      <c r="F97" s="318"/>
      <c r="G97" s="318"/>
      <c r="H97" s="318"/>
      <c r="I97" s="318"/>
      <c r="J97" s="318"/>
      <c r="K97" s="318"/>
      <c r="L97" s="318"/>
      <c r="M97" s="318"/>
      <c r="N97" s="318"/>
      <c r="O97" s="318"/>
      <c r="P97" s="318"/>
      <c r="Q97" s="318"/>
      <c r="R97" s="318"/>
      <c r="S97" s="318"/>
      <c r="T97" s="318"/>
      <c r="U97" s="318"/>
      <c r="V97" s="318"/>
      <c r="W97" s="318"/>
      <c r="X97" s="318"/>
      <c r="Y97" s="318"/>
      <c r="Z97" s="318"/>
    </row>
    <row r="98" ht="15.75" customHeight="1">
      <c r="A98" s="318"/>
      <c r="B98" s="318"/>
      <c r="C98" s="318"/>
      <c r="D98" s="318"/>
      <c r="E98" s="318"/>
      <c r="F98" s="318"/>
      <c r="G98" s="318"/>
      <c r="H98" s="318"/>
      <c r="I98" s="318"/>
      <c r="J98" s="318"/>
      <c r="K98" s="318"/>
      <c r="L98" s="318"/>
      <c r="M98" s="318"/>
      <c r="N98" s="318"/>
      <c r="O98" s="318"/>
      <c r="P98" s="318"/>
      <c r="Q98" s="318"/>
      <c r="R98" s="318"/>
      <c r="S98" s="318"/>
      <c r="T98" s="318"/>
      <c r="U98" s="318"/>
      <c r="V98" s="318"/>
      <c r="W98" s="318"/>
      <c r="X98" s="318"/>
      <c r="Y98" s="318"/>
      <c r="Z98" s="318"/>
    </row>
    <row r="99" ht="15.75" customHeight="1">
      <c r="A99" s="318"/>
      <c r="B99" s="318"/>
      <c r="C99" s="318"/>
      <c r="D99" s="318"/>
      <c r="E99" s="318"/>
      <c r="F99" s="318"/>
      <c r="G99" s="318"/>
      <c r="H99" s="318"/>
      <c r="I99" s="318"/>
      <c r="J99" s="318"/>
      <c r="K99" s="318"/>
      <c r="L99" s="318"/>
      <c r="M99" s="318"/>
      <c r="N99" s="318"/>
      <c r="O99" s="318"/>
      <c r="P99" s="318"/>
      <c r="Q99" s="318"/>
      <c r="R99" s="318"/>
      <c r="S99" s="318"/>
      <c r="T99" s="318"/>
      <c r="U99" s="318"/>
      <c r="V99" s="318"/>
      <c r="W99" s="318"/>
      <c r="X99" s="318"/>
      <c r="Y99" s="318"/>
      <c r="Z99" s="318"/>
    </row>
    <row r="100" ht="15.75" customHeight="1">
      <c r="A100" s="318"/>
      <c r="B100" s="318"/>
      <c r="C100" s="318"/>
      <c r="D100" s="318"/>
      <c r="E100" s="318"/>
      <c r="F100" s="318"/>
      <c r="G100" s="318"/>
      <c r="H100" s="318"/>
      <c r="I100" s="318"/>
      <c r="J100" s="318"/>
      <c r="K100" s="318"/>
      <c r="L100" s="318"/>
      <c r="M100" s="318"/>
      <c r="N100" s="318"/>
      <c r="O100" s="318"/>
      <c r="P100" s="318"/>
      <c r="Q100" s="318"/>
      <c r="R100" s="318"/>
      <c r="S100" s="318"/>
      <c r="T100" s="318"/>
      <c r="U100" s="318"/>
      <c r="V100" s="318"/>
      <c r="W100" s="318"/>
      <c r="X100" s="318"/>
      <c r="Y100" s="318"/>
      <c r="Z100" s="318"/>
    </row>
    <row r="101" ht="15.75" customHeight="1">
      <c r="A101" s="318"/>
      <c r="B101" s="318"/>
      <c r="C101" s="318"/>
      <c r="D101" s="318"/>
      <c r="E101" s="318"/>
      <c r="F101" s="318"/>
      <c r="G101" s="318"/>
      <c r="H101" s="318"/>
      <c r="I101" s="318"/>
      <c r="J101" s="318"/>
      <c r="K101" s="318"/>
      <c r="L101" s="318"/>
      <c r="M101" s="318"/>
      <c r="N101" s="318"/>
      <c r="O101" s="318"/>
      <c r="P101" s="318"/>
      <c r="Q101" s="318"/>
      <c r="R101" s="318"/>
      <c r="S101" s="318"/>
      <c r="T101" s="318"/>
      <c r="U101" s="318"/>
      <c r="V101" s="318"/>
      <c r="W101" s="318"/>
      <c r="X101" s="318"/>
      <c r="Y101" s="318"/>
      <c r="Z101" s="318"/>
    </row>
    <row r="102" ht="15.75" customHeight="1">
      <c r="A102" s="318"/>
      <c r="B102" s="318"/>
      <c r="C102" s="318"/>
      <c r="D102" s="318"/>
      <c r="E102" s="318"/>
      <c r="F102" s="318"/>
      <c r="G102" s="318"/>
      <c r="H102" s="318"/>
      <c r="I102" s="318"/>
      <c r="J102" s="318"/>
      <c r="K102" s="318"/>
      <c r="L102" s="318"/>
      <c r="M102" s="318"/>
      <c r="N102" s="318"/>
      <c r="O102" s="318"/>
      <c r="P102" s="318"/>
      <c r="Q102" s="318"/>
      <c r="R102" s="318"/>
      <c r="S102" s="318"/>
      <c r="T102" s="318"/>
      <c r="U102" s="318"/>
      <c r="V102" s="318"/>
      <c r="W102" s="318"/>
      <c r="X102" s="318"/>
      <c r="Y102" s="318"/>
      <c r="Z102" s="318"/>
    </row>
    <row r="103" ht="15.75" customHeight="1">
      <c r="A103" s="318"/>
      <c r="B103" s="318"/>
      <c r="C103" s="318"/>
      <c r="D103" s="318"/>
      <c r="E103" s="318"/>
      <c r="F103" s="318"/>
      <c r="G103" s="318"/>
      <c r="H103" s="318"/>
      <c r="I103" s="318"/>
      <c r="J103" s="318"/>
      <c r="K103" s="318"/>
      <c r="L103" s="318"/>
      <c r="M103" s="318"/>
      <c r="N103" s="318"/>
      <c r="O103" s="318"/>
      <c r="P103" s="318"/>
      <c r="Q103" s="318"/>
      <c r="R103" s="318"/>
      <c r="S103" s="318"/>
      <c r="T103" s="318"/>
      <c r="U103" s="318"/>
      <c r="V103" s="318"/>
      <c r="W103" s="318"/>
      <c r="X103" s="318"/>
      <c r="Y103" s="318"/>
      <c r="Z103" s="318"/>
    </row>
    <row r="104" ht="15.75" customHeight="1">
      <c r="A104" s="318"/>
      <c r="B104" s="318"/>
      <c r="C104" s="318"/>
      <c r="D104" s="318"/>
      <c r="E104" s="318"/>
      <c r="F104" s="318"/>
      <c r="G104" s="318"/>
      <c r="H104" s="318"/>
      <c r="I104" s="318"/>
      <c r="J104" s="318"/>
      <c r="K104" s="318"/>
      <c r="L104" s="318"/>
      <c r="M104" s="318"/>
      <c r="N104" s="318"/>
      <c r="O104" s="318"/>
      <c r="P104" s="318"/>
      <c r="Q104" s="318"/>
      <c r="R104" s="318"/>
      <c r="S104" s="318"/>
      <c r="T104" s="318"/>
      <c r="U104" s="318"/>
      <c r="V104" s="318"/>
      <c r="W104" s="318"/>
      <c r="X104" s="318"/>
      <c r="Y104" s="318"/>
      <c r="Z104" s="318"/>
    </row>
    <row r="105" ht="15.75" customHeight="1">
      <c r="A105" s="318"/>
      <c r="B105" s="318"/>
      <c r="C105" s="318"/>
      <c r="D105" s="318"/>
      <c r="E105" s="318"/>
      <c r="F105" s="318"/>
      <c r="G105" s="318"/>
      <c r="H105" s="318"/>
      <c r="I105" s="318"/>
      <c r="J105" s="318"/>
      <c r="K105" s="318"/>
      <c r="L105" s="318"/>
      <c r="M105" s="318"/>
      <c r="N105" s="318"/>
      <c r="O105" s="318"/>
      <c r="P105" s="318"/>
      <c r="Q105" s="318"/>
      <c r="R105" s="318"/>
      <c r="S105" s="318"/>
      <c r="T105" s="318"/>
      <c r="U105" s="318"/>
      <c r="V105" s="318"/>
      <c r="W105" s="318"/>
      <c r="X105" s="318"/>
      <c r="Y105" s="318"/>
      <c r="Z105" s="318"/>
    </row>
    <row r="106" ht="15.75" customHeight="1">
      <c r="A106" s="318"/>
      <c r="B106" s="318"/>
      <c r="C106" s="318"/>
      <c r="D106" s="318"/>
      <c r="E106" s="318"/>
      <c r="F106" s="318"/>
      <c r="G106" s="318"/>
      <c r="H106" s="318"/>
      <c r="I106" s="318"/>
      <c r="J106" s="318"/>
      <c r="K106" s="318"/>
      <c r="L106" s="318"/>
      <c r="M106" s="318"/>
      <c r="N106" s="318"/>
      <c r="O106" s="318"/>
      <c r="P106" s="318"/>
      <c r="Q106" s="318"/>
      <c r="R106" s="318"/>
      <c r="S106" s="318"/>
      <c r="T106" s="318"/>
      <c r="U106" s="318"/>
      <c r="V106" s="318"/>
      <c r="W106" s="318"/>
      <c r="X106" s="318"/>
      <c r="Y106" s="318"/>
      <c r="Z106" s="318"/>
    </row>
    <row r="107" ht="15.75" customHeight="1">
      <c r="A107" s="318"/>
      <c r="B107" s="318"/>
      <c r="C107" s="318"/>
      <c r="D107" s="318"/>
      <c r="E107" s="318"/>
      <c r="F107" s="318"/>
      <c r="G107" s="318"/>
      <c r="H107" s="318"/>
      <c r="I107" s="318"/>
      <c r="J107" s="318"/>
      <c r="K107" s="318"/>
      <c r="L107" s="318"/>
      <c r="M107" s="318"/>
      <c r="N107" s="318"/>
      <c r="O107" s="318"/>
      <c r="P107" s="318"/>
      <c r="Q107" s="318"/>
      <c r="R107" s="318"/>
      <c r="S107" s="318"/>
      <c r="T107" s="318"/>
      <c r="U107" s="318"/>
      <c r="V107" s="318"/>
      <c r="W107" s="318"/>
      <c r="X107" s="318"/>
      <c r="Y107" s="318"/>
      <c r="Z107" s="318"/>
    </row>
    <row r="108" ht="15.75" customHeight="1">
      <c r="A108" s="318"/>
      <c r="B108" s="318"/>
      <c r="C108" s="318"/>
      <c r="D108" s="318"/>
      <c r="E108" s="318"/>
      <c r="F108" s="318"/>
      <c r="G108" s="318"/>
      <c r="H108" s="318"/>
      <c r="I108" s="318"/>
      <c r="J108" s="318"/>
      <c r="K108" s="318"/>
      <c r="L108" s="318"/>
      <c r="M108" s="318"/>
      <c r="N108" s="318"/>
      <c r="O108" s="318"/>
      <c r="P108" s="318"/>
      <c r="Q108" s="318"/>
      <c r="R108" s="318"/>
      <c r="S108" s="318"/>
      <c r="T108" s="318"/>
      <c r="U108" s="318"/>
      <c r="V108" s="318"/>
      <c r="W108" s="318"/>
      <c r="X108" s="318"/>
      <c r="Y108" s="318"/>
      <c r="Z108" s="318"/>
    </row>
    <row r="109" ht="15.75" customHeight="1">
      <c r="A109" s="318"/>
      <c r="B109" s="318"/>
      <c r="C109" s="318"/>
      <c r="D109" s="318"/>
      <c r="E109" s="318"/>
      <c r="F109" s="318"/>
      <c r="G109" s="318"/>
      <c r="H109" s="318"/>
      <c r="I109" s="318"/>
      <c r="J109" s="318"/>
      <c r="K109" s="318"/>
      <c r="L109" s="318"/>
      <c r="M109" s="318"/>
      <c r="N109" s="318"/>
      <c r="O109" s="318"/>
      <c r="P109" s="318"/>
      <c r="Q109" s="318"/>
      <c r="R109" s="318"/>
      <c r="S109" s="318"/>
      <c r="T109" s="318"/>
      <c r="U109" s="318"/>
      <c r="V109" s="318"/>
      <c r="W109" s="318"/>
      <c r="X109" s="318"/>
      <c r="Y109" s="318"/>
      <c r="Z109" s="318"/>
    </row>
    <row r="110" ht="15.75" customHeight="1">
      <c r="A110" s="318"/>
      <c r="B110" s="318"/>
      <c r="C110" s="318"/>
      <c r="D110" s="318"/>
      <c r="E110" s="318"/>
      <c r="F110" s="318"/>
      <c r="G110" s="318"/>
      <c r="H110" s="318"/>
      <c r="I110" s="318"/>
      <c r="J110" s="318"/>
      <c r="K110" s="318"/>
      <c r="L110" s="318"/>
      <c r="M110" s="318"/>
      <c r="N110" s="318"/>
      <c r="O110" s="318"/>
      <c r="P110" s="318"/>
      <c r="Q110" s="318"/>
      <c r="R110" s="318"/>
      <c r="S110" s="318"/>
      <c r="T110" s="318"/>
      <c r="U110" s="318"/>
      <c r="V110" s="318"/>
      <c r="W110" s="318"/>
      <c r="X110" s="318"/>
      <c r="Y110" s="318"/>
      <c r="Z110" s="318"/>
    </row>
    <row r="111" ht="15.75" customHeight="1">
      <c r="A111" s="318"/>
      <c r="B111" s="318"/>
      <c r="C111" s="318"/>
      <c r="D111" s="318"/>
      <c r="E111" s="318"/>
      <c r="F111" s="318"/>
      <c r="G111" s="318"/>
      <c r="H111" s="318"/>
      <c r="I111" s="318"/>
      <c r="J111" s="318"/>
      <c r="K111" s="318"/>
      <c r="L111" s="318"/>
      <c r="M111" s="318"/>
      <c r="N111" s="318"/>
      <c r="O111" s="318"/>
      <c r="P111" s="318"/>
      <c r="Q111" s="318"/>
      <c r="R111" s="318"/>
      <c r="S111" s="318"/>
      <c r="T111" s="318"/>
      <c r="U111" s="318"/>
      <c r="V111" s="318"/>
      <c r="W111" s="318"/>
      <c r="X111" s="318"/>
      <c r="Y111" s="318"/>
      <c r="Z111" s="318"/>
    </row>
    <row r="112" ht="15.75" customHeight="1">
      <c r="A112" s="318"/>
      <c r="B112" s="318"/>
      <c r="C112" s="318"/>
      <c r="D112" s="318"/>
      <c r="E112" s="318"/>
      <c r="F112" s="318"/>
      <c r="G112" s="318"/>
      <c r="H112" s="318"/>
      <c r="I112" s="318"/>
      <c r="J112" s="318"/>
      <c r="K112" s="318"/>
      <c r="L112" s="318"/>
      <c r="M112" s="318"/>
      <c r="N112" s="318"/>
      <c r="O112" s="318"/>
      <c r="P112" s="318"/>
      <c r="Q112" s="318"/>
      <c r="R112" s="318"/>
      <c r="S112" s="318"/>
      <c r="T112" s="318"/>
      <c r="U112" s="318"/>
      <c r="V112" s="318"/>
      <c r="W112" s="318"/>
      <c r="X112" s="318"/>
      <c r="Y112" s="318"/>
      <c r="Z112" s="318"/>
    </row>
    <row r="113" ht="15.75" customHeight="1">
      <c r="A113" s="318"/>
      <c r="B113" s="318"/>
      <c r="C113" s="318"/>
      <c r="D113" s="318"/>
      <c r="E113" s="318"/>
      <c r="F113" s="318"/>
      <c r="G113" s="318"/>
      <c r="H113" s="318"/>
      <c r="I113" s="318"/>
      <c r="J113" s="318"/>
      <c r="K113" s="318"/>
      <c r="L113" s="318"/>
      <c r="M113" s="318"/>
      <c r="N113" s="318"/>
      <c r="O113" s="318"/>
      <c r="P113" s="318"/>
      <c r="Q113" s="318"/>
      <c r="R113" s="318"/>
      <c r="S113" s="318"/>
      <c r="T113" s="318"/>
      <c r="U113" s="318"/>
      <c r="V113" s="318"/>
      <c r="W113" s="318"/>
      <c r="X113" s="318"/>
      <c r="Y113" s="318"/>
      <c r="Z113" s="318"/>
    </row>
    <row r="114" ht="15.75" customHeight="1">
      <c r="A114" s="318"/>
      <c r="B114" s="318"/>
      <c r="C114" s="318"/>
      <c r="D114" s="318"/>
      <c r="E114" s="318"/>
      <c r="F114" s="318"/>
      <c r="G114" s="318"/>
      <c r="H114" s="318"/>
      <c r="I114" s="318"/>
      <c r="J114" s="318"/>
      <c r="K114" s="318"/>
      <c r="L114" s="318"/>
      <c r="M114" s="318"/>
      <c r="N114" s="318"/>
      <c r="O114" s="318"/>
      <c r="P114" s="318"/>
      <c r="Q114" s="318"/>
      <c r="R114" s="318"/>
      <c r="S114" s="318"/>
      <c r="T114" s="318"/>
      <c r="U114" s="318"/>
      <c r="V114" s="318"/>
      <c r="W114" s="318"/>
      <c r="X114" s="318"/>
      <c r="Y114" s="318"/>
      <c r="Z114" s="318"/>
    </row>
    <row r="115" ht="15.75" customHeight="1">
      <c r="A115" s="318"/>
      <c r="B115" s="318"/>
      <c r="C115" s="318"/>
      <c r="D115" s="318"/>
      <c r="E115" s="318"/>
      <c r="F115" s="318"/>
      <c r="G115" s="318"/>
      <c r="H115" s="318"/>
      <c r="I115" s="318"/>
      <c r="J115" s="318"/>
      <c r="K115" s="318"/>
      <c r="L115" s="318"/>
      <c r="M115" s="318"/>
      <c r="N115" s="318"/>
      <c r="O115" s="318"/>
      <c r="P115" s="318"/>
      <c r="Q115" s="318"/>
      <c r="R115" s="318"/>
      <c r="S115" s="318"/>
      <c r="T115" s="318"/>
      <c r="U115" s="318"/>
      <c r="V115" s="318"/>
      <c r="W115" s="318"/>
      <c r="X115" s="318"/>
      <c r="Y115" s="318"/>
      <c r="Z115" s="318"/>
    </row>
    <row r="116" ht="15.75" customHeight="1">
      <c r="A116" s="318"/>
      <c r="B116" s="318"/>
      <c r="C116" s="318"/>
      <c r="D116" s="318"/>
      <c r="E116" s="318"/>
      <c r="F116" s="318"/>
      <c r="G116" s="318"/>
      <c r="H116" s="318"/>
      <c r="I116" s="318"/>
      <c r="J116" s="318"/>
      <c r="K116" s="318"/>
      <c r="L116" s="318"/>
      <c r="M116" s="318"/>
      <c r="N116" s="318"/>
      <c r="O116" s="318"/>
      <c r="P116" s="318"/>
      <c r="Q116" s="318"/>
      <c r="R116" s="318"/>
      <c r="S116" s="318"/>
      <c r="T116" s="318"/>
      <c r="U116" s="318"/>
      <c r="V116" s="318"/>
      <c r="W116" s="318"/>
      <c r="X116" s="318"/>
      <c r="Y116" s="318"/>
      <c r="Z116" s="318"/>
    </row>
    <row r="117" ht="15.75" customHeight="1">
      <c r="A117" s="318"/>
      <c r="B117" s="318"/>
      <c r="C117" s="318"/>
      <c r="D117" s="318"/>
      <c r="E117" s="318"/>
      <c r="F117" s="318"/>
      <c r="G117" s="318"/>
      <c r="H117" s="318"/>
      <c r="I117" s="318"/>
      <c r="J117" s="318"/>
      <c r="K117" s="318"/>
      <c r="L117" s="318"/>
      <c r="M117" s="318"/>
      <c r="N117" s="318"/>
      <c r="O117" s="318"/>
      <c r="P117" s="318"/>
      <c r="Q117" s="318"/>
      <c r="R117" s="318"/>
      <c r="S117" s="318"/>
      <c r="T117" s="318"/>
      <c r="U117" s="318"/>
      <c r="V117" s="318"/>
      <c r="W117" s="318"/>
      <c r="X117" s="318"/>
      <c r="Y117" s="318"/>
      <c r="Z117" s="318"/>
    </row>
    <row r="118" ht="15.75" customHeight="1">
      <c r="A118" s="318"/>
      <c r="B118" s="318"/>
      <c r="C118" s="318"/>
      <c r="D118" s="318"/>
      <c r="E118" s="318"/>
      <c r="F118" s="318"/>
      <c r="G118" s="318"/>
      <c r="H118" s="318"/>
      <c r="I118" s="318"/>
      <c r="J118" s="318"/>
      <c r="K118" s="318"/>
      <c r="L118" s="318"/>
      <c r="M118" s="318"/>
      <c r="N118" s="318"/>
      <c r="O118" s="318"/>
      <c r="P118" s="318"/>
      <c r="Q118" s="318"/>
      <c r="R118" s="318"/>
      <c r="S118" s="318"/>
      <c r="T118" s="318"/>
      <c r="U118" s="318"/>
      <c r="V118" s="318"/>
      <c r="W118" s="318"/>
      <c r="X118" s="318"/>
      <c r="Y118" s="318"/>
      <c r="Z118" s="318"/>
    </row>
    <row r="119" ht="15.75" customHeight="1">
      <c r="A119" s="318"/>
      <c r="B119" s="318"/>
      <c r="C119" s="318"/>
      <c r="D119" s="318"/>
      <c r="E119" s="318"/>
      <c r="F119" s="318"/>
      <c r="G119" s="318"/>
      <c r="H119" s="318"/>
      <c r="I119" s="318"/>
      <c r="J119" s="318"/>
      <c r="K119" s="318"/>
      <c r="L119" s="318"/>
      <c r="M119" s="318"/>
      <c r="N119" s="318"/>
      <c r="O119" s="318"/>
      <c r="P119" s="318"/>
      <c r="Q119" s="318"/>
      <c r="R119" s="318"/>
      <c r="S119" s="318"/>
      <c r="T119" s="318"/>
      <c r="U119" s="318"/>
      <c r="V119" s="318"/>
      <c r="W119" s="318"/>
      <c r="X119" s="318"/>
      <c r="Y119" s="318"/>
      <c r="Z119" s="318"/>
    </row>
    <row r="120" ht="15.75" customHeight="1">
      <c r="A120" s="318"/>
      <c r="B120" s="318"/>
      <c r="C120" s="318"/>
      <c r="D120" s="318"/>
      <c r="E120" s="318"/>
      <c r="F120" s="318"/>
      <c r="G120" s="318"/>
      <c r="H120" s="318"/>
      <c r="I120" s="318"/>
      <c r="J120" s="318"/>
      <c r="K120" s="318"/>
      <c r="L120" s="318"/>
      <c r="M120" s="318"/>
      <c r="N120" s="318"/>
      <c r="O120" s="318"/>
      <c r="P120" s="318"/>
      <c r="Q120" s="318"/>
      <c r="R120" s="318"/>
      <c r="S120" s="318"/>
      <c r="T120" s="318"/>
      <c r="U120" s="318"/>
      <c r="V120" s="318"/>
      <c r="W120" s="318"/>
      <c r="X120" s="318"/>
      <c r="Y120" s="318"/>
      <c r="Z120" s="318"/>
    </row>
    <row r="121" ht="15.75" customHeight="1">
      <c r="A121" s="318"/>
      <c r="B121" s="318"/>
      <c r="C121" s="318"/>
      <c r="D121" s="318"/>
      <c r="E121" s="318"/>
      <c r="F121" s="318"/>
      <c r="G121" s="318"/>
      <c r="H121" s="318"/>
      <c r="I121" s="318"/>
      <c r="J121" s="318"/>
      <c r="K121" s="318"/>
      <c r="L121" s="318"/>
      <c r="M121" s="318"/>
      <c r="N121" s="318"/>
      <c r="O121" s="318"/>
      <c r="P121" s="318"/>
      <c r="Q121" s="318"/>
      <c r="R121" s="318"/>
      <c r="S121" s="318"/>
      <c r="T121" s="318"/>
      <c r="U121" s="318"/>
      <c r="V121" s="318"/>
      <c r="W121" s="318"/>
      <c r="X121" s="318"/>
      <c r="Y121" s="318"/>
      <c r="Z121" s="318"/>
    </row>
    <row r="122" ht="15.75" customHeight="1">
      <c r="A122" s="318"/>
      <c r="B122" s="318"/>
      <c r="C122" s="318"/>
      <c r="D122" s="318"/>
      <c r="E122" s="318"/>
      <c r="F122" s="318"/>
      <c r="G122" s="318"/>
      <c r="H122" s="318"/>
      <c r="I122" s="318"/>
      <c r="J122" s="318"/>
      <c r="K122" s="318"/>
      <c r="L122" s="318"/>
      <c r="M122" s="318"/>
      <c r="N122" s="318"/>
      <c r="O122" s="318"/>
      <c r="P122" s="318"/>
      <c r="Q122" s="318"/>
      <c r="R122" s="318"/>
      <c r="S122" s="318"/>
      <c r="T122" s="318"/>
      <c r="U122" s="318"/>
      <c r="V122" s="318"/>
      <c r="W122" s="318"/>
      <c r="X122" s="318"/>
      <c r="Y122" s="318"/>
      <c r="Z122" s="318"/>
    </row>
    <row r="123" ht="15.75" customHeight="1">
      <c r="A123" s="318"/>
      <c r="B123" s="318"/>
      <c r="C123" s="318"/>
      <c r="D123" s="318"/>
      <c r="E123" s="318"/>
      <c r="F123" s="318"/>
      <c r="G123" s="318"/>
      <c r="H123" s="318"/>
      <c r="I123" s="318"/>
      <c r="J123" s="318"/>
      <c r="K123" s="318"/>
      <c r="L123" s="318"/>
      <c r="M123" s="318"/>
      <c r="N123" s="318"/>
      <c r="O123" s="318"/>
      <c r="P123" s="318"/>
      <c r="Q123" s="318"/>
      <c r="R123" s="318"/>
      <c r="S123" s="318"/>
      <c r="T123" s="318"/>
      <c r="U123" s="318"/>
      <c r="V123" s="318"/>
      <c r="W123" s="318"/>
      <c r="X123" s="318"/>
      <c r="Y123" s="318"/>
      <c r="Z123" s="318"/>
    </row>
    <row r="124" ht="15.75" customHeight="1">
      <c r="A124" s="318"/>
      <c r="B124" s="318"/>
      <c r="C124" s="318"/>
      <c r="D124" s="318"/>
      <c r="E124" s="318"/>
      <c r="F124" s="318"/>
      <c r="G124" s="318"/>
      <c r="H124" s="318"/>
      <c r="I124" s="318"/>
      <c r="J124" s="318"/>
      <c r="K124" s="318"/>
      <c r="L124" s="318"/>
      <c r="M124" s="318"/>
      <c r="N124" s="318"/>
      <c r="O124" s="318"/>
      <c r="P124" s="318"/>
      <c r="Q124" s="318"/>
      <c r="R124" s="318"/>
      <c r="S124" s="318"/>
      <c r="T124" s="318"/>
      <c r="U124" s="318"/>
      <c r="V124" s="318"/>
      <c r="W124" s="318"/>
      <c r="X124" s="318"/>
      <c r="Y124" s="318"/>
      <c r="Z124" s="318"/>
    </row>
    <row r="125" ht="15.75" customHeight="1">
      <c r="A125" s="318"/>
      <c r="B125" s="318"/>
      <c r="C125" s="318"/>
      <c r="D125" s="318"/>
      <c r="E125" s="318"/>
      <c r="F125" s="318"/>
      <c r="G125" s="318"/>
      <c r="H125" s="318"/>
      <c r="I125" s="318"/>
      <c r="J125" s="318"/>
      <c r="K125" s="318"/>
      <c r="L125" s="318"/>
      <c r="M125" s="318"/>
      <c r="N125" s="318"/>
      <c r="O125" s="318"/>
      <c r="P125" s="318"/>
      <c r="Q125" s="318"/>
      <c r="R125" s="318"/>
      <c r="S125" s="318"/>
      <c r="T125" s="318"/>
      <c r="U125" s="318"/>
      <c r="V125" s="318"/>
      <c r="W125" s="318"/>
      <c r="X125" s="318"/>
      <c r="Y125" s="318"/>
      <c r="Z125" s="318"/>
    </row>
    <row r="126" ht="15.75" customHeight="1">
      <c r="A126" s="318"/>
      <c r="B126" s="318"/>
      <c r="C126" s="318"/>
      <c r="D126" s="318"/>
      <c r="E126" s="318"/>
      <c r="F126" s="318"/>
      <c r="G126" s="318"/>
      <c r="H126" s="318"/>
      <c r="I126" s="318"/>
      <c r="J126" s="318"/>
      <c r="K126" s="318"/>
      <c r="L126" s="318"/>
      <c r="M126" s="318"/>
      <c r="N126" s="318"/>
      <c r="O126" s="318"/>
      <c r="P126" s="318"/>
      <c r="Q126" s="318"/>
      <c r="R126" s="318"/>
      <c r="S126" s="318"/>
      <c r="T126" s="318"/>
      <c r="U126" s="318"/>
      <c r="V126" s="318"/>
      <c r="W126" s="318"/>
      <c r="X126" s="318"/>
      <c r="Y126" s="318"/>
      <c r="Z126" s="318"/>
    </row>
    <row r="127" ht="15.75" customHeight="1">
      <c r="A127" s="318"/>
      <c r="B127" s="318"/>
      <c r="C127" s="318"/>
      <c r="D127" s="318"/>
      <c r="E127" s="318"/>
      <c r="F127" s="318"/>
      <c r="G127" s="318"/>
      <c r="H127" s="318"/>
      <c r="I127" s="318"/>
      <c r="J127" s="318"/>
      <c r="K127" s="318"/>
      <c r="L127" s="318"/>
      <c r="M127" s="318"/>
      <c r="N127" s="318"/>
      <c r="O127" s="318"/>
      <c r="P127" s="318"/>
      <c r="Q127" s="318"/>
      <c r="R127" s="318"/>
      <c r="S127" s="318"/>
      <c r="T127" s="318"/>
      <c r="U127" s="318"/>
      <c r="V127" s="318"/>
      <c r="W127" s="318"/>
      <c r="X127" s="318"/>
      <c r="Y127" s="318"/>
      <c r="Z127" s="318"/>
    </row>
    <row r="128" ht="15.75" customHeight="1">
      <c r="A128" s="318"/>
      <c r="B128" s="318"/>
      <c r="C128" s="318"/>
      <c r="D128" s="318"/>
      <c r="E128" s="318"/>
      <c r="F128" s="318"/>
      <c r="G128" s="318"/>
      <c r="H128" s="318"/>
      <c r="I128" s="318"/>
      <c r="J128" s="318"/>
      <c r="K128" s="318"/>
      <c r="L128" s="318"/>
      <c r="M128" s="318"/>
      <c r="N128" s="318"/>
      <c r="O128" s="318"/>
      <c r="P128" s="318"/>
      <c r="Q128" s="318"/>
      <c r="R128" s="318"/>
      <c r="S128" s="318"/>
      <c r="T128" s="318"/>
      <c r="U128" s="318"/>
      <c r="V128" s="318"/>
      <c r="W128" s="318"/>
      <c r="X128" s="318"/>
      <c r="Y128" s="318"/>
      <c r="Z128" s="318"/>
    </row>
    <row r="129" ht="15.75" customHeight="1">
      <c r="A129" s="318"/>
      <c r="B129" s="318"/>
      <c r="C129" s="318"/>
      <c r="D129" s="318"/>
      <c r="E129" s="318"/>
      <c r="F129" s="318"/>
      <c r="G129" s="318"/>
      <c r="H129" s="318"/>
      <c r="I129" s="318"/>
      <c r="J129" s="318"/>
      <c r="K129" s="318"/>
      <c r="L129" s="318"/>
      <c r="M129" s="318"/>
      <c r="N129" s="318"/>
      <c r="O129" s="318"/>
      <c r="P129" s="318"/>
      <c r="Q129" s="318"/>
      <c r="R129" s="318"/>
      <c r="S129" s="318"/>
      <c r="T129" s="318"/>
      <c r="U129" s="318"/>
      <c r="V129" s="318"/>
      <c r="W129" s="318"/>
      <c r="X129" s="318"/>
      <c r="Y129" s="318"/>
      <c r="Z129" s="318"/>
    </row>
    <row r="130" ht="15.75" customHeight="1">
      <c r="A130" s="318"/>
      <c r="B130" s="318"/>
      <c r="C130" s="318"/>
      <c r="D130" s="318"/>
      <c r="E130" s="318"/>
      <c r="F130" s="318"/>
      <c r="G130" s="318"/>
      <c r="H130" s="318"/>
      <c r="I130" s="318"/>
      <c r="J130" s="318"/>
      <c r="K130" s="318"/>
      <c r="L130" s="318"/>
      <c r="M130" s="318"/>
      <c r="N130" s="318"/>
      <c r="O130" s="318"/>
      <c r="P130" s="318"/>
      <c r="Q130" s="318"/>
      <c r="R130" s="318"/>
      <c r="S130" s="318"/>
      <c r="T130" s="318"/>
      <c r="U130" s="318"/>
      <c r="V130" s="318"/>
      <c r="W130" s="318"/>
      <c r="X130" s="318"/>
      <c r="Y130" s="318"/>
      <c r="Z130" s="318"/>
    </row>
    <row r="131" ht="15.75" customHeight="1">
      <c r="A131" s="318"/>
      <c r="B131" s="318"/>
      <c r="C131" s="318"/>
      <c r="D131" s="318"/>
      <c r="E131" s="318"/>
      <c r="F131" s="318"/>
      <c r="G131" s="318"/>
      <c r="H131" s="318"/>
      <c r="I131" s="318"/>
      <c r="J131" s="318"/>
      <c r="K131" s="318"/>
      <c r="L131" s="318"/>
      <c r="M131" s="318"/>
      <c r="N131" s="318"/>
      <c r="O131" s="318"/>
      <c r="P131" s="318"/>
      <c r="Q131" s="318"/>
      <c r="R131" s="318"/>
      <c r="S131" s="318"/>
      <c r="T131" s="318"/>
      <c r="U131" s="318"/>
      <c r="V131" s="318"/>
      <c r="W131" s="318"/>
      <c r="X131" s="318"/>
      <c r="Y131" s="318"/>
      <c r="Z131" s="318"/>
    </row>
    <row r="132" ht="15.75" customHeight="1">
      <c r="A132" s="318"/>
      <c r="B132" s="318"/>
      <c r="C132" s="318"/>
      <c r="D132" s="318"/>
      <c r="E132" s="318"/>
      <c r="F132" s="318"/>
      <c r="G132" s="318"/>
      <c r="H132" s="318"/>
      <c r="I132" s="318"/>
      <c r="J132" s="318"/>
      <c r="K132" s="318"/>
      <c r="L132" s="318"/>
      <c r="M132" s="318"/>
      <c r="N132" s="318"/>
      <c r="O132" s="318"/>
      <c r="P132" s="318"/>
      <c r="Q132" s="318"/>
      <c r="R132" s="318"/>
      <c r="S132" s="318"/>
      <c r="T132" s="318"/>
      <c r="U132" s="318"/>
      <c r="V132" s="318"/>
      <c r="W132" s="318"/>
      <c r="X132" s="318"/>
      <c r="Y132" s="318"/>
      <c r="Z132" s="318"/>
    </row>
    <row r="133" ht="15.75" customHeight="1">
      <c r="A133" s="318"/>
      <c r="B133" s="318"/>
      <c r="C133" s="318"/>
      <c r="D133" s="318"/>
      <c r="E133" s="318"/>
      <c r="F133" s="318"/>
      <c r="G133" s="318"/>
      <c r="H133" s="318"/>
      <c r="I133" s="318"/>
      <c r="J133" s="318"/>
      <c r="K133" s="318"/>
      <c r="L133" s="318"/>
      <c r="M133" s="318"/>
      <c r="N133" s="318"/>
      <c r="O133" s="318"/>
      <c r="P133" s="318"/>
      <c r="Q133" s="318"/>
      <c r="R133" s="318"/>
      <c r="S133" s="318"/>
      <c r="T133" s="318"/>
      <c r="U133" s="318"/>
      <c r="V133" s="318"/>
      <c r="W133" s="318"/>
      <c r="X133" s="318"/>
      <c r="Y133" s="318"/>
      <c r="Z133" s="318"/>
    </row>
    <row r="134" ht="15.75" customHeight="1">
      <c r="A134" s="318"/>
      <c r="B134" s="318"/>
      <c r="C134" s="318"/>
      <c r="D134" s="318"/>
      <c r="E134" s="318"/>
      <c r="F134" s="318"/>
      <c r="G134" s="318"/>
      <c r="H134" s="318"/>
      <c r="I134" s="318"/>
      <c r="J134" s="318"/>
      <c r="K134" s="318"/>
      <c r="L134" s="318"/>
      <c r="M134" s="318"/>
      <c r="N134" s="318"/>
      <c r="O134" s="318"/>
      <c r="P134" s="318"/>
      <c r="Q134" s="318"/>
      <c r="R134" s="318"/>
      <c r="S134" s="318"/>
      <c r="T134" s="318"/>
      <c r="U134" s="318"/>
      <c r="V134" s="318"/>
      <c r="W134" s="318"/>
      <c r="X134" s="318"/>
      <c r="Y134" s="318"/>
      <c r="Z134" s="318"/>
    </row>
    <row r="135" ht="15.75" customHeight="1">
      <c r="A135" s="318"/>
      <c r="B135" s="318"/>
      <c r="C135" s="318"/>
      <c r="D135" s="318"/>
      <c r="E135" s="318"/>
      <c r="F135" s="318"/>
      <c r="G135" s="318"/>
      <c r="H135" s="318"/>
      <c r="I135" s="318"/>
      <c r="J135" s="318"/>
      <c r="K135" s="318"/>
      <c r="L135" s="318"/>
      <c r="M135" s="318"/>
      <c r="N135" s="318"/>
      <c r="O135" s="318"/>
      <c r="P135" s="318"/>
      <c r="Q135" s="318"/>
      <c r="R135" s="318"/>
      <c r="S135" s="318"/>
      <c r="T135" s="318"/>
      <c r="U135" s="318"/>
      <c r="V135" s="318"/>
      <c r="W135" s="318"/>
      <c r="X135" s="318"/>
      <c r="Y135" s="318"/>
      <c r="Z135" s="318"/>
    </row>
    <row r="136" ht="15.75" customHeight="1">
      <c r="A136" s="318"/>
      <c r="B136" s="318"/>
      <c r="C136" s="318"/>
      <c r="D136" s="318"/>
      <c r="E136" s="318"/>
      <c r="F136" s="318"/>
      <c r="G136" s="318"/>
      <c r="H136" s="318"/>
      <c r="I136" s="318"/>
      <c r="J136" s="318"/>
      <c r="K136" s="318"/>
      <c r="L136" s="318"/>
      <c r="M136" s="318"/>
      <c r="N136" s="318"/>
      <c r="O136" s="318"/>
      <c r="P136" s="318"/>
      <c r="Q136" s="318"/>
      <c r="R136" s="318"/>
      <c r="S136" s="318"/>
      <c r="T136" s="318"/>
      <c r="U136" s="318"/>
      <c r="V136" s="318"/>
      <c r="W136" s="318"/>
      <c r="X136" s="318"/>
      <c r="Y136" s="318"/>
      <c r="Z136" s="318"/>
    </row>
    <row r="137" ht="15.75" customHeight="1">
      <c r="A137" s="318"/>
      <c r="B137" s="318"/>
      <c r="C137" s="318"/>
      <c r="D137" s="318"/>
      <c r="E137" s="318"/>
      <c r="F137" s="318"/>
      <c r="G137" s="318"/>
      <c r="H137" s="318"/>
      <c r="I137" s="318"/>
      <c r="J137" s="318"/>
      <c r="K137" s="318"/>
      <c r="L137" s="318"/>
      <c r="M137" s="318"/>
      <c r="N137" s="318"/>
      <c r="O137" s="318"/>
      <c r="P137" s="318"/>
      <c r="Q137" s="318"/>
      <c r="R137" s="318"/>
      <c r="S137" s="318"/>
      <c r="T137" s="318"/>
      <c r="U137" s="318"/>
      <c r="V137" s="318"/>
      <c r="W137" s="318"/>
      <c r="X137" s="318"/>
      <c r="Y137" s="318"/>
      <c r="Z137" s="318"/>
    </row>
    <row r="138" ht="15.75" customHeight="1">
      <c r="A138" s="318"/>
      <c r="B138" s="318"/>
      <c r="C138" s="318"/>
      <c r="D138" s="318"/>
      <c r="E138" s="318"/>
      <c r="F138" s="318"/>
      <c r="G138" s="318"/>
      <c r="H138" s="318"/>
      <c r="I138" s="318"/>
      <c r="J138" s="318"/>
      <c r="K138" s="318"/>
      <c r="L138" s="318"/>
      <c r="M138" s="318"/>
      <c r="N138" s="318"/>
      <c r="O138" s="318"/>
      <c r="P138" s="318"/>
      <c r="Q138" s="318"/>
      <c r="R138" s="318"/>
      <c r="S138" s="318"/>
      <c r="T138" s="318"/>
      <c r="U138" s="318"/>
      <c r="V138" s="318"/>
      <c r="W138" s="318"/>
      <c r="X138" s="318"/>
      <c r="Y138" s="318"/>
      <c r="Z138" s="318"/>
    </row>
    <row r="139" ht="15.75" customHeight="1">
      <c r="A139" s="318"/>
      <c r="B139" s="318"/>
      <c r="C139" s="318"/>
      <c r="D139" s="318"/>
      <c r="E139" s="318"/>
      <c r="F139" s="318"/>
      <c r="G139" s="318"/>
      <c r="H139" s="318"/>
      <c r="I139" s="318"/>
      <c r="J139" s="318"/>
      <c r="K139" s="318"/>
      <c r="L139" s="318"/>
      <c r="M139" s="318"/>
      <c r="N139" s="318"/>
      <c r="O139" s="318"/>
      <c r="P139" s="318"/>
      <c r="Q139" s="318"/>
      <c r="R139" s="318"/>
      <c r="S139" s="318"/>
      <c r="T139" s="318"/>
      <c r="U139" s="318"/>
      <c r="V139" s="318"/>
      <c r="W139" s="318"/>
      <c r="X139" s="318"/>
      <c r="Y139" s="318"/>
      <c r="Z139" s="318"/>
    </row>
    <row r="140" ht="15.75" customHeight="1">
      <c r="A140" s="318"/>
      <c r="B140" s="318"/>
      <c r="C140" s="318"/>
      <c r="D140" s="318"/>
      <c r="E140" s="318"/>
      <c r="F140" s="318"/>
      <c r="G140" s="318"/>
      <c r="H140" s="318"/>
      <c r="I140" s="318"/>
      <c r="J140" s="318"/>
      <c r="K140" s="318"/>
      <c r="L140" s="318"/>
      <c r="M140" s="318"/>
      <c r="N140" s="318"/>
      <c r="O140" s="318"/>
      <c r="P140" s="318"/>
      <c r="Q140" s="318"/>
      <c r="R140" s="318"/>
      <c r="S140" s="318"/>
      <c r="T140" s="318"/>
      <c r="U140" s="318"/>
      <c r="V140" s="318"/>
      <c r="W140" s="318"/>
      <c r="X140" s="318"/>
      <c r="Y140" s="318"/>
      <c r="Z140" s="318"/>
    </row>
    <row r="141" ht="15.75" customHeight="1">
      <c r="A141" s="318"/>
      <c r="B141" s="318"/>
      <c r="C141" s="318"/>
      <c r="D141" s="318"/>
      <c r="E141" s="318"/>
      <c r="F141" s="318"/>
      <c r="G141" s="318"/>
      <c r="H141" s="318"/>
      <c r="I141" s="318"/>
      <c r="J141" s="318"/>
      <c r="K141" s="318"/>
      <c r="L141" s="318"/>
      <c r="M141" s="318"/>
      <c r="N141" s="318"/>
      <c r="O141" s="318"/>
      <c r="P141" s="318"/>
      <c r="Q141" s="318"/>
      <c r="R141" s="318"/>
      <c r="S141" s="318"/>
      <c r="T141" s="318"/>
      <c r="U141" s="318"/>
      <c r="V141" s="318"/>
      <c r="W141" s="318"/>
      <c r="X141" s="318"/>
      <c r="Y141" s="318"/>
      <c r="Z141" s="318"/>
    </row>
    <row r="142" ht="15.75" customHeight="1">
      <c r="A142" s="318"/>
      <c r="B142" s="318"/>
      <c r="C142" s="318"/>
      <c r="D142" s="318"/>
      <c r="E142" s="318"/>
      <c r="F142" s="318"/>
      <c r="G142" s="318"/>
      <c r="H142" s="318"/>
      <c r="I142" s="318"/>
      <c r="J142" s="318"/>
      <c r="K142" s="318"/>
      <c r="L142" s="318"/>
      <c r="M142" s="318"/>
      <c r="N142" s="318"/>
      <c r="O142" s="318"/>
      <c r="P142" s="318"/>
      <c r="Q142" s="318"/>
      <c r="R142" s="318"/>
      <c r="S142" s="318"/>
      <c r="T142" s="318"/>
      <c r="U142" s="318"/>
      <c r="V142" s="318"/>
      <c r="W142" s="318"/>
      <c r="X142" s="318"/>
      <c r="Y142" s="318"/>
      <c r="Z142" s="318"/>
    </row>
    <row r="143" ht="15.75" customHeight="1">
      <c r="A143" s="318"/>
      <c r="B143" s="318"/>
      <c r="C143" s="318"/>
      <c r="D143" s="318"/>
      <c r="E143" s="318"/>
      <c r="F143" s="318"/>
      <c r="G143" s="318"/>
      <c r="H143" s="318"/>
      <c r="I143" s="318"/>
      <c r="J143" s="318"/>
      <c r="K143" s="318"/>
      <c r="L143" s="318"/>
      <c r="M143" s="318"/>
      <c r="N143" s="318"/>
      <c r="O143" s="318"/>
      <c r="P143" s="318"/>
      <c r="Q143" s="318"/>
      <c r="R143" s="318"/>
      <c r="S143" s="318"/>
      <c r="T143" s="318"/>
      <c r="U143" s="318"/>
      <c r="V143" s="318"/>
      <c r="W143" s="318"/>
      <c r="X143" s="318"/>
      <c r="Y143" s="318"/>
      <c r="Z143" s="318"/>
    </row>
    <row r="144" ht="15.75" customHeight="1">
      <c r="A144" s="318"/>
      <c r="B144" s="318"/>
      <c r="C144" s="318"/>
      <c r="D144" s="318"/>
      <c r="E144" s="318"/>
      <c r="F144" s="318"/>
      <c r="G144" s="318"/>
      <c r="H144" s="318"/>
      <c r="I144" s="318"/>
      <c r="J144" s="318"/>
      <c r="K144" s="318"/>
      <c r="L144" s="318"/>
      <c r="M144" s="318"/>
      <c r="N144" s="318"/>
      <c r="O144" s="318"/>
      <c r="P144" s="318"/>
      <c r="Q144" s="318"/>
      <c r="R144" s="318"/>
      <c r="S144" s="318"/>
      <c r="T144" s="318"/>
      <c r="U144" s="318"/>
      <c r="V144" s="318"/>
      <c r="W144" s="318"/>
      <c r="X144" s="318"/>
      <c r="Y144" s="318"/>
      <c r="Z144" s="318"/>
    </row>
    <row r="145" ht="15.75" customHeight="1">
      <c r="A145" s="318"/>
      <c r="B145" s="318"/>
      <c r="C145" s="318"/>
      <c r="D145" s="318"/>
      <c r="E145" s="318"/>
      <c r="F145" s="318"/>
      <c r="G145" s="318"/>
      <c r="H145" s="318"/>
      <c r="I145" s="318"/>
      <c r="J145" s="318"/>
      <c r="K145" s="318"/>
      <c r="L145" s="318"/>
      <c r="M145" s="318"/>
      <c r="N145" s="318"/>
      <c r="O145" s="318"/>
      <c r="P145" s="318"/>
      <c r="Q145" s="318"/>
      <c r="R145" s="318"/>
      <c r="S145" s="318"/>
      <c r="T145" s="318"/>
      <c r="U145" s="318"/>
      <c r="V145" s="318"/>
      <c r="W145" s="318"/>
      <c r="X145" s="318"/>
      <c r="Y145" s="318"/>
      <c r="Z145" s="318"/>
    </row>
    <row r="146" ht="15.75" customHeight="1">
      <c r="A146" s="318"/>
      <c r="B146" s="318"/>
      <c r="C146" s="318"/>
      <c r="D146" s="318"/>
      <c r="E146" s="318"/>
      <c r="F146" s="318"/>
      <c r="G146" s="318"/>
      <c r="H146" s="318"/>
      <c r="I146" s="318"/>
      <c r="J146" s="318"/>
      <c r="K146" s="318"/>
      <c r="L146" s="318"/>
      <c r="M146" s="318"/>
      <c r="N146" s="318"/>
      <c r="O146" s="318"/>
      <c r="P146" s="318"/>
      <c r="Q146" s="318"/>
      <c r="R146" s="318"/>
      <c r="S146" s="318"/>
      <c r="T146" s="318"/>
      <c r="U146" s="318"/>
      <c r="V146" s="318"/>
      <c r="W146" s="318"/>
      <c r="X146" s="318"/>
      <c r="Y146" s="318"/>
      <c r="Z146" s="318"/>
    </row>
    <row r="147" ht="15.75" customHeight="1">
      <c r="A147" s="318"/>
      <c r="B147" s="318"/>
      <c r="C147" s="318"/>
      <c r="D147" s="318"/>
      <c r="E147" s="318"/>
      <c r="F147" s="318"/>
      <c r="G147" s="318"/>
      <c r="H147" s="318"/>
      <c r="I147" s="318"/>
      <c r="J147" s="318"/>
      <c r="K147" s="318"/>
      <c r="L147" s="318"/>
      <c r="M147" s="318"/>
      <c r="N147" s="318"/>
      <c r="O147" s="318"/>
      <c r="P147" s="318"/>
      <c r="Q147" s="318"/>
      <c r="R147" s="318"/>
      <c r="S147" s="318"/>
      <c r="T147" s="318"/>
      <c r="U147" s="318"/>
      <c r="V147" s="318"/>
      <c r="W147" s="318"/>
      <c r="X147" s="318"/>
      <c r="Y147" s="318"/>
      <c r="Z147" s="318"/>
    </row>
    <row r="148" ht="15.75" customHeight="1">
      <c r="A148" s="318"/>
      <c r="B148" s="318"/>
      <c r="C148" s="318"/>
      <c r="D148" s="318"/>
      <c r="E148" s="318"/>
      <c r="F148" s="318"/>
      <c r="G148" s="318"/>
      <c r="H148" s="318"/>
      <c r="I148" s="318"/>
      <c r="J148" s="318"/>
      <c r="K148" s="318"/>
      <c r="L148" s="318"/>
      <c r="M148" s="318"/>
      <c r="N148" s="318"/>
      <c r="O148" s="318"/>
      <c r="P148" s="318"/>
      <c r="Q148" s="318"/>
      <c r="R148" s="318"/>
      <c r="S148" s="318"/>
      <c r="T148" s="318"/>
      <c r="U148" s="318"/>
      <c r="V148" s="318"/>
      <c r="W148" s="318"/>
      <c r="X148" s="318"/>
      <c r="Y148" s="318"/>
      <c r="Z148" s="318"/>
    </row>
    <row r="149" ht="15.75" customHeight="1">
      <c r="A149" s="318"/>
      <c r="B149" s="318"/>
      <c r="C149" s="318"/>
      <c r="D149" s="318"/>
      <c r="E149" s="318"/>
      <c r="F149" s="318"/>
      <c r="G149" s="318"/>
      <c r="H149" s="318"/>
      <c r="I149" s="318"/>
      <c r="J149" s="318"/>
      <c r="K149" s="318"/>
      <c r="L149" s="318"/>
      <c r="M149" s="318"/>
      <c r="N149" s="318"/>
      <c r="O149" s="318"/>
      <c r="P149" s="318"/>
      <c r="Q149" s="318"/>
      <c r="R149" s="318"/>
      <c r="S149" s="318"/>
      <c r="T149" s="318"/>
      <c r="U149" s="318"/>
      <c r="V149" s="318"/>
      <c r="W149" s="318"/>
      <c r="X149" s="318"/>
      <c r="Y149" s="318"/>
      <c r="Z149" s="318"/>
    </row>
    <row r="150" ht="15.75" customHeight="1">
      <c r="A150" s="318"/>
      <c r="B150" s="318"/>
      <c r="C150" s="318"/>
      <c r="D150" s="318"/>
      <c r="E150" s="318"/>
      <c r="F150" s="318"/>
      <c r="G150" s="318"/>
      <c r="H150" s="318"/>
      <c r="I150" s="318"/>
      <c r="J150" s="318"/>
      <c r="K150" s="318"/>
      <c r="L150" s="318"/>
      <c r="M150" s="318"/>
      <c r="N150" s="318"/>
      <c r="O150" s="318"/>
      <c r="P150" s="318"/>
      <c r="Q150" s="318"/>
      <c r="R150" s="318"/>
      <c r="S150" s="318"/>
      <c r="T150" s="318"/>
      <c r="U150" s="318"/>
      <c r="V150" s="318"/>
      <c r="W150" s="318"/>
      <c r="X150" s="318"/>
      <c r="Y150" s="318"/>
      <c r="Z150" s="318"/>
    </row>
    <row r="151" ht="15.75" customHeight="1">
      <c r="A151" s="318"/>
      <c r="B151" s="318"/>
      <c r="C151" s="318"/>
      <c r="D151" s="318"/>
      <c r="E151" s="318"/>
      <c r="F151" s="318"/>
      <c r="G151" s="318"/>
      <c r="H151" s="318"/>
      <c r="I151" s="318"/>
      <c r="J151" s="318"/>
      <c r="K151" s="318"/>
      <c r="L151" s="318"/>
      <c r="M151" s="318"/>
      <c r="N151" s="318"/>
      <c r="O151" s="318"/>
      <c r="P151" s="318"/>
      <c r="Q151" s="318"/>
      <c r="R151" s="318"/>
      <c r="S151" s="318"/>
      <c r="T151" s="318"/>
      <c r="U151" s="318"/>
      <c r="V151" s="318"/>
      <c r="W151" s="318"/>
      <c r="X151" s="318"/>
      <c r="Y151" s="318"/>
      <c r="Z151" s="318"/>
    </row>
    <row r="152" ht="15.75" customHeight="1">
      <c r="A152" s="318"/>
      <c r="B152" s="318"/>
      <c r="C152" s="318"/>
      <c r="D152" s="318"/>
      <c r="E152" s="318"/>
      <c r="F152" s="318"/>
      <c r="G152" s="318"/>
      <c r="H152" s="318"/>
      <c r="I152" s="318"/>
      <c r="J152" s="318"/>
      <c r="K152" s="318"/>
      <c r="L152" s="318"/>
      <c r="M152" s="318"/>
      <c r="N152" s="318"/>
      <c r="O152" s="318"/>
      <c r="P152" s="318"/>
      <c r="Q152" s="318"/>
      <c r="R152" s="318"/>
      <c r="S152" s="318"/>
      <c r="T152" s="318"/>
      <c r="U152" s="318"/>
      <c r="V152" s="318"/>
      <c r="W152" s="318"/>
      <c r="X152" s="318"/>
      <c r="Y152" s="318"/>
      <c r="Z152" s="318"/>
    </row>
    <row r="153" ht="15.75" customHeight="1">
      <c r="A153" s="318"/>
      <c r="B153" s="318"/>
      <c r="C153" s="318"/>
      <c r="D153" s="318"/>
      <c r="E153" s="318"/>
      <c r="F153" s="318"/>
      <c r="G153" s="318"/>
      <c r="H153" s="318"/>
      <c r="I153" s="318"/>
      <c r="J153" s="318"/>
      <c r="K153" s="318"/>
      <c r="L153" s="318"/>
      <c r="M153" s="318"/>
      <c r="N153" s="318"/>
      <c r="O153" s="318"/>
      <c r="P153" s="318"/>
      <c r="Q153" s="318"/>
      <c r="R153" s="318"/>
      <c r="S153" s="318"/>
      <c r="T153" s="318"/>
      <c r="U153" s="318"/>
      <c r="V153" s="318"/>
      <c r="W153" s="318"/>
      <c r="X153" s="318"/>
      <c r="Y153" s="318"/>
      <c r="Z153" s="318"/>
    </row>
    <row r="154" ht="15.75" customHeight="1">
      <c r="A154" s="318"/>
      <c r="B154" s="318"/>
      <c r="C154" s="318"/>
      <c r="D154" s="318"/>
      <c r="E154" s="318"/>
      <c r="F154" s="318"/>
      <c r="G154" s="318"/>
      <c r="H154" s="318"/>
      <c r="I154" s="318"/>
      <c r="J154" s="318"/>
      <c r="K154" s="318"/>
      <c r="L154" s="318"/>
      <c r="M154" s="318"/>
      <c r="N154" s="318"/>
      <c r="O154" s="318"/>
      <c r="P154" s="318"/>
      <c r="Q154" s="318"/>
      <c r="R154" s="318"/>
      <c r="S154" s="318"/>
      <c r="T154" s="318"/>
      <c r="U154" s="318"/>
      <c r="V154" s="318"/>
      <c r="W154" s="318"/>
      <c r="X154" s="318"/>
      <c r="Y154" s="318"/>
      <c r="Z154" s="318"/>
    </row>
    <row r="155" ht="15.75" customHeight="1">
      <c r="A155" s="318"/>
      <c r="B155" s="318"/>
      <c r="C155" s="318"/>
      <c r="D155" s="318"/>
      <c r="E155" s="318"/>
      <c r="F155" s="318"/>
      <c r="G155" s="318"/>
      <c r="H155" s="318"/>
      <c r="I155" s="318"/>
      <c r="J155" s="318"/>
      <c r="K155" s="318"/>
      <c r="L155" s="318"/>
      <c r="M155" s="318"/>
      <c r="N155" s="318"/>
      <c r="O155" s="318"/>
      <c r="P155" s="318"/>
      <c r="Q155" s="318"/>
      <c r="R155" s="318"/>
      <c r="S155" s="318"/>
      <c r="T155" s="318"/>
      <c r="U155" s="318"/>
      <c r="V155" s="318"/>
      <c r="W155" s="318"/>
      <c r="X155" s="318"/>
      <c r="Y155" s="318"/>
      <c r="Z155" s="318"/>
    </row>
    <row r="156" ht="15.75" customHeight="1">
      <c r="A156" s="318"/>
      <c r="B156" s="318"/>
      <c r="C156" s="318"/>
      <c r="D156" s="318"/>
      <c r="E156" s="318"/>
      <c r="F156" s="318"/>
      <c r="G156" s="318"/>
      <c r="H156" s="318"/>
      <c r="I156" s="318"/>
      <c r="J156" s="318"/>
      <c r="K156" s="318"/>
      <c r="L156" s="318"/>
      <c r="M156" s="318"/>
      <c r="N156" s="318"/>
      <c r="O156" s="318"/>
      <c r="P156" s="318"/>
      <c r="Q156" s="318"/>
      <c r="R156" s="318"/>
      <c r="S156" s="318"/>
      <c r="T156" s="318"/>
      <c r="U156" s="318"/>
      <c r="V156" s="318"/>
      <c r="W156" s="318"/>
      <c r="X156" s="318"/>
      <c r="Y156" s="318"/>
      <c r="Z156" s="318"/>
    </row>
    <row r="157" ht="15.75" customHeight="1">
      <c r="A157" s="318"/>
      <c r="B157" s="318"/>
      <c r="C157" s="318"/>
      <c r="D157" s="318"/>
      <c r="E157" s="318"/>
      <c r="F157" s="318"/>
      <c r="G157" s="318"/>
      <c r="H157" s="318"/>
      <c r="I157" s="318"/>
      <c r="J157" s="318"/>
      <c r="K157" s="318"/>
      <c r="L157" s="318"/>
      <c r="M157" s="318"/>
      <c r="N157" s="318"/>
      <c r="O157" s="318"/>
      <c r="P157" s="318"/>
      <c r="Q157" s="318"/>
      <c r="R157" s="318"/>
      <c r="S157" s="318"/>
      <c r="T157" s="318"/>
      <c r="U157" s="318"/>
      <c r="V157" s="318"/>
      <c r="W157" s="318"/>
      <c r="X157" s="318"/>
      <c r="Y157" s="318"/>
      <c r="Z157" s="318"/>
    </row>
    <row r="158" ht="15.75" customHeight="1">
      <c r="A158" s="318"/>
      <c r="B158" s="318"/>
      <c r="C158" s="318"/>
      <c r="D158" s="318"/>
      <c r="E158" s="318"/>
      <c r="F158" s="318"/>
      <c r="G158" s="318"/>
      <c r="H158" s="318"/>
      <c r="I158" s="318"/>
      <c r="J158" s="318"/>
      <c r="K158" s="318"/>
      <c r="L158" s="318"/>
      <c r="M158" s="318"/>
      <c r="N158" s="318"/>
      <c r="O158" s="318"/>
      <c r="P158" s="318"/>
      <c r="Q158" s="318"/>
      <c r="R158" s="318"/>
      <c r="S158" s="318"/>
      <c r="T158" s="318"/>
      <c r="U158" s="318"/>
      <c r="V158" s="318"/>
      <c r="W158" s="318"/>
      <c r="X158" s="318"/>
      <c r="Y158" s="318"/>
      <c r="Z158" s="318"/>
    </row>
    <row r="159" ht="15.75" customHeight="1">
      <c r="A159" s="318"/>
      <c r="B159" s="318"/>
      <c r="C159" s="318"/>
      <c r="D159" s="318"/>
      <c r="E159" s="318"/>
      <c r="F159" s="318"/>
      <c r="G159" s="318"/>
      <c r="H159" s="318"/>
      <c r="I159" s="318"/>
      <c r="J159" s="318"/>
      <c r="K159" s="318"/>
      <c r="L159" s="318"/>
      <c r="M159" s="318"/>
      <c r="N159" s="318"/>
      <c r="O159" s="318"/>
      <c r="P159" s="318"/>
      <c r="Q159" s="318"/>
      <c r="R159" s="318"/>
      <c r="S159" s="318"/>
      <c r="T159" s="318"/>
      <c r="U159" s="318"/>
      <c r="V159" s="318"/>
      <c r="W159" s="318"/>
      <c r="X159" s="318"/>
      <c r="Y159" s="318"/>
      <c r="Z159" s="318"/>
    </row>
    <row r="160" ht="15.75" customHeight="1">
      <c r="A160" s="318"/>
      <c r="B160" s="318"/>
      <c r="C160" s="318"/>
      <c r="D160" s="318"/>
      <c r="E160" s="318"/>
      <c r="F160" s="318"/>
      <c r="G160" s="318"/>
      <c r="H160" s="318"/>
      <c r="I160" s="318"/>
      <c r="J160" s="318"/>
      <c r="K160" s="318"/>
      <c r="L160" s="318"/>
      <c r="M160" s="318"/>
      <c r="N160" s="318"/>
      <c r="O160" s="318"/>
      <c r="P160" s="318"/>
      <c r="Q160" s="318"/>
      <c r="R160" s="318"/>
      <c r="S160" s="318"/>
      <c r="T160" s="318"/>
      <c r="U160" s="318"/>
      <c r="V160" s="318"/>
      <c r="W160" s="318"/>
      <c r="X160" s="318"/>
      <c r="Y160" s="318"/>
      <c r="Z160" s="318"/>
    </row>
    <row r="161" ht="15.75" customHeight="1">
      <c r="A161" s="318"/>
      <c r="B161" s="318"/>
      <c r="C161" s="318"/>
      <c r="D161" s="318"/>
      <c r="E161" s="318"/>
      <c r="F161" s="318"/>
      <c r="G161" s="318"/>
      <c r="H161" s="318"/>
      <c r="I161" s="318"/>
      <c r="J161" s="318"/>
      <c r="K161" s="318"/>
      <c r="L161" s="318"/>
      <c r="M161" s="318"/>
      <c r="N161" s="318"/>
      <c r="O161" s="318"/>
      <c r="P161" s="318"/>
      <c r="Q161" s="318"/>
      <c r="R161" s="318"/>
      <c r="S161" s="318"/>
      <c r="T161" s="318"/>
      <c r="U161" s="318"/>
      <c r="V161" s="318"/>
      <c r="W161" s="318"/>
      <c r="X161" s="318"/>
      <c r="Y161" s="318"/>
      <c r="Z161" s="318"/>
    </row>
    <row r="162" ht="15.75" customHeight="1">
      <c r="A162" s="318"/>
      <c r="B162" s="318"/>
      <c r="C162" s="318"/>
      <c r="D162" s="318"/>
      <c r="E162" s="318"/>
      <c r="F162" s="318"/>
      <c r="G162" s="318"/>
      <c r="H162" s="318"/>
      <c r="I162" s="318"/>
      <c r="J162" s="318"/>
      <c r="K162" s="318"/>
      <c r="L162" s="318"/>
      <c r="M162" s="318"/>
      <c r="N162" s="318"/>
      <c r="O162" s="318"/>
      <c r="P162" s="318"/>
      <c r="Q162" s="318"/>
      <c r="R162" s="318"/>
      <c r="S162" s="318"/>
      <c r="T162" s="318"/>
      <c r="U162" s="318"/>
      <c r="V162" s="318"/>
      <c r="W162" s="318"/>
      <c r="X162" s="318"/>
      <c r="Y162" s="318"/>
      <c r="Z162" s="318"/>
    </row>
    <row r="163" ht="15.75" customHeight="1">
      <c r="A163" s="318"/>
      <c r="B163" s="318"/>
      <c r="C163" s="318"/>
      <c r="D163" s="318"/>
      <c r="E163" s="318"/>
      <c r="F163" s="318"/>
      <c r="G163" s="318"/>
      <c r="H163" s="318"/>
      <c r="I163" s="318"/>
      <c r="J163" s="318"/>
      <c r="K163" s="318"/>
      <c r="L163" s="318"/>
      <c r="M163" s="318"/>
      <c r="N163" s="318"/>
      <c r="O163" s="318"/>
      <c r="P163" s="318"/>
      <c r="Q163" s="318"/>
      <c r="R163" s="318"/>
      <c r="S163" s="318"/>
      <c r="T163" s="318"/>
      <c r="U163" s="318"/>
      <c r="V163" s="318"/>
      <c r="W163" s="318"/>
      <c r="X163" s="318"/>
      <c r="Y163" s="318"/>
      <c r="Z163" s="318"/>
    </row>
    <row r="164" ht="15.75" customHeight="1">
      <c r="A164" s="318"/>
      <c r="B164" s="318"/>
      <c r="C164" s="318"/>
      <c r="D164" s="318"/>
      <c r="E164" s="318"/>
      <c r="F164" s="318"/>
      <c r="G164" s="318"/>
      <c r="H164" s="318"/>
      <c r="I164" s="318"/>
      <c r="J164" s="318"/>
      <c r="K164" s="318"/>
      <c r="L164" s="318"/>
      <c r="M164" s="318"/>
      <c r="N164" s="318"/>
      <c r="O164" s="318"/>
      <c r="P164" s="318"/>
      <c r="Q164" s="318"/>
      <c r="R164" s="318"/>
      <c r="S164" s="318"/>
      <c r="T164" s="318"/>
      <c r="U164" s="318"/>
      <c r="V164" s="318"/>
      <c r="W164" s="318"/>
      <c r="X164" s="318"/>
      <c r="Y164" s="318"/>
      <c r="Z164" s="318"/>
    </row>
    <row r="165" ht="15.75" customHeight="1">
      <c r="A165" s="318"/>
      <c r="B165" s="318"/>
      <c r="C165" s="318"/>
      <c r="D165" s="318"/>
      <c r="E165" s="318"/>
      <c r="F165" s="318"/>
      <c r="G165" s="318"/>
      <c r="H165" s="318"/>
      <c r="I165" s="318"/>
      <c r="J165" s="318"/>
      <c r="K165" s="318"/>
      <c r="L165" s="318"/>
      <c r="M165" s="318"/>
      <c r="N165" s="318"/>
      <c r="O165" s="318"/>
      <c r="P165" s="318"/>
      <c r="Q165" s="318"/>
      <c r="R165" s="318"/>
      <c r="S165" s="318"/>
      <c r="T165" s="318"/>
      <c r="U165" s="318"/>
      <c r="V165" s="318"/>
      <c r="W165" s="318"/>
      <c r="X165" s="318"/>
      <c r="Y165" s="318"/>
      <c r="Z165" s="318"/>
    </row>
    <row r="166" ht="15.75" customHeight="1">
      <c r="A166" s="318"/>
      <c r="B166" s="318"/>
      <c r="C166" s="318"/>
      <c r="D166" s="318"/>
      <c r="E166" s="318"/>
      <c r="F166" s="318"/>
      <c r="G166" s="318"/>
      <c r="H166" s="318"/>
      <c r="I166" s="318"/>
      <c r="J166" s="318"/>
      <c r="K166" s="318"/>
      <c r="L166" s="318"/>
      <c r="M166" s="318"/>
      <c r="N166" s="318"/>
      <c r="O166" s="318"/>
      <c r="P166" s="318"/>
      <c r="Q166" s="318"/>
      <c r="R166" s="318"/>
      <c r="S166" s="318"/>
      <c r="T166" s="318"/>
      <c r="U166" s="318"/>
      <c r="V166" s="318"/>
      <c r="W166" s="318"/>
      <c r="X166" s="318"/>
      <c r="Y166" s="318"/>
      <c r="Z166" s="318"/>
    </row>
    <row r="167" ht="15.75" customHeight="1">
      <c r="A167" s="318"/>
      <c r="B167" s="318"/>
      <c r="C167" s="318"/>
      <c r="D167" s="318"/>
      <c r="E167" s="318"/>
      <c r="F167" s="318"/>
      <c r="G167" s="318"/>
      <c r="H167" s="318"/>
      <c r="I167" s="318"/>
      <c r="J167" s="318"/>
      <c r="K167" s="318"/>
      <c r="L167" s="318"/>
      <c r="M167" s="318"/>
      <c r="N167" s="318"/>
      <c r="O167" s="318"/>
      <c r="P167" s="318"/>
      <c r="Q167" s="318"/>
      <c r="R167" s="318"/>
      <c r="S167" s="318"/>
      <c r="T167" s="318"/>
      <c r="U167" s="318"/>
      <c r="V167" s="318"/>
      <c r="W167" s="318"/>
      <c r="X167" s="318"/>
      <c r="Y167" s="318"/>
      <c r="Z167" s="318"/>
    </row>
    <row r="168" ht="15.75" customHeight="1">
      <c r="A168" s="318"/>
      <c r="B168" s="318"/>
      <c r="C168" s="318"/>
      <c r="D168" s="318"/>
      <c r="E168" s="318"/>
      <c r="F168" s="318"/>
      <c r="G168" s="318"/>
      <c r="H168" s="318"/>
      <c r="I168" s="318"/>
      <c r="J168" s="318"/>
      <c r="K168" s="318"/>
      <c r="L168" s="318"/>
      <c r="M168" s="318"/>
      <c r="N168" s="318"/>
      <c r="O168" s="318"/>
      <c r="P168" s="318"/>
      <c r="Q168" s="318"/>
      <c r="R168" s="318"/>
      <c r="S168" s="318"/>
      <c r="T168" s="318"/>
      <c r="U168" s="318"/>
      <c r="V168" s="318"/>
      <c r="W168" s="318"/>
      <c r="X168" s="318"/>
      <c r="Y168" s="318"/>
      <c r="Z168" s="318"/>
    </row>
    <row r="169" ht="15.75" customHeight="1">
      <c r="A169" s="318"/>
      <c r="B169" s="318"/>
      <c r="C169" s="318"/>
      <c r="D169" s="318"/>
      <c r="E169" s="318"/>
      <c r="F169" s="318"/>
      <c r="G169" s="318"/>
      <c r="H169" s="318"/>
      <c r="I169" s="318"/>
      <c r="J169" s="318"/>
      <c r="K169" s="318"/>
      <c r="L169" s="318"/>
      <c r="M169" s="318"/>
      <c r="N169" s="318"/>
      <c r="O169" s="318"/>
      <c r="P169" s="318"/>
      <c r="Q169" s="318"/>
      <c r="R169" s="318"/>
      <c r="S169" s="318"/>
      <c r="T169" s="318"/>
      <c r="U169" s="318"/>
      <c r="V169" s="318"/>
      <c r="W169" s="318"/>
      <c r="X169" s="318"/>
      <c r="Y169" s="318"/>
      <c r="Z169" s="318"/>
    </row>
    <row r="170" ht="15.75" customHeight="1">
      <c r="A170" s="318"/>
      <c r="B170" s="318"/>
      <c r="C170" s="318"/>
      <c r="D170" s="318"/>
      <c r="E170" s="318"/>
      <c r="F170" s="318"/>
      <c r="G170" s="318"/>
      <c r="H170" s="318"/>
      <c r="I170" s="318"/>
      <c r="J170" s="318"/>
      <c r="K170" s="318"/>
      <c r="L170" s="318"/>
      <c r="M170" s="318"/>
      <c r="N170" s="318"/>
      <c r="O170" s="318"/>
      <c r="P170" s="318"/>
      <c r="Q170" s="318"/>
      <c r="R170" s="318"/>
      <c r="S170" s="318"/>
      <c r="T170" s="318"/>
      <c r="U170" s="318"/>
      <c r="V170" s="318"/>
      <c r="W170" s="318"/>
      <c r="X170" s="318"/>
      <c r="Y170" s="318"/>
      <c r="Z170" s="318"/>
    </row>
    <row r="171" ht="15.75" customHeight="1">
      <c r="A171" s="318"/>
      <c r="B171" s="318"/>
      <c r="C171" s="318"/>
      <c r="D171" s="318"/>
      <c r="E171" s="318"/>
      <c r="F171" s="318"/>
      <c r="G171" s="318"/>
      <c r="H171" s="318"/>
      <c r="I171" s="318"/>
      <c r="J171" s="318"/>
      <c r="K171" s="318"/>
      <c r="L171" s="318"/>
      <c r="M171" s="318"/>
      <c r="N171" s="318"/>
      <c r="O171" s="318"/>
      <c r="P171" s="318"/>
      <c r="Q171" s="318"/>
      <c r="R171" s="318"/>
      <c r="S171" s="318"/>
      <c r="T171" s="318"/>
      <c r="U171" s="318"/>
      <c r="V171" s="318"/>
      <c r="W171" s="318"/>
      <c r="X171" s="318"/>
      <c r="Y171" s="318"/>
      <c r="Z171" s="318"/>
    </row>
    <row r="172" ht="15.75" customHeight="1">
      <c r="A172" s="318"/>
      <c r="B172" s="318"/>
      <c r="C172" s="318"/>
      <c r="D172" s="318"/>
      <c r="E172" s="318"/>
      <c r="F172" s="318"/>
      <c r="G172" s="318"/>
      <c r="H172" s="318"/>
      <c r="I172" s="318"/>
      <c r="J172" s="318"/>
      <c r="K172" s="318"/>
      <c r="L172" s="318"/>
      <c r="M172" s="318"/>
      <c r="N172" s="318"/>
      <c r="O172" s="318"/>
      <c r="P172" s="318"/>
      <c r="Q172" s="318"/>
      <c r="R172" s="318"/>
      <c r="S172" s="318"/>
      <c r="T172" s="318"/>
      <c r="U172" s="318"/>
      <c r="V172" s="318"/>
      <c r="W172" s="318"/>
      <c r="X172" s="318"/>
      <c r="Y172" s="318"/>
      <c r="Z172" s="318"/>
    </row>
    <row r="173" ht="15.75" customHeight="1">
      <c r="A173" s="318"/>
      <c r="B173" s="318"/>
      <c r="C173" s="318"/>
      <c r="D173" s="318"/>
      <c r="E173" s="318"/>
      <c r="F173" s="318"/>
      <c r="G173" s="318"/>
      <c r="H173" s="318"/>
      <c r="I173" s="318"/>
      <c r="J173" s="318"/>
      <c r="K173" s="318"/>
      <c r="L173" s="318"/>
      <c r="M173" s="318"/>
      <c r="N173" s="318"/>
      <c r="O173" s="318"/>
      <c r="P173" s="318"/>
      <c r="Q173" s="318"/>
      <c r="R173" s="318"/>
      <c r="S173" s="318"/>
      <c r="T173" s="318"/>
      <c r="U173" s="318"/>
      <c r="V173" s="318"/>
      <c r="W173" s="318"/>
      <c r="X173" s="318"/>
      <c r="Y173" s="318"/>
      <c r="Z173" s="318"/>
    </row>
    <row r="174" ht="15.75" customHeight="1">
      <c r="A174" s="318"/>
      <c r="B174" s="318"/>
      <c r="C174" s="318"/>
      <c r="D174" s="318"/>
      <c r="E174" s="318"/>
      <c r="F174" s="318"/>
      <c r="G174" s="318"/>
      <c r="H174" s="318"/>
      <c r="I174" s="318"/>
      <c r="J174" s="318"/>
      <c r="K174" s="318"/>
      <c r="L174" s="318"/>
      <c r="M174" s="318"/>
      <c r="N174" s="318"/>
      <c r="O174" s="318"/>
      <c r="P174" s="318"/>
      <c r="Q174" s="318"/>
      <c r="R174" s="318"/>
      <c r="S174" s="318"/>
      <c r="T174" s="318"/>
      <c r="U174" s="318"/>
      <c r="V174" s="318"/>
      <c r="W174" s="318"/>
      <c r="X174" s="318"/>
      <c r="Y174" s="318"/>
      <c r="Z174" s="318"/>
    </row>
    <row r="175" ht="15.75" customHeight="1">
      <c r="A175" s="318"/>
      <c r="B175" s="318"/>
      <c r="C175" s="318"/>
      <c r="D175" s="318"/>
      <c r="E175" s="318"/>
      <c r="F175" s="318"/>
      <c r="G175" s="318"/>
      <c r="H175" s="318"/>
      <c r="I175" s="318"/>
      <c r="J175" s="318"/>
      <c r="K175" s="318"/>
      <c r="L175" s="318"/>
      <c r="M175" s="318"/>
      <c r="N175" s="318"/>
      <c r="O175" s="318"/>
      <c r="P175" s="318"/>
      <c r="Q175" s="318"/>
      <c r="R175" s="318"/>
      <c r="S175" s="318"/>
      <c r="T175" s="318"/>
      <c r="U175" s="318"/>
      <c r="V175" s="318"/>
      <c r="W175" s="318"/>
      <c r="X175" s="318"/>
      <c r="Y175" s="318"/>
      <c r="Z175" s="318"/>
    </row>
    <row r="176" ht="15.75" customHeight="1">
      <c r="A176" s="318"/>
      <c r="B176" s="318"/>
      <c r="C176" s="318"/>
      <c r="D176" s="318"/>
      <c r="E176" s="318"/>
      <c r="F176" s="318"/>
      <c r="G176" s="318"/>
      <c r="H176" s="318"/>
      <c r="I176" s="318"/>
      <c r="J176" s="318"/>
      <c r="K176" s="318"/>
      <c r="L176" s="318"/>
      <c r="M176" s="318"/>
      <c r="N176" s="318"/>
      <c r="O176" s="318"/>
      <c r="P176" s="318"/>
      <c r="Q176" s="318"/>
      <c r="R176" s="318"/>
      <c r="S176" s="318"/>
      <c r="T176" s="318"/>
      <c r="U176" s="318"/>
      <c r="V176" s="318"/>
      <c r="W176" s="318"/>
      <c r="X176" s="318"/>
      <c r="Y176" s="318"/>
      <c r="Z176" s="318"/>
    </row>
    <row r="177" ht="15.75" customHeight="1">
      <c r="A177" s="318"/>
      <c r="B177" s="318"/>
      <c r="C177" s="318"/>
      <c r="D177" s="318"/>
      <c r="E177" s="318"/>
      <c r="F177" s="318"/>
      <c r="G177" s="318"/>
      <c r="H177" s="318"/>
      <c r="I177" s="318"/>
      <c r="J177" s="318"/>
      <c r="K177" s="318"/>
      <c r="L177" s="318"/>
      <c r="M177" s="318"/>
      <c r="N177" s="318"/>
      <c r="O177" s="318"/>
      <c r="P177" s="318"/>
      <c r="Q177" s="318"/>
      <c r="R177" s="318"/>
      <c r="S177" s="318"/>
      <c r="T177" s="318"/>
      <c r="U177" s="318"/>
      <c r="V177" s="318"/>
      <c r="W177" s="318"/>
      <c r="X177" s="318"/>
      <c r="Y177" s="318"/>
      <c r="Z177" s="318"/>
    </row>
    <row r="178" ht="15.75" customHeight="1">
      <c r="A178" s="318"/>
      <c r="B178" s="318"/>
      <c r="C178" s="318"/>
      <c r="D178" s="318"/>
      <c r="E178" s="318"/>
      <c r="F178" s="318"/>
      <c r="G178" s="318"/>
      <c r="H178" s="318"/>
      <c r="I178" s="318"/>
      <c r="J178" s="318"/>
      <c r="K178" s="318"/>
      <c r="L178" s="318"/>
      <c r="M178" s="318"/>
      <c r="N178" s="318"/>
      <c r="O178" s="318"/>
      <c r="P178" s="318"/>
      <c r="Q178" s="318"/>
      <c r="R178" s="318"/>
      <c r="S178" s="318"/>
      <c r="T178" s="318"/>
      <c r="U178" s="318"/>
      <c r="V178" s="318"/>
      <c r="W178" s="318"/>
      <c r="X178" s="318"/>
      <c r="Y178" s="318"/>
      <c r="Z178" s="318"/>
    </row>
    <row r="179" ht="15.75" customHeight="1">
      <c r="A179" s="318"/>
      <c r="B179" s="318"/>
      <c r="C179" s="318"/>
      <c r="D179" s="318"/>
      <c r="E179" s="318"/>
      <c r="F179" s="318"/>
      <c r="G179" s="318"/>
      <c r="H179" s="318"/>
      <c r="I179" s="318"/>
      <c r="J179" s="318"/>
      <c r="K179" s="318"/>
      <c r="L179" s="318"/>
      <c r="M179" s="318"/>
      <c r="N179" s="318"/>
      <c r="O179" s="318"/>
      <c r="P179" s="318"/>
      <c r="Q179" s="318"/>
      <c r="R179" s="318"/>
      <c r="S179" s="318"/>
      <c r="T179" s="318"/>
      <c r="U179" s="318"/>
      <c r="V179" s="318"/>
      <c r="W179" s="318"/>
      <c r="X179" s="318"/>
      <c r="Y179" s="318"/>
      <c r="Z179" s="318"/>
    </row>
    <row r="180" ht="15.75" customHeight="1">
      <c r="A180" s="318"/>
      <c r="B180" s="318"/>
      <c r="C180" s="318"/>
      <c r="D180" s="318"/>
      <c r="E180" s="318"/>
      <c r="F180" s="318"/>
      <c r="G180" s="318"/>
      <c r="H180" s="318"/>
      <c r="I180" s="318"/>
      <c r="J180" s="318"/>
      <c r="K180" s="318"/>
      <c r="L180" s="318"/>
      <c r="M180" s="318"/>
      <c r="N180" s="318"/>
      <c r="O180" s="318"/>
      <c r="P180" s="318"/>
      <c r="Q180" s="318"/>
      <c r="R180" s="318"/>
      <c r="S180" s="318"/>
      <c r="T180" s="318"/>
      <c r="U180" s="318"/>
      <c r="V180" s="318"/>
      <c r="W180" s="318"/>
      <c r="X180" s="318"/>
      <c r="Y180" s="318"/>
      <c r="Z180" s="318"/>
    </row>
    <row r="181" ht="15.75" customHeight="1">
      <c r="A181" s="318"/>
      <c r="B181" s="318"/>
      <c r="C181" s="318"/>
      <c r="D181" s="318"/>
      <c r="E181" s="318"/>
      <c r="F181" s="318"/>
      <c r="G181" s="318"/>
      <c r="H181" s="318"/>
      <c r="I181" s="318"/>
      <c r="J181" s="318"/>
      <c r="K181" s="318"/>
      <c r="L181" s="318"/>
      <c r="M181" s="318"/>
      <c r="N181" s="318"/>
      <c r="O181" s="318"/>
      <c r="P181" s="318"/>
      <c r="Q181" s="318"/>
      <c r="R181" s="318"/>
      <c r="S181" s="318"/>
      <c r="T181" s="318"/>
      <c r="U181" s="318"/>
      <c r="V181" s="318"/>
      <c r="W181" s="318"/>
      <c r="X181" s="318"/>
      <c r="Y181" s="318"/>
      <c r="Z181" s="318"/>
    </row>
    <row r="182" ht="15.75" customHeight="1">
      <c r="A182" s="318"/>
      <c r="B182" s="318"/>
      <c r="C182" s="318"/>
      <c r="D182" s="318"/>
      <c r="E182" s="318"/>
      <c r="F182" s="318"/>
      <c r="G182" s="318"/>
      <c r="H182" s="318"/>
      <c r="I182" s="318"/>
      <c r="J182" s="318"/>
      <c r="K182" s="318"/>
      <c r="L182" s="318"/>
      <c r="M182" s="318"/>
      <c r="N182" s="318"/>
      <c r="O182" s="318"/>
      <c r="P182" s="318"/>
      <c r="Q182" s="318"/>
      <c r="R182" s="318"/>
      <c r="S182" s="318"/>
      <c r="T182" s="318"/>
      <c r="U182" s="318"/>
      <c r="V182" s="318"/>
      <c r="W182" s="318"/>
      <c r="X182" s="318"/>
      <c r="Y182" s="318"/>
      <c r="Z182" s="318"/>
    </row>
    <row r="183" ht="15.75" customHeight="1">
      <c r="A183" s="318"/>
      <c r="B183" s="318"/>
      <c r="C183" s="318"/>
      <c r="D183" s="318"/>
      <c r="E183" s="318"/>
      <c r="F183" s="318"/>
      <c r="G183" s="318"/>
      <c r="H183" s="318"/>
      <c r="I183" s="318"/>
      <c r="J183" s="318"/>
      <c r="K183" s="318"/>
      <c r="L183" s="318"/>
      <c r="M183" s="318"/>
      <c r="N183" s="318"/>
      <c r="O183" s="318"/>
      <c r="P183" s="318"/>
      <c r="Q183" s="318"/>
      <c r="R183" s="318"/>
      <c r="S183" s="318"/>
      <c r="T183" s="318"/>
      <c r="U183" s="318"/>
      <c r="V183" s="318"/>
      <c r="W183" s="318"/>
      <c r="X183" s="318"/>
      <c r="Y183" s="318"/>
      <c r="Z183" s="318"/>
    </row>
    <row r="184" ht="15.75" customHeight="1">
      <c r="A184" s="318"/>
      <c r="B184" s="318"/>
      <c r="C184" s="318"/>
      <c r="D184" s="318"/>
      <c r="E184" s="318"/>
      <c r="F184" s="318"/>
      <c r="G184" s="318"/>
      <c r="H184" s="318"/>
      <c r="I184" s="318"/>
      <c r="J184" s="318"/>
      <c r="K184" s="318"/>
      <c r="L184" s="318"/>
      <c r="M184" s="318"/>
      <c r="N184" s="318"/>
      <c r="O184" s="318"/>
      <c r="P184" s="318"/>
      <c r="Q184" s="318"/>
      <c r="R184" s="318"/>
      <c r="S184" s="318"/>
      <c r="T184" s="318"/>
      <c r="U184" s="318"/>
      <c r="V184" s="318"/>
      <c r="W184" s="318"/>
      <c r="X184" s="318"/>
      <c r="Y184" s="318"/>
      <c r="Z184" s="318"/>
    </row>
    <row r="185" ht="15.75" customHeight="1">
      <c r="A185" s="318"/>
      <c r="B185" s="318"/>
      <c r="C185" s="318"/>
      <c r="D185" s="318"/>
      <c r="E185" s="318"/>
      <c r="F185" s="318"/>
      <c r="G185" s="318"/>
      <c r="H185" s="318"/>
      <c r="I185" s="318"/>
      <c r="J185" s="318"/>
      <c r="K185" s="318"/>
      <c r="L185" s="318"/>
      <c r="M185" s="318"/>
      <c r="N185" s="318"/>
      <c r="O185" s="318"/>
      <c r="P185" s="318"/>
      <c r="Q185" s="318"/>
      <c r="R185" s="318"/>
      <c r="S185" s="318"/>
      <c r="T185" s="318"/>
      <c r="U185" s="318"/>
      <c r="V185" s="318"/>
      <c r="W185" s="318"/>
      <c r="X185" s="318"/>
      <c r="Y185" s="318"/>
      <c r="Z185" s="318"/>
    </row>
    <row r="186" ht="15.75" customHeight="1">
      <c r="A186" s="318"/>
      <c r="B186" s="318"/>
      <c r="C186" s="318"/>
      <c r="D186" s="318"/>
      <c r="E186" s="318"/>
      <c r="F186" s="318"/>
      <c r="G186" s="318"/>
      <c r="H186" s="318"/>
      <c r="I186" s="318"/>
      <c r="J186" s="318"/>
      <c r="K186" s="318"/>
      <c r="L186" s="318"/>
      <c r="M186" s="318"/>
      <c r="N186" s="318"/>
      <c r="O186" s="318"/>
      <c r="P186" s="318"/>
      <c r="Q186" s="318"/>
      <c r="R186" s="318"/>
      <c r="S186" s="318"/>
      <c r="T186" s="318"/>
      <c r="U186" s="318"/>
      <c r="V186" s="318"/>
      <c r="W186" s="318"/>
      <c r="X186" s="318"/>
      <c r="Y186" s="318"/>
      <c r="Z186" s="318"/>
    </row>
    <row r="187" ht="15.75" customHeight="1">
      <c r="A187" s="318"/>
      <c r="B187" s="318"/>
      <c r="C187" s="318"/>
      <c r="D187" s="318"/>
      <c r="E187" s="318"/>
      <c r="F187" s="318"/>
      <c r="G187" s="318"/>
      <c r="H187" s="318"/>
      <c r="I187" s="318"/>
      <c r="J187" s="318"/>
      <c r="K187" s="318"/>
      <c r="L187" s="318"/>
      <c r="M187" s="318"/>
      <c r="N187" s="318"/>
      <c r="O187" s="318"/>
      <c r="P187" s="318"/>
      <c r="Q187" s="318"/>
      <c r="R187" s="318"/>
      <c r="S187" s="318"/>
      <c r="T187" s="318"/>
      <c r="U187" s="318"/>
      <c r="V187" s="318"/>
      <c r="W187" s="318"/>
      <c r="X187" s="318"/>
      <c r="Y187" s="318"/>
      <c r="Z187" s="318"/>
    </row>
    <row r="188" ht="15.75" customHeight="1">
      <c r="A188" s="318"/>
      <c r="B188" s="318"/>
      <c r="C188" s="318"/>
      <c r="D188" s="318"/>
      <c r="E188" s="318"/>
      <c r="F188" s="318"/>
      <c r="G188" s="318"/>
      <c r="H188" s="318"/>
      <c r="I188" s="318"/>
      <c r="J188" s="318"/>
      <c r="K188" s="318"/>
      <c r="L188" s="318"/>
      <c r="M188" s="318"/>
      <c r="N188" s="318"/>
      <c r="O188" s="318"/>
      <c r="P188" s="318"/>
      <c r="Q188" s="318"/>
      <c r="R188" s="318"/>
      <c r="S188" s="318"/>
      <c r="T188" s="318"/>
      <c r="U188" s="318"/>
      <c r="V188" s="318"/>
      <c r="W188" s="318"/>
      <c r="X188" s="318"/>
      <c r="Y188" s="318"/>
      <c r="Z188" s="318"/>
    </row>
    <row r="189" ht="15.75" customHeight="1">
      <c r="A189" s="318"/>
      <c r="B189" s="318"/>
      <c r="C189" s="318"/>
      <c r="D189" s="318"/>
      <c r="E189" s="318"/>
      <c r="F189" s="318"/>
      <c r="G189" s="318"/>
      <c r="H189" s="318"/>
      <c r="I189" s="318"/>
      <c r="J189" s="318"/>
      <c r="K189" s="318"/>
      <c r="L189" s="318"/>
      <c r="M189" s="318"/>
      <c r="N189" s="318"/>
      <c r="O189" s="318"/>
      <c r="P189" s="318"/>
      <c r="Q189" s="318"/>
      <c r="R189" s="318"/>
      <c r="S189" s="318"/>
      <c r="T189" s="318"/>
      <c r="U189" s="318"/>
      <c r="V189" s="318"/>
      <c r="W189" s="318"/>
      <c r="X189" s="318"/>
      <c r="Y189" s="318"/>
      <c r="Z189" s="318"/>
    </row>
    <row r="190" ht="15.75" customHeight="1">
      <c r="A190" s="318"/>
      <c r="B190" s="318"/>
      <c r="C190" s="318"/>
      <c r="D190" s="318"/>
      <c r="E190" s="318"/>
      <c r="F190" s="318"/>
      <c r="G190" s="318"/>
      <c r="H190" s="318"/>
      <c r="I190" s="318"/>
      <c r="J190" s="318"/>
      <c r="K190" s="318"/>
      <c r="L190" s="318"/>
      <c r="M190" s="318"/>
      <c r="N190" s="318"/>
      <c r="O190" s="318"/>
      <c r="P190" s="318"/>
      <c r="Q190" s="318"/>
      <c r="R190" s="318"/>
      <c r="S190" s="318"/>
      <c r="T190" s="318"/>
      <c r="U190" s="318"/>
      <c r="V190" s="318"/>
      <c r="W190" s="318"/>
      <c r="X190" s="318"/>
      <c r="Y190" s="318"/>
      <c r="Z190" s="318"/>
    </row>
    <row r="191" ht="15.75" customHeight="1">
      <c r="A191" s="318"/>
      <c r="B191" s="318"/>
      <c r="C191" s="318"/>
      <c r="D191" s="318"/>
      <c r="E191" s="318"/>
      <c r="F191" s="318"/>
      <c r="G191" s="318"/>
      <c r="H191" s="318"/>
      <c r="I191" s="318"/>
      <c r="J191" s="318"/>
      <c r="K191" s="318"/>
      <c r="L191" s="318"/>
      <c r="M191" s="318"/>
      <c r="N191" s="318"/>
      <c r="O191" s="318"/>
      <c r="P191" s="318"/>
      <c r="Q191" s="318"/>
      <c r="R191" s="318"/>
      <c r="S191" s="318"/>
      <c r="T191" s="318"/>
      <c r="U191" s="318"/>
      <c r="V191" s="318"/>
      <c r="W191" s="318"/>
      <c r="X191" s="318"/>
      <c r="Y191" s="318"/>
      <c r="Z191" s="318"/>
    </row>
    <row r="192" ht="15.75" customHeight="1">
      <c r="A192" s="318"/>
      <c r="B192" s="318"/>
      <c r="C192" s="318"/>
      <c r="D192" s="318"/>
      <c r="E192" s="318"/>
      <c r="F192" s="318"/>
      <c r="G192" s="318"/>
      <c r="H192" s="318"/>
      <c r="I192" s="318"/>
      <c r="J192" s="318"/>
      <c r="K192" s="318"/>
      <c r="L192" s="318"/>
      <c r="M192" s="318"/>
      <c r="N192" s="318"/>
      <c r="O192" s="318"/>
      <c r="P192" s="318"/>
      <c r="Q192" s="318"/>
      <c r="R192" s="318"/>
      <c r="S192" s="318"/>
      <c r="T192" s="318"/>
      <c r="U192" s="318"/>
      <c r="V192" s="318"/>
      <c r="W192" s="318"/>
      <c r="X192" s="318"/>
      <c r="Y192" s="318"/>
      <c r="Z192" s="318"/>
    </row>
    <row r="193" ht="15.75" customHeight="1">
      <c r="A193" s="318"/>
      <c r="B193" s="318"/>
      <c r="C193" s="318"/>
      <c r="D193" s="318"/>
      <c r="E193" s="318"/>
      <c r="F193" s="318"/>
      <c r="G193" s="318"/>
      <c r="H193" s="318"/>
      <c r="I193" s="318"/>
      <c r="J193" s="318"/>
      <c r="K193" s="318"/>
      <c r="L193" s="318"/>
      <c r="M193" s="318"/>
      <c r="N193" s="318"/>
      <c r="O193" s="318"/>
      <c r="P193" s="318"/>
      <c r="Q193" s="318"/>
      <c r="R193" s="318"/>
      <c r="S193" s="318"/>
      <c r="T193" s="318"/>
      <c r="U193" s="318"/>
      <c r="V193" s="318"/>
      <c r="W193" s="318"/>
      <c r="X193" s="318"/>
      <c r="Y193" s="318"/>
      <c r="Z193" s="318"/>
    </row>
    <row r="194" ht="15.75" customHeight="1">
      <c r="A194" s="318"/>
      <c r="B194" s="318"/>
      <c r="C194" s="318"/>
      <c r="D194" s="318"/>
      <c r="E194" s="318"/>
      <c r="F194" s="318"/>
      <c r="G194" s="318"/>
      <c r="H194" s="318"/>
      <c r="I194" s="318"/>
      <c r="J194" s="318"/>
      <c r="K194" s="318"/>
      <c r="L194" s="318"/>
      <c r="M194" s="318"/>
      <c r="N194" s="318"/>
      <c r="O194" s="318"/>
      <c r="P194" s="318"/>
      <c r="Q194" s="318"/>
      <c r="R194" s="318"/>
      <c r="S194" s="318"/>
      <c r="T194" s="318"/>
      <c r="U194" s="318"/>
      <c r="V194" s="318"/>
      <c r="W194" s="318"/>
      <c r="X194" s="318"/>
      <c r="Y194" s="318"/>
      <c r="Z194" s="318"/>
    </row>
    <row r="195" ht="15.75" customHeight="1">
      <c r="A195" s="318"/>
      <c r="B195" s="318"/>
      <c r="C195" s="318"/>
      <c r="D195" s="318"/>
      <c r="E195" s="318"/>
      <c r="F195" s="318"/>
      <c r="G195" s="318"/>
      <c r="H195" s="318"/>
      <c r="I195" s="318"/>
      <c r="J195" s="318"/>
      <c r="K195" s="318"/>
      <c r="L195" s="318"/>
      <c r="M195" s="318"/>
      <c r="N195" s="318"/>
      <c r="O195" s="318"/>
      <c r="P195" s="318"/>
      <c r="Q195" s="318"/>
      <c r="R195" s="318"/>
      <c r="S195" s="318"/>
      <c r="T195" s="318"/>
      <c r="U195" s="318"/>
      <c r="V195" s="318"/>
      <c r="W195" s="318"/>
      <c r="X195" s="318"/>
      <c r="Y195" s="318"/>
      <c r="Z195" s="318"/>
    </row>
    <row r="196" ht="15.75" customHeight="1">
      <c r="A196" s="318"/>
      <c r="B196" s="318"/>
      <c r="C196" s="318"/>
      <c r="D196" s="318"/>
      <c r="E196" s="318"/>
      <c r="F196" s="318"/>
      <c r="G196" s="318"/>
      <c r="H196" s="318"/>
      <c r="I196" s="318"/>
      <c r="J196" s="318"/>
      <c r="K196" s="318"/>
      <c r="L196" s="318"/>
      <c r="M196" s="318"/>
      <c r="N196" s="318"/>
      <c r="O196" s="318"/>
      <c r="P196" s="318"/>
      <c r="Q196" s="318"/>
      <c r="R196" s="318"/>
      <c r="S196" s="318"/>
      <c r="T196" s="318"/>
      <c r="U196" s="318"/>
      <c r="V196" s="318"/>
      <c r="W196" s="318"/>
      <c r="X196" s="318"/>
      <c r="Y196" s="318"/>
      <c r="Z196" s="318"/>
    </row>
    <row r="197" ht="15.75" customHeight="1">
      <c r="A197" s="318"/>
      <c r="B197" s="318"/>
      <c r="C197" s="318"/>
      <c r="D197" s="318"/>
      <c r="E197" s="318"/>
      <c r="F197" s="318"/>
      <c r="G197" s="318"/>
      <c r="H197" s="318"/>
      <c r="I197" s="318"/>
      <c r="J197" s="318"/>
      <c r="K197" s="318"/>
      <c r="L197" s="318"/>
      <c r="M197" s="318"/>
      <c r="N197" s="318"/>
      <c r="O197" s="318"/>
      <c r="P197" s="318"/>
      <c r="Q197" s="318"/>
      <c r="R197" s="318"/>
      <c r="S197" s="318"/>
      <c r="T197" s="318"/>
      <c r="U197" s="318"/>
      <c r="V197" s="318"/>
      <c r="W197" s="318"/>
      <c r="X197" s="318"/>
      <c r="Y197" s="318"/>
      <c r="Z197" s="318"/>
    </row>
    <row r="198" ht="15.75" customHeight="1">
      <c r="A198" s="318"/>
      <c r="B198" s="318"/>
      <c r="C198" s="318"/>
      <c r="D198" s="318"/>
      <c r="E198" s="318"/>
      <c r="F198" s="318"/>
      <c r="G198" s="318"/>
      <c r="H198" s="318"/>
      <c r="I198" s="318"/>
      <c r="J198" s="318"/>
      <c r="K198" s="318"/>
      <c r="L198" s="318"/>
      <c r="M198" s="318"/>
      <c r="N198" s="318"/>
      <c r="O198" s="318"/>
      <c r="P198" s="318"/>
      <c r="Q198" s="318"/>
      <c r="R198" s="318"/>
      <c r="S198" s="318"/>
      <c r="T198" s="318"/>
      <c r="U198" s="318"/>
      <c r="V198" s="318"/>
      <c r="W198" s="318"/>
      <c r="X198" s="318"/>
      <c r="Y198" s="318"/>
      <c r="Z198" s="318"/>
    </row>
    <row r="199" ht="15.75" customHeight="1">
      <c r="A199" s="318"/>
      <c r="B199" s="318"/>
      <c r="C199" s="318"/>
      <c r="D199" s="318"/>
      <c r="E199" s="318"/>
      <c r="F199" s="318"/>
      <c r="G199" s="318"/>
      <c r="H199" s="318"/>
      <c r="I199" s="318"/>
      <c r="J199" s="318"/>
      <c r="K199" s="318"/>
      <c r="L199" s="318"/>
      <c r="M199" s="318"/>
      <c r="N199" s="318"/>
      <c r="O199" s="318"/>
      <c r="P199" s="318"/>
      <c r="Q199" s="318"/>
      <c r="R199" s="318"/>
      <c r="S199" s="318"/>
      <c r="T199" s="318"/>
      <c r="U199" s="318"/>
      <c r="V199" s="318"/>
      <c r="W199" s="318"/>
      <c r="X199" s="318"/>
      <c r="Y199" s="318"/>
      <c r="Z199" s="318"/>
    </row>
    <row r="200" ht="15.75" customHeight="1">
      <c r="A200" s="318"/>
      <c r="B200" s="318"/>
      <c r="C200" s="318"/>
      <c r="D200" s="318"/>
      <c r="E200" s="318"/>
      <c r="F200" s="318"/>
      <c r="G200" s="318"/>
      <c r="H200" s="318"/>
      <c r="I200" s="318"/>
      <c r="J200" s="318"/>
      <c r="K200" s="318"/>
      <c r="L200" s="318"/>
      <c r="M200" s="318"/>
      <c r="N200" s="318"/>
      <c r="O200" s="318"/>
      <c r="P200" s="318"/>
      <c r="Q200" s="318"/>
      <c r="R200" s="318"/>
      <c r="S200" s="318"/>
      <c r="T200" s="318"/>
      <c r="U200" s="318"/>
      <c r="V200" s="318"/>
      <c r="W200" s="318"/>
      <c r="X200" s="318"/>
      <c r="Y200" s="318"/>
      <c r="Z200" s="318"/>
    </row>
    <row r="201" ht="15.75" customHeight="1">
      <c r="A201" s="318"/>
      <c r="B201" s="318"/>
      <c r="C201" s="318"/>
      <c r="D201" s="318"/>
      <c r="E201" s="318"/>
      <c r="F201" s="318"/>
      <c r="G201" s="318"/>
      <c r="H201" s="318"/>
      <c r="I201" s="318"/>
      <c r="J201" s="318"/>
      <c r="K201" s="318"/>
      <c r="L201" s="318"/>
      <c r="M201" s="318"/>
      <c r="N201" s="318"/>
      <c r="O201" s="318"/>
      <c r="P201" s="318"/>
      <c r="Q201" s="318"/>
      <c r="R201" s="318"/>
      <c r="S201" s="318"/>
      <c r="T201" s="318"/>
      <c r="U201" s="318"/>
      <c r="V201" s="318"/>
      <c r="W201" s="318"/>
      <c r="X201" s="318"/>
      <c r="Y201" s="318"/>
      <c r="Z201" s="318"/>
    </row>
    <row r="202" ht="15.75" customHeight="1">
      <c r="A202" s="318"/>
      <c r="B202" s="318"/>
      <c r="C202" s="318"/>
      <c r="D202" s="318"/>
      <c r="E202" s="318"/>
      <c r="F202" s="318"/>
      <c r="G202" s="318"/>
      <c r="H202" s="318"/>
      <c r="I202" s="318"/>
      <c r="J202" s="318"/>
      <c r="K202" s="318"/>
      <c r="L202" s="318"/>
      <c r="M202" s="318"/>
      <c r="N202" s="318"/>
      <c r="O202" s="318"/>
      <c r="P202" s="318"/>
      <c r="Q202" s="318"/>
      <c r="R202" s="318"/>
      <c r="S202" s="318"/>
      <c r="T202" s="318"/>
      <c r="U202" s="318"/>
      <c r="V202" s="318"/>
      <c r="W202" s="318"/>
      <c r="X202" s="318"/>
      <c r="Y202" s="318"/>
      <c r="Z202" s="318"/>
    </row>
    <row r="203" ht="15.75" customHeight="1">
      <c r="A203" s="318"/>
      <c r="B203" s="318"/>
      <c r="C203" s="318"/>
      <c r="D203" s="318"/>
      <c r="E203" s="318"/>
      <c r="F203" s="318"/>
      <c r="G203" s="318"/>
      <c r="H203" s="318"/>
      <c r="I203" s="318"/>
      <c r="J203" s="318"/>
      <c r="K203" s="318"/>
      <c r="L203" s="318"/>
      <c r="M203" s="318"/>
      <c r="N203" s="318"/>
      <c r="O203" s="318"/>
      <c r="P203" s="318"/>
      <c r="Q203" s="318"/>
      <c r="R203" s="318"/>
      <c r="S203" s="318"/>
      <c r="T203" s="318"/>
      <c r="U203" s="318"/>
      <c r="V203" s="318"/>
      <c r="W203" s="318"/>
      <c r="X203" s="318"/>
      <c r="Y203" s="318"/>
      <c r="Z203" s="318"/>
    </row>
    <row r="204" ht="15.75" customHeight="1">
      <c r="A204" s="318"/>
      <c r="B204" s="318"/>
      <c r="C204" s="318"/>
      <c r="D204" s="318"/>
      <c r="E204" s="318"/>
      <c r="F204" s="318"/>
      <c r="G204" s="318"/>
      <c r="H204" s="318"/>
      <c r="I204" s="318"/>
      <c r="J204" s="318"/>
      <c r="K204" s="318"/>
      <c r="L204" s="318"/>
      <c r="M204" s="318"/>
      <c r="N204" s="318"/>
      <c r="O204" s="318"/>
      <c r="P204" s="318"/>
      <c r="Q204" s="318"/>
      <c r="R204" s="318"/>
      <c r="S204" s="318"/>
      <c r="T204" s="318"/>
      <c r="U204" s="318"/>
      <c r="V204" s="318"/>
      <c r="W204" s="318"/>
      <c r="X204" s="318"/>
      <c r="Y204" s="318"/>
      <c r="Z204" s="318"/>
    </row>
    <row r="205" ht="15.75" customHeight="1">
      <c r="A205" s="318"/>
      <c r="B205" s="318"/>
      <c r="C205" s="318"/>
      <c r="D205" s="318"/>
      <c r="E205" s="318"/>
      <c r="F205" s="318"/>
      <c r="G205" s="318"/>
      <c r="H205" s="318"/>
      <c r="I205" s="318"/>
      <c r="J205" s="318"/>
      <c r="K205" s="318"/>
      <c r="L205" s="318"/>
      <c r="M205" s="318"/>
      <c r="N205" s="318"/>
      <c r="O205" s="318"/>
      <c r="P205" s="318"/>
      <c r="Q205" s="318"/>
      <c r="R205" s="318"/>
      <c r="S205" s="318"/>
      <c r="T205" s="318"/>
      <c r="U205" s="318"/>
      <c r="V205" s="318"/>
      <c r="W205" s="318"/>
      <c r="X205" s="318"/>
      <c r="Y205" s="318"/>
      <c r="Z205" s="318"/>
    </row>
    <row r="206" ht="15.75" customHeight="1">
      <c r="A206" s="318"/>
      <c r="B206" s="318"/>
      <c r="C206" s="318"/>
      <c r="D206" s="318"/>
      <c r="E206" s="318"/>
      <c r="F206" s="318"/>
      <c r="G206" s="318"/>
      <c r="H206" s="318"/>
      <c r="I206" s="318"/>
      <c r="J206" s="318"/>
      <c r="K206" s="318"/>
      <c r="L206" s="318"/>
      <c r="M206" s="318"/>
      <c r="N206" s="318"/>
      <c r="O206" s="318"/>
      <c r="P206" s="318"/>
      <c r="Q206" s="318"/>
      <c r="R206" s="318"/>
      <c r="S206" s="318"/>
      <c r="T206" s="318"/>
      <c r="U206" s="318"/>
      <c r="V206" s="318"/>
      <c r="W206" s="318"/>
      <c r="X206" s="318"/>
      <c r="Y206" s="318"/>
      <c r="Z206" s="318"/>
    </row>
    <row r="207" ht="15.75" customHeight="1">
      <c r="A207" s="318"/>
      <c r="B207" s="318"/>
      <c r="C207" s="318"/>
      <c r="D207" s="318"/>
      <c r="E207" s="318"/>
      <c r="F207" s="318"/>
      <c r="G207" s="318"/>
      <c r="H207" s="318"/>
      <c r="I207" s="318"/>
      <c r="J207" s="318"/>
      <c r="K207" s="318"/>
      <c r="L207" s="318"/>
      <c r="M207" s="318"/>
      <c r="N207" s="318"/>
      <c r="O207" s="318"/>
      <c r="P207" s="318"/>
      <c r="Q207" s="318"/>
      <c r="R207" s="318"/>
      <c r="S207" s="318"/>
      <c r="T207" s="318"/>
      <c r="U207" s="318"/>
      <c r="V207" s="318"/>
      <c r="W207" s="318"/>
      <c r="X207" s="318"/>
      <c r="Y207" s="318"/>
      <c r="Z207" s="318"/>
    </row>
    <row r="208" ht="15.75" customHeight="1">
      <c r="A208" s="318"/>
      <c r="B208" s="318"/>
      <c r="C208" s="318"/>
      <c r="D208" s="318"/>
      <c r="E208" s="318"/>
      <c r="F208" s="318"/>
      <c r="G208" s="318"/>
      <c r="H208" s="318"/>
      <c r="I208" s="318"/>
      <c r="J208" s="318"/>
      <c r="K208" s="318"/>
      <c r="L208" s="318"/>
      <c r="M208" s="318"/>
      <c r="N208" s="318"/>
      <c r="O208" s="318"/>
      <c r="P208" s="318"/>
      <c r="Q208" s="318"/>
      <c r="R208" s="318"/>
      <c r="S208" s="318"/>
      <c r="T208" s="318"/>
      <c r="U208" s="318"/>
      <c r="V208" s="318"/>
      <c r="W208" s="318"/>
      <c r="X208" s="318"/>
      <c r="Y208" s="318"/>
      <c r="Z208" s="318"/>
    </row>
    <row r="209" ht="15.75" customHeight="1">
      <c r="A209" s="318"/>
      <c r="B209" s="318"/>
      <c r="C209" s="318"/>
      <c r="D209" s="318"/>
      <c r="E209" s="318"/>
      <c r="F209" s="318"/>
      <c r="G209" s="318"/>
      <c r="H209" s="318"/>
      <c r="I209" s="318"/>
      <c r="J209" s="318"/>
      <c r="K209" s="318"/>
      <c r="L209" s="318"/>
      <c r="M209" s="318"/>
      <c r="N209" s="318"/>
      <c r="O209" s="318"/>
      <c r="P209" s="318"/>
      <c r="Q209" s="318"/>
      <c r="R209" s="318"/>
      <c r="S209" s="318"/>
      <c r="T209" s="318"/>
      <c r="U209" s="318"/>
      <c r="V209" s="318"/>
      <c r="W209" s="318"/>
      <c r="X209" s="318"/>
      <c r="Y209" s="318"/>
      <c r="Z209" s="318"/>
    </row>
    <row r="210" ht="15.75" customHeight="1">
      <c r="A210" s="318"/>
      <c r="B210" s="318"/>
      <c r="C210" s="318"/>
      <c r="D210" s="318"/>
      <c r="E210" s="318"/>
      <c r="F210" s="318"/>
      <c r="G210" s="318"/>
      <c r="H210" s="318"/>
      <c r="I210" s="318"/>
      <c r="J210" s="318"/>
      <c r="K210" s="318"/>
      <c r="L210" s="318"/>
      <c r="M210" s="318"/>
      <c r="N210" s="318"/>
      <c r="O210" s="318"/>
      <c r="P210" s="318"/>
      <c r="Q210" s="318"/>
      <c r="R210" s="318"/>
      <c r="S210" s="318"/>
      <c r="T210" s="318"/>
      <c r="U210" s="318"/>
      <c r="V210" s="318"/>
      <c r="W210" s="318"/>
      <c r="X210" s="318"/>
      <c r="Y210" s="318"/>
      <c r="Z210" s="318"/>
    </row>
    <row r="211" ht="15.75" customHeight="1">
      <c r="A211" s="318"/>
      <c r="B211" s="318"/>
      <c r="C211" s="318"/>
      <c r="D211" s="318"/>
      <c r="E211" s="318"/>
      <c r="F211" s="318"/>
      <c r="G211" s="318"/>
      <c r="H211" s="318"/>
      <c r="I211" s="318"/>
      <c r="J211" s="318"/>
      <c r="K211" s="318"/>
      <c r="L211" s="318"/>
      <c r="M211" s="318"/>
      <c r="N211" s="318"/>
      <c r="O211" s="318"/>
      <c r="P211" s="318"/>
      <c r="Q211" s="318"/>
      <c r="R211" s="318"/>
      <c r="S211" s="318"/>
      <c r="T211" s="318"/>
      <c r="U211" s="318"/>
      <c r="V211" s="318"/>
      <c r="W211" s="318"/>
      <c r="X211" s="318"/>
      <c r="Y211" s="318"/>
      <c r="Z211" s="318"/>
    </row>
    <row r="212" ht="15.75" customHeight="1">
      <c r="A212" s="318"/>
      <c r="B212" s="318"/>
      <c r="C212" s="318"/>
      <c r="D212" s="318"/>
      <c r="E212" s="318"/>
      <c r="F212" s="318"/>
      <c r="G212" s="318"/>
      <c r="H212" s="318"/>
      <c r="I212" s="318"/>
      <c r="J212" s="318"/>
      <c r="K212" s="318"/>
      <c r="L212" s="318"/>
      <c r="M212" s="318"/>
      <c r="N212" s="318"/>
      <c r="O212" s="318"/>
      <c r="P212" s="318"/>
      <c r="Q212" s="318"/>
      <c r="R212" s="318"/>
      <c r="S212" s="318"/>
      <c r="T212" s="318"/>
      <c r="U212" s="318"/>
      <c r="V212" s="318"/>
      <c r="W212" s="318"/>
      <c r="X212" s="318"/>
      <c r="Y212" s="318"/>
      <c r="Z212" s="318"/>
    </row>
    <row r="213" ht="15.75" customHeight="1">
      <c r="A213" s="318"/>
      <c r="B213" s="318"/>
      <c r="C213" s="318"/>
      <c r="D213" s="318"/>
      <c r="E213" s="318"/>
      <c r="F213" s="318"/>
      <c r="G213" s="318"/>
      <c r="H213" s="318"/>
      <c r="I213" s="318"/>
      <c r="J213" s="318"/>
      <c r="K213" s="318"/>
      <c r="L213" s="318"/>
      <c r="M213" s="318"/>
      <c r="N213" s="318"/>
      <c r="O213" s="318"/>
      <c r="P213" s="318"/>
      <c r="Q213" s="318"/>
      <c r="R213" s="318"/>
      <c r="S213" s="318"/>
      <c r="T213" s="318"/>
      <c r="U213" s="318"/>
      <c r="V213" s="318"/>
      <c r="W213" s="318"/>
      <c r="X213" s="318"/>
      <c r="Y213" s="318"/>
      <c r="Z213" s="318"/>
    </row>
    <row r="214" ht="15.75" customHeight="1">
      <c r="A214" s="318"/>
      <c r="B214" s="318"/>
      <c r="C214" s="318"/>
      <c r="D214" s="318"/>
      <c r="E214" s="318"/>
      <c r="F214" s="318"/>
      <c r="G214" s="318"/>
      <c r="H214" s="318"/>
      <c r="I214" s="318"/>
      <c r="J214" s="318"/>
      <c r="K214" s="318"/>
      <c r="L214" s="318"/>
      <c r="M214" s="318"/>
      <c r="N214" s="318"/>
      <c r="O214" s="318"/>
      <c r="P214" s="318"/>
      <c r="Q214" s="318"/>
      <c r="R214" s="318"/>
      <c r="S214" s="318"/>
      <c r="T214" s="318"/>
      <c r="U214" s="318"/>
      <c r="V214" s="318"/>
      <c r="W214" s="318"/>
      <c r="X214" s="318"/>
      <c r="Y214" s="318"/>
      <c r="Z214" s="318"/>
    </row>
    <row r="215" ht="15.75" customHeight="1">
      <c r="A215" s="318"/>
      <c r="B215" s="318"/>
      <c r="C215" s="318"/>
      <c r="D215" s="318"/>
      <c r="E215" s="318"/>
      <c r="F215" s="318"/>
      <c r="G215" s="318"/>
      <c r="H215" s="318"/>
      <c r="I215" s="318"/>
      <c r="J215" s="318"/>
      <c r="K215" s="318"/>
      <c r="L215" s="318"/>
      <c r="M215" s="318"/>
      <c r="N215" s="318"/>
      <c r="O215" s="318"/>
      <c r="P215" s="318"/>
      <c r="Q215" s="318"/>
      <c r="R215" s="318"/>
      <c r="S215" s="318"/>
      <c r="T215" s="318"/>
      <c r="U215" s="318"/>
      <c r="V215" s="318"/>
      <c r="W215" s="318"/>
      <c r="X215" s="318"/>
      <c r="Y215" s="318"/>
      <c r="Z215" s="318"/>
    </row>
    <row r="216" ht="15.75" customHeight="1">
      <c r="A216" s="318"/>
      <c r="B216" s="318"/>
      <c r="C216" s="318"/>
      <c r="D216" s="318"/>
      <c r="E216" s="318"/>
      <c r="F216" s="318"/>
      <c r="G216" s="318"/>
      <c r="H216" s="318"/>
      <c r="I216" s="318"/>
      <c r="J216" s="318"/>
      <c r="K216" s="318"/>
      <c r="L216" s="318"/>
      <c r="M216" s="318"/>
      <c r="N216" s="318"/>
      <c r="O216" s="318"/>
      <c r="P216" s="318"/>
      <c r="Q216" s="318"/>
      <c r="R216" s="318"/>
      <c r="S216" s="318"/>
      <c r="T216" s="318"/>
      <c r="U216" s="318"/>
      <c r="V216" s="318"/>
      <c r="W216" s="318"/>
      <c r="X216" s="318"/>
      <c r="Y216" s="318"/>
      <c r="Z216" s="318"/>
    </row>
    <row r="217" ht="15.75" customHeight="1">
      <c r="A217" s="318"/>
      <c r="B217" s="318"/>
      <c r="C217" s="318"/>
      <c r="D217" s="318"/>
      <c r="E217" s="318"/>
      <c r="F217" s="318"/>
      <c r="G217" s="318"/>
      <c r="H217" s="318"/>
      <c r="I217" s="318"/>
      <c r="J217" s="318"/>
      <c r="K217" s="318"/>
      <c r="L217" s="318"/>
      <c r="M217" s="318"/>
      <c r="N217" s="318"/>
      <c r="O217" s="318"/>
      <c r="P217" s="318"/>
      <c r="Q217" s="318"/>
      <c r="R217" s="318"/>
      <c r="S217" s="318"/>
      <c r="T217" s="318"/>
      <c r="U217" s="318"/>
      <c r="V217" s="318"/>
      <c r="W217" s="318"/>
      <c r="X217" s="318"/>
      <c r="Y217" s="318"/>
      <c r="Z217" s="318"/>
    </row>
    <row r="218" ht="15.75" customHeight="1">
      <c r="A218" s="318"/>
      <c r="B218" s="318"/>
      <c r="C218" s="318"/>
      <c r="D218" s="318"/>
      <c r="E218" s="318"/>
      <c r="F218" s="318"/>
      <c r="G218" s="318"/>
      <c r="H218" s="318"/>
      <c r="I218" s="318"/>
      <c r="J218" s="318"/>
      <c r="K218" s="318"/>
      <c r="L218" s="318"/>
      <c r="M218" s="318"/>
      <c r="N218" s="318"/>
      <c r="O218" s="318"/>
      <c r="P218" s="318"/>
      <c r="Q218" s="318"/>
      <c r="R218" s="318"/>
      <c r="S218" s="318"/>
      <c r="T218" s="318"/>
      <c r="U218" s="318"/>
      <c r="V218" s="318"/>
      <c r="W218" s="318"/>
      <c r="X218" s="318"/>
      <c r="Y218" s="318"/>
      <c r="Z218" s="318"/>
    </row>
    <row r="219" ht="15.75" customHeight="1">
      <c r="A219" s="318"/>
      <c r="B219" s="318"/>
      <c r="C219" s="318"/>
      <c r="D219" s="318"/>
      <c r="E219" s="318"/>
      <c r="F219" s="318"/>
      <c r="G219" s="318"/>
      <c r="H219" s="318"/>
      <c r="I219" s="318"/>
      <c r="J219" s="318"/>
      <c r="K219" s="318"/>
      <c r="L219" s="318"/>
      <c r="M219" s="318"/>
      <c r="N219" s="318"/>
      <c r="O219" s="318"/>
      <c r="P219" s="318"/>
      <c r="Q219" s="318"/>
      <c r="R219" s="318"/>
      <c r="S219" s="318"/>
      <c r="T219" s="318"/>
      <c r="U219" s="318"/>
      <c r="V219" s="318"/>
      <c r="W219" s="318"/>
      <c r="X219" s="318"/>
      <c r="Y219" s="318"/>
      <c r="Z219" s="318"/>
    </row>
    <row r="220" ht="15.75" customHeight="1">
      <c r="A220" s="318"/>
      <c r="B220" s="318"/>
      <c r="C220" s="318"/>
      <c r="D220" s="318"/>
      <c r="E220" s="318"/>
      <c r="F220" s="318"/>
      <c r="G220" s="318"/>
      <c r="H220" s="318"/>
      <c r="I220" s="318"/>
      <c r="J220" s="318"/>
      <c r="K220" s="318"/>
      <c r="L220" s="318"/>
      <c r="M220" s="318"/>
      <c r="N220" s="318"/>
      <c r="O220" s="318"/>
      <c r="P220" s="318"/>
      <c r="Q220" s="318"/>
      <c r="R220" s="318"/>
      <c r="S220" s="318"/>
      <c r="T220" s="318"/>
      <c r="U220" s="318"/>
      <c r="V220" s="318"/>
      <c r="W220" s="318"/>
      <c r="X220" s="318"/>
      <c r="Y220" s="318"/>
      <c r="Z220" s="3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25"/>
    <col customWidth="1" min="2" max="2" width="60.13"/>
    <col customWidth="1" min="3" max="3" width="39.13"/>
    <col customWidth="1" min="4" max="5" width="31.63"/>
    <col customWidth="1" min="6" max="6" width="19.88"/>
  </cols>
  <sheetData>
    <row r="1" ht="15.75" customHeight="1">
      <c r="A1" s="318" t="s">
        <v>22</v>
      </c>
      <c r="B1" s="318"/>
      <c r="C1" s="318"/>
      <c r="D1" s="318"/>
      <c r="E1" s="318"/>
      <c r="F1" s="318"/>
      <c r="G1" s="318"/>
      <c r="H1" s="318"/>
      <c r="I1" s="318"/>
      <c r="J1" s="318"/>
      <c r="K1" s="318"/>
      <c r="L1" s="318"/>
      <c r="M1" s="318"/>
      <c r="N1" s="318"/>
      <c r="O1" s="318"/>
      <c r="P1" s="318"/>
      <c r="Q1" s="318"/>
      <c r="R1" s="318"/>
      <c r="S1" s="318"/>
      <c r="T1" s="318"/>
      <c r="U1" s="318"/>
      <c r="V1" s="318"/>
      <c r="W1" s="318"/>
      <c r="X1" s="318"/>
      <c r="Y1" s="318"/>
      <c r="Z1" s="318"/>
    </row>
    <row r="2" ht="15.75" customHeight="1">
      <c r="A2" s="318"/>
      <c r="B2" s="318"/>
      <c r="C2" s="318"/>
      <c r="D2" s="318"/>
      <c r="E2" s="318"/>
      <c r="F2" s="318"/>
      <c r="G2" s="318"/>
      <c r="H2" s="318"/>
      <c r="I2" s="318"/>
      <c r="J2" s="318"/>
      <c r="K2" s="318"/>
      <c r="L2" s="318"/>
      <c r="M2" s="318"/>
      <c r="N2" s="318"/>
      <c r="O2" s="318"/>
      <c r="P2" s="318"/>
      <c r="Q2" s="318"/>
      <c r="R2" s="318"/>
      <c r="S2" s="318"/>
      <c r="T2" s="318"/>
      <c r="U2" s="318"/>
      <c r="V2" s="318"/>
      <c r="W2" s="318"/>
      <c r="X2" s="318"/>
      <c r="Y2" s="318"/>
      <c r="Z2" s="318"/>
    </row>
    <row r="3" ht="15.75" customHeight="1">
      <c r="A3" s="319" t="s">
        <v>4013</v>
      </c>
      <c r="B3" s="319" t="s">
        <v>4014</v>
      </c>
      <c r="C3" s="319" t="s">
        <v>4259</v>
      </c>
      <c r="D3" s="319" t="s">
        <v>4260</v>
      </c>
      <c r="E3" s="319" t="s">
        <v>4015</v>
      </c>
      <c r="F3" s="319" t="s">
        <v>4016</v>
      </c>
      <c r="G3" s="318"/>
      <c r="H3" s="318"/>
      <c r="I3" s="318"/>
      <c r="J3" s="318"/>
      <c r="K3" s="318"/>
      <c r="L3" s="318"/>
      <c r="M3" s="318"/>
      <c r="N3" s="318"/>
      <c r="O3" s="318"/>
      <c r="P3" s="318"/>
      <c r="Q3" s="318"/>
      <c r="R3" s="318"/>
      <c r="S3" s="318"/>
      <c r="T3" s="318"/>
      <c r="U3" s="318"/>
      <c r="V3" s="318"/>
      <c r="W3" s="318"/>
      <c r="X3" s="318"/>
      <c r="Y3" s="318"/>
      <c r="Z3" s="318"/>
    </row>
    <row r="4" ht="15.75" customHeight="1">
      <c r="A4" s="320" t="s">
        <v>4283</v>
      </c>
      <c r="B4" s="320" t="s">
        <v>4284</v>
      </c>
      <c r="C4" s="318"/>
      <c r="D4" s="318"/>
      <c r="E4" s="318" t="s">
        <v>4285</v>
      </c>
      <c r="F4" s="318"/>
      <c r="G4" s="318"/>
      <c r="H4" s="318"/>
      <c r="I4" s="318"/>
      <c r="J4" s="318"/>
      <c r="K4" s="318"/>
      <c r="L4" s="318"/>
      <c r="M4" s="318"/>
      <c r="N4" s="318"/>
      <c r="O4" s="318"/>
      <c r="P4" s="318"/>
      <c r="Q4" s="318"/>
      <c r="R4" s="318"/>
      <c r="S4" s="318"/>
      <c r="T4" s="318"/>
      <c r="U4" s="318"/>
      <c r="V4" s="318"/>
      <c r="W4" s="318"/>
      <c r="X4" s="318"/>
      <c r="Y4" s="318"/>
      <c r="Z4" s="318"/>
    </row>
    <row r="5" ht="15.75" customHeight="1">
      <c r="A5" s="320" t="s">
        <v>4286</v>
      </c>
      <c r="B5" s="320"/>
      <c r="C5" s="318"/>
      <c r="D5" s="318"/>
      <c r="E5" s="318"/>
      <c r="F5" s="318"/>
      <c r="G5" s="318"/>
      <c r="H5" s="318"/>
      <c r="I5" s="318"/>
      <c r="J5" s="318"/>
      <c r="K5" s="318"/>
      <c r="L5" s="318"/>
      <c r="M5" s="318"/>
      <c r="N5" s="318"/>
      <c r="O5" s="318"/>
      <c r="P5" s="318"/>
      <c r="Q5" s="318"/>
      <c r="R5" s="318"/>
      <c r="S5" s="318"/>
      <c r="T5" s="318"/>
      <c r="U5" s="318"/>
      <c r="V5" s="318"/>
      <c r="W5" s="318"/>
      <c r="X5" s="318"/>
      <c r="Y5" s="318"/>
      <c r="Z5" s="318"/>
    </row>
    <row r="6" ht="15.75" customHeight="1">
      <c r="A6" s="320" t="s">
        <v>4287</v>
      </c>
      <c r="B6" s="320" t="s">
        <v>4288</v>
      </c>
      <c r="C6" s="318"/>
      <c r="E6" s="318" t="s">
        <v>4289</v>
      </c>
      <c r="F6" s="318"/>
      <c r="G6" s="318"/>
      <c r="H6" s="318"/>
      <c r="I6" s="318"/>
      <c r="J6" s="318"/>
      <c r="K6" s="318"/>
      <c r="L6" s="318"/>
      <c r="M6" s="318"/>
      <c r="N6" s="318"/>
      <c r="O6" s="318"/>
      <c r="P6" s="318"/>
      <c r="Q6" s="318"/>
      <c r="R6" s="318"/>
      <c r="S6" s="318"/>
      <c r="T6" s="318"/>
      <c r="U6" s="318"/>
      <c r="V6" s="318"/>
      <c r="W6" s="318"/>
      <c r="X6" s="318"/>
      <c r="Y6" s="318"/>
      <c r="Z6" s="318"/>
    </row>
    <row r="7" ht="15.75" customHeight="1">
      <c r="A7" s="320" t="s">
        <v>4290</v>
      </c>
      <c r="B7" s="320" t="s">
        <v>4291</v>
      </c>
      <c r="C7" s="318"/>
      <c r="D7" s="318"/>
      <c r="E7" s="318"/>
      <c r="F7" s="318"/>
      <c r="G7" s="318"/>
      <c r="H7" s="318"/>
      <c r="I7" s="318"/>
      <c r="J7" s="318"/>
      <c r="K7" s="318"/>
      <c r="L7" s="318"/>
      <c r="M7" s="318"/>
      <c r="N7" s="318"/>
      <c r="O7" s="318"/>
      <c r="P7" s="318"/>
      <c r="Q7" s="318"/>
      <c r="R7" s="318"/>
      <c r="S7" s="318"/>
      <c r="T7" s="318"/>
      <c r="U7" s="318"/>
      <c r="V7" s="318"/>
      <c r="W7" s="318"/>
      <c r="X7" s="318"/>
      <c r="Y7" s="318"/>
      <c r="Z7" s="318"/>
    </row>
    <row r="8" ht="15.75" customHeight="1">
      <c r="A8" s="181" t="s">
        <v>4292</v>
      </c>
      <c r="B8" s="181" t="s">
        <v>4293</v>
      </c>
      <c r="C8" s="181"/>
      <c r="D8" s="318"/>
      <c r="E8" s="318" t="s">
        <v>4294</v>
      </c>
      <c r="F8" s="318"/>
      <c r="G8" s="318"/>
      <c r="H8" s="318"/>
      <c r="I8" s="318"/>
      <c r="J8" s="318"/>
      <c r="K8" s="318"/>
      <c r="L8" s="318"/>
      <c r="M8" s="318"/>
      <c r="N8" s="318"/>
      <c r="O8" s="318"/>
      <c r="P8" s="318"/>
      <c r="Q8" s="318"/>
      <c r="R8" s="318"/>
      <c r="S8" s="318"/>
      <c r="T8" s="318"/>
      <c r="U8" s="318"/>
      <c r="V8" s="318"/>
      <c r="W8" s="318"/>
      <c r="X8" s="318"/>
      <c r="Y8" s="318"/>
      <c r="Z8" s="318"/>
    </row>
    <row r="9" ht="15.75" customHeight="1">
      <c r="A9" s="181" t="s">
        <v>4295</v>
      </c>
      <c r="B9" s="181" t="s">
        <v>4296</v>
      </c>
      <c r="C9" s="181"/>
      <c r="D9" s="318"/>
      <c r="E9" s="318" t="s">
        <v>4297</v>
      </c>
      <c r="F9" s="318"/>
      <c r="G9" s="318"/>
      <c r="H9" s="318"/>
      <c r="I9" s="318"/>
      <c r="J9" s="318"/>
      <c r="K9" s="318"/>
      <c r="L9" s="318"/>
      <c r="M9" s="318"/>
      <c r="N9" s="318"/>
      <c r="O9" s="318"/>
      <c r="P9" s="318"/>
      <c r="Q9" s="318"/>
      <c r="R9" s="318"/>
      <c r="S9" s="318"/>
      <c r="T9" s="318"/>
      <c r="U9" s="318"/>
      <c r="V9" s="318"/>
      <c r="W9" s="318"/>
      <c r="X9" s="318"/>
      <c r="Y9" s="318"/>
      <c r="Z9" s="318"/>
    </row>
    <row r="10" ht="15.75" customHeight="1">
      <c r="A10" s="181" t="s">
        <v>4298</v>
      </c>
      <c r="B10" s="181" t="s">
        <v>4299</v>
      </c>
      <c r="C10" s="181"/>
      <c r="D10" s="318"/>
      <c r="E10" s="318" t="s">
        <v>4300</v>
      </c>
      <c r="F10" s="318"/>
      <c r="G10" s="318"/>
      <c r="H10" s="318"/>
      <c r="I10" s="318"/>
      <c r="J10" s="318"/>
      <c r="K10" s="318"/>
      <c r="L10" s="318"/>
      <c r="M10" s="318"/>
      <c r="N10" s="318"/>
      <c r="O10" s="318"/>
      <c r="P10" s="318"/>
      <c r="Q10" s="318"/>
      <c r="R10" s="318"/>
      <c r="S10" s="318"/>
      <c r="T10" s="318"/>
      <c r="U10" s="318"/>
      <c r="V10" s="318"/>
      <c r="W10" s="318"/>
      <c r="X10" s="318"/>
      <c r="Y10" s="318"/>
      <c r="Z10" s="318"/>
    </row>
    <row r="11" ht="15.75" customHeight="1">
      <c r="A11" s="181" t="s">
        <v>4301</v>
      </c>
      <c r="B11" s="181" t="s">
        <v>4302</v>
      </c>
      <c r="C11" s="181"/>
      <c r="D11" s="318"/>
      <c r="E11" s="318" t="s">
        <v>4303</v>
      </c>
      <c r="F11" s="318"/>
      <c r="G11" s="318"/>
      <c r="H11" s="318"/>
      <c r="I11" s="318"/>
      <c r="J11" s="318"/>
      <c r="K11" s="318"/>
      <c r="L11" s="318"/>
      <c r="M11" s="318"/>
      <c r="N11" s="318"/>
      <c r="O11" s="318"/>
      <c r="P11" s="318"/>
      <c r="Q11" s="318"/>
      <c r="R11" s="318"/>
      <c r="S11" s="318"/>
      <c r="T11" s="318"/>
      <c r="U11" s="318"/>
      <c r="V11" s="318"/>
      <c r="W11" s="318"/>
      <c r="X11" s="318"/>
      <c r="Y11" s="318"/>
      <c r="Z11" s="318"/>
    </row>
    <row r="12" ht="15.75" customHeight="1">
      <c r="A12" s="181"/>
      <c r="B12" s="181"/>
      <c r="C12" s="181"/>
      <c r="D12" s="318"/>
      <c r="E12" s="318"/>
      <c r="F12" s="318"/>
      <c r="G12" s="318"/>
      <c r="H12" s="318"/>
      <c r="I12" s="318"/>
      <c r="J12" s="318"/>
      <c r="K12" s="318"/>
      <c r="L12" s="318"/>
      <c r="M12" s="318"/>
      <c r="N12" s="318"/>
      <c r="O12" s="318"/>
      <c r="P12" s="318"/>
      <c r="Q12" s="318"/>
      <c r="R12" s="318"/>
      <c r="S12" s="318"/>
      <c r="T12" s="318"/>
      <c r="U12" s="318"/>
      <c r="V12" s="318"/>
      <c r="W12" s="318"/>
      <c r="X12" s="318"/>
      <c r="Y12" s="318"/>
      <c r="Z12" s="318"/>
    </row>
    <row r="13" ht="15.75" customHeight="1">
      <c r="A13" s="181"/>
      <c r="B13" s="181"/>
      <c r="C13" s="181"/>
      <c r="D13" s="318"/>
      <c r="E13" s="318"/>
      <c r="F13" s="318"/>
      <c r="G13" s="318"/>
      <c r="H13" s="318"/>
      <c r="I13" s="318"/>
      <c r="J13" s="318"/>
      <c r="K13" s="318"/>
      <c r="L13" s="318"/>
      <c r="M13" s="318"/>
      <c r="N13" s="318"/>
      <c r="O13" s="318"/>
      <c r="P13" s="318"/>
      <c r="Q13" s="318"/>
      <c r="R13" s="318"/>
      <c r="S13" s="318"/>
      <c r="T13" s="318"/>
      <c r="U13" s="318"/>
      <c r="V13" s="318"/>
      <c r="W13" s="318"/>
      <c r="X13" s="318"/>
      <c r="Y13" s="318"/>
      <c r="Z13" s="318"/>
    </row>
    <row r="14" ht="15.75" customHeight="1">
      <c r="A14" s="181"/>
      <c r="B14" s="181"/>
      <c r="C14" s="181"/>
      <c r="D14" s="318"/>
      <c r="E14" s="318"/>
      <c r="F14" s="318"/>
      <c r="G14" s="318"/>
      <c r="H14" s="318"/>
      <c r="I14" s="318"/>
      <c r="J14" s="318"/>
      <c r="K14" s="318"/>
      <c r="L14" s="318"/>
      <c r="M14" s="318"/>
      <c r="N14" s="318"/>
      <c r="O14" s="318"/>
      <c r="P14" s="318"/>
      <c r="Q14" s="318"/>
      <c r="R14" s="318"/>
      <c r="S14" s="318"/>
      <c r="T14" s="318"/>
      <c r="U14" s="318"/>
      <c r="V14" s="318"/>
      <c r="W14" s="318"/>
      <c r="X14" s="318"/>
      <c r="Y14" s="318"/>
      <c r="Z14" s="318"/>
    </row>
    <row r="15" ht="15.75" customHeight="1">
      <c r="A15" s="181"/>
      <c r="B15" s="181"/>
      <c r="C15" s="181"/>
      <c r="D15" s="318"/>
      <c r="E15" s="318"/>
      <c r="F15" s="318"/>
      <c r="G15" s="318"/>
      <c r="H15" s="318"/>
      <c r="I15" s="318"/>
      <c r="J15" s="318"/>
      <c r="K15" s="318"/>
      <c r="L15" s="318"/>
      <c r="M15" s="318"/>
      <c r="N15" s="318"/>
      <c r="O15" s="318"/>
      <c r="P15" s="318"/>
      <c r="Q15" s="318"/>
      <c r="R15" s="318"/>
      <c r="S15" s="318"/>
      <c r="T15" s="318"/>
      <c r="U15" s="318"/>
      <c r="V15" s="318"/>
      <c r="W15" s="318"/>
      <c r="X15" s="318"/>
      <c r="Y15" s="318"/>
      <c r="Z15" s="318"/>
    </row>
    <row r="16" ht="15.75" customHeight="1">
      <c r="A16" s="181"/>
      <c r="B16" s="181"/>
      <c r="C16" s="181"/>
      <c r="D16" s="318"/>
      <c r="E16" s="318"/>
      <c r="F16" s="318"/>
      <c r="G16" s="318"/>
      <c r="H16" s="318"/>
      <c r="I16" s="318"/>
      <c r="J16" s="318"/>
      <c r="K16" s="318"/>
      <c r="L16" s="318"/>
      <c r="M16" s="318"/>
      <c r="N16" s="318"/>
      <c r="O16" s="318"/>
      <c r="P16" s="318"/>
      <c r="Q16" s="318"/>
      <c r="R16" s="318"/>
      <c r="S16" s="318"/>
      <c r="T16" s="318"/>
      <c r="U16" s="318"/>
      <c r="V16" s="318"/>
      <c r="W16" s="318"/>
      <c r="X16" s="318"/>
      <c r="Y16" s="318"/>
      <c r="Z16" s="318"/>
    </row>
    <row r="17" ht="15.75" customHeight="1">
      <c r="A17" s="181"/>
      <c r="B17" s="181"/>
      <c r="C17" s="181"/>
      <c r="D17" s="318"/>
      <c r="E17" s="318"/>
      <c r="F17" s="318"/>
      <c r="G17" s="318"/>
      <c r="H17" s="318"/>
      <c r="I17" s="318"/>
      <c r="J17" s="318"/>
      <c r="K17" s="318"/>
      <c r="L17" s="318"/>
      <c r="M17" s="318"/>
      <c r="N17" s="318"/>
      <c r="O17" s="318"/>
      <c r="P17" s="318"/>
      <c r="Q17" s="318"/>
      <c r="R17" s="318"/>
      <c r="S17" s="318"/>
      <c r="T17" s="318"/>
      <c r="U17" s="318"/>
      <c r="V17" s="318"/>
      <c r="W17" s="318"/>
      <c r="X17" s="318"/>
      <c r="Y17" s="318"/>
      <c r="Z17" s="318"/>
    </row>
    <row r="18" ht="15.75" customHeight="1">
      <c r="A18" s="181"/>
      <c r="B18" s="181"/>
      <c r="C18" s="181"/>
      <c r="D18" s="318"/>
      <c r="E18" s="318"/>
      <c r="F18" s="318"/>
      <c r="G18" s="318"/>
      <c r="H18" s="318"/>
      <c r="I18" s="318"/>
      <c r="J18" s="318"/>
      <c r="K18" s="318"/>
      <c r="L18" s="318"/>
      <c r="M18" s="318"/>
      <c r="N18" s="318"/>
      <c r="O18" s="318"/>
      <c r="P18" s="318"/>
      <c r="Q18" s="318"/>
      <c r="R18" s="318"/>
      <c r="S18" s="318"/>
      <c r="T18" s="318"/>
      <c r="U18" s="318"/>
      <c r="V18" s="318"/>
      <c r="W18" s="318"/>
      <c r="X18" s="318"/>
      <c r="Y18" s="318"/>
      <c r="Z18" s="318"/>
    </row>
    <row r="19" ht="15.75" customHeight="1">
      <c r="A19" s="181"/>
      <c r="B19" s="181"/>
      <c r="C19" s="181"/>
      <c r="D19" s="318"/>
      <c r="E19" s="318"/>
      <c r="F19" s="318"/>
      <c r="G19" s="318"/>
      <c r="H19" s="318"/>
      <c r="I19" s="318"/>
      <c r="J19" s="318"/>
      <c r="K19" s="318"/>
      <c r="L19" s="318"/>
      <c r="M19" s="318"/>
      <c r="N19" s="318"/>
      <c r="O19" s="318"/>
      <c r="P19" s="318"/>
      <c r="Q19" s="318"/>
      <c r="R19" s="318"/>
      <c r="S19" s="318"/>
      <c r="T19" s="318"/>
      <c r="U19" s="318"/>
      <c r="V19" s="318"/>
      <c r="W19" s="318"/>
      <c r="X19" s="318"/>
      <c r="Y19" s="318"/>
      <c r="Z19" s="318"/>
    </row>
    <row r="20" ht="15.75" customHeight="1">
      <c r="A20" s="181"/>
      <c r="B20" s="181"/>
      <c r="C20" s="181"/>
      <c r="D20" s="318"/>
      <c r="E20" s="318"/>
      <c r="F20" s="318"/>
      <c r="G20" s="318"/>
      <c r="H20" s="318"/>
      <c r="I20" s="318"/>
      <c r="J20" s="318"/>
      <c r="K20" s="318"/>
      <c r="L20" s="318"/>
      <c r="M20" s="318"/>
      <c r="N20" s="318"/>
      <c r="O20" s="318"/>
      <c r="P20" s="318"/>
      <c r="Q20" s="318"/>
      <c r="R20" s="318"/>
      <c r="S20" s="318"/>
      <c r="T20" s="318"/>
      <c r="U20" s="318"/>
      <c r="V20" s="318"/>
      <c r="W20" s="318"/>
      <c r="X20" s="318"/>
      <c r="Y20" s="318"/>
      <c r="Z20" s="318"/>
    </row>
    <row r="21" ht="15.75" customHeight="1">
      <c r="A21" s="181"/>
      <c r="B21" s="181"/>
      <c r="C21" s="181"/>
      <c r="D21" s="318"/>
      <c r="E21" s="318"/>
      <c r="F21" s="318"/>
      <c r="G21" s="318"/>
      <c r="H21" s="318"/>
      <c r="I21" s="318"/>
      <c r="J21" s="318"/>
      <c r="K21" s="318"/>
      <c r="L21" s="318"/>
      <c r="M21" s="318"/>
      <c r="N21" s="318"/>
      <c r="O21" s="318"/>
      <c r="P21" s="318"/>
      <c r="Q21" s="318"/>
      <c r="R21" s="318"/>
      <c r="S21" s="318"/>
      <c r="T21" s="318"/>
      <c r="U21" s="318"/>
      <c r="V21" s="318"/>
      <c r="W21" s="318"/>
      <c r="X21" s="318"/>
      <c r="Y21" s="318"/>
      <c r="Z21" s="318"/>
    </row>
    <row r="22" ht="15.75" customHeight="1">
      <c r="A22" s="320"/>
      <c r="B22" s="320"/>
      <c r="C22" s="318"/>
      <c r="D22" s="318"/>
      <c r="E22" s="318"/>
      <c r="F22" s="318"/>
      <c r="G22" s="318"/>
      <c r="H22" s="318"/>
      <c r="I22" s="318"/>
      <c r="J22" s="318"/>
      <c r="K22" s="318"/>
      <c r="L22" s="318"/>
      <c r="M22" s="318"/>
      <c r="N22" s="318"/>
      <c r="O22" s="318"/>
      <c r="P22" s="318"/>
      <c r="Q22" s="318"/>
      <c r="R22" s="318"/>
      <c r="S22" s="318"/>
      <c r="T22" s="318"/>
      <c r="U22" s="318"/>
      <c r="V22" s="318"/>
      <c r="W22" s="318"/>
      <c r="X22" s="318"/>
      <c r="Y22" s="318"/>
      <c r="Z22" s="318"/>
    </row>
    <row r="23" ht="15.75" customHeight="1">
      <c r="A23" s="320"/>
      <c r="B23" s="320"/>
      <c r="C23" s="318"/>
      <c r="D23" s="318"/>
      <c r="E23" s="318"/>
      <c r="F23" s="318"/>
      <c r="G23" s="318"/>
      <c r="H23" s="318"/>
      <c r="I23" s="318"/>
      <c r="J23" s="318"/>
      <c r="K23" s="318"/>
      <c r="L23" s="318"/>
      <c r="M23" s="318"/>
      <c r="N23" s="318"/>
      <c r="O23" s="318"/>
      <c r="P23" s="318"/>
      <c r="Q23" s="318"/>
      <c r="R23" s="318"/>
      <c r="S23" s="318"/>
      <c r="T23" s="318"/>
      <c r="U23" s="318"/>
      <c r="V23" s="318"/>
      <c r="W23" s="318"/>
      <c r="X23" s="318"/>
      <c r="Y23" s="318"/>
      <c r="Z23" s="318"/>
    </row>
    <row r="24" ht="15.75" customHeight="1">
      <c r="A24" s="320"/>
      <c r="B24" s="320"/>
      <c r="C24" s="318"/>
      <c r="D24" s="318"/>
      <c r="E24" s="318"/>
      <c r="F24" s="318"/>
      <c r="G24" s="318"/>
      <c r="H24" s="318"/>
      <c r="I24" s="318"/>
      <c r="J24" s="318"/>
      <c r="K24" s="318"/>
      <c r="L24" s="318"/>
      <c r="M24" s="318"/>
      <c r="N24" s="318"/>
      <c r="O24" s="318"/>
      <c r="P24" s="318"/>
      <c r="Q24" s="318"/>
      <c r="R24" s="318"/>
      <c r="S24" s="318"/>
      <c r="T24" s="318"/>
      <c r="U24" s="318"/>
      <c r="V24" s="318"/>
      <c r="W24" s="318"/>
      <c r="X24" s="318"/>
      <c r="Y24" s="318"/>
      <c r="Z24" s="318"/>
    </row>
    <row r="25" ht="15.75" customHeight="1">
      <c r="A25" s="320"/>
      <c r="B25" s="320"/>
      <c r="C25" s="318"/>
      <c r="D25" s="318"/>
      <c r="E25" s="318"/>
      <c r="F25" s="318"/>
      <c r="G25" s="318"/>
      <c r="H25" s="318"/>
      <c r="I25" s="318"/>
      <c r="J25" s="318"/>
      <c r="K25" s="318"/>
      <c r="L25" s="318"/>
      <c r="M25" s="318"/>
      <c r="N25" s="318"/>
      <c r="O25" s="318"/>
      <c r="P25" s="318"/>
      <c r="Q25" s="318"/>
      <c r="R25" s="318"/>
      <c r="S25" s="318"/>
      <c r="T25" s="318"/>
      <c r="U25" s="318"/>
      <c r="V25" s="318"/>
      <c r="W25" s="318"/>
      <c r="X25" s="318"/>
      <c r="Y25" s="318"/>
      <c r="Z25" s="318"/>
    </row>
    <row r="26" ht="15.75" customHeight="1">
      <c r="A26" s="320"/>
      <c r="B26" s="320"/>
      <c r="C26" s="318"/>
      <c r="D26" s="318"/>
      <c r="E26" s="318"/>
      <c r="F26" s="318"/>
      <c r="G26" s="318"/>
      <c r="H26" s="318"/>
      <c r="I26" s="318"/>
      <c r="J26" s="318"/>
      <c r="K26" s="318"/>
      <c r="L26" s="318"/>
      <c r="M26" s="318"/>
      <c r="N26" s="318"/>
      <c r="O26" s="318"/>
      <c r="P26" s="318"/>
      <c r="Q26" s="318"/>
      <c r="R26" s="318"/>
      <c r="S26" s="318"/>
      <c r="T26" s="318"/>
      <c r="U26" s="318"/>
      <c r="V26" s="318"/>
      <c r="W26" s="318"/>
      <c r="X26" s="318"/>
      <c r="Y26" s="318"/>
      <c r="Z26" s="318"/>
    </row>
    <row r="27" ht="15.75" customHeight="1">
      <c r="A27" s="320"/>
      <c r="B27" s="320"/>
      <c r="C27" s="318"/>
      <c r="D27" s="318"/>
      <c r="E27" s="318"/>
      <c r="F27" s="318"/>
      <c r="G27" s="318"/>
      <c r="H27" s="318"/>
      <c r="I27" s="318"/>
      <c r="J27" s="318"/>
      <c r="K27" s="318"/>
      <c r="L27" s="318"/>
      <c r="M27" s="318"/>
      <c r="N27" s="318"/>
      <c r="O27" s="318"/>
      <c r="P27" s="318"/>
      <c r="Q27" s="318"/>
      <c r="R27" s="318"/>
      <c r="S27" s="318"/>
      <c r="T27" s="318"/>
      <c r="U27" s="318"/>
      <c r="V27" s="318"/>
      <c r="W27" s="318"/>
      <c r="X27" s="318"/>
      <c r="Y27" s="318"/>
      <c r="Z27" s="318"/>
    </row>
    <row r="28" ht="15.75" customHeight="1">
      <c r="A28" s="318"/>
      <c r="B28" s="318"/>
      <c r="C28" s="318"/>
      <c r="D28" s="318"/>
      <c r="E28" s="318"/>
      <c r="F28" s="318"/>
      <c r="G28" s="318"/>
      <c r="H28" s="318"/>
      <c r="I28" s="318"/>
      <c r="J28" s="318"/>
      <c r="K28" s="318"/>
      <c r="L28" s="318"/>
      <c r="M28" s="318"/>
      <c r="N28" s="318"/>
      <c r="O28" s="318"/>
      <c r="P28" s="318"/>
      <c r="Q28" s="318"/>
      <c r="R28" s="318"/>
      <c r="S28" s="318"/>
      <c r="T28" s="318"/>
      <c r="U28" s="318"/>
      <c r="V28" s="318"/>
      <c r="W28" s="318"/>
      <c r="X28" s="318"/>
      <c r="Y28" s="318"/>
      <c r="Z28" s="318"/>
    </row>
    <row r="29" ht="15.75" customHeight="1">
      <c r="A29" s="318"/>
      <c r="B29" s="318"/>
      <c r="C29" s="318"/>
      <c r="D29" s="318"/>
      <c r="E29" s="318"/>
      <c r="F29" s="318"/>
      <c r="G29" s="318"/>
      <c r="H29" s="318"/>
      <c r="I29" s="318"/>
      <c r="J29" s="318"/>
      <c r="K29" s="318"/>
      <c r="L29" s="318"/>
      <c r="M29" s="318"/>
      <c r="N29" s="318"/>
      <c r="O29" s="318"/>
      <c r="P29" s="318"/>
      <c r="Q29" s="318"/>
      <c r="R29" s="318"/>
      <c r="S29" s="318"/>
      <c r="T29" s="318"/>
      <c r="U29" s="318"/>
      <c r="V29" s="318"/>
      <c r="W29" s="318"/>
      <c r="X29" s="318"/>
      <c r="Y29" s="318"/>
      <c r="Z29" s="318"/>
    </row>
    <row r="30" ht="15.75" customHeight="1">
      <c r="A30" s="318"/>
      <c r="B30" s="318"/>
      <c r="C30" s="318"/>
      <c r="D30" s="318"/>
      <c r="E30" s="318"/>
      <c r="F30" s="318"/>
      <c r="G30" s="318"/>
      <c r="H30" s="318"/>
      <c r="I30" s="318"/>
      <c r="J30" s="318"/>
      <c r="K30" s="318"/>
      <c r="L30" s="318"/>
      <c r="M30" s="318"/>
      <c r="N30" s="318"/>
      <c r="O30" s="318"/>
      <c r="P30" s="318"/>
      <c r="Q30" s="318"/>
      <c r="R30" s="318"/>
      <c r="S30" s="318"/>
      <c r="T30" s="318"/>
      <c r="U30" s="318"/>
      <c r="V30" s="318"/>
      <c r="W30" s="318"/>
      <c r="X30" s="318"/>
      <c r="Y30" s="318"/>
      <c r="Z30" s="318"/>
    </row>
    <row r="31" ht="15.75" customHeight="1">
      <c r="A31" s="318"/>
      <c r="B31" s="318"/>
      <c r="C31" s="318"/>
      <c r="D31" s="318"/>
      <c r="E31" s="318"/>
      <c r="F31" s="318"/>
      <c r="G31" s="318"/>
      <c r="H31" s="318"/>
      <c r="I31" s="318"/>
      <c r="J31" s="318"/>
      <c r="K31" s="318"/>
      <c r="L31" s="318"/>
      <c r="M31" s="318"/>
      <c r="N31" s="318"/>
      <c r="O31" s="318"/>
      <c r="P31" s="318"/>
      <c r="Q31" s="318"/>
      <c r="R31" s="318"/>
      <c r="S31" s="318"/>
      <c r="T31" s="318"/>
      <c r="U31" s="318"/>
      <c r="V31" s="318"/>
      <c r="W31" s="318"/>
      <c r="X31" s="318"/>
      <c r="Y31" s="318"/>
      <c r="Z31" s="318"/>
    </row>
    <row r="32" ht="15.75" customHeight="1">
      <c r="A32" s="318"/>
      <c r="B32" s="318"/>
      <c r="C32" s="318"/>
      <c r="D32" s="318"/>
      <c r="E32" s="318"/>
      <c r="F32" s="318"/>
      <c r="G32" s="318"/>
      <c r="H32" s="318"/>
      <c r="I32" s="318"/>
      <c r="J32" s="318"/>
      <c r="K32" s="318"/>
      <c r="L32" s="318"/>
      <c r="M32" s="318"/>
      <c r="N32" s="318"/>
      <c r="O32" s="318"/>
      <c r="P32" s="318"/>
      <c r="Q32" s="318"/>
      <c r="R32" s="318"/>
      <c r="S32" s="318"/>
      <c r="T32" s="318"/>
      <c r="U32" s="318"/>
      <c r="V32" s="318"/>
      <c r="W32" s="318"/>
      <c r="X32" s="318"/>
      <c r="Y32" s="318"/>
      <c r="Z32" s="318"/>
    </row>
    <row r="33" ht="15.75" customHeight="1">
      <c r="A33" s="318"/>
      <c r="B33" s="318"/>
      <c r="C33" s="318"/>
      <c r="D33" s="318"/>
      <c r="E33" s="318"/>
      <c r="F33" s="318"/>
      <c r="G33" s="318"/>
      <c r="H33" s="318"/>
      <c r="I33" s="318"/>
      <c r="J33" s="318"/>
      <c r="K33" s="318"/>
      <c r="L33" s="318"/>
      <c r="M33" s="318"/>
      <c r="N33" s="318"/>
      <c r="O33" s="318"/>
      <c r="P33" s="318"/>
      <c r="Q33" s="318"/>
      <c r="R33" s="318"/>
      <c r="S33" s="318"/>
      <c r="T33" s="318"/>
      <c r="U33" s="318"/>
      <c r="V33" s="318"/>
      <c r="W33" s="318"/>
      <c r="X33" s="318"/>
      <c r="Y33" s="318"/>
      <c r="Z33" s="318"/>
    </row>
    <row r="34" ht="15.75" customHeight="1">
      <c r="A34" s="318"/>
      <c r="B34" s="318"/>
      <c r="C34" s="318"/>
      <c r="D34" s="318"/>
      <c r="E34" s="318"/>
      <c r="F34" s="318"/>
      <c r="G34" s="318"/>
      <c r="H34" s="318"/>
      <c r="I34" s="318"/>
      <c r="J34" s="318"/>
      <c r="K34" s="318"/>
      <c r="L34" s="318"/>
      <c r="M34" s="318"/>
      <c r="N34" s="318"/>
      <c r="O34" s="318"/>
      <c r="P34" s="318"/>
      <c r="Q34" s="318"/>
      <c r="R34" s="318"/>
      <c r="S34" s="318"/>
      <c r="T34" s="318"/>
      <c r="U34" s="318"/>
      <c r="V34" s="318"/>
      <c r="W34" s="318"/>
      <c r="X34" s="318"/>
      <c r="Y34" s="318"/>
      <c r="Z34" s="318"/>
    </row>
    <row r="35" ht="15.75" customHeight="1">
      <c r="A35" s="318"/>
      <c r="B35" s="318"/>
      <c r="C35" s="318"/>
      <c r="D35" s="318"/>
      <c r="E35" s="318"/>
      <c r="F35" s="318"/>
      <c r="G35" s="318"/>
      <c r="H35" s="318"/>
      <c r="I35" s="318"/>
      <c r="J35" s="318"/>
      <c r="K35" s="318"/>
      <c r="L35" s="318"/>
      <c r="M35" s="318"/>
      <c r="N35" s="318"/>
      <c r="O35" s="318"/>
      <c r="P35" s="318"/>
      <c r="Q35" s="318"/>
      <c r="R35" s="318"/>
      <c r="S35" s="318"/>
      <c r="T35" s="318"/>
      <c r="U35" s="318"/>
      <c r="V35" s="318"/>
      <c r="W35" s="318"/>
      <c r="X35" s="318"/>
      <c r="Y35" s="318"/>
      <c r="Z35" s="318"/>
    </row>
    <row r="36" ht="15.75" customHeight="1">
      <c r="A36" s="318"/>
      <c r="B36" s="318"/>
      <c r="C36" s="318"/>
      <c r="D36" s="318"/>
      <c r="E36" s="318"/>
      <c r="F36" s="318"/>
      <c r="G36" s="318"/>
      <c r="H36" s="318"/>
      <c r="I36" s="318"/>
      <c r="J36" s="318"/>
      <c r="K36" s="318"/>
      <c r="L36" s="318"/>
      <c r="M36" s="318"/>
      <c r="N36" s="318"/>
      <c r="O36" s="318"/>
      <c r="P36" s="318"/>
      <c r="Q36" s="318"/>
      <c r="R36" s="318"/>
      <c r="S36" s="318"/>
      <c r="T36" s="318"/>
      <c r="U36" s="318"/>
      <c r="V36" s="318"/>
      <c r="W36" s="318"/>
      <c r="X36" s="318"/>
      <c r="Y36" s="318"/>
      <c r="Z36" s="318"/>
    </row>
    <row r="37" ht="15.75" customHeight="1">
      <c r="A37" s="318"/>
      <c r="B37" s="318"/>
      <c r="C37" s="318"/>
      <c r="D37" s="318"/>
      <c r="E37" s="318"/>
      <c r="F37" s="318"/>
      <c r="G37" s="318"/>
      <c r="H37" s="318"/>
      <c r="I37" s="318"/>
      <c r="J37" s="318"/>
      <c r="K37" s="318"/>
      <c r="L37" s="318"/>
      <c r="M37" s="318"/>
      <c r="N37" s="318"/>
      <c r="O37" s="318"/>
      <c r="P37" s="318"/>
      <c r="Q37" s="318"/>
      <c r="R37" s="318"/>
      <c r="S37" s="318"/>
      <c r="T37" s="318"/>
      <c r="U37" s="318"/>
      <c r="V37" s="318"/>
      <c r="W37" s="318"/>
      <c r="X37" s="318"/>
      <c r="Y37" s="318"/>
      <c r="Z37" s="318"/>
    </row>
    <row r="38" ht="15.75" customHeight="1">
      <c r="A38" s="318"/>
      <c r="B38" s="318"/>
      <c r="C38" s="318"/>
      <c r="D38" s="318"/>
      <c r="E38" s="318"/>
      <c r="F38" s="318"/>
      <c r="G38" s="318"/>
      <c r="H38" s="318"/>
      <c r="I38" s="318"/>
      <c r="J38" s="318"/>
      <c r="K38" s="318"/>
      <c r="L38" s="318"/>
      <c r="M38" s="318"/>
      <c r="N38" s="318"/>
      <c r="O38" s="318"/>
      <c r="P38" s="318"/>
      <c r="Q38" s="318"/>
      <c r="R38" s="318"/>
      <c r="S38" s="318"/>
      <c r="T38" s="318"/>
      <c r="U38" s="318"/>
      <c r="V38" s="318"/>
      <c r="W38" s="318"/>
      <c r="X38" s="318"/>
      <c r="Y38" s="318"/>
      <c r="Z38" s="318"/>
    </row>
    <row r="39" ht="15.75" customHeight="1">
      <c r="A39" s="318"/>
      <c r="B39" s="318"/>
      <c r="C39" s="318"/>
      <c r="D39" s="318"/>
      <c r="E39" s="318"/>
      <c r="F39" s="318"/>
      <c r="G39" s="318"/>
      <c r="H39" s="318"/>
      <c r="I39" s="318"/>
      <c r="J39" s="318"/>
      <c r="K39" s="318"/>
      <c r="L39" s="318"/>
      <c r="M39" s="318"/>
      <c r="N39" s="318"/>
      <c r="O39" s="318"/>
      <c r="P39" s="318"/>
      <c r="Q39" s="318"/>
      <c r="R39" s="318"/>
      <c r="S39" s="318"/>
      <c r="T39" s="318"/>
      <c r="U39" s="318"/>
      <c r="V39" s="318"/>
      <c r="W39" s="318"/>
      <c r="X39" s="318"/>
      <c r="Y39" s="318"/>
      <c r="Z39" s="318"/>
    </row>
    <row r="40" ht="15.75" customHeight="1">
      <c r="A40" s="318"/>
      <c r="B40" s="318"/>
      <c r="C40" s="318"/>
      <c r="D40" s="318"/>
      <c r="E40" s="318"/>
      <c r="F40" s="318"/>
      <c r="G40" s="318"/>
      <c r="H40" s="318"/>
      <c r="I40" s="318"/>
      <c r="J40" s="318"/>
      <c r="K40" s="318"/>
      <c r="L40" s="318"/>
      <c r="M40" s="318"/>
      <c r="N40" s="318"/>
      <c r="O40" s="318"/>
      <c r="P40" s="318"/>
      <c r="Q40" s="318"/>
      <c r="R40" s="318"/>
      <c r="S40" s="318"/>
      <c r="T40" s="318"/>
      <c r="U40" s="318"/>
      <c r="V40" s="318"/>
      <c r="W40" s="318"/>
      <c r="X40" s="318"/>
      <c r="Y40" s="318"/>
      <c r="Z40" s="318"/>
    </row>
    <row r="41" ht="15.75" customHeight="1">
      <c r="A41" s="318"/>
      <c r="B41" s="318"/>
      <c r="C41" s="318"/>
      <c r="D41" s="318"/>
      <c r="E41" s="318"/>
      <c r="F41" s="318"/>
      <c r="G41" s="318"/>
      <c r="H41" s="318"/>
      <c r="I41" s="318"/>
      <c r="J41" s="318"/>
      <c r="K41" s="318"/>
      <c r="L41" s="318"/>
      <c r="M41" s="318"/>
      <c r="N41" s="318"/>
      <c r="O41" s="318"/>
      <c r="P41" s="318"/>
      <c r="Q41" s="318"/>
      <c r="R41" s="318"/>
      <c r="S41" s="318"/>
      <c r="T41" s="318"/>
      <c r="U41" s="318"/>
      <c r="V41" s="318"/>
      <c r="W41" s="318"/>
      <c r="X41" s="318"/>
      <c r="Y41" s="318"/>
      <c r="Z41" s="318"/>
    </row>
    <row r="42" ht="15.75" customHeight="1">
      <c r="A42" s="318"/>
      <c r="B42" s="318"/>
      <c r="C42" s="318"/>
      <c r="D42" s="318"/>
      <c r="E42" s="318"/>
      <c r="F42" s="318"/>
      <c r="G42" s="318"/>
      <c r="H42" s="318"/>
      <c r="I42" s="318"/>
      <c r="J42" s="318"/>
      <c r="K42" s="318"/>
      <c r="L42" s="318"/>
      <c r="M42" s="318"/>
      <c r="N42" s="318"/>
      <c r="O42" s="318"/>
      <c r="P42" s="318"/>
      <c r="Q42" s="318"/>
      <c r="R42" s="318"/>
      <c r="S42" s="318"/>
      <c r="T42" s="318"/>
      <c r="U42" s="318"/>
      <c r="V42" s="318"/>
      <c r="W42" s="318"/>
      <c r="X42" s="318"/>
      <c r="Y42" s="318"/>
      <c r="Z42" s="318"/>
    </row>
    <row r="43" ht="15.75" customHeight="1">
      <c r="A43" s="318"/>
      <c r="B43" s="318"/>
      <c r="C43" s="318"/>
      <c r="D43" s="318"/>
      <c r="E43" s="318"/>
      <c r="F43" s="318"/>
      <c r="G43" s="318"/>
      <c r="H43" s="318"/>
      <c r="I43" s="318"/>
      <c r="J43" s="318"/>
      <c r="K43" s="318"/>
      <c r="L43" s="318"/>
      <c r="M43" s="318"/>
      <c r="N43" s="318"/>
      <c r="O43" s="318"/>
      <c r="P43" s="318"/>
      <c r="Q43" s="318"/>
      <c r="R43" s="318"/>
      <c r="S43" s="318"/>
      <c r="T43" s="318"/>
      <c r="U43" s="318"/>
      <c r="V43" s="318"/>
      <c r="W43" s="318"/>
      <c r="X43" s="318"/>
      <c r="Y43" s="318"/>
      <c r="Z43" s="318"/>
    </row>
    <row r="44" ht="15.75" customHeight="1">
      <c r="A44" s="318"/>
      <c r="B44" s="318"/>
      <c r="C44" s="318"/>
      <c r="D44" s="318"/>
      <c r="E44" s="318"/>
      <c r="F44" s="318"/>
      <c r="G44" s="318"/>
      <c r="H44" s="318"/>
      <c r="I44" s="318"/>
      <c r="J44" s="318"/>
      <c r="K44" s="318"/>
      <c r="L44" s="318"/>
      <c r="M44" s="318"/>
      <c r="N44" s="318"/>
      <c r="O44" s="318"/>
      <c r="P44" s="318"/>
      <c r="Q44" s="318"/>
      <c r="R44" s="318"/>
      <c r="S44" s="318"/>
      <c r="T44" s="318"/>
      <c r="U44" s="318"/>
      <c r="V44" s="318"/>
      <c r="W44" s="318"/>
      <c r="X44" s="318"/>
      <c r="Y44" s="318"/>
      <c r="Z44" s="318"/>
    </row>
    <row r="45" ht="15.75" customHeight="1">
      <c r="A45" s="318"/>
      <c r="B45" s="318"/>
      <c r="C45" s="318"/>
      <c r="D45" s="318"/>
      <c r="E45" s="318"/>
      <c r="F45" s="318"/>
      <c r="G45" s="318"/>
      <c r="H45" s="318"/>
      <c r="I45" s="318"/>
      <c r="J45" s="318"/>
      <c r="K45" s="318"/>
      <c r="L45" s="318"/>
      <c r="M45" s="318"/>
      <c r="N45" s="318"/>
      <c r="O45" s="318"/>
      <c r="P45" s="318"/>
      <c r="Q45" s="318"/>
      <c r="R45" s="318"/>
      <c r="S45" s="318"/>
      <c r="T45" s="318"/>
      <c r="U45" s="318"/>
      <c r="V45" s="318"/>
      <c r="W45" s="318"/>
      <c r="X45" s="318"/>
      <c r="Y45" s="318"/>
      <c r="Z45" s="318"/>
    </row>
    <row r="46" ht="15.75" customHeight="1">
      <c r="A46" s="318"/>
      <c r="B46" s="318"/>
      <c r="C46" s="318"/>
      <c r="D46" s="318"/>
      <c r="E46" s="318"/>
      <c r="F46" s="318"/>
      <c r="G46" s="318"/>
      <c r="H46" s="318"/>
      <c r="I46" s="318"/>
      <c r="J46" s="318"/>
      <c r="K46" s="318"/>
      <c r="L46" s="318"/>
      <c r="M46" s="318"/>
      <c r="N46" s="318"/>
      <c r="O46" s="318"/>
      <c r="P46" s="318"/>
      <c r="Q46" s="318"/>
      <c r="R46" s="318"/>
      <c r="S46" s="318"/>
      <c r="T46" s="318"/>
      <c r="U46" s="318"/>
      <c r="V46" s="318"/>
      <c r="W46" s="318"/>
      <c r="X46" s="318"/>
      <c r="Y46" s="318"/>
      <c r="Z46" s="318"/>
    </row>
    <row r="47" ht="15.75" customHeight="1">
      <c r="A47" s="318"/>
      <c r="B47" s="318"/>
      <c r="C47" s="318"/>
      <c r="D47" s="318"/>
      <c r="E47" s="318"/>
      <c r="F47" s="318"/>
      <c r="G47" s="318"/>
      <c r="H47" s="318"/>
      <c r="I47" s="318"/>
      <c r="J47" s="318"/>
      <c r="K47" s="318"/>
      <c r="L47" s="318"/>
      <c r="M47" s="318"/>
      <c r="N47" s="318"/>
      <c r="O47" s="318"/>
      <c r="P47" s="318"/>
      <c r="Q47" s="318"/>
      <c r="R47" s="318"/>
      <c r="S47" s="318"/>
      <c r="T47" s="318"/>
      <c r="U47" s="318"/>
      <c r="V47" s="318"/>
      <c r="W47" s="318"/>
      <c r="X47" s="318"/>
      <c r="Y47" s="318"/>
      <c r="Z47" s="318"/>
    </row>
    <row r="48" ht="15.75" customHeight="1">
      <c r="A48" s="318"/>
      <c r="B48" s="318"/>
      <c r="C48" s="318"/>
      <c r="D48" s="318"/>
      <c r="E48" s="318"/>
      <c r="F48" s="318"/>
      <c r="G48" s="318"/>
      <c r="H48" s="318"/>
      <c r="I48" s="318"/>
      <c r="J48" s="318"/>
      <c r="K48" s="318"/>
      <c r="L48" s="318"/>
      <c r="M48" s="318"/>
      <c r="N48" s="318"/>
      <c r="O48" s="318"/>
      <c r="P48" s="318"/>
      <c r="Q48" s="318"/>
      <c r="R48" s="318"/>
      <c r="S48" s="318"/>
      <c r="T48" s="318"/>
      <c r="U48" s="318"/>
      <c r="V48" s="318"/>
      <c r="W48" s="318"/>
      <c r="X48" s="318"/>
      <c r="Y48" s="318"/>
      <c r="Z48" s="318"/>
    </row>
    <row r="49" ht="15.75" customHeight="1">
      <c r="A49" s="318"/>
      <c r="B49" s="318"/>
      <c r="C49" s="318"/>
      <c r="D49" s="318"/>
      <c r="E49" s="318"/>
      <c r="F49" s="318"/>
      <c r="G49" s="318"/>
      <c r="H49" s="318"/>
      <c r="I49" s="318"/>
      <c r="J49" s="318"/>
      <c r="K49" s="318"/>
      <c r="L49" s="318"/>
      <c r="M49" s="318"/>
      <c r="N49" s="318"/>
      <c r="O49" s="318"/>
      <c r="P49" s="318"/>
      <c r="Q49" s="318"/>
      <c r="R49" s="318"/>
      <c r="S49" s="318"/>
      <c r="T49" s="318"/>
      <c r="U49" s="318"/>
      <c r="V49" s="318"/>
      <c r="W49" s="318"/>
      <c r="X49" s="318"/>
      <c r="Y49" s="318"/>
      <c r="Z49" s="318"/>
    </row>
    <row r="50" ht="15.75" customHeight="1">
      <c r="A50" s="318"/>
      <c r="B50" s="318"/>
      <c r="C50" s="318"/>
      <c r="D50" s="318"/>
      <c r="E50" s="318"/>
      <c r="F50" s="318"/>
      <c r="G50" s="318"/>
      <c r="H50" s="318"/>
      <c r="I50" s="318"/>
      <c r="J50" s="318"/>
      <c r="K50" s="318"/>
      <c r="L50" s="318"/>
      <c r="M50" s="318"/>
      <c r="N50" s="318"/>
      <c r="O50" s="318"/>
      <c r="P50" s="318"/>
      <c r="Q50" s="318"/>
      <c r="R50" s="318"/>
      <c r="S50" s="318"/>
      <c r="T50" s="318"/>
      <c r="U50" s="318"/>
      <c r="V50" s="318"/>
      <c r="W50" s="318"/>
      <c r="X50" s="318"/>
      <c r="Y50" s="318"/>
      <c r="Z50" s="318"/>
    </row>
    <row r="51" ht="15.75" customHeight="1">
      <c r="A51" s="318"/>
      <c r="B51" s="318"/>
      <c r="C51" s="318"/>
      <c r="D51" s="318"/>
      <c r="E51" s="318"/>
      <c r="F51" s="318"/>
      <c r="G51" s="318"/>
      <c r="H51" s="318"/>
      <c r="I51" s="318"/>
      <c r="J51" s="318"/>
      <c r="K51" s="318"/>
      <c r="L51" s="318"/>
      <c r="M51" s="318"/>
      <c r="N51" s="318"/>
      <c r="O51" s="318"/>
      <c r="P51" s="318"/>
      <c r="Q51" s="318"/>
      <c r="R51" s="318"/>
      <c r="S51" s="318"/>
      <c r="T51" s="318"/>
      <c r="U51" s="318"/>
      <c r="V51" s="318"/>
      <c r="W51" s="318"/>
      <c r="X51" s="318"/>
      <c r="Y51" s="318"/>
      <c r="Z51" s="318"/>
    </row>
    <row r="52" ht="15.75" customHeight="1">
      <c r="A52" s="318"/>
      <c r="B52" s="318"/>
      <c r="C52" s="318"/>
      <c r="D52" s="318"/>
      <c r="E52" s="318"/>
      <c r="F52" s="318"/>
      <c r="G52" s="318"/>
      <c r="H52" s="318"/>
      <c r="I52" s="318"/>
      <c r="J52" s="318"/>
      <c r="K52" s="318"/>
      <c r="L52" s="318"/>
      <c r="M52" s="318"/>
      <c r="N52" s="318"/>
      <c r="O52" s="318"/>
      <c r="P52" s="318"/>
      <c r="Q52" s="318"/>
      <c r="R52" s="318"/>
      <c r="S52" s="318"/>
      <c r="T52" s="318"/>
      <c r="U52" s="318"/>
      <c r="V52" s="318"/>
      <c r="W52" s="318"/>
      <c r="X52" s="318"/>
      <c r="Y52" s="318"/>
      <c r="Z52" s="318"/>
    </row>
    <row r="53" ht="15.75" customHeight="1">
      <c r="A53" s="318"/>
      <c r="B53" s="318"/>
      <c r="C53" s="318"/>
      <c r="D53" s="318"/>
      <c r="E53" s="318"/>
      <c r="F53" s="318"/>
      <c r="G53" s="318"/>
      <c r="H53" s="318"/>
      <c r="I53" s="318"/>
      <c r="J53" s="318"/>
      <c r="K53" s="318"/>
      <c r="L53" s="318"/>
      <c r="M53" s="318"/>
      <c r="N53" s="318"/>
      <c r="O53" s="318"/>
      <c r="P53" s="318"/>
      <c r="Q53" s="318"/>
      <c r="R53" s="318"/>
      <c r="S53" s="318"/>
      <c r="T53" s="318"/>
      <c r="U53" s="318"/>
      <c r="V53" s="318"/>
      <c r="W53" s="318"/>
      <c r="X53" s="318"/>
      <c r="Y53" s="318"/>
      <c r="Z53" s="318"/>
    </row>
    <row r="54" ht="15.75" customHeight="1">
      <c r="A54" s="318"/>
      <c r="B54" s="318"/>
      <c r="C54" s="318"/>
      <c r="D54" s="318"/>
      <c r="E54" s="318"/>
      <c r="F54" s="318"/>
      <c r="G54" s="318"/>
      <c r="H54" s="318"/>
      <c r="I54" s="318"/>
      <c r="J54" s="318"/>
      <c r="K54" s="318"/>
      <c r="L54" s="318"/>
      <c r="M54" s="318"/>
      <c r="N54" s="318"/>
      <c r="O54" s="318"/>
      <c r="P54" s="318"/>
      <c r="Q54" s="318"/>
      <c r="R54" s="318"/>
      <c r="S54" s="318"/>
      <c r="T54" s="318"/>
      <c r="U54" s="318"/>
      <c r="V54" s="318"/>
      <c r="W54" s="318"/>
      <c r="X54" s="318"/>
      <c r="Y54" s="318"/>
      <c r="Z54" s="318"/>
    </row>
    <row r="55" ht="15.75" customHeight="1">
      <c r="A55" s="318"/>
      <c r="B55" s="318"/>
      <c r="C55" s="318"/>
      <c r="D55" s="318"/>
      <c r="E55" s="318"/>
      <c r="F55" s="318"/>
      <c r="G55" s="318"/>
      <c r="H55" s="318"/>
      <c r="I55" s="318"/>
      <c r="J55" s="318"/>
      <c r="K55" s="318"/>
      <c r="L55" s="318"/>
      <c r="M55" s="318"/>
      <c r="N55" s="318"/>
      <c r="O55" s="318"/>
      <c r="P55" s="318"/>
      <c r="Q55" s="318"/>
      <c r="R55" s="318"/>
      <c r="S55" s="318"/>
      <c r="T55" s="318"/>
      <c r="U55" s="318"/>
      <c r="V55" s="318"/>
      <c r="W55" s="318"/>
      <c r="X55" s="318"/>
      <c r="Y55" s="318"/>
      <c r="Z55" s="318"/>
    </row>
    <row r="56" ht="15.75" customHeight="1">
      <c r="A56" s="318"/>
      <c r="B56" s="318"/>
      <c r="C56" s="318"/>
      <c r="D56" s="318"/>
      <c r="E56" s="318"/>
      <c r="F56" s="318"/>
      <c r="G56" s="318"/>
      <c r="H56" s="318"/>
      <c r="I56" s="318"/>
      <c r="J56" s="318"/>
      <c r="K56" s="318"/>
      <c r="L56" s="318"/>
      <c r="M56" s="318"/>
      <c r="N56" s="318"/>
      <c r="O56" s="318"/>
      <c r="P56" s="318"/>
      <c r="Q56" s="318"/>
      <c r="R56" s="318"/>
      <c r="S56" s="318"/>
      <c r="T56" s="318"/>
      <c r="U56" s="318"/>
      <c r="V56" s="318"/>
      <c r="W56" s="318"/>
      <c r="X56" s="318"/>
      <c r="Y56" s="318"/>
      <c r="Z56" s="318"/>
    </row>
    <row r="57" ht="15.75" customHeight="1">
      <c r="A57" s="318"/>
      <c r="B57" s="318"/>
      <c r="C57" s="318"/>
      <c r="D57" s="318"/>
      <c r="E57" s="318"/>
      <c r="F57" s="318"/>
      <c r="G57" s="318"/>
      <c r="H57" s="318"/>
      <c r="I57" s="318"/>
      <c r="J57" s="318"/>
      <c r="K57" s="318"/>
      <c r="L57" s="318"/>
      <c r="M57" s="318"/>
      <c r="N57" s="318"/>
      <c r="O57" s="318"/>
      <c r="P57" s="318"/>
      <c r="Q57" s="318"/>
      <c r="R57" s="318"/>
      <c r="S57" s="318"/>
      <c r="T57" s="318"/>
      <c r="U57" s="318"/>
      <c r="V57" s="318"/>
      <c r="W57" s="318"/>
      <c r="X57" s="318"/>
      <c r="Y57" s="318"/>
      <c r="Z57" s="318"/>
    </row>
    <row r="58" ht="15.75" customHeight="1">
      <c r="A58" s="318"/>
      <c r="B58" s="318"/>
      <c r="C58" s="318"/>
      <c r="D58" s="318"/>
      <c r="E58" s="318"/>
      <c r="F58" s="318"/>
      <c r="G58" s="318"/>
      <c r="H58" s="318"/>
      <c r="I58" s="318"/>
      <c r="J58" s="318"/>
      <c r="K58" s="318"/>
      <c r="L58" s="318"/>
      <c r="M58" s="318"/>
      <c r="N58" s="318"/>
      <c r="O58" s="318"/>
      <c r="P58" s="318"/>
      <c r="Q58" s="318"/>
      <c r="R58" s="318"/>
      <c r="S58" s="318"/>
      <c r="T58" s="318"/>
      <c r="U58" s="318"/>
      <c r="V58" s="318"/>
      <c r="W58" s="318"/>
      <c r="X58" s="318"/>
      <c r="Y58" s="318"/>
      <c r="Z58" s="318"/>
    </row>
    <row r="59" ht="15.75" customHeight="1">
      <c r="A59" s="318"/>
      <c r="B59" s="318"/>
      <c r="C59" s="318"/>
      <c r="D59" s="318"/>
      <c r="E59" s="318"/>
      <c r="F59" s="318"/>
      <c r="G59" s="318"/>
      <c r="H59" s="318"/>
      <c r="I59" s="318"/>
      <c r="J59" s="318"/>
      <c r="K59" s="318"/>
      <c r="L59" s="318"/>
      <c r="M59" s="318"/>
      <c r="N59" s="318"/>
      <c r="O59" s="318"/>
      <c r="P59" s="318"/>
      <c r="Q59" s="318"/>
      <c r="R59" s="318"/>
      <c r="S59" s="318"/>
      <c r="T59" s="318"/>
      <c r="U59" s="318"/>
      <c r="V59" s="318"/>
      <c r="W59" s="318"/>
      <c r="X59" s="318"/>
      <c r="Y59" s="318"/>
      <c r="Z59" s="318"/>
    </row>
    <row r="60" ht="15.75" customHeight="1">
      <c r="A60" s="318"/>
      <c r="B60" s="318"/>
      <c r="C60" s="318"/>
      <c r="D60" s="318"/>
      <c r="E60" s="318"/>
      <c r="F60" s="318"/>
      <c r="G60" s="318"/>
      <c r="H60" s="318"/>
      <c r="I60" s="318"/>
      <c r="J60" s="318"/>
      <c r="K60" s="318"/>
      <c r="L60" s="318"/>
      <c r="M60" s="318"/>
      <c r="N60" s="318"/>
      <c r="O60" s="318"/>
      <c r="P60" s="318"/>
      <c r="Q60" s="318"/>
      <c r="R60" s="318"/>
      <c r="S60" s="318"/>
      <c r="T60" s="318"/>
      <c r="U60" s="318"/>
      <c r="V60" s="318"/>
      <c r="W60" s="318"/>
      <c r="X60" s="318"/>
      <c r="Y60" s="318"/>
      <c r="Z60" s="318"/>
    </row>
    <row r="61" ht="15.75" customHeight="1">
      <c r="A61" s="318"/>
      <c r="B61" s="318"/>
      <c r="C61" s="318"/>
      <c r="D61" s="318"/>
      <c r="E61" s="318"/>
      <c r="F61" s="318"/>
      <c r="G61" s="318"/>
      <c r="H61" s="318"/>
      <c r="I61" s="318"/>
      <c r="J61" s="318"/>
      <c r="K61" s="318"/>
      <c r="L61" s="318"/>
      <c r="M61" s="318"/>
      <c r="N61" s="318"/>
      <c r="O61" s="318"/>
      <c r="P61" s="318"/>
      <c r="Q61" s="318"/>
      <c r="R61" s="318"/>
      <c r="S61" s="318"/>
      <c r="T61" s="318"/>
      <c r="U61" s="318"/>
      <c r="V61" s="318"/>
      <c r="W61" s="318"/>
      <c r="X61" s="318"/>
      <c r="Y61" s="318"/>
      <c r="Z61" s="318"/>
    </row>
    <row r="62" ht="15.75" customHeight="1">
      <c r="A62" s="318"/>
      <c r="B62" s="318"/>
      <c r="C62" s="318"/>
      <c r="D62" s="318"/>
      <c r="E62" s="318"/>
      <c r="F62" s="318"/>
      <c r="G62" s="318"/>
      <c r="H62" s="318"/>
      <c r="I62" s="318"/>
      <c r="J62" s="318"/>
      <c r="K62" s="318"/>
      <c r="L62" s="318"/>
      <c r="M62" s="318"/>
      <c r="N62" s="318"/>
      <c r="O62" s="318"/>
      <c r="P62" s="318"/>
      <c r="Q62" s="318"/>
      <c r="R62" s="318"/>
      <c r="S62" s="318"/>
      <c r="T62" s="318"/>
      <c r="U62" s="318"/>
      <c r="V62" s="318"/>
      <c r="W62" s="318"/>
      <c r="X62" s="318"/>
      <c r="Y62" s="318"/>
      <c r="Z62" s="318"/>
    </row>
    <row r="63" ht="15.75" customHeight="1">
      <c r="A63" s="318"/>
      <c r="B63" s="318"/>
      <c r="C63" s="318"/>
      <c r="D63" s="318"/>
      <c r="E63" s="318"/>
      <c r="F63" s="318"/>
      <c r="G63" s="318"/>
      <c r="H63" s="318"/>
      <c r="I63" s="318"/>
      <c r="J63" s="318"/>
      <c r="K63" s="318"/>
      <c r="L63" s="318"/>
      <c r="M63" s="318"/>
      <c r="N63" s="318"/>
      <c r="O63" s="318"/>
      <c r="P63" s="318"/>
      <c r="Q63" s="318"/>
      <c r="R63" s="318"/>
      <c r="S63" s="318"/>
      <c r="T63" s="318"/>
      <c r="U63" s="318"/>
      <c r="V63" s="318"/>
      <c r="W63" s="318"/>
      <c r="X63" s="318"/>
      <c r="Y63" s="318"/>
      <c r="Z63" s="318"/>
    </row>
    <row r="64" ht="15.75" customHeight="1">
      <c r="A64" s="318"/>
      <c r="B64" s="318"/>
      <c r="C64" s="318"/>
      <c r="D64" s="318"/>
      <c r="E64" s="318"/>
      <c r="F64" s="318"/>
      <c r="G64" s="318"/>
      <c r="H64" s="318"/>
      <c r="I64" s="318"/>
      <c r="J64" s="318"/>
      <c r="K64" s="318"/>
      <c r="L64" s="318"/>
      <c r="M64" s="318"/>
      <c r="N64" s="318"/>
      <c r="O64" s="318"/>
      <c r="P64" s="318"/>
      <c r="Q64" s="318"/>
      <c r="R64" s="318"/>
      <c r="S64" s="318"/>
      <c r="T64" s="318"/>
      <c r="U64" s="318"/>
      <c r="V64" s="318"/>
      <c r="W64" s="318"/>
      <c r="X64" s="318"/>
      <c r="Y64" s="318"/>
      <c r="Z64" s="318"/>
    </row>
    <row r="65" ht="15.75" customHeight="1">
      <c r="A65" s="318"/>
      <c r="B65" s="318"/>
      <c r="C65" s="318"/>
      <c r="D65" s="318"/>
      <c r="E65" s="318"/>
      <c r="F65" s="318"/>
      <c r="G65" s="318"/>
      <c r="H65" s="318"/>
      <c r="I65" s="318"/>
      <c r="J65" s="318"/>
      <c r="K65" s="318"/>
      <c r="L65" s="318"/>
      <c r="M65" s="318"/>
      <c r="N65" s="318"/>
      <c r="O65" s="318"/>
      <c r="P65" s="318"/>
      <c r="Q65" s="318"/>
      <c r="R65" s="318"/>
      <c r="S65" s="318"/>
      <c r="T65" s="318"/>
      <c r="U65" s="318"/>
      <c r="V65" s="318"/>
      <c r="W65" s="318"/>
      <c r="X65" s="318"/>
      <c r="Y65" s="318"/>
      <c r="Z65" s="318"/>
    </row>
    <row r="66" ht="15.75" customHeight="1">
      <c r="A66" s="318"/>
      <c r="B66" s="318"/>
      <c r="C66" s="318"/>
      <c r="D66" s="318"/>
      <c r="E66" s="318"/>
      <c r="F66" s="318"/>
      <c r="G66" s="318"/>
      <c r="H66" s="318"/>
      <c r="I66" s="318"/>
      <c r="J66" s="318"/>
      <c r="K66" s="318"/>
      <c r="L66" s="318"/>
      <c r="M66" s="318"/>
      <c r="N66" s="318"/>
      <c r="O66" s="318"/>
      <c r="P66" s="318"/>
      <c r="Q66" s="318"/>
      <c r="R66" s="318"/>
      <c r="S66" s="318"/>
      <c r="T66" s="318"/>
      <c r="U66" s="318"/>
      <c r="V66" s="318"/>
      <c r="W66" s="318"/>
      <c r="X66" s="318"/>
      <c r="Y66" s="318"/>
      <c r="Z66" s="318"/>
    </row>
    <row r="67" ht="15.75" customHeight="1">
      <c r="A67" s="318"/>
      <c r="B67" s="318"/>
      <c r="C67" s="318"/>
      <c r="D67" s="318"/>
      <c r="E67" s="318"/>
      <c r="F67" s="318"/>
      <c r="G67" s="318"/>
      <c r="H67" s="318"/>
      <c r="I67" s="318"/>
      <c r="J67" s="318"/>
      <c r="K67" s="318"/>
      <c r="L67" s="318"/>
      <c r="M67" s="318"/>
      <c r="N67" s="318"/>
      <c r="O67" s="318"/>
      <c r="P67" s="318"/>
      <c r="Q67" s="318"/>
      <c r="R67" s="318"/>
      <c r="S67" s="318"/>
      <c r="T67" s="318"/>
      <c r="U67" s="318"/>
      <c r="V67" s="318"/>
      <c r="W67" s="318"/>
      <c r="X67" s="318"/>
      <c r="Y67" s="318"/>
      <c r="Z67" s="318"/>
    </row>
    <row r="68" ht="15.75" customHeight="1">
      <c r="A68" s="318"/>
      <c r="B68" s="318"/>
      <c r="C68" s="318"/>
      <c r="D68" s="318"/>
      <c r="E68" s="318"/>
      <c r="F68" s="318"/>
      <c r="G68" s="318"/>
      <c r="H68" s="318"/>
      <c r="I68" s="318"/>
      <c r="J68" s="318"/>
      <c r="K68" s="318"/>
      <c r="L68" s="318"/>
      <c r="M68" s="318"/>
      <c r="N68" s="318"/>
      <c r="O68" s="318"/>
      <c r="P68" s="318"/>
      <c r="Q68" s="318"/>
      <c r="R68" s="318"/>
      <c r="S68" s="318"/>
      <c r="T68" s="318"/>
      <c r="U68" s="318"/>
      <c r="V68" s="318"/>
      <c r="W68" s="318"/>
      <c r="X68" s="318"/>
      <c r="Y68" s="318"/>
      <c r="Z68" s="318"/>
    </row>
    <row r="69" ht="15.75" customHeight="1">
      <c r="A69" s="318"/>
      <c r="B69" s="318"/>
      <c r="C69" s="318"/>
      <c r="D69" s="318"/>
      <c r="E69" s="318"/>
      <c r="F69" s="318"/>
      <c r="G69" s="318"/>
      <c r="H69" s="318"/>
      <c r="I69" s="318"/>
      <c r="J69" s="318"/>
      <c r="K69" s="318"/>
      <c r="L69" s="318"/>
      <c r="M69" s="318"/>
      <c r="N69" s="318"/>
      <c r="O69" s="318"/>
      <c r="P69" s="318"/>
      <c r="Q69" s="318"/>
      <c r="R69" s="318"/>
      <c r="S69" s="318"/>
      <c r="T69" s="318"/>
      <c r="U69" s="318"/>
      <c r="V69" s="318"/>
      <c r="W69" s="318"/>
      <c r="X69" s="318"/>
      <c r="Y69" s="318"/>
      <c r="Z69" s="318"/>
    </row>
    <row r="70" ht="15.75" customHeight="1">
      <c r="A70" s="318"/>
      <c r="B70" s="318"/>
      <c r="C70" s="318"/>
      <c r="D70" s="318"/>
      <c r="E70" s="318"/>
      <c r="F70" s="318"/>
      <c r="G70" s="318"/>
      <c r="H70" s="318"/>
      <c r="I70" s="318"/>
      <c r="J70" s="318"/>
      <c r="K70" s="318"/>
      <c r="L70" s="318"/>
      <c r="M70" s="318"/>
      <c r="N70" s="318"/>
      <c r="O70" s="318"/>
      <c r="P70" s="318"/>
      <c r="Q70" s="318"/>
      <c r="R70" s="318"/>
      <c r="S70" s="318"/>
      <c r="T70" s="318"/>
      <c r="U70" s="318"/>
      <c r="V70" s="318"/>
      <c r="W70" s="318"/>
      <c r="X70" s="318"/>
      <c r="Y70" s="318"/>
      <c r="Z70" s="318"/>
    </row>
    <row r="71" ht="15.75" customHeight="1">
      <c r="A71" s="318"/>
      <c r="B71" s="318"/>
      <c r="C71" s="318"/>
      <c r="D71" s="318"/>
      <c r="E71" s="318"/>
      <c r="F71" s="318"/>
      <c r="G71" s="318"/>
      <c r="H71" s="318"/>
      <c r="I71" s="318"/>
      <c r="J71" s="318"/>
      <c r="K71" s="318"/>
      <c r="L71" s="318"/>
      <c r="M71" s="318"/>
      <c r="N71" s="318"/>
      <c r="O71" s="318"/>
      <c r="P71" s="318"/>
      <c r="Q71" s="318"/>
      <c r="R71" s="318"/>
      <c r="S71" s="318"/>
      <c r="T71" s="318"/>
      <c r="U71" s="318"/>
      <c r="V71" s="318"/>
      <c r="W71" s="318"/>
      <c r="X71" s="318"/>
      <c r="Y71" s="318"/>
      <c r="Z71" s="318"/>
    </row>
    <row r="72" ht="15.75" customHeight="1">
      <c r="A72" s="318"/>
      <c r="B72" s="318"/>
      <c r="C72" s="318"/>
      <c r="D72" s="318"/>
      <c r="E72" s="318"/>
      <c r="F72" s="318"/>
      <c r="G72" s="318"/>
      <c r="H72" s="318"/>
      <c r="I72" s="318"/>
      <c r="J72" s="318"/>
      <c r="K72" s="318"/>
      <c r="L72" s="318"/>
      <c r="M72" s="318"/>
      <c r="N72" s="318"/>
      <c r="O72" s="318"/>
      <c r="P72" s="318"/>
      <c r="Q72" s="318"/>
      <c r="R72" s="318"/>
      <c r="S72" s="318"/>
      <c r="T72" s="318"/>
      <c r="U72" s="318"/>
      <c r="V72" s="318"/>
      <c r="W72" s="318"/>
      <c r="X72" s="318"/>
      <c r="Y72" s="318"/>
      <c r="Z72" s="318"/>
    </row>
    <row r="73" ht="15.75" customHeight="1">
      <c r="A73" s="318"/>
      <c r="B73" s="318"/>
      <c r="C73" s="318"/>
      <c r="D73" s="318"/>
      <c r="E73" s="318"/>
      <c r="F73" s="318"/>
      <c r="G73" s="318"/>
      <c r="H73" s="318"/>
      <c r="I73" s="318"/>
      <c r="J73" s="318"/>
      <c r="K73" s="318"/>
      <c r="L73" s="318"/>
      <c r="M73" s="318"/>
      <c r="N73" s="318"/>
      <c r="O73" s="318"/>
      <c r="P73" s="318"/>
      <c r="Q73" s="318"/>
      <c r="R73" s="318"/>
      <c r="S73" s="318"/>
      <c r="T73" s="318"/>
      <c r="U73" s="318"/>
      <c r="V73" s="318"/>
      <c r="W73" s="318"/>
      <c r="X73" s="318"/>
      <c r="Y73" s="318"/>
      <c r="Z73" s="318"/>
    </row>
    <row r="74" ht="15.75" customHeight="1">
      <c r="A74" s="318"/>
      <c r="B74" s="318"/>
      <c r="C74" s="318"/>
      <c r="D74" s="318"/>
      <c r="E74" s="318"/>
      <c r="F74" s="318"/>
      <c r="G74" s="318"/>
      <c r="H74" s="318"/>
      <c r="I74" s="318"/>
      <c r="J74" s="318"/>
      <c r="K74" s="318"/>
      <c r="L74" s="318"/>
      <c r="M74" s="318"/>
      <c r="N74" s="318"/>
      <c r="O74" s="318"/>
      <c r="P74" s="318"/>
      <c r="Q74" s="318"/>
      <c r="R74" s="318"/>
      <c r="S74" s="318"/>
      <c r="T74" s="318"/>
      <c r="U74" s="318"/>
      <c r="V74" s="318"/>
      <c r="W74" s="318"/>
      <c r="X74" s="318"/>
      <c r="Y74" s="318"/>
      <c r="Z74" s="318"/>
    </row>
    <row r="75" ht="15.75" customHeight="1">
      <c r="A75" s="318"/>
      <c r="B75" s="318"/>
      <c r="C75" s="318"/>
      <c r="D75" s="318"/>
      <c r="E75" s="318"/>
      <c r="F75" s="318"/>
      <c r="G75" s="318"/>
      <c r="H75" s="318"/>
      <c r="I75" s="318"/>
      <c r="J75" s="318"/>
      <c r="K75" s="318"/>
      <c r="L75" s="318"/>
      <c r="M75" s="318"/>
      <c r="N75" s="318"/>
      <c r="O75" s="318"/>
      <c r="P75" s="318"/>
      <c r="Q75" s="318"/>
      <c r="R75" s="318"/>
      <c r="S75" s="318"/>
      <c r="T75" s="318"/>
      <c r="U75" s="318"/>
      <c r="V75" s="318"/>
      <c r="W75" s="318"/>
      <c r="X75" s="318"/>
      <c r="Y75" s="318"/>
      <c r="Z75" s="318"/>
    </row>
    <row r="76" ht="15.75" customHeight="1">
      <c r="A76" s="318"/>
      <c r="B76" s="318"/>
      <c r="C76" s="318"/>
      <c r="D76" s="318"/>
      <c r="E76" s="318"/>
      <c r="F76" s="318"/>
      <c r="G76" s="318"/>
      <c r="H76" s="318"/>
      <c r="I76" s="318"/>
      <c r="J76" s="318"/>
      <c r="K76" s="318"/>
      <c r="L76" s="318"/>
      <c r="M76" s="318"/>
      <c r="N76" s="318"/>
      <c r="O76" s="318"/>
      <c r="P76" s="318"/>
      <c r="Q76" s="318"/>
      <c r="R76" s="318"/>
      <c r="S76" s="318"/>
      <c r="T76" s="318"/>
      <c r="U76" s="318"/>
      <c r="V76" s="318"/>
      <c r="W76" s="318"/>
      <c r="X76" s="318"/>
      <c r="Y76" s="318"/>
      <c r="Z76" s="318"/>
    </row>
    <row r="77" ht="15.75" customHeight="1">
      <c r="A77" s="318"/>
      <c r="B77" s="318"/>
      <c r="C77" s="318"/>
      <c r="D77" s="318"/>
      <c r="E77" s="318"/>
      <c r="F77" s="318"/>
      <c r="G77" s="318"/>
      <c r="H77" s="318"/>
      <c r="I77" s="318"/>
      <c r="J77" s="318"/>
      <c r="K77" s="318"/>
      <c r="L77" s="318"/>
      <c r="M77" s="318"/>
      <c r="N77" s="318"/>
      <c r="O77" s="318"/>
      <c r="P77" s="318"/>
      <c r="Q77" s="318"/>
      <c r="R77" s="318"/>
      <c r="S77" s="318"/>
      <c r="T77" s="318"/>
      <c r="U77" s="318"/>
      <c r="V77" s="318"/>
      <c r="W77" s="318"/>
      <c r="X77" s="318"/>
      <c r="Y77" s="318"/>
      <c r="Z77" s="318"/>
    </row>
    <row r="78" ht="15.75" customHeight="1">
      <c r="A78" s="318"/>
      <c r="B78" s="318"/>
      <c r="C78" s="318"/>
      <c r="D78" s="318"/>
      <c r="E78" s="318"/>
      <c r="F78" s="318"/>
      <c r="G78" s="318"/>
      <c r="H78" s="318"/>
      <c r="I78" s="318"/>
      <c r="J78" s="318"/>
      <c r="K78" s="318"/>
      <c r="L78" s="318"/>
      <c r="M78" s="318"/>
      <c r="N78" s="318"/>
      <c r="O78" s="318"/>
      <c r="P78" s="318"/>
      <c r="Q78" s="318"/>
      <c r="R78" s="318"/>
      <c r="S78" s="318"/>
      <c r="T78" s="318"/>
      <c r="U78" s="318"/>
      <c r="V78" s="318"/>
      <c r="W78" s="318"/>
      <c r="X78" s="318"/>
      <c r="Y78" s="318"/>
      <c r="Z78" s="318"/>
    </row>
    <row r="79" ht="15.75" customHeight="1">
      <c r="A79" s="318"/>
      <c r="B79" s="318"/>
      <c r="C79" s="318"/>
      <c r="D79" s="318"/>
      <c r="E79" s="318"/>
      <c r="F79" s="318"/>
      <c r="G79" s="318"/>
      <c r="H79" s="318"/>
      <c r="I79" s="318"/>
      <c r="J79" s="318"/>
      <c r="K79" s="318"/>
      <c r="L79" s="318"/>
      <c r="M79" s="318"/>
      <c r="N79" s="318"/>
      <c r="O79" s="318"/>
      <c r="P79" s="318"/>
      <c r="Q79" s="318"/>
      <c r="R79" s="318"/>
      <c r="S79" s="318"/>
      <c r="T79" s="318"/>
      <c r="U79" s="318"/>
      <c r="V79" s="318"/>
      <c r="W79" s="318"/>
      <c r="X79" s="318"/>
      <c r="Y79" s="318"/>
      <c r="Z79" s="318"/>
    </row>
    <row r="80" ht="15.75" customHeight="1">
      <c r="A80" s="318"/>
      <c r="B80" s="318"/>
      <c r="C80" s="318"/>
      <c r="D80" s="318"/>
      <c r="E80" s="318"/>
      <c r="F80" s="318"/>
      <c r="G80" s="318"/>
      <c r="H80" s="318"/>
      <c r="I80" s="318"/>
      <c r="J80" s="318"/>
      <c r="K80" s="318"/>
      <c r="L80" s="318"/>
      <c r="M80" s="318"/>
      <c r="N80" s="318"/>
      <c r="O80" s="318"/>
      <c r="P80" s="318"/>
      <c r="Q80" s="318"/>
      <c r="R80" s="318"/>
      <c r="S80" s="318"/>
      <c r="T80" s="318"/>
      <c r="U80" s="318"/>
      <c r="V80" s="318"/>
      <c r="W80" s="318"/>
      <c r="X80" s="318"/>
      <c r="Y80" s="318"/>
      <c r="Z80" s="318"/>
    </row>
    <row r="81" ht="15.75" customHeight="1">
      <c r="A81" s="318"/>
      <c r="B81" s="318"/>
      <c r="C81" s="318"/>
      <c r="D81" s="318"/>
      <c r="E81" s="318"/>
      <c r="F81" s="318"/>
      <c r="G81" s="318"/>
      <c r="H81" s="318"/>
      <c r="I81" s="318"/>
      <c r="J81" s="318"/>
      <c r="K81" s="318"/>
      <c r="L81" s="318"/>
      <c r="M81" s="318"/>
      <c r="N81" s="318"/>
      <c r="O81" s="318"/>
      <c r="P81" s="318"/>
      <c r="Q81" s="318"/>
      <c r="R81" s="318"/>
      <c r="S81" s="318"/>
      <c r="T81" s="318"/>
      <c r="U81" s="318"/>
      <c r="V81" s="318"/>
      <c r="W81" s="318"/>
      <c r="X81" s="318"/>
      <c r="Y81" s="318"/>
      <c r="Z81" s="318"/>
    </row>
    <row r="82" ht="15.75" customHeight="1">
      <c r="A82" s="318"/>
      <c r="B82" s="318"/>
      <c r="C82" s="318"/>
      <c r="D82" s="318"/>
      <c r="E82" s="318"/>
      <c r="F82" s="318"/>
      <c r="G82" s="318"/>
      <c r="H82" s="318"/>
      <c r="I82" s="318"/>
      <c r="J82" s="318"/>
      <c r="K82" s="318"/>
      <c r="L82" s="318"/>
      <c r="M82" s="318"/>
      <c r="N82" s="318"/>
      <c r="O82" s="318"/>
      <c r="P82" s="318"/>
      <c r="Q82" s="318"/>
      <c r="R82" s="318"/>
      <c r="S82" s="318"/>
      <c r="T82" s="318"/>
      <c r="U82" s="318"/>
      <c r="V82" s="318"/>
      <c r="W82" s="318"/>
      <c r="X82" s="318"/>
      <c r="Y82" s="318"/>
      <c r="Z82" s="318"/>
    </row>
    <row r="83" ht="15.75" customHeight="1">
      <c r="A83" s="318"/>
      <c r="B83" s="318"/>
      <c r="C83" s="318"/>
      <c r="D83" s="318"/>
      <c r="E83" s="318"/>
      <c r="F83" s="318"/>
      <c r="G83" s="318"/>
      <c r="H83" s="318"/>
      <c r="I83" s="318"/>
      <c r="J83" s="318"/>
      <c r="K83" s="318"/>
      <c r="L83" s="318"/>
      <c r="M83" s="318"/>
      <c r="N83" s="318"/>
      <c r="O83" s="318"/>
      <c r="P83" s="318"/>
      <c r="Q83" s="318"/>
      <c r="R83" s="318"/>
      <c r="S83" s="318"/>
      <c r="T83" s="318"/>
      <c r="U83" s="318"/>
      <c r="V83" s="318"/>
      <c r="W83" s="318"/>
      <c r="X83" s="318"/>
      <c r="Y83" s="318"/>
      <c r="Z83" s="318"/>
    </row>
    <row r="84" ht="15.75" customHeight="1">
      <c r="A84" s="318"/>
      <c r="B84" s="318"/>
      <c r="C84" s="318"/>
      <c r="D84" s="318"/>
      <c r="E84" s="318"/>
      <c r="F84" s="318"/>
      <c r="G84" s="318"/>
      <c r="H84" s="318"/>
      <c r="I84" s="318"/>
      <c r="J84" s="318"/>
      <c r="K84" s="318"/>
      <c r="L84" s="318"/>
      <c r="M84" s="318"/>
      <c r="N84" s="318"/>
      <c r="O84" s="318"/>
      <c r="P84" s="318"/>
      <c r="Q84" s="318"/>
      <c r="R84" s="318"/>
      <c r="S84" s="318"/>
      <c r="T84" s="318"/>
      <c r="U84" s="318"/>
      <c r="V84" s="318"/>
      <c r="W84" s="318"/>
      <c r="X84" s="318"/>
      <c r="Y84" s="318"/>
      <c r="Z84" s="318"/>
    </row>
    <row r="85" ht="15.75" customHeight="1">
      <c r="A85" s="318"/>
      <c r="B85" s="318"/>
      <c r="C85" s="318"/>
      <c r="D85" s="318"/>
      <c r="E85" s="318"/>
      <c r="F85" s="318"/>
      <c r="G85" s="318"/>
      <c r="H85" s="318"/>
      <c r="I85" s="318"/>
      <c r="J85" s="318"/>
      <c r="K85" s="318"/>
      <c r="L85" s="318"/>
      <c r="M85" s="318"/>
      <c r="N85" s="318"/>
      <c r="O85" s="318"/>
      <c r="P85" s="318"/>
      <c r="Q85" s="318"/>
      <c r="R85" s="318"/>
      <c r="S85" s="318"/>
      <c r="T85" s="318"/>
      <c r="U85" s="318"/>
      <c r="V85" s="318"/>
      <c r="W85" s="318"/>
      <c r="X85" s="318"/>
      <c r="Y85" s="318"/>
      <c r="Z85" s="318"/>
    </row>
    <row r="86" ht="15.75" customHeight="1">
      <c r="A86" s="318"/>
      <c r="B86" s="318"/>
      <c r="C86" s="318"/>
      <c r="D86" s="318"/>
      <c r="E86" s="318"/>
      <c r="F86" s="318"/>
      <c r="G86" s="318"/>
      <c r="H86" s="318"/>
      <c r="I86" s="318"/>
      <c r="J86" s="318"/>
      <c r="K86" s="318"/>
      <c r="L86" s="318"/>
      <c r="M86" s="318"/>
      <c r="N86" s="318"/>
      <c r="O86" s="318"/>
      <c r="P86" s="318"/>
      <c r="Q86" s="318"/>
      <c r="R86" s="318"/>
      <c r="S86" s="318"/>
      <c r="T86" s="318"/>
      <c r="U86" s="318"/>
      <c r="V86" s="318"/>
      <c r="W86" s="318"/>
      <c r="X86" s="318"/>
      <c r="Y86" s="318"/>
      <c r="Z86" s="318"/>
    </row>
    <row r="87" ht="15.75" customHeight="1">
      <c r="A87" s="318"/>
      <c r="B87" s="318"/>
      <c r="C87" s="318"/>
      <c r="D87" s="318"/>
      <c r="E87" s="318"/>
      <c r="F87" s="318"/>
      <c r="G87" s="318"/>
      <c r="H87" s="318"/>
      <c r="I87" s="318"/>
      <c r="J87" s="318"/>
      <c r="K87" s="318"/>
      <c r="L87" s="318"/>
      <c r="M87" s="318"/>
      <c r="N87" s="318"/>
      <c r="O87" s="318"/>
      <c r="P87" s="318"/>
      <c r="Q87" s="318"/>
      <c r="R87" s="318"/>
      <c r="S87" s="318"/>
      <c r="T87" s="318"/>
      <c r="U87" s="318"/>
      <c r="V87" s="318"/>
      <c r="W87" s="318"/>
      <c r="X87" s="318"/>
      <c r="Y87" s="318"/>
      <c r="Z87" s="318"/>
    </row>
    <row r="88" ht="15.75" customHeight="1">
      <c r="A88" s="318"/>
      <c r="B88" s="318"/>
      <c r="C88" s="318"/>
      <c r="D88" s="318"/>
      <c r="E88" s="318"/>
      <c r="F88" s="318"/>
      <c r="G88" s="318"/>
      <c r="H88" s="318"/>
      <c r="I88" s="318"/>
      <c r="J88" s="318"/>
      <c r="K88" s="318"/>
      <c r="L88" s="318"/>
      <c r="M88" s="318"/>
      <c r="N88" s="318"/>
      <c r="O88" s="318"/>
      <c r="P88" s="318"/>
      <c r="Q88" s="318"/>
      <c r="R88" s="318"/>
      <c r="S88" s="318"/>
      <c r="T88" s="318"/>
      <c r="U88" s="318"/>
      <c r="V88" s="318"/>
      <c r="W88" s="318"/>
      <c r="X88" s="318"/>
      <c r="Y88" s="318"/>
      <c r="Z88" s="318"/>
    </row>
    <row r="89" ht="15.75" customHeight="1">
      <c r="A89" s="318"/>
      <c r="B89" s="318"/>
      <c r="C89" s="318"/>
      <c r="D89" s="318"/>
      <c r="E89" s="318"/>
      <c r="F89" s="318"/>
      <c r="G89" s="318"/>
      <c r="H89" s="318"/>
      <c r="I89" s="318"/>
      <c r="J89" s="318"/>
      <c r="K89" s="318"/>
      <c r="L89" s="318"/>
      <c r="M89" s="318"/>
      <c r="N89" s="318"/>
      <c r="O89" s="318"/>
      <c r="P89" s="318"/>
      <c r="Q89" s="318"/>
      <c r="R89" s="318"/>
      <c r="S89" s="318"/>
      <c r="T89" s="318"/>
      <c r="U89" s="318"/>
      <c r="V89" s="318"/>
      <c r="W89" s="318"/>
      <c r="X89" s="318"/>
      <c r="Y89" s="318"/>
      <c r="Z89" s="318"/>
    </row>
    <row r="90" ht="15.75" customHeight="1">
      <c r="A90" s="318"/>
      <c r="B90" s="318"/>
      <c r="C90" s="318"/>
      <c r="D90" s="318"/>
      <c r="E90" s="318"/>
      <c r="F90" s="318"/>
      <c r="G90" s="318"/>
      <c r="H90" s="318"/>
      <c r="I90" s="318"/>
      <c r="J90" s="318"/>
      <c r="K90" s="318"/>
      <c r="L90" s="318"/>
      <c r="M90" s="318"/>
      <c r="N90" s="318"/>
      <c r="O90" s="318"/>
      <c r="P90" s="318"/>
      <c r="Q90" s="318"/>
      <c r="R90" s="318"/>
      <c r="S90" s="318"/>
      <c r="T90" s="318"/>
      <c r="U90" s="318"/>
      <c r="V90" s="318"/>
      <c r="W90" s="318"/>
      <c r="X90" s="318"/>
      <c r="Y90" s="318"/>
      <c r="Z90" s="318"/>
    </row>
    <row r="91" ht="15.75" customHeight="1">
      <c r="A91" s="318"/>
      <c r="B91" s="318"/>
      <c r="C91" s="318"/>
      <c r="D91" s="318"/>
      <c r="E91" s="318"/>
      <c r="F91" s="318"/>
      <c r="G91" s="318"/>
      <c r="H91" s="318"/>
      <c r="I91" s="318"/>
      <c r="J91" s="318"/>
      <c r="K91" s="318"/>
      <c r="L91" s="318"/>
      <c r="M91" s="318"/>
      <c r="N91" s="318"/>
      <c r="O91" s="318"/>
      <c r="P91" s="318"/>
      <c r="Q91" s="318"/>
      <c r="R91" s="318"/>
      <c r="S91" s="318"/>
      <c r="T91" s="318"/>
      <c r="U91" s="318"/>
      <c r="V91" s="318"/>
      <c r="W91" s="318"/>
      <c r="X91" s="318"/>
      <c r="Y91" s="318"/>
      <c r="Z91" s="318"/>
    </row>
    <row r="92" ht="15.75" customHeight="1">
      <c r="A92" s="318"/>
      <c r="B92" s="318"/>
      <c r="C92" s="318"/>
      <c r="D92" s="318"/>
      <c r="E92" s="318"/>
      <c r="F92" s="318"/>
      <c r="G92" s="318"/>
      <c r="H92" s="318"/>
      <c r="I92" s="318"/>
      <c r="J92" s="318"/>
      <c r="K92" s="318"/>
      <c r="L92" s="318"/>
      <c r="M92" s="318"/>
      <c r="N92" s="318"/>
      <c r="O92" s="318"/>
      <c r="P92" s="318"/>
      <c r="Q92" s="318"/>
      <c r="R92" s="318"/>
      <c r="S92" s="318"/>
      <c r="T92" s="318"/>
      <c r="U92" s="318"/>
      <c r="V92" s="318"/>
      <c r="W92" s="318"/>
      <c r="X92" s="318"/>
      <c r="Y92" s="318"/>
      <c r="Z92" s="318"/>
    </row>
    <row r="93" ht="15.75" customHeight="1">
      <c r="A93" s="318"/>
      <c r="B93" s="318"/>
      <c r="C93" s="318"/>
      <c r="D93" s="318"/>
      <c r="E93" s="318"/>
      <c r="F93" s="318"/>
      <c r="G93" s="318"/>
      <c r="H93" s="318"/>
      <c r="I93" s="318"/>
      <c r="J93" s="318"/>
      <c r="K93" s="318"/>
      <c r="L93" s="318"/>
      <c r="M93" s="318"/>
      <c r="N93" s="318"/>
      <c r="O93" s="318"/>
      <c r="P93" s="318"/>
      <c r="Q93" s="318"/>
      <c r="R93" s="318"/>
      <c r="S93" s="318"/>
      <c r="T93" s="318"/>
      <c r="U93" s="318"/>
      <c r="V93" s="318"/>
      <c r="W93" s="318"/>
      <c r="X93" s="318"/>
      <c r="Y93" s="318"/>
      <c r="Z93" s="318"/>
    </row>
    <row r="94" ht="15.75" customHeight="1">
      <c r="A94" s="318"/>
      <c r="B94" s="318"/>
      <c r="C94" s="318"/>
      <c r="D94" s="318"/>
      <c r="E94" s="318"/>
      <c r="F94" s="318"/>
      <c r="G94" s="318"/>
      <c r="H94" s="318"/>
      <c r="I94" s="318"/>
      <c r="J94" s="318"/>
      <c r="K94" s="318"/>
      <c r="L94" s="318"/>
      <c r="M94" s="318"/>
      <c r="N94" s="318"/>
      <c r="O94" s="318"/>
      <c r="P94" s="318"/>
      <c r="Q94" s="318"/>
      <c r="R94" s="318"/>
      <c r="S94" s="318"/>
      <c r="T94" s="318"/>
      <c r="U94" s="318"/>
      <c r="V94" s="318"/>
      <c r="W94" s="318"/>
      <c r="X94" s="318"/>
      <c r="Y94" s="318"/>
      <c r="Z94" s="318"/>
    </row>
    <row r="95" ht="15.75" customHeight="1">
      <c r="A95" s="318"/>
      <c r="B95" s="318"/>
      <c r="C95" s="318"/>
      <c r="D95" s="318"/>
      <c r="E95" s="318"/>
      <c r="F95" s="318"/>
      <c r="G95" s="318"/>
      <c r="H95" s="318"/>
      <c r="I95" s="318"/>
      <c r="J95" s="318"/>
      <c r="K95" s="318"/>
      <c r="L95" s="318"/>
      <c r="M95" s="318"/>
      <c r="N95" s="318"/>
      <c r="O95" s="318"/>
      <c r="P95" s="318"/>
      <c r="Q95" s="318"/>
      <c r="R95" s="318"/>
      <c r="S95" s="318"/>
      <c r="T95" s="318"/>
      <c r="U95" s="318"/>
      <c r="V95" s="318"/>
      <c r="W95" s="318"/>
      <c r="X95" s="318"/>
      <c r="Y95" s="318"/>
      <c r="Z95" s="318"/>
    </row>
    <row r="96" ht="15.75" customHeight="1">
      <c r="A96" s="318"/>
      <c r="B96" s="318"/>
      <c r="C96" s="318"/>
      <c r="D96" s="318"/>
      <c r="E96" s="318"/>
      <c r="F96" s="318"/>
      <c r="G96" s="318"/>
      <c r="H96" s="318"/>
      <c r="I96" s="318"/>
      <c r="J96" s="318"/>
      <c r="K96" s="318"/>
      <c r="L96" s="318"/>
      <c r="M96" s="318"/>
      <c r="N96" s="318"/>
      <c r="O96" s="318"/>
      <c r="P96" s="318"/>
      <c r="Q96" s="318"/>
      <c r="R96" s="318"/>
      <c r="S96" s="318"/>
      <c r="T96" s="318"/>
      <c r="U96" s="318"/>
      <c r="V96" s="318"/>
      <c r="W96" s="318"/>
      <c r="X96" s="318"/>
      <c r="Y96" s="318"/>
      <c r="Z96" s="318"/>
    </row>
    <row r="97" ht="15.75" customHeight="1">
      <c r="A97" s="318"/>
      <c r="B97" s="318"/>
      <c r="C97" s="318"/>
      <c r="D97" s="318"/>
      <c r="E97" s="318"/>
      <c r="F97" s="318"/>
      <c r="G97" s="318"/>
      <c r="H97" s="318"/>
      <c r="I97" s="318"/>
      <c r="J97" s="318"/>
      <c r="K97" s="318"/>
      <c r="L97" s="318"/>
      <c r="M97" s="318"/>
      <c r="N97" s="318"/>
      <c r="O97" s="318"/>
      <c r="P97" s="318"/>
      <c r="Q97" s="318"/>
      <c r="R97" s="318"/>
      <c r="S97" s="318"/>
      <c r="T97" s="318"/>
      <c r="U97" s="318"/>
      <c r="V97" s="318"/>
      <c r="W97" s="318"/>
      <c r="X97" s="318"/>
      <c r="Y97" s="318"/>
      <c r="Z97" s="318"/>
    </row>
    <row r="98" ht="15.75" customHeight="1">
      <c r="A98" s="318"/>
      <c r="B98" s="318"/>
      <c r="C98" s="318"/>
      <c r="D98" s="318"/>
      <c r="E98" s="318"/>
      <c r="F98" s="318"/>
      <c r="G98" s="318"/>
      <c r="H98" s="318"/>
      <c r="I98" s="318"/>
      <c r="J98" s="318"/>
      <c r="K98" s="318"/>
      <c r="L98" s="318"/>
      <c r="M98" s="318"/>
      <c r="N98" s="318"/>
      <c r="O98" s="318"/>
      <c r="P98" s="318"/>
      <c r="Q98" s="318"/>
      <c r="R98" s="318"/>
      <c r="S98" s="318"/>
      <c r="T98" s="318"/>
      <c r="U98" s="318"/>
      <c r="V98" s="318"/>
      <c r="W98" s="318"/>
      <c r="X98" s="318"/>
      <c r="Y98" s="318"/>
      <c r="Z98" s="318"/>
    </row>
    <row r="99" ht="15.75" customHeight="1">
      <c r="A99" s="318"/>
      <c r="B99" s="318"/>
      <c r="C99" s="318"/>
      <c r="D99" s="318"/>
      <c r="E99" s="318"/>
      <c r="F99" s="318"/>
      <c r="G99" s="318"/>
      <c r="H99" s="318"/>
      <c r="I99" s="318"/>
      <c r="J99" s="318"/>
      <c r="K99" s="318"/>
      <c r="L99" s="318"/>
      <c r="M99" s="318"/>
      <c r="N99" s="318"/>
      <c r="O99" s="318"/>
      <c r="P99" s="318"/>
      <c r="Q99" s="318"/>
      <c r="R99" s="318"/>
      <c r="S99" s="318"/>
      <c r="T99" s="318"/>
      <c r="U99" s="318"/>
      <c r="V99" s="318"/>
      <c r="W99" s="318"/>
      <c r="X99" s="318"/>
      <c r="Y99" s="318"/>
      <c r="Z99" s="318"/>
    </row>
    <row r="100" ht="15.75" customHeight="1">
      <c r="A100" s="318"/>
      <c r="B100" s="318"/>
      <c r="C100" s="318"/>
      <c r="D100" s="318"/>
      <c r="E100" s="318"/>
      <c r="F100" s="318"/>
      <c r="G100" s="318"/>
      <c r="H100" s="318"/>
      <c r="I100" s="318"/>
      <c r="J100" s="318"/>
      <c r="K100" s="318"/>
      <c r="L100" s="318"/>
      <c r="M100" s="318"/>
      <c r="N100" s="318"/>
      <c r="O100" s="318"/>
      <c r="P100" s="318"/>
      <c r="Q100" s="318"/>
      <c r="R100" s="318"/>
      <c r="S100" s="318"/>
      <c r="T100" s="318"/>
      <c r="U100" s="318"/>
      <c r="V100" s="318"/>
      <c r="W100" s="318"/>
      <c r="X100" s="318"/>
      <c r="Y100" s="318"/>
      <c r="Z100" s="318"/>
    </row>
    <row r="101" ht="15.75" customHeight="1">
      <c r="A101" s="318"/>
      <c r="B101" s="318"/>
      <c r="C101" s="318"/>
      <c r="D101" s="318"/>
      <c r="E101" s="318"/>
      <c r="F101" s="318"/>
      <c r="G101" s="318"/>
      <c r="H101" s="318"/>
      <c r="I101" s="318"/>
      <c r="J101" s="318"/>
      <c r="K101" s="318"/>
      <c r="L101" s="318"/>
      <c r="M101" s="318"/>
      <c r="N101" s="318"/>
      <c r="O101" s="318"/>
      <c r="P101" s="318"/>
      <c r="Q101" s="318"/>
      <c r="R101" s="318"/>
      <c r="S101" s="318"/>
      <c r="T101" s="318"/>
      <c r="U101" s="318"/>
      <c r="V101" s="318"/>
      <c r="W101" s="318"/>
      <c r="X101" s="318"/>
      <c r="Y101" s="318"/>
      <c r="Z101" s="318"/>
    </row>
    <row r="102" ht="15.75" customHeight="1">
      <c r="A102" s="318"/>
      <c r="B102" s="318"/>
      <c r="C102" s="318"/>
      <c r="D102" s="318"/>
      <c r="E102" s="318"/>
      <c r="F102" s="318"/>
      <c r="G102" s="318"/>
      <c r="H102" s="318"/>
      <c r="I102" s="318"/>
      <c r="J102" s="318"/>
      <c r="K102" s="318"/>
      <c r="L102" s="318"/>
      <c r="M102" s="318"/>
      <c r="N102" s="318"/>
      <c r="O102" s="318"/>
      <c r="P102" s="318"/>
      <c r="Q102" s="318"/>
      <c r="R102" s="318"/>
      <c r="S102" s="318"/>
      <c r="T102" s="318"/>
      <c r="U102" s="318"/>
      <c r="V102" s="318"/>
      <c r="W102" s="318"/>
      <c r="X102" s="318"/>
      <c r="Y102" s="318"/>
      <c r="Z102" s="318"/>
    </row>
    <row r="103" ht="15.75" customHeight="1">
      <c r="A103" s="318"/>
      <c r="B103" s="318"/>
      <c r="C103" s="318"/>
      <c r="D103" s="318"/>
      <c r="E103" s="318"/>
      <c r="F103" s="318"/>
      <c r="G103" s="318"/>
      <c r="H103" s="318"/>
      <c r="I103" s="318"/>
      <c r="J103" s="318"/>
      <c r="K103" s="318"/>
      <c r="L103" s="318"/>
      <c r="M103" s="318"/>
      <c r="N103" s="318"/>
      <c r="O103" s="318"/>
      <c r="P103" s="318"/>
      <c r="Q103" s="318"/>
      <c r="R103" s="318"/>
      <c r="S103" s="318"/>
      <c r="T103" s="318"/>
      <c r="U103" s="318"/>
      <c r="V103" s="318"/>
      <c r="W103" s="318"/>
      <c r="X103" s="318"/>
      <c r="Y103" s="318"/>
      <c r="Z103" s="318"/>
    </row>
    <row r="104" ht="15.75" customHeight="1">
      <c r="A104" s="318"/>
      <c r="B104" s="318"/>
      <c r="C104" s="318"/>
      <c r="D104" s="318"/>
      <c r="E104" s="318"/>
      <c r="F104" s="318"/>
      <c r="G104" s="318"/>
      <c r="H104" s="318"/>
      <c r="I104" s="318"/>
      <c r="J104" s="318"/>
      <c r="K104" s="318"/>
      <c r="L104" s="318"/>
      <c r="M104" s="318"/>
      <c r="N104" s="318"/>
      <c r="O104" s="318"/>
      <c r="P104" s="318"/>
      <c r="Q104" s="318"/>
      <c r="R104" s="318"/>
      <c r="S104" s="318"/>
      <c r="T104" s="318"/>
      <c r="U104" s="318"/>
      <c r="V104" s="318"/>
      <c r="W104" s="318"/>
      <c r="X104" s="318"/>
      <c r="Y104" s="318"/>
      <c r="Z104" s="318"/>
    </row>
    <row r="105" ht="15.75" customHeight="1">
      <c r="A105" s="318"/>
      <c r="B105" s="318"/>
      <c r="C105" s="318"/>
      <c r="D105" s="318"/>
      <c r="E105" s="318"/>
      <c r="F105" s="318"/>
      <c r="G105" s="318"/>
      <c r="H105" s="318"/>
      <c r="I105" s="318"/>
      <c r="J105" s="318"/>
      <c r="K105" s="318"/>
      <c r="L105" s="318"/>
      <c r="M105" s="318"/>
      <c r="N105" s="318"/>
      <c r="O105" s="318"/>
      <c r="P105" s="318"/>
      <c r="Q105" s="318"/>
      <c r="R105" s="318"/>
      <c r="S105" s="318"/>
      <c r="T105" s="318"/>
      <c r="U105" s="318"/>
      <c r="V105" s="318"/>
      <c r="W105" s="318"/>
      <c r="X105" s="318"/>
      <c r="Y105" s="318"/>
      <c r="Z105" s="318"/>
    </row>
    <row r="106" ht="15.75" customHeight="1">
      <c r="A106" s="318"/>
      <c r="B106" s="318"/>
      <c r="C106" s="318"/>
      <c r="D106" s="318"/>
      <c r="E106" s="318"/>
      <c r="F106" s="318"/>
      <c r="G106" s="318"/>
      <c r="H106" s="318"/>
      <c r="I106" s="318"/>
      <c r="J106" s="318"/>
      <c r="K106" s="318"/>
      <c r="L106" s="318"/>
      <c r="M106" s="318"/>
      <c r="N106" s="318"/>
      <c r="O106" s="318"/>
      <c r="P106" s="318"/>
      <c r="Q106" s="318"/>
      <c r="R106" s="318"/>
      <c r="S106" s="318"/>
      <c r="T106" s="318"/>
      <c r="U106" s="318"/>
      <c r="V106" s="318"/>
      <c r="W106" s="318"/>
      <c r="X106" s="318"/>
      <c r="Y106" s="318"/>
      <c r="Z106" s="318"/>
    </row>
    <row r="107" ht="15.75" customHeight="1">
      <c r="A107" s="318"/>
      <c r="B107" s="318"/>
      <c r="C107" s="318"/>
      <c r="D107" s="318"/>
      <c r="E107" s="318"/>
      <c r="F107" s="318"/>
      <c r="G107" s="318"/>
      <c r="H107" s="318"/>
      <c r="I107" s="318"/>
      <c r="J107" s="318"/>
      <c r="K107" s="318"/>
      <c r="L107" s="318"/>
      <c r="M107" s="318"/>
      <c r="N107" s="318"/>
      <c r="O107" s="318"/>
      <c r="P107" s="318"/>
      <c r="Q107" s="318"/>
      <c r="R107" s="318"/>
      <c r="S107" s="318"/>
      <c r="T107" s="318"/>
      <c r="U107" s="318"/>
      <c r="V107" s="318"/>
      <c r="W107" s="318"/>
      <c r="X107" s="318"/>
      <c r="Y107" s="318"/>
      <c r="Z107" s="318"/>
    </row>
    <row r="108" ht="15.75" customHeight="1">
      <c r="A108" s="318"/>
      <c r="B108" s="318"/>
      <c r="C108" s="318"/>
      <c r="D108" s="318"/>
      <c r="E108" s="318"/>
      <c r="F108" s="318"/>
      <c r="G108" s="318"/>
      <c r="H108" s="318"/>
      <c r="I108" s="318"/>
      <c r="J108" s="318"/>
      <c r="K108" s="318"/>
      <c r="L108" s="318"/>
      <c r="M108" s="318"/>
      <c r="N108" s="318"/>
      <c r="O108" s="318"/>
      <c r="P108" s="318"/>
      <c r="Q108" s="318"/>
      <c r="R108" s="318"/>
      <c r="S108" s="318"/>
      <c r="T108" s="318"/>
      <c r="U108" s="318"/>
      <c r="V108" s="318"/>
      <c r="W108" s="318"/>
      <c r="X108" s="318"/>
      <c r="Y108" s="318"/>
      <c r="Z108" s="318"/>
    </row>
    <row r="109" ht="15.75" customHeight="1">
      <c r="A109" s="318"/>
      <c r="B109" s="318"/>
      <c r="C109" s="318"/>
      <c r="D109" s="318"/>
      <c r="E109" s="318"/>
      <c r="F109" s="318"/>
      <c r="G109" s="318"/>
      <c r="H109" s="318"/>
      <c r="I109" s="318"/>
      <c r="J109" s="318"/>
      <c r="K109" s="318"/>
      <c r="L109" s="318"/>
      <c r="M109" s="318"/>
      <c r="N109" s="318"/>
      <c r="O109" s="318"/>
      <c r="P109" s="318"/>
      <c r="Q109" s="318"/>
      <c r="R109" s="318"/>
      <c r="S109" s="318"/>
      <c r="T109" s="318"/>
      <c r="U109" s="318"/>
      <c r="V109" s="318"/>
      <c r="W109" s="318"/>
      <c r="X109" s="318"/>
      <c r="Y109" s="318"/>
      <c r="Z109" s="318"/>
    </row>
    <row r="110" ht="15.75" customHeight="1">
      <c r="A110" s="318"/>
      <c r="B110" s="318"/>
      <c r="C110" s="318"/>
      <c r="D110" s="318"/>
      <c r="E110" s="318"/>
      <c r="F110" s="318"/>
      <c r="G110" s="318"/>
      <c r="H110" s="318"/>
      <c r="I110" s="318"/>
      <c r="J110" s="318"/>
      <c r="K110" s="318"/>
      <c r="L110" s="318"/>
      <c r="M110" s="318"/>
      <c r="N110" s="318"/>
      <c r="O110" s="318"/>
      <c r="P110" s="318"/>
      <c r="Q110" s="318"/>
      <c r="R110" s="318"/>
      <c r="S110" s="318"/>
      <c r="T110" s="318"/>
      <c r="U110" s="318"/>
      <c r="V110" s="318"/>
      <c r="W110" s="318"/>
      <c r="X110" s="318"/>
      <c r="Y110" s="318"/>
      <c r="Z110" s="318"/>
    </row>
    <row r="111" ht="15.75" customHeight="1">
      <c r="A111" s="318"/>
      <c r="B111" s="318"/>
      <c r="C111" s="318"/>
      <c r="D111" s="318"/>
      <c r="E111" s="318"/>
      <c r="F111" s="318"/>
      <c r="G111" s="318"/>
      <c r="H111" s="318"/>
      <c r="I111" s="318"/>
      <c r="J111" s="318"/>
      <c r="K111" s="318"/>
      <c r="L111" s="318"/>
      <c r="M111" s="318"/>
      <c r="N111" s="318"/>
      <c r="O111" s="318"/>
      <c r="P111" s="318"/>
      <c r="Q111" s="318"/>
      <c r="R111" s="318"/>
      <c r="S111" s="318"/>
      <c r="T111" s="318"/>
      <c r="U111" s="318"/>
      <c r="V111" s="318"/>
      <c r="W111" s="318"/>
      <c r="X111" s="318"/>
      <c r="Y111" s="318"/>
      <c r="Z111" s="318"/>
    </row>
    <row r="112" ht="15.75" customHeight="1">
      <c r="A112" s="318"/>
      <c r="B112" s="318"/>
      <c r="C112" s="318"/>
      <c r="D112" s="318"/>
      <c r="E112" s="318"/>
      <c r="F112" s="318"/>
      <c r="G112" s="318"/>
      <c r="H112" s="318"/>
      <c r="I112" s="318"/>
      <c r="J112" s="318"/>
      <c r="K112" s="318"/>
      <c r="L112" s="318"/>
      <c r="M112" s="318"/>
      <c r="N112" s="318"/>
      <c r="O112" s="318"/>
      <c r="P112" s="318"/>
      <c r="Q112" s="318"/>
      <c r="R112" s="318"/>
      <c r="S112" s="318"/>
      <c r="T112" s="318"/>
      <c r="U112" s="318"/>
      <c r="V112" s="318"/>
      <c r="W112" s="318"/>
      <c r="X112" s="318"/>
      <c r="Y112" s="318"/>
      <c r="Z112" s="318"/>
    </row>
    <row r="113" ht="15.75" customHeight="1">
      <c r="A113" s="318"/>
      <c r="B113" s="318"/>
      <c r="C113" s="318"/>
      <c r="D113" s="318"/>
      <c r="E113" s="318"/>
      <c r="F113" s="318"/>
      <c r="G113" s="318"/>
      <c r="H113" s="318"/>
      <c r="I113" s="318"/>
      <c r="J113" s="318"/>
      <c r="K113" s="318"/>
      <c r="L113" s="318"/>
      <c r="M113" s="318"/>
      <c r="N113" s="318"/>
      <c r="O113" s="318"/>
      <c r="P113" s="318"/>
      <c r="Q113" s="318"/>
      <c r="R113" s="318"/>
      <c r="S113" s="318"/>
      <c r="T113" s="318"/>
      <c r="U113" s="318"/>
      <c r="V113" s="318"/>
      <c r="W113" s="318"/>
      <c r="X113" s="318"/>
      <c r="Y113" s="318"/>
      <c r="Z113" s="318"/>
    </row>
    <row r="114" ht="15.75" customHeight="1">
      <c r="A114" s="318"/>
      <c r="B114" s="318"/>
      <c r="C114" s="318"/>
      <c r="D114" s="318"/>
      <c r="E114" s="318"/>
      <c r="F114" s="318"/>
      <c r="G114" s="318"/>
      <c r="H114" s="318"/>
      <c r="I114" s="318"/>
      <c r="J114" s="318"/>
      <c r="K114" s="318"/>
      <c r="L114" s="318"/>
      <c r="M114" s="318"/>
      <c r="N114" s="318"/>
      <c r="O114" s="318"/>
      <c r="P114" s="318"/>
      <c r="Q114" s="318"/>
      <c r="R114" s="318"/>
      <c r="S114" s="318"/>
      <c r="T114" s="318"/>
      <c r="U114" s="318"/>
      <c r="V114" s="318"/>
      <c r="W114" s="318"/>
      <c r="X114" s="318"/>
      <c r="Y114" s="318"/>
      <c r="Z114" s="318"/>
    </row>
    <row r="115" ht="15.75" customHeight="1">
      <c r="A115" s="318"/>
      <c r="B115" s="318"/>
      <c r="C115" s="318"/>
      <c r="D115" s="318"/>
      <c r="E115" s="318"/>
      <c r="F115" s="318"/>
      <c r="G115" s="318"/>
      <c r="H115" s="318"/>
      <c r="I115" s="318"/>
      <c r="J115" s="318"/>
      <c r="K115" s="318"/>
      <c r="L115" s="318"/>
      <c r="M115" s="318"/>
      <c r="N115" s="318"/>
      <c r="O115" s="318"/>
      <c r="P115" s="318"/>
      <c r="Q115" s="318"/>
      <c r="R115" s="318"/>
      <c r="S115" s="318"/>
      <c r="T115" s="318"/>
      <c r="U115" s="318"/>
      <c r="V115" s="318"/>
      <c r="W115" s="318"/>
      <c r="X115" s="318"/>
      <c r="Y115" s="318"/>
      <c r="Z115" s="318"/>
    </row>
    <row r="116" ht="15.75" customHeight="1">
      <c r="A116" s="318"/>
      <c r="B116" s="318"/>
      <c r="C116" s="318"/>
      <c r="D116" s="318"/>
      <c r="E116" s="318"/>
      <c r="F116" s="318"/>
      <c r="G116" s="318"/>
      <c r="H116" s="318"/>
      <c r="I116" s="318"/>
      <c r="J116" s="318"/>
      <c r="K116" s="318"/>
      <c r="L116" s="318"/>
      <c r="M116" s="318"/>
      <c r="N116" s="318"/>
      <c r="O116" s="318"/>
      <c r="P116" s="318"/>
      <c r="Q116" s="318"/>
      <c r="R116" s="318"/>
      <c r="S116" s="318"/>
      <c r="T116" s="318"/>
      <c r="U116" s="318"/>
      <c r="V116" s="318"/>
      <c r="W116" s="318"/>
      <c r="X116" s="318"/>
      <c r="Y116" s="318"/>
      <c r="Z116" s="318"/>
    </row>
    <row r="117" ht="15.75" customHeight="1">
      <c r="A117" s="318"/>
      <c r="B117" s="318"/>
      <c r="C117" s="318"/>
      <c r="D117" s="318"/>
      <c r="E117" s="318"/>
      <c r="F117" s="318"/>
      <c r="G117" s="318"/>
      <c r="H117" s="318"/>
      <c r="I117" s="318"/>
      <c r="J117" s="318"/>
      <c r="K117" s="318"/>
      <c r="L117" s="318"/>
      <c r="M117" s="318"/>
      <c r="N117" s="318"/>
      <c r="O117" s="318"/>
      <c r="P117" s="318"/>
      <c r="Q117" s="318"/>
      <c r="R117" s="318"/>
      <c r="S117" s="318"/>
      <c r="T117" s="318"/>
      <c r="U117" s="318"/>
      <c r="V117" s="318"/>
      <c r="W117" s="318"/>
      <c r="X117" s="318"/>
      <c r="Y117" s="318"/>
      <c r="Z117" s="318"/>
    </row>
    <row r="118" ht="15.75" customHeight="1">
      <c r="A118" s="318"/>
      <c r="B118" s="318"/>
      <c r="C118" s="318"/>
      <c r="D118" s="318"/>
      <c r="E118" s="318"/>
      <c r="F118" s="318"/>
      <c r="G118" s="318"/>
      <c r="H118" s="318"/>
      <c r="I118" s="318"/>
      <c r="J118" s="318"/>
      <c r="K118" s="318"/>
      <c r="L118" s="318"/>
      <c r="M118" s="318"/>
      <c r="N118" s="318"/>
      <c r="O118" s="318"/>
      <c r="P118" s="318"/>
      <c r="Q118" s="318"/>
      <c r="R118" s="318"/>
      <c r="S118" s="318"/>
      <c r="T118" s="318"/>
      <c r="U118" s="318"/>
      <c r="V118" s="318"/>
      <c r="W118" s="318"/>
      <c r="X118" s="318"/>
      <c r="Y118" s="318"/>
      <c r="Z118" s="318"/>
    </row>
    <row r="119" ht="15.75" customHeight="1">
      <c r="A119" s="318"/>
      <c r="B119" s="318"/>
      <c r="C119" s="318"/>
      <c r="D119" s="318"/>
      <c r="E119" s="318"/>
      <c r="F119" s="318"/>
      <c r="G119" s="318"/>
      <c r="H119" s="318"/>
      <c r="I119" s="318"/>
      <c r="J119" s="318"/>
      <c r="K119" s="318"/>
      <c r="L119" s="318"/>
      <c r="M119" s="318"/>
      <c r="N119" s="318"/>
      <c r="O119" s="318"/>
      <c r="P119" s="318"/>
      <c r="Q119" s="318"/>
      <c r="R119" s="318"/>
      <c r="S119" s="318"/>
      <c r="T119" s="318"/>
      <c r="U119" s="318"/>
      <c r="V119" s="318"/>
      <c r="W119" s="318"/>
      <c r="X119" s="318"/>
      <c r="Y119" s="318"/>
      <c r="Z119" s="318"/>
    </row>
    <row r="120" ht="15.75" customHeight="1">
      <c r="A120" s="318"/>
      <c r="B120" s="318"/>
      <c r="C120" s="318"/>
      <c r="D120" s="318"/>
      <c r="E120" s="318"/>
      <c r="F120" s="318"/>
      <c r="G120" s="318"/>
      <c r="H120" s="318"/>
      <c r="I120" s="318"/>
      <c r="J120" s="318"/>
      <c r="K120" s="318"/>
      <c r="L120" s="318"/>
      <c r="M120" s="318"/>
      <c r="N120" s="318"/>
      <c r="O120" s="318"/>
      <c r="P120" s="318"/>
      <c r="Q120" s="318"/>
      <c r="R120" s="318"/>
      <c r="S120" s="318"/>
      <c r="T120" s="318"/>
      <c r="U120" s="318"/>
      <c r="V120" s="318"/>
      <c r="W120" s="318"/>
      <c r="X120" s="318"/>
      <c r="Y120" s="318"/>
      <c r="Z120" s="318"/>
    </row>
    <row r="121" ht="15.75" customHeight="1">
      <c r="A121" s="318"/>
      <c r="B121" s="318"/>
      <c r="C121" s="318"/>
      <c r="D121" s="318"/>
      <c r="E121" s="318"/>
      <c r="F121" s="318"/>
      <c r="G121" s="318"/>
      <c r="H121" s="318"/>
      <c r="I121" s="318"/>
      <c r="J121" s="318"/>
      <c r="K121" s="318"/>
      <c r="L121" s="318"/>
      <c r="M121" s="318"/>
      <c r="N121" s="318"/>
      <c r="O121" s="318"/>
      <c r="P121" s="318"/>
      <c r="Q121" s="318"/>
      <c r="R121" s="318"/>
      <c r="S121" s="318"/>
      <c r="T121" s="318"/>
      <c r="U121" s="318"/>
      <c r="V121" s="318"/>
      <c r="W121" s="318"/>
      <c r="X121" s="318"/>
      <c r="Y121" s="318"/>
      <c r="Z121" s="318"/>
    </row>
    <row r="122" ht="15.75" customHeight="1">
      <c r="A122" s="318"/>
      <c r="B122" s="318"/>
      <c r="C122" s="318"/>
      <c r="D122" s="318"/>
      <c r="E122" s="318"/>
      <c r="F122" s="318"/>
      <c r="G122" s="318"/>
      <c r="H122" s="318"/>
      <c r="I122" s="318"/>
      <c r="J122" s="318"/>
      <c r="K122" s="318"/>
      <c r="L122" s="318"/>
      <c r="M122" s="318"/>
      <c r="N122" s="318"/>
      <c r="O122" s="318"/>
      <c r="P122" s="318"/>
      <c r="Q122" s="318"/>
      <c r="R122" s="318"/>
      <c r="S122" s="318"/>
      <c r="T122" s="318"/>
      <c r="U122" s="318"/>
      <c r="V122" s="318"/>
      <c r="W122" s="318"/>
      <c r="X122" s="318"/>
      <c r="Y122" s="318"/>
      <c r="Z122" s="318"/>
    </row>
    <row r="123" ht="15.75" customHeight="1">
      <c r="A123" s="318"/>
      <c r="B123" s="318"/>
      <c r="C123" s="318"/>
      <c r="D123" s="318"/>
      <c r="E123" s="318"/>
      <c r="F123" s="318"/>
      <c r="G123" s="318"/>
      <c r="H123" s="318"/>
      <c r="I123" s="318"/>
      <c r="J123" s="318"/>
      <c r="K123" s="318"/>
      <c r="L123" s="318"/>
      <c r="M123" s="318"/>
      <c r="N123" s="318"/>
      <c r="O123" s="318"/>
      <c r="P123" s="318"/>
      <c r="Q123" s="318"/>
      <c r="R123" s="318"/>
      <c r="S123" s="318"/>
      <c r="T123" s="318"/>
      <c r="U123" s="318"/>
      <c r="V123" s="318"/>
      <c r="W123" s="318"/>
      <c r="X123" s="318"/>
      <c r="Y123" s="318"/>
      <c r="Z123" s="318"/>
    </row>
    <row r="124" ht="15.75" customHeight="1">
      <c r="A124" s="318"/>
      <c r="B124" s="318"/>
      <c r="C124" s="318"/>
      <c r="D124" s="318"/>
      <c r="E124" s="318"/>
      <c r="F124" s="318"/>
      <c r="G124" s="318"/>
      <c r="H124" s="318"/>
      <c r="I124" s="318"/>
      <c r="J124" s="318"/>
      <c r="K124" s="318"/>
      <c r="L124" s="318"/>
      <c r="M124" s="318"/>
      <c r="N124" s="318"/>
      <c r="O124" s="318"/>
      <c r="P124" s="318"/>
      <c r="Q124" s="318"/>
      <c r="R124" s="318"/>
      <c r="S124" s="318"/>
      <c r="T124" s="318"/>
      <c r="U124" s="318"/>
      <c r="V124" s="318"/>
      <c r="W124" s="318"/>
      <c r="X124" s="318"/>
      <c r="Y124" s="318"/>
      <c r="Z124" s="318"/>
    </row>
    <row r="125" ht="15.75" customHeight="1">
      <c r="A125" s="318"/>
      <c r="B125" s="318"/>
      <c r="C125" s="318"/>
      <c r="D125" s="318"/>
      <c r="E125" s="318"/>
      <c r="F125" s="318"/>
      <c r="G125" s="318"/>
      <c r="H125" s="318"/>
      <c r="I125" s="318"/>
      <c r="J125" s="318"/>
      <c r="K125" s="318"/>
      <c r="L125" s="318"/>
      <c r="M125" s="318"/>
      <c r="N125" s="318"/>
      <c r="O125" s="318"/>
      <c r="P125" s="318"/>
      <c r="Q125" s="318"/>
      <c r="R125" s="318"/>
      <c r="S125" s="318"/>
      <c r="T125" s="318"/>
      <c r="U125" s="318"/>
      <c r="V125" s="318"/>
      <c r="W125" s="318"/>
      <c r="X125" s="318"/>
      <c r="Y125" s="318"/>
      <c r="Z125" s="318"/>
    </row>
    <row r="126" ht="15.75" customHeight="1">
      <c r="A126" s="318"/>
      <c r="B126" s="318"/>
      <c r="C126" s="318"/>
      <c r="D126" s="318"/>
      <c r="E126" s="318"/>
      <c r="F126" s="318"/>
      <c r="G126" s="318"/>
      <c r="H126" s="318"/>
      <c r="I126" s="318"/>
      <c r="J126" s="318"/>
      <c r="K126" s="318"/>
      <c r="L126" s="318"/>
      <c r="M126" s="318"/>
      <c r="N126" s="318"/>
      <c r="O126" s="318"/>
      <c r="P126" s="318"/>
      <c r="Q126" s="318"/>
      <c r="R126" s="318"/>
      <c r="S126" s="318"/>
      <c r="T126" s="318"/>
      <c r="U126" s="318"/>
      <c r="V126" s="318"/>
      <c r="W126" s="318"/>
      <c r="X126" s="318"/>
      <c r="Y126" s="318"/>
      <c r="Z126" s="318"/>
    </row>
    <row r="127" ht="15.75" customHeight="1">
      <c r="A127" s="318"/>
      <c r="B127" s="318"/>
      <c r="C127" s="318"/>
      <c r="D127" s="318"/>
      <c r="E127" s="318"/>
      <c r="F127" s="318"/>
      <c r="G127" s="318"/>
      <c r="H127" s="318"/>
      <c r="I127" s="318"/>
      <c r="J127" s="318"/>
      <c r="K127" s="318"/>
      <c r="L127" s="318"/>
      <c r="M127" s="318"/>
      <c r="N127" s="318"/>
      <c r="O127" s="318"/>
      <c r="P127" s="318"/>
      <c r="Q127" s="318"/>
      <c r="R127" s="318"/>
      <c r="S127" s="318"/>
      <c r="T127" s="318"/>
      <c r="U127" s="318"/>
      <c r="V127" s="318"/>
      <c r="W127" s="318"/>
      <c r="X127" s="318"/>
      <c r="Y127" s="318"/>
      <c r="Z127" s="318"/>
    </row>
    <row r="128" ht="15.75" customHeight="1">
      <c r="A128" s="318"/>
      <c r="B128" s="318"/>
      <c r="C128" s="318"/>
      <c r="D128" s="318"/>
      <c r="E128" s="318"/>
      <c r="F128" s="318"/>
      <c r="G128" s="318"/>
      <c r="H128" s="318"/>
      <c r="I128" s="318"/>
      <c r="J128" s="318"/>
      <c r="K128" s="318"/>
      <c r="L128" s="318"/>
      <c r="M128" s="318"/>
      <c r="N128" s="318"/>
      <c r="O128" s="318"/>
      <c r="P128" s="318"/>
      <c r="Q128" s="318"/>
      <c r="R128" s="318"/>
      <c r="S128" s="318"/>
      <c r="T128" s="318"/>
      <c r="U128" s="318"/>
      <c r="V128" s="318"/>
      <c r="W128" s="318"/>
      <c r="X128" s="318"/>
      <c r="Y128" s="318"/>
      <c r="Z128" s="318"/>
    </row>
    <row r="129" ht="15.75" customHeight="1">
      <c r="A129" s="318"/>
      <c r="B129" s="318"/>
      <c r="C129" s="318"/>
      <c r="D129" s="318"/>
      <c r="E129" s="318"/>
      <c r="F129" s="318"/>
      <c r="G129" s="318"/>
      <c r="H129" s="318"/>
      <c r="I129" s="318"/>
      <c r="J129" s="318"/>
      <c r="K129" s="318"/>
      <c r="L129" s="318"/>
      <c r="M129" s="318"/>
      <c r="N129" s="318"/>
      <c r="O129" s="318"/>
      <c r="P129" s="318"/>
      <c r="Q129" s="318"/>
      <c r="R129" s="318"/>
      <c r="S129" s="318"/>
      <c r="T129" s="318"/>
      <c r="U129" s="318"/>
      <c r="V129" s="318"/>
      <c r="W129" s="318"/>
      <c r="X129" s="318"/>
      <c r="Y129" s="318"/>
      <c r="Z129" s="318"/>
    </row>
    <row r="130" ht="15.75" customHeight="1">
      <c r="A130" s="318"/>
      <c r="B130" s="318"/>
      <c r="C130" s="318"/>
      <c r="D130" s="318"/>
      <c r="E130" s="318"/>
      <c r="F130" s="318"/>
      <c r="G130" s="318"/>
      <c r="H130" s="318"/>
      <c r="I130" s="318"/>
      <c r="J130" s="318"/>
      <c r="K130" s="318"/>
      <c r="L130" s="318"/>
      <c r="M130" s="318"/>
      <c r="N130" s="318"/>
      <c r="O130" s="318"/>
      <c r="P130" s="318"/>
      <c r="Q130" s="318"/>
      <c r="R130" s="318"/>
      <c r="S130" s="318"/>
      <c r="T130" s="318"/>
      <c r="U130" s="318"/>
      <c r="V130" s="318"/>
      <c r="W130" s="318"/>
      <c r="X130" s="318"/>
      <c r="Y130" s="318"/>
      <c r="Z130" s="318"/>
    </row>
    <row r="131" ht="15.75" customHeight="1">
      <c r="A131" s="318"/>
      <c r="B131" s="318"/>
      <c r="C131" s="318"/>
      <c r="D131" s="318"/>
      <c r="E131" s="318"/>
      <c r="F131" s="318"/>
      <c r="G131" s="318"/>
      <c r="H131" s="318"/>
      <c r="I131" s="318"/>
      <c r="J131" s="318"/>
      <c r="K131" s="318"/>
      <c r="L131" s="318"/>
      <c r="M131" s="318"/>
      <c r="N131" s="318"/>
      <c r="O131" s="318"/>
      <c r="P131" s="318"/>
      <c r="Q131" s="318"/>
      <c r="R131" s="318"/>
      <c r="S131" s="318"/>
      <c r="T131" s="318"/>
      <c r="U131" s="318"/>
      <c r="V131" s="318"/>
      <c r="W131" s="318"/>
      <c r="X131" s="318"/>
      <c r="Y131" s="318"/>
      <c r="Z131" s="318"/>
    </row>
    <row r="132" ht="15.75" customHeight="1">
      <c r="A132" s="318"/>
      <c r="B132" s="318"/>
      <c r="C132" s="318"/>
      <c r="D132" s="318"/>
      <c r="E132" s="318"/>
      <c r="F132" s="318"/>
      <c r="G132" s="318"/>
      <c r="H132" s="318"/>
      <c r="I132" s="318"/>
      <c r="J132" s="318"/>
      <c r="K132" s="318"/>
      <c r="L132" s="318"/>
      <c r="M132" s="318"/>
      <c r="N132" s="318"/>
      <c r="O132" s="318"/>
      <c r="P132" s="318"/>
      <c r="Q132" s="318"/>
      <c r="R132" s="318"/>
      <c r="S132" s="318"/>
      <c r="T132" s="318"/>
      <c r="U132" s="318"/>
      <c r="V132" s="318"/>
      <c r="W132" s="318"/>
      <c r="X132" s="318"/>
      <c r="Y132" s="318"/>
      <c r="Z132" s="318"/>
    </row>
    <row r="133" ht="15.75" customHeight="1">
      <c r="A133" s="318"/>
      <c r="B133" s="318"/>
      <c r="C133" s="318"/>
      <c r="D133" s="318"/>
      <c r="E133" s="318"/>
      <c r="F133" s="318"/>
      <c r="G133" s="318"/>
      <c r="H133" s="318"/>
      <c r="I133" s="318"/>
      <c r="J133" s="318"/>
      <c r="K133" s="318"/>
      <c r="L133" s="318"/>
      <c r="M133" s="318"/>
      <c r="N133" s="318"/>
      <c r="O133" s="318"/>
      <c r="P133" s="318"/>
      <c r="Q133" s="318"/>
      <c r="R133" s="318"/>
      <c r="S133" s="318"/>
      <c r="T133" s="318"/>
      <c r="U133" s="318"/>
      <c r="V133" s="318"/>
      <c r="W133" s="318"/>
      <c r="X133" s="318"/>
      <c r="Y133" s="318"/>
      <c r="Z133" s="318"/>
    </row>
    <row r="134" ht="15.75" customHeight="1">
      <c r="A134" s="318"/>
      <c r="B134" s="318"/>
      <c r="C134" s="318"/>
      <c r="D134" s="318"/>
      <c r="E134" s="318"/>
      <c r="F134" s="318"/>
      <c r="G134" s="318"/>
      <c r="H134" s="318"/>
      <c r="I134" s="318"/>
      <c r="J134" s="318"/>
      <c r="K134" s="318"/>
      <c r="L134" s="318"/>
      <c r="M134" s="318"/>
      <c r="N134" s="318"/>
      <c r="O134" s="318"/>
      <c r="P134" s="318"/>
      <c r="Q134" s="318"/>
      <c r="R134" s="318"/>
      <c r="S134" s="318"/>
      <c r="T134" s="318"/>
      <c r="U134" s="318"/>
      <c r="V134" s="318"/>
      <c r="W134" s="318"/>
      <c r="X134" s="318"/>
      <c r="Y134" s="318"/>
      <c r="Z134" s="318"/>
    </row>
    <row r="135" ht="15.75" customHeight="1">
      <c r="A135" s="318"/>
      <c r="B135" s="318"/>
      <c r="C135" s="318"/>
      <c r="D135" s="318"/>
      <c r="E135" s="318"/>
      <c r="F135" s="318"/>
      <c r="G135" s="318"/>
      <c r="H135" s="318"/>
      <c r="I135" s="318"/>
      <c r="J135" s="318"/>
      <c r="K135" s="318"/>
      <c r="L135" s="318"/>
      <c r="M135" s="318"/>
      <c r="N135" s="318"/>
      <c r="O135" s="318"/>
      <c r="P135" s="318"/>
      <c r="Q135" s="318"/>
      <c r="R135" s="318"/>
      <c r="S135" s="318"/>
      <c r="T135" s="318"/>
      <c r="U135" s="318"/>
      <c r="V135" s="318"/>
      <c r="W135" s="318"/>
      <c r="X135" s="318"/>
      <c r="Y135" s="318"/>
      <c r="Z135" s="318"/>
    </row>
    <row r="136" ht="15.75" customHeight="1">
      <c r="A136" s="318"/>
      <c r="B136" s="318"/>
      <c r="C136" s="318"/>
      <c r="D136" s="318"/>
      <c r="E136" s="318"/>
      <c r="F136" s="318"/>
      <c r="G136" s="318"/>
      <c r="H136" s="318"/>
      <c r="I136" s="318"/>
      <c r="J136" s="318"/>
      <c r="K136" s="318"/>
      <c r="L136" s="318"/>
      <c r="M136" s="318"/>
      <c r="N136" s="318"/>
      <c r="O136" s="318"/>
      <c r="P136" s="318"/>
      <c r="Q136" s="318"/>
      <c r="R136" s="318"/>
      <c r="S136" s="318"/>
      <c r="T136" s="318"/>
      <c r="U136" s="318"/>
      <c r="V136" s="318"/>
      <c r="W136" s="318"/>
      <c r="X136" s="318"/>
      <c r="Y136" s="318"/>
      <c r="Z136" s="318"/>
    </row>
    <row r="137" ht="15.75" customHeight="1">
      <c r="A137" s="318"/>
      <c r="B137" s="318"/>
      <c r="C137" s="318"/>
      <c r="D137" s="318"/>
      <c r="E137" s="318"/>
      <c r="F137" s="318"/>
      <c r="G137" s="318"/>
      <c r="H137" s="318"/>
      <c r="I137" s="318"/>
      <c r="J137" s="318"/>
      <c r="K137" s="318"/>
      <c r="L137" s="318"/>
      <c r="M137" s="318"/>
      <c r="N137" s="318"/>
      <c r="O137" s="318"/>
      <c r="P137" s="318"/>
      <c r="Q137" s="318"/>
      <c r="R137" s="318"/>
      <c r="S137" s="318"/>
      <c r="T137" s="318"/>
      <c r="U137" s="318"/>
      <c r="V137" s="318"/>
      <c r="W137" s="318"/>
      <c r="X137" s="318"/>
      <c r="Y137" s="318"/>
      <c r="Z137" s="318"/>
    </row>
    <row r="138" ht="15.75" customHeight="1">
      <c r="A138" s="318"/>
      <c r="B138" s="318"/>
      <c r="C138" s="318"/>
      <c r="D138" s="318"/>
      <c r="E138" s="318"/>
      <c r="F138" s="318"/>
      <c r="G138" s="318"/>
      <c r="H138" s="318"/>
      <c r="I138" s="318"/>
      <c r="J138" s="318"/>
      <c r="K138" s="318"/>
      <c r="L138" s="318"/>
      <c r="M138" s="318"/>
      <c r="N138" s="318"/>
      <c r="O138" s="318"/>
      <c r="P138" s="318"/>
      <c r="Q138" s="318"/>
      <c r="R138" s="318"/>
      <c r="S138" s="318"/>
      <c r="T138" s="318"/>
      <c r="U138" s="318"/>
      <c r="V138" s="318"/>
      <c r="W138" s="318"/>
      <c r="X138" s="318"/>
      <c r="Y138" s="318"/>
      <c r="Z138" s="318"/>
    </row>
    <row r="139" ht="15.75" customHeight="1">
      <c r="A139" s="318"/>
      <c r="B139" s="318"/>
      <c r="C139" s="318"/>
      <c r="D139" s="318"/>
      <c r="E139" s="318"/>
      <c r="F139" s="318"/>
      <c r="G139" s="318"/>
      <c r="H139" s="318"/>
      <c r="I139" s="318"/>
      <c r="J139" s="318"/>
      <c r="K139" s="318"/>
      <c r="L139" s="318"/>
      <c r="M139" s="318"/>
      <c r="N139" s="318"/>
      <c r="O139" s="318"/>
      <c r="P139" s="318"/>
      <c r="Q139" s="318"/>
      <c r="R139" s="318"/>
      <c r="S139" s="318"/>
      <c r="T139" s="318"/>
      <c r="U139" s="318"/>
      <c r="V139" s="318"/>
      <c r="W139" s="318"/>
      <c r="X139" s="318"/>
      <c r="Y139" s="318"/>
      <c r="Z139" s="318"/>
    </row>
    <row r="140" ht="15.75" customHeight="1">
      <c r="A140" s="318"/>
      <c r="B140" s="318"/>
      <c r="C140" s="318"/>
      <c r="D140" s="318"/>
      <c r="E140" s="318"/>
      <c r="F140" s="318"/>
      <c r="G140" s="318"/>
      <c r="H140" s="318"/>
      <c r="I140" s="318"/>
      <c r="J140" s="318"/>
      <c r="K140" s="318"/>
      <c r="L140" s="318"/>
      <c r="M140" s="318"/>
      <c r="N140" s="318"/>
      <c r="O140" s="318"/>
      <c r="P140" s="318"/>
      <c r="Q140" s="318"/>
      <c r="R140" s="318"/>
      <c r="S140" s="318"/>
      <c r="T140" s="318"/>
      <c r="U140" s="318"/>
      <c r="V140" s="318"/>
      <c r="W140" s="318"/>
      <c r="X140" s="318"/>
      <c r="Y140" s="318"/>
      <c r="Z140" s="318"/>
    </row>
    <row r="141" ht="15.75" customHeight="1">
      <c r="A141" s="318"/>
      <c r="B141" s="318"/>
      <c r="C141" s="318"/>
      <c r="D141" s="318"/>
      <c r="E141" s="318"/>
      <c r="F141" s="318"/>
      <c r="G141" s="318"/>
      <c r="H141" s="318"/>
      <c r="I141" s="318"/>
      <c r="J141" s="318"/>
      <c r="K141" s="318"/>
      <c r="L141" s="318"/>
      <c r="M141" s="318"/>
      <c r="N141" s="318"/>
      <c r="O141" s="318"/>
      <c r="P141" s="318"/>
      <c r="Q141" s="318"/>
      <c r="R141" s="318"/>
      <c r="S141" s="318"/>
      <c r="T141" s="318"/>
      <c r="U141" s="318"/>
      <c r="V141" s="318"/>
      <c r="W141" s="318"/>
      <c r="X141" s="318"/>
      <c r="Y141" s="318"/>
      <c r="Z141" s="318"/>
    </row>
    <row r="142" ht="15.75" customHeight="1">
      <c r="A142" s="318"/>
      <c r="B142" s="318"/>
      <c r="C142" s="318"/>
      <c r="D142" s="318"/>
      <c r="E142" s="318"/>
      <c r="F142" s="318"/>
      <c r="G142" s="318"/>
      <c r="H142" s="318"/>
      <c r="I142" s="318"/>
      <c r="J142" s="318"/>
      <c r="K142" s="318"/>
      <c r="L142" s="318"/>
      <c r="M142" s="318"/>
      <c r="N142" s="318"/>
      <c r="O142" s="318"/>
      <c r="P142" s="318"/>
      <c r="Q142" s="318"/>
      <c r="R142" s="318"/>
      <c r="S142" s="318"/>
      <c r="T142" s="318"/>
      <c r="U142" s="318"/>
      <c r="V142" s="318"/>
      <c r="W142" s="318"/>
      <c r="X142" s="318"/>
      <c r="Y142" s="318"/>
      <c r="Z142" s="318"/>
    </row>
    <row r="143" ht="15.75" customHeight="1">
      <c r="A143" s="318"/>
      <c r="B143" s="318"/>
      <c r="C143" s="318"/>
      <c r="D143" s="318"/>
      <c r="E143" s="318"/>
      <c r="F143" s="318"/>
      <c r="G143" s="318"/>
      <c r="H143" s="318"/>
      <c r="I143" s="318"/>
      <c r="J143" s="318"/>
      <c r="K143" s="318"/>
      <c r="L143" s="318"/>
      <c r="M143" s="318"/>
      <c r="N143" s="318"/>
      <c r="O143" s="318"/>
      <c r="P143" s="318"/>
      <c r="Q143" s="318"/>
      <c r="R143" s="318"/>
      <c r="S143" s="318"/>
      <c r="T143" s="318"/>
      <c r="U143" s="318"/>
      <c r="V143" s="318"/>
      <c r="W143" s="318"/>
      <c r="X143" s="318"/>
      <c r="Y143" s="318"/>
      <c r="Z143" s="318"/>
    </row>
    <row r="144" ht="15.75" customHeight="1">
      <c r="A144" s="318"/>
      <c r="B144" s="318"/>
      <c r="C144" s="318"/>
      <c r="D144" s="318"/>
      <c r="E144" s="318"/>
      <c r="F144" s="318"/>
      <c r="G144" s="318"/>
      <c r="H144" s="318"/>
      <c r="I144" s="318"/>
      <c r="J144" s="318"/>
      <c r="K144" s="318"/>
      <c r="L144" s="318"/>
      <c r="M144" s="318"/>
      <c r="N144" s="318"/>
      <c r="O144" s="318"/>
      <c r="P144" s="318"/>
      <c r="Q144" s="318"/>
      <c r="R144" s="318"/>
      <c r="S144" s="318"/>
      <c r="T144" s="318"/>
      <c r="U144" s="318"/>
      <c r="V144" s="318"/>
      <c r="W144" s="318"/>
      <c r="X144" s="318"/>
      <c r="Y144" s="318"/>
      <c r="Z144" s="318"/>
    </row>
    <row r="145" ht="15.75" customHeight="1">
      <c r="A145" s="318"/>
      <c r="B145" s="318"/>
      <c r="C145" s="318"/>
      <c r="D145" s="318"/>
      <c r="E145" s="318"/>
      <c r="F145" s="318"/>
      <c r="G145" s="318"/>
      <c r="H145" s="318"/>
      <c r="I145" s="318"/>
      <c r="J145" s="318"/>
      <c r="K145" s="318"/>
      <c r="L145" s="318"/>
      <c r="M145" s="318"/>
      <c r="N145" s="318"/>
      <c r="O145" s="318"/>
      <c r="P145" s="318"/>
      <c r="Q145" s="318"/>
      <c r="R145" s="318"/>
      <c r="S145" s="318"/>
      <c r="T145" s="318"/>
      <c r="U145" s="318"/>
      <c r="V145" s="318"/>
      <c r="W145" s="318"/>
      <c r="X145" s="318"/>
      <c r="Y145" s="318"/>
      <c r="Z145" s="318"/>
    </row>
    <row r="146" ht="15.75" customHeight="1">
      <c r="A146" s="318"/>
      <c r="B146" s="318"/>
      <c r="C146" s="318"/>
      <c r="D146" s="318"/>
      <c r="E146" s="318"/>
      <c r="F146" s="318"/>
      <c r="G146" s="318"/>
      <c r="H146" s="318"/>
      <c r="I146" s="318"/>
      <c r="J146" s="318"/>
      <c r="K146" s="318"/>
      <c r="L146" s="318"/>
      <c r="M146" s="318"/>
      <c r="N146" s="318"/>
      <c r="O146" s="318"/>
      <c r="P146" s="318"/>
      <c r="Q146" s="318"/>
      <c r="R146" s="318"/>
      <c r="S146" s="318"/>
      <c r="T146" s="318"/>
      <c r="U146" s="318"/>
      <c r="V146" s="318"/>
      <c r="W146" s="318"/>
      <c r="X146" s="318"/>
      <c r="Y146" s="318"/>
      <c r="Z146" s="318"/>
    </row>
    <row r="147" ht="15.75" customHeight="1">
      <c r="A147" s="318"/>
      <c r="B147" s="318"/>
      <c r="C147" s="318"/>
      <c r="D147" s="318"/>
      <c r="E147" s="318"/>
      <c r="F147" s="318"/>
      <c r="G147" s="318"/>
      <c r="H147" s="318"/>
      <c r="I147" s="318"/>
      <c r="J147" s="318"/>
      <c r="K147" s="318"/>
      <c r="L147" s="318"/>
      <c r="M147" s="318"/>
      <c r="N147" s="318"/>
      <c r="O147" s="318"/>
      <c r="P147" s="318"/>
      <c r="Q147" s="318"/>
      <c r="R147" s="318"/>
      <c r="S147" s="318"/>
      <c r="T147" s="318"/>
      <c r="U147" s="318"/>
      <c r="V147" s="318"/>
      <c r="W147" s="318"/>
      <c r="X147" s="318"/>
      <c r="Y147" s="318"/>
      <c r="Z147" s="318"/>
    </row>
    <row r="148" ht="15.75" customHeight="1">
      <c r="A148" s="318"/>
      <c r="B148" s="318"/>
      <c r="C148" s="318"/>
      <c r="D148" s="318"/>
      <c r="E148" s="318"/>
      <c r="F148" s="318"/>
      <c r="G148" s="318"/>
      <c r="H148" s="318"/>
      <c r="I148" s="318"/>
      <c r="J148" s="318"/>
      <c r="K148" s="318"/>
      <c r="L148" s="318"/>
      <c r="M148" s="318"/>
      <c r="N148" s="318"/>
      <c r="O148" s="318"/>
      <c r="P148" s="318"/>
      <c r="Q148" s="318"/>
      <c r="R148" s="318"/>
      <c r="S148" s="318"/>
      <c r="T148" s="318"/>
      <c r="U148" s="318"/>
      <c r="V148" s="318"/>
      <c r="W148" s="318"/>
      <c r="X148" s="318"/>
      <c r="Y148" s="318"/>
      <c r="Z148" s="318"/>
    </row>
    <row r="149" ht="15.75" customHeight="1">
      <c r="A149" s="318"/>
      <c r="B149" s="318"/>
      <c r="C149" s="318"/>
      <c r="D149" s="318"/>
      <c r="E149" s="318"/>
      <c r="F149" s="318"/>
      <c r="G149" s="318"/>
      <c r="H149" s="318"/>
      <c r="I149" s="318"/>
      <c r="J149" s="318"/>
      <c r="K149" s="318"/>
      <c r="L149" s="318"/>
      <c r="M149" s="318"/>
      <c r="N149" s="318"/>
      <c r="O149" s="318"/>
      <c r="P149" s="318"/>
      <c r="Q149" s="318"/>
      <c r="R149" s="318"/>
      <c r="S149" s="318"/>
      <c r="T149" s="318"/>
      <c r="U149" s="318"/>
      <c r="V149" s="318"/>
      <c r="W149" s="318"/>
      <c r="X149" s="318"/>
      <c r="Y149" s="318"/>
      <c r="Z149" s="318"/>
    </row>
    <row r="150" ht="15.75" customHeight="1">
      <c r="A150" s="318"/>
      <c r="B150" s="318"/>
      <c r="C150" s="318"/>
      <c r="D150" s="318"/>
      <c r="E150" s="318"/>
      <c r="F150" s="318"/>
      <c r="G150" s="318"/>
      <c r="H150" s="318"/>
      <c r="I150" s="318"/>
      <c r="J150" s="318"/>
      <c r="K150" s="318"/>
      <c r="L150" s="318"/>
      <c r="M150" s="318"/>
      <c r="N150" s="318"/>
      <c r="O150" s="318"/>
      <c r="P150" s="318"/>
      <c r="Q150" s="318"/>
      <c r="R150" s="318"/>
      <c r="S150" s="318"/>
      <c r="T150" s="318"/>
      <c r="U150" s="318"/>
      <c r="V150" s="318"/>
      <c r="W150" s="318"/>
      <c r="X150" s="318"/>
      <c r="Y150" s="318"/>
      <c r="Z150" s="318"/>
    </row>
    <row r="151" ht="15.75" customHeight="1">
      <c r="A151" s="318"/>
      <c r="B151" s="318"/>
      <c r="C151" s="318"/>
      <c r="D151" s="318"/>
      <c r="E151" s="318"/>
      <c r="F151" s="318"/>
      <c r="G151" s="318"/>
      <c r="H151" s="318"/>
      <c r="I151" s="318"/>
      <c r="J151" s="318"/>
      <c r="K151" s="318"/>
      <c r="L151" s="318"/>
      <c r="M151" s="318"/>
      <c r="N151" s="318"/>
      <c r="O151" s="318"/>
      <c r="P151" s="318"/>
      <c r="Q151" s="318"/>
      <c r="R151" s="318"/>
      <c r="S151" s="318"/>
      <c r="T151" s="318"/>
      <c r="U151" s="318"/>
      <c r="V151" s="318"/>
      <c r="W151" s="318"/>
      <c r="X151" s="318"/>
      <c r="Y151" s="318"/>
      <c r="Z151" s="318"/>
    </row>
    <row r="152" ht="15.75" customHeight="1">
      <c r="A152" s="318"/>
      <c r="B152" s="318"/>
      <c r="C152" s="318"/>
      <c r="D152" s="318"/>
      <c r="E152" s="318"/>
      <c r="F152" s="318"/>
      <c r="G152" s="318"/>
      <c r="H152" s="318"/>
      <c r="I152" s="318"/>
      <c r="J152" s="318"/>
      <c r="K152" s="318"/>
      <c r="L152" s="318"/>
      <c r="M152" s="318"/>
      <c r="N152" s="318"/>
      <c r="O152" s="318"/>
      <c r="P152" s="318"/>
      <c r="Q152" s="318"/>
      <c r="R152" s="318"/>
      <c r="S152" s="318"/>
      <c r="T152" s="318"/>
      <c r="U152" s="318"/>
      <c r="V152" s="318"/>
      <c r="W152" s="318"/>
      <c r="X152" s="318"/>
      <c r="Y152" s="318"/>
      <c r="Z152" s="318"/>
    </row>
    <row r="153" ht="15.75" customHeight="1">
      <c r="A153" s="318"/>
      <c r="B153" s="318"/>
      <c r="C153" s="318"/>
      <c r="D153" s="318"/>
      <c r="E153" s="318"/>
      <c r="F153" s="318"/>
      <c r="G153" s="318"/>
      <c r="H153" s="318"/>
      <c r="I153" s="318"/>
      <c r="J153" s="318"/>
      <c r="K153" s="318"/>
      <c r="L153" s="318"/>
      <c r="M153" s="318"/>
      <c r="N153" s="318"/>
      <c r="O153" s="318"/>
      <c r="P153" s="318"/>
      <c r="Q153" s="318"/>
      <c r="R153" s="318"/>
      <c r="S153" s="318"/>
      <c r="T153" s="318"/>
      <c r="U153" s="318"/>
      <c r="V153" s="318"/>
      <c r="W153" s="318"/>
      <c r="X153" s="318"/>
      <c r="Y153" s="318"/>
      <c r="Z153" s="318"/>
    </row>
    <row r="154" ht="15.75" customHeight="1">
      <c r="A154" s="318"/>
      <c r="B154" s="318"/>
      <c r="C154" s="318"/>
      <c r="D154" s="318"/>
      <c r="E154" s="318"/>
      <c r="F154" s="318"/>
      <c r="G154" s="318"/>
      <c r="H154" s="318"/>
      <c r="I154" s="318"/>
      <c r="J154" s="318"/>
      <c r="K154" s="318"/>
      <c r="L154" s="318"/>
      <c r="M154" s="318"/>
      <c r="N154" s="318"/>
      <c r="O154" s="318"/>
      <c r="P154" s="318"/>
      <c r="Q154" s="318"/>
      <c r="R154" s="318"/>
      <c r="S154" s="318"/>
      <c r="T154" s="318"/>
      <c r="U154" s="318"/>
      <c r="V154" s="318"/>
      <c r="W154" s="318"/>
      <c r="X154" s="318"/>
      <c r="Y154" s="318"/>
      <c r="Z154" s="318"/>
    </row>
    <row r="155" ht="15.75" customHeight="1">
      <c r="A155" s="318"/>
      <c r="B155" s="318"/>
      <c r="C155" s="318"/>
      <c r="D155" s="318"/>
      <c r="E155" s="318"/>
      <c r="F155" s="318"/>
      <c r="G155" s="318"/>
      <c r="H155" s="318"/>
      <c r="I155" s="318"/>
      <c r="J155" s="318"/>
      <c r="K155" s="318"/>
      <c r="L155" s="318"/>
      <c r="M155" s="318"/>
      <c r="N155" s="318"/>
      <c r="O155" s="318"/>
      <c r="P155" s="318"/>
      <c r="Q155" s="318"/>
      <c r="R155" s="318"/>
      <c r="S155" s="318"/>
      <c r="T155" s="318"/>
      <c r="U155" s="318"/>
      <c r="V155" s="318"/>
      <c r="W155" s="318"/>
      <c r="X155" s="318"/>
      <c r="Y155" s="318"/>
      <c r="Z155" s="318"/>
    </row>
    <row r="156" ht="15.75" customHeight="1">
      <c r="A156" s="318"/>
      <c r="B156" s="318"/>
      <c r="C156" s="318"/>
      <c r="D156" s="318"/>
      <c r="E156" s="318"/>
      <c r="F156" s="318"/>
      <c r="G156" s="318"/>
      <c r="H156" s="318"/>
      <c r="I156" s="318"/>
      <c r="J156" s="318"/>
      <c r="K156" s="318"/>
      <c r="L156" s="318"/>
      <c r="M156" s="318"/>
      <c r="N156" s="318"/>
      <c r="O156" s="318"/>
      <c r="P156" s="318"/>
      <c r="Q156" s="318"/>
      <c r="R156" s="318"/>
      <c r="S156" s="318"/>
      <c r="T156" s="318"/>
      <c r="U156" s="318"/>
      <c r="V156" s="318"/>
      <c r="W156" s="318"/>
      <c r="X156" s="318"/>
      <c r="Y156" s="318"/>
      <c r="Z156" s="318"/>
    </row>
    <row r="157" ht="15.75" customHeight="1">
      <c r="A157" s="318"/>
      <c r="B157" s="318"/>
      <c r="C157" s="318"/>
      <c r="D157" s="318"/>
      <c r="E157" s="318"/>
      <c r="F157" s="318"/>
      <c r="G157" s="318"/>
      <c r="H157" s="318"/>
      <c r="I157" s="318"/>
      <c r="J157" s="318"/>
      <c r="K157" s="318"/>
      <c r="L157" s="318"/>
      <c r="M157" s="318"/>
      <c r="N157" s="318"/>
      <c r="O157" s="318"/>
      <c r="P157" s="318"/>
      <c r="Q157" s="318"/>
      <c r="R157" s="318"/>
      <c r="S157" s="318"/>
      <c r="T157" s="318"/>
      <c r="U157" s="318"/>
      <c r="V157" s="318"/>
      <c r="W157" s="318"/>
      <c r="X157" s="318"/>
      <c r="Y157" s="318"/>
      <c r="Z157" s="318"/>
    </row>
    <row r="158" ht="15.75" customHeight="1">
      <c r="A158" s="318"/>
      <c r="B158" s="318"/>
      <c r="C158" s="318"/>
      <c r="D158" s="318"/>
      <c r="E158" s="318"/>
      <c r="F158" s="318"/>
      <c r="G158" s="318"/>
      <c r="H158" s="318"/>
      <c r="I158" s="318"/>
      <c r="J158" s="318"/>
      <c r="K158" s="318"/>
      <c r="L158" s="318"/>
      <c r="M158" s="318"/>
      <c r="N158" s="318"/>
      <c r="O158" s="318"/>
      <c r="P158" s="318"/>
      <c r="Q158" s="318"/>
      <c r="R158" s="318"/>
      <c r="S158" s="318"/>
      <c r="T158" s="318"/>
      <c r="U158" s="318"/>
      <c r="V158" s="318"/>
      <c r="W158" s="318"/>
      <c r="X158" s="318"/>
      <c r="Y158" s="318"/>
      <c r="Z158" s="318"/>
    </row>
    <row r="159" ht="15.75" customHeight="1">
      <c r="A159" s="318"/>
      <c r="B159" s="318"/>
      <c r="C159" s="318"/>
      <c r="D159" s="318"/>
      <c r="E159" s="318"/>
      <c r="F159" s="318"/>
      <c r="G159" s="318"/>
      <c r="H159" s="318"/>
      <c r="I159" s="318"/>
      <c r="J159" s="318"/>
      <c r="K159" s="318"/>
      <c r="L159" s="318"/>
      <c r="M159" s="318"/>
      <c r="N159" s="318"/>
      <c r="O159" s="318"/>
      <c r="P159" s="318"/>
      <c r="Q159" s="318"/>
      <c r="R159" s="318"/>
      <c r="S159" s="318"/>
      <c r="T159" s="318"/>
      <c r="U159" s="318"/>
      <c r="V159" s="318"/>
      <c r="W159" s="318"/>
      <c r="X159" s="318"/>
      <c r="Y159" s="318"/>
      <c r="Z159" s="318"/>
    </row>
    <row r="160" ht="15.75" customHeight="1">
      <c r="A160" s="318"/>
      <c r="B160" s="318"/>
      <c r="C160" s="318"/>
      <c r="D160" s="318"/>
      <c r="E160" s="318"/>
      <c r="F160" s="318"/>
      <c r="G160" s="318"/>
      <c r="H160" s="318"/>
      <c r="I160" s="318"/>
      <c r="J160" s="318"/>
      <c r="K160" s="318"/>
      <c r="L160" s="318"/>
      <c r="M160" s="318"/>
      <c r="N160" s="318"/>
      <c r="O160" s="318"/>
      <c r="P160" s="318"/>
      <c r="Q160" s="318"/>
      <c r="R160" s="318"/>
      <c r="S160" s="318"/>
      <c r="T160" s="318"/>
      <c r="U160" s="318"/>
      <c r="V160" s="318"/>
      <c r="W160" s="318"/>
      <c r="X160" s="318"/>
      <c r="Y160" s="318"/>
      <c r="Z160" s="318"/>
    </row>
    <row r="161" ht="15.75" customHeight="1">
      <c r="A161" s="318"/>
      <c r="B161" s="318"/>
      <c r="C161" s="318"/>
      <c r="D161" s="318"/>
      <c r="E161" s="318"/>
      <c r="F161" s="318"/>
      <c r="G161" s="318"/>
      <c r="H161" s="318"/>
      <c r="I161" s="318"/>
      <c r="J161" s="318"/>
      <c r="K161" s="318"/>
      <c r="L161" s="318"/>
      <c r="M161" s="318"/>
      <c r="N161" s="318"/>
      <c r="O161" s="318"/>
      <c r="P161" s="318"/>
      <c r="Q161" s="318"/>
      <c r="R161" s="318"/>
      <c r="S161" s="318"/>
      <c r="T161" s="318"/>
      <c r="U161" s="318"/>
      <c r="V161" s="318"/>
      <c r="W161" s="318"/>
      <c r="X161" s="318"/>
      <c r="Y161" s="318"/>
      <c r="Z161" s="318"/>
    </row>
    <row r="162" ht="15.75" customHeight="1">
      <c r="A162" s="318"/>
      <c r="B162" s="318"/>
      <c r="C162" s="318"/>
      <c r="D162" s="318"/>
      <c r="E162" s="318"/>
      <c r="F162" s="318"/>
      <c r="G162" s="318"/>
      <c r="H162" s="318"/>
      <c r="I162" s="318"/>
      <c r="J162" s="318"/>
      <c r="K162" s="318"/>
      <c r="L162" s="318"/>
      <c r="M162" s="318"/>
      <c r="N162" s="318"/>
      <c r="O162" s="318"/>
      <c r="P162" s="318"/>
      <c r="Q162" s="318"/>
      <c r="R162" s="318"/>
      <c r="S162" s="318"/>
      <c r="T162" s="318"/>
      <c r="U162" s="318"/>
      <c r="V162" s="318"/>
      <c r="W162" s="318"/>
      <c r="X162" s="318"/>
      <c r="Y162" s="318"/>
      <c r="Z162" s="318"/>
    </row>
    <row r="163" ht="15.75" customHeight="1">
      <c r="A163" s="318"/>
      <c r="B163" s="318"/>
      <c r="C163" s="318"/>
      <c r="D163" s="318"/>
      <c r="E163" s="318"/>
      <c r="F163" s="318"/>
      <c r="G163" s="318"/>
      <c r="H163" s="318"/>
      <c r="I163" s="318"/>
      <c r="J163" s="318"/>
      <c r="K163" s="318"/>
      <c r="L163" s="318"/>
      <c r="M163" s="318"/>
      <c r="N163" s="318"/>
      <c r="O163" s="318"/>
      <c r="P163" s="318"/>
      <c r="Q163" s="318"/>
      <c r="R163" s="318"/>
      <c r="S163" s="318"/>
      <c r="T163" s="318"/>
      <c r="U163" s="318"/>
      <c r="V163" s="318"/>
      <c r="W163" s="318"/>
      <c r="X163" s="318"/>
      <c r="Y163" s="318"/>
      <c r="Z163" s="318"/>
    </row>
    <row r="164" ht="15.75" customHeight="1">
      <c r="A164" s="318"/>
      <c r="B164" s="318"/>
      <c r="C164" s="318"/>
      <c r="D164" s="318"/>
      <c r="E164" s="318"/>
      <c r="F164" s="318"/>
      <c r="G164" s="318"/>
      <c r="H164" s="318"/>
      <c r="I164" s="318"/>
      <c r="J164" s="318"/>
      <c r="K164" s="318"/>
      <c r="L164" s="318"/>
      <c r="M164" s="318"/>
      <c r="N164" s="318"/>
      <c r="O164" s="318"/>
      <c r="P164" s="318"/>
      <c r="Q164" s="318"/>
      <c r="R164" s="318"/>
      <c r="S164" s="318"/>
      <c r="T164" s="318"/>
      <c r="U164" s="318"/>
      <c r="V164" s="318"/>
      <c r="W164" s="318"/>
      <c r="X164" s="318"/>
      <c r="Y164" s="318"/>
      <c r="Z164" s="318"/>
    </row>
    <row r="165" ht="15.75" customHeight="1">
      <c r="A165" s="318"/>
      <c r="B165" s="318"/>
      <c r="C165" s="318"/>
      <c r="D165" s="318"/>
      <c r="E165" s="318"/>
      <c r="F165" s="318"/>
      <c r="G165" s="318"/>
      <c r="H165" s="318"/>
      <c r="I165" s="318"/>
      <c r="J165" s="318"/>
      <c r="K165" s="318"/>
      <c r="L165" s="318"/>
      <c r="M165" s="318"/>
      <c r="N165" s="318"/>
      <c r="O165" s="318"/>
      <c r="P165" s="318"/>
      <c r="Q165" s="318"/>
      <c r="R165" s="318"/>
      <c r="S165" s="318"/>
      <c r="T165" s="318"/>
      <c r="U165" s="318"/>
      <c r="V165" s="318"/>
      <c r="W165" s="318"/>
      <c r="X165" s="318"/>
      <c r="Y165" s="318"/>
      <c r="Z165" s="318"/>
    </row>
    <row r="166" ht="15.75" customHeight="1">
      <c r="A166" s="318"/>
      <c r="B166" s="318"/>
      <c r="C166" s="318"/>
      <c r="D166" s="318"/>
      <c r="E166" s="318"/>
      <c r="F166" s="318"/>
      <c r="G166" s="318"/>
      <c r="H166" s="318"/>
      <c r="I166" s="318"/>
      <c r="J166" s="318"/>
      <c r="K166" s="318"/>
      <c r="L166" s="318"/>
      <c r="M166" s="318"/>
      <c r="N166" s="318"/>
      <c r="O166" s="318"/>
      <c r="P166" s="318"/>
      <c r="Q166" s="318"/>
      <c r="R166" s="318"/>
      <c r="S166" s="318"/>
      <c r="T166" s="318"/>
      <c r="U166" s="318"/>
      <c r="V166" s="318"/>
      <c r="W166" s="318"/>
      <c r="X166" s="318"/>
      <c r="Y166" s="318"/>
      <c r="Z166" s="318"/>
    </row>
    <row r="167" ht="15.75" customHeight="1">
      <c r="A167" s="318"/>
      <c r="B167" s="318"/>
      <c r="C167" s="318"/>
      <c r="D167" s="318"/>
      <c r="E167" s="318"/>
      <c r="F167" s="318"/>
      <c r="G167" s="318"/>
      <c r="H167" s="318"/>
      <c r="I167" s="318"/>
      <c r="J167" s="318"/>
      <c r="K167" s="318"/>
      <c r="L167" s="318"/>
      <c r="M167" s="318"/>
      <c r="N167" s="318"/>
      <c r="O167" s="318"/>
      <c r="P167" s="318"/>
      <c r="Q167" s="318"/>
      <c r="R167" s="318"/>
      <c r="S167" s="318"/>
      <c r="T167" s="318"/>
      <c r="U167" s="318"/>
      <c r="V167" s="318"/>
      <c r="W167" s="318"/>
      <c r="X167" s="318"/>
      <c r="Y167" s="318"/>
      <c r="Z167" s="318"/>
    </row>
    <row r="168" ht="15.75" customHeight="1">
      <c r="A168" s="318"/>
      <c r="B168" s="318"/>
      <c r="C168" s="318"/>
      <c r="D168" s="318"/>
      <c r="E168" s="318"/>
      <c r="F168" s="318"/>
      <c r="G168" s="318"/>
      <c r="H168" s="318"/>
      <c r="I168" s="318"/>
      <c r="J168" s="318"/>
      <c r="K168" s="318"/>
      <c r="L168" s="318"/>
      <c r="M168" s="318"/>
      <c r="N168" s="318"/>
      <c r="O168" s="318"/>
      <c r="P168" s="318"/>
      <c r="Q168" s="318"/>
      <c r="R168" s="318"/>
      <c r="S168" s="318"/>
      <c r="T168" s="318"/>
      <c r="U168" s="318"/>
      <c r="V168" s="318"/>
      <c r="W168" s="318"/>
      <c r="X168" s="318"/>
      <c r="Y168" s="318"/>
      <c r="Z168" s="318"/>
    </row>
    <row r="169" ht="15.75" customHeight="1">
      <c r="A169" s="318"/>
      <c r="B169" s="318"/>
      <c r="C169" s="318"/>
      <c r="D169" s="318"/>
      <c r="E169" s="318"/>
      <c r="F169" s="318"/>
      <c r="G169" s="318"/>
      <c r="H169" s="318"/>
      <c r="I169" s="318"/>
      <c r="J169" s="318"/>
      <c r="K169" s="318"/>
      <c r="L169" s="318"/>
      <c r="M169" s="318"/>
      <c r="N169" s="318"/>
      <c r="O169" s="318"/>
      <c r="P169" s="318"/>
      <c r="Q169" s="318"/>
      <c r="R169" s="318"/>
      <c r="S169" s="318"/>
      <c r="T169" s="318"/>
      <c r="U169" s="318"/>
      <c r="V169" s="318"/>
      <c r="W169" s="318"/>
      <c r="X169" s="318"/>
      <c r="Y169" s="318"/>
      <c r="Z169" s="318"/>
    </row>
    <row r="170" ht="15.75" customHeight="1">
      <c r="A170" s="318"/>
      <c r="B170" s="318"/>
      <c r="C170" s="318"/>
      <c r="D170" s="318"/>
      <c r="E170" s="318"/>
      <c r="F170" s="318"/>
      <c r="G170" s="318"/>
      <c r="H170" s="318"/>
      <c r="I170" s="318"/>
      <c r="J170" s="318"/>
      <c r="K170" s="318"/>
      <c r="L170" s="318"/>
      <c r="M170" s="318"/>
      <c r="N170" s="318"/>
      <c r="O170" s="318"/>
      <c r="P170" s="318"/>
      <c r="Q170" s="318"/>
      <c r="R170" s="318"/>
      <c r="S170" s="318"/>
      <c r="T170" s="318"/>
      <c r="U170" s="318"/>
      <c r="V170" s="318"/>
      <c r="W170" s="318"/>
      <c r="X170" s="318"/>
      <c r="Y170" s="318"/>
      <c r="Z170" s="318"/>
    </row>
    <row r="171" ht="15.75" customHeight="1">
      <c r="A171" s="318"/>
      <c r="B171" s="318"/>
      <c r="C171" s="318"/>
      <c r="D171" s="318"/>
      <c r="E171" s="318"/>
      <c r="F171" s="318"/>
      <c r="G171" s="318"/>
      <c r="H171" s="318"/>
      <c r="I171" s="318"/>
      <c r="J171" s="318"/>
      <c r="K171" s="318"/>
      <c r="L171" s="318"/>
      <c r="M171" s="318"/>
      <c r="N171" s="318"/>
      <c r="O171" s="318"/>
      <c r="P171" s="318"/>
      <c r="Q171" s="318"/>
      <c r="R171" s="318"/>
      <c r="S171" s="318"/>
      <c r="T171" s="318"/>
      <c r="U171" s="318"/>
      <c r="V171" s="318"/>
      <c r="W171" s="318"/>
      <c r="X171" s="318"/>
      <c r="Y171" s="318"/>
      <c r="Z171" s="318"/>
    </row>
    <row r="172" ht="15.75" customHeight="1">
      <c r="A172" s="318"/>
      <c r="B172" s="318"/>
      <c r="C172" s="318"/>
      <c r="D172" s="318"/>
      <c r="E172" s="318"/>
      <c r="F172" s="318"/>
      <c r="G172" s="318"/>
      <c r="H172" s="318"/>
      <c r="I172" s="318"/>
      <c r="J172" s="318"/>
      <c r="K172" s="318"/>
      <c r="L172" s="318"/>
      <c r="M172" s="318"/>
      <c r="N172" s="318"/>
      <c r="O172" s="318"/>
      <c r="P172" s="318"/>
      <c r="Q172" s="318"/>
      <c r="R172" s="318"/>
      <c r="S172" s="318"/>
      <c r="T172" s="318"/>
      <c r="U172" s="318"/>
      <c r="V172" s="318"/>
      <c r="W172" s="318"/>
      <c r="X172" s="318"/>
      <c r="Y172" s="318"/>
      <c r="Z172" s="318"/>
    </row>
    <row r="173" ht="15.75" customHeight="1">
      <c r="A173" s="318"/>
      <c r="B173" s="318"/>
      <c r="C173" s="318"/>
      <c r="D173" s="318"/>
      <c r="E173" s="318"/>
      <c r="F173" s="318"/>
      <c r="G173" s="318"/>
      <c r="H173" s="318"/>
      <c r="I173" s="318"/>
      <c r="J173" s="318"/>
      <c r="K173" s="318"/>
      <c r="L173" s="318"/>
      <c r="M173" s="318"/>
      <c r="N173" s="318"/>
      <c r="O173" s="318"/>
      <c r="P173" s="318"/>
      <c r="Q173" s="318"/>
      <c r="R173" s="318"/>
      <c r="S173" s="318"/>
      <c r="T173" s="318"/>
      <c r="U173" s="318"/>
      <c r="V173" s="318"/>
      <c r="W173" s="318"/>
      <c r="X173" s="318"/>
      <c r="Y173" s="318"/>
      <c r="Z173" s="318"/>
    </row>
    <row r="174" ht="15.75" customHeight="1">
      <c r="A174" s="318"/>
      <c r="B174" s="318"/>
      <c r="C174" s="318"/>
      <c r="D174" s="318"/>
      <c r="E174" s="318"/>
      <c r="F174" s="318"/>
      <c r="G174" s="318"/>
      <c r="H174" s="318"/>
      <c r="I174" s="318"/>
      <c r="J174" s="318"/>
      <c r="K174" s="318"/>
      <c r="L174" s="318"/>
      <c r="M174" s="318"/>
      <c r="N174" s="318"/>
      <c r="O174" s="318"/>
      <c r="P174" s="318"/>
      <c r="Q174" s="318"/>
      <c r="R174" s="318"/>
      <c r="S174" s="318"/>
      <c r="T174" s="318"/>
      <c r="U174" s="318"/>
      <c r="V174" s="318"/>
      <c r="W174" s="318"/>
      <c r="X174" s="318"/>
      <c r="Y174" s="318"/>
      <c r="Z174" s="318"/>
    </row>
    <row r="175" ht="15.75" customHeight="1">
      <c r="A175" s="318"/>
      <c r="B175" s="318"/>
      <c r="C175" s="318"/>
      <c r="D175" s="318"/>
      <c r="E175" s="318"/>
      <c r="F175" s="318"/>
      <c r="G175" s="318"/>
      <c r="H175" s="318"/>
      <c r="I175" s="318"/>
      <c r="J175" s="318"/>
      <c r="K175" s="318"/>
      <c r="L175" s="318"/>
      <c r="M175" s="318"/>
      <c r="N175" s="318"/>
      <c r="O175" s="318"/>
      <c r="P175" s="318"/>
      <c r="Q175" s="318"/>
      <c r="R175" s="318"/>
      <c r="S175" s="318"/>
      <c r="T175" s="318"/>
      <c r="U175" s="318"/>
      <c r="V175" s="318"/>
      <c r="W175" s="318"/>
      <c r="X175" s="318"/>
      <c r="Y175" s="318"/>
      <c r="Z175" s="318"/>
    </row>
    <row r="176" ht="15.75" customHeight="1">
      <c r="A176" s="318"/>
      <c r="B176" s="318"/>
      <c r="C176" s="318"/>
      <c r="D176" s="318"/>
      <c r="E176" s="318"/>
      <c r="F176" s="318"/>
      <c r="G176" s="318"/>
      <c r="H176" s="318"/>
      <c r="I176" s="318"/>
      <c r="J176" s="318"/>
      <c r="K176" s="318"/>
      <c r="L176" s="318"/>
      <c r="M176" s="318"/>
      <c r="N176" s="318"/>
      <c r="O176" s="318"/>
      <c r="P176" s="318"/>
      <c r="Q176" s="318"/>
      <c r="R176" s="318"/>
      <c r="S176" s="318"/>
      <c r="T176" s="318"/>
      <c r="U176" s="318"/>
      <c r="V176" s="318"/>
      <c r="W176" s="318"/>
      <c r="X176" s="318"/>
      <c r="Y176" s="318"/>
      <c r="Z176" s="318"/>
    </row>
    <row r="177" ht="15.75" customHeight="1">
      <c r="A177" s="318"/>
      <c r="B177" s="318"/>
      <c r="C177" s="318"/>
      <c r="D177" s="318"/>
      <c r="E177" s="318"/>
      <c r="F177" s="318"/>
      <c r="G177" s="318"/>
      <c r="H177" s="318"/>
      <c r="I177" s="318"/>
      <c r="J177" s="318"/>
      <c r="K177" s="318"/>
      <c r="L177" s="318"/>
      <c r="M177" s="318"/>
      <c r="N177" s="318"/>
      <c r="O177" s="318"/>
      <c r="P177" s="318"/>
      <c r="Q177" s="318"/>
      <c r="R177" s="318"/>
      <c r="S177" s="318"/>
      <c r="T177" s="318"/>
      <c r="U177" s="318"/>
      <c r="V177" s="318"/>
      <c r="W177" s="318"/>
      <c r="X177" s="318"/>
      <c r="Y177" s="318"/>
      <c r="Z177" s="318"/>
    </row>
    <row r="178" ht="15.75" customHeight="1">
      <c r="A178" s="318"/>
      <c r="B178" s="318"/>
      <c r="C178" s="318"/>
      <c r="D178" s="318"/>
      <c r="E178" s="318"/>
      <c r="F178" s="318"/>
      <c r="G178" s="318"/>
      <c r="H178" s="318"/>
      <c r="I178" s="318"/>
      <c r="J178" s="318"/>
      <c r="K178" s="318"/>
      <c r="L178" s="318"/>
      <c r="M178" s="318"/>
      <c r="N178" s="318"/>
      <c r="O178" s="318"/>
      <c r="P178" s="318"/>
      <c r="Q178" s="318"/>
      <c r="R178" s="318"/>
      <c r="S178" s="318"/>
      <c r="T178" s="318"/>
      <c r="U178" s="318"/>
      <c r="V178" s="318"/>
      <c r="W178" s="318"/>
      <c r="X178" s="318"/>
      <c r="Y178" s="318"/>
      <c r="Z178" s="318"/>
    </row>
    <row r="179" ht="15.75" customHeight="1">
      <c r="A179" s="318"/>
      <c r="B179" s="318"/>
      <c r="C179" s="318"/>
      <c r="D179" s="318"/>
      <c r="E179" s="318"/>
      <c r="F179" s="318"/>
      <c r="G179" s="318"/>
      <c r="H179" s="318"/>
      <c r="I179" s="318"/>
      <c r="J179" s="318"/>
      <c r="K179" s="318"/>
      <c r="L179" s="318"/>
      <c r="M179" s="318"/>
      <c r="N179" s="318"/>
      <c r="O179" s="318"/>
      <c r="P179" s="318"/>
      <c r="Q179" s="318"/>
      <c r="R179" s="318"/>
      <c r="S179" s="318"/>
      <c r="T179" s="318"/>
      <c r="U179" s="318"/>
      <c r="V179" s="318"/>
      <c r="W179" s="318"/>
      <c r="X179" s="318"/>
      <c r="Y179" s="318"/>
      <c r="Z179" s="318"/>
    </row>
    <row r="180" ht="15.75" customHeight="1">
      <c r="A180" s="318"/>
      <c r="B180" s="318"/>
      <c r="C180" s="318"/>
      <c r="D180" s="318"/>
      <c r="E180" s="318"/>
      <c r="F180" s="318"/>
      <c r="G180" s="318"/>
      <c r="H180" s="318"/>
      <c r="I180" s="318"/>
      <c r="J180" s="318"/>
      <c r="K180" s="318"/>
      <c r="L180" s="318"/>
      <c r="M180" s="318"/>
      <c r="N180" s="318"/>
      <c r="O180" s="318"/>
      <c r="P180" s="318"/>
      <c r="Q180" s="318"/>
      <c r="R180" s="318"/>
      <c r="S180" s="318"/>
      <c r="T180" s="318"/>
      <c r="U180" s="318"/>
      <c r="V180" s="318"/>
      <c r="W180" s="318"/>
      <c r="X180" s="318"/>
      <c r="Y180" s="318"/>
      <c r="Z180" s="318"/>
    </row>
    <row r="181" ht="15.75" customHeight="1">
      <c r="A181" s="318"/>
      <c r="B181" s="318"/>
      <c r="C181" s="318"/>
      <c r="D181" s="318"/>
      <c r="E181" s="318"/>
      <c r="F181" s="318"/>
      <c r="G181" s="318"/>
      <c r="H181" s="318"/>
      <c r="I181" s="318"/>
      <c r="J181" s="318"/>
      <c r="K181" s="318"/>
      <c r="L181" s="318"/>
      <c r="M181" s="318"/>
      <c r="N181" s="318"/>
      <c r="O181" s="318"/>
      <c r="P181" s="318"/>
      <c r="Q181" s="318"/>
      <c r="R181" s="318"/>
      <c r="S181" s="318"/>
      <c r="T181" s="318"/>
      <c r="U181" s="318"/>
      <c r="V181" s="318"/>
      <c r="W181" s="318"/>
      <c r="X181" s="318"/>
      <c r="Y181" s="318"/>
      <c r="Z181" s="318"/>
    </row>
    <row r="182" ht="15.75" customHeight="1">
      <c r="A182" s="318"/>
      <c r="B182" s="318"/>
      <c r="C182" s="318"/>
      <c r="D182" s="318"/>
      <c r="E182" s="318"/>
      <c r="F182" s="318"/>
      <c r="G182" s="318"/>
      <c r="H182" s="318"/>
      <c r="I182" s="318"/>
      <c r="J182" s="318"/>
      <c r="K182" s="318"/>
      <c r="L182" s="318"/>
      <c r="M182" s="318"/>
      <c r="N182" s="318"/>
      <c r="O182" s="318"/>
      <c r="P182" s="318"/>
      <c r="Q182" s="318"/>
      <c r="R182" s="318"/>
      <c r="S182" s="318"/>
      <c r="T182" s="318"/>
      <c r="U182" s="318"/>
      <c r="V182" s="318"/>
      <c r="W182" s="318"/>
      <c r="X182" s="318"/>
      <c r="Y182" s="318"/>
      <c r="Z182" s="318"/>
    </row>
    <row r="183" ht="15.75" customHeight="1">
      <c r="A183" s="318"/>
      <c r="B183" s="318"/>
      <c r="C183" s="318"/>
      <c r="D183" s="318"/>
      <c r="E183" s="318"/>
      <c r="F183" s="318"/>
      <c r="G183" s="318"/>
      <c r="H183" s="318"/>
      <c r="I183" s="318"/>
      <c r="J183" s="318"/>
      <c r="K183" s="318"/>
      <c r="L183" s="318"/>
      <c r="M183" s="318"/>
      <c r="N183" s="318"/>
      <c r="O183" s="318"/>
      <c r="P183" s="318"/>
      <c r="Q183" s="318"/>
      <c r="R183" s="318"/>
      <c r="S183" s="318"/>
      <c r="T183" s="318"/>
      <c r="U183" s="318"/>
      <c r="V183" s="318"/>
      <c r="W183" s="318"/>
      <c r="X183" s="318"/>
      <c r="Y183" s="318"/>
      <c r="Z183" s="318"/>
    </row>
    <row r="184" ht="15.75" customHeight="1">
      <c r="A184" s="318"/>
      <c r="B184" s="318"/>
      <c r="C184" s="318"/>
      <c r="D184" s="318"/>
      <c r="E184" s="318"/>
      <c r="F184" s="318"/>
      <c r="G184" s="318"/>
      <c r="H184" s="318"/>
      <c r="I184" s="318"/>
      <c r="J184" s="318"/>
      <c r="K184" s="318"/>
      <c r="L184" s="318"/>
      <c r="M184" s="318"/>
      <c r="N184" s="318"/>
      <c r="O184" s="318"/>
      <c r="P184" s="318"/>
      <c r="Q184" s="318"/>
      <c r="R184" s="318"/>
      <c r="S184" s="318"/>
      <c r="T184" s="318"/>
      <c r="U184" s="318"/>
      <c r="V184" s="318"/>
      <c r="W184" s="318"/>
      <c r="X184" s="318"/>
      <c r="Y184" s="318"/>
      <c r="Z184" s="318"/>
    </row>
    <row r="185" ht="15.75" customHeight="1">
      <c r="A185" s="318"/>
      <c r="B185" s="318"/>
      <c r="C185" s="318"/>
      <c r="D185" s="318"/>
      <c r="E185" s="318"/>
      <c r="F185" s="318"/>
      <c r="G185" s="318"/>
      <c r="H185" s="318"/>
      <c r="I185" s="318"/>
      <c r="J185" s="318"/>
      <c r="K185" s="318"/>
      <c r="L185" s="318"/>
      <c r="M185" s="318"/>
      <c r="N185" s="318"/>
      <c r="O185" s="318"/>
      <c r="P185" s="318"/>
      <c r="Q185" s="318"/>
      <c r="R185" s="318"/>
      <c r="S185" s="318"/>
      <c r="T185" s="318"/>
      <c r="U185" s="318"/>
      <c r="V185" s="318"/>
      <c r="W185" s="318"/>
      <c r="X185" s="318"/>
      <c r="Y185" s="318"/>
      <c r="Z185" s="318"/>
    </row>
    <row r="186" ht="15.75" customHeight="1">
      <c r="A186" s="318"/>
      <c r="B186" s="318"/>
      <c r="C186" s="318"/>
      <c r="D186" s="318"/>
      <c r="E186" s="318"/>
      <c r="F186" s="318"/>
      <c r="G186" s="318"/>
      <c r="H186" s="318"/>
      <c r="I186" s="318"/>
      <c r="J186" s="318"/>
      <c r="K186" s="318"/>
      <c r="L186" s="318"/>
      <c r="M186" s="318"/>
      <c r="N186" s="318"/>
      <c r="O186" s="318"/>
      <c r="P186" s="318"/>
      <c r="Q186" s="318"/>
      <c r="R186" s="318"/>
      <c r="S186" s="318"/>
      <c r="T186" s="318"/>
      <c r="U186" s="318"/>
      <c r="V186" s="318"/>
      <c r="W186" s="318"/>
      <c r="X186" s="318"/>
      <c r="Y186" s="318"/>
      <c r="Z186" s="318"/>
    </row>
    <row r="187" ht="15.75" customHeight="1">
      <c r="A187" s="318"/>
      <c r="B187" s="318"/>
      <c r="C187" s="318"/>
      <c r="D187" s="318"/>
      <c r="E187" s="318"/>
      <c r="F187" s="318"/>
      <c r="G187" s="318"/>
      <c r="H187" s="318"/>
      <c r="I187" s="318"/>
      <c r="J187" s="318"/>
      <c r="K187" s="318"/>
      <c r="L187" s="318"/>
      <c r="M187" s="318"/>
      <c r="N187" s="318"/>
      <c r="O187" s="318"/>
      <c r="P187" s="318"/>
      <c r="Q187" s="318"/>
      <c r="R187" s="318"/>
      <c r="S187" s="318"/>
      <c r="T187" s="318"/>
      <c r="U187" s="318"/>
      <c r="V187" s="318"/>
      <c r="W187" s="318"/>
      <c r="X187" s="318"/>
      <c r="Y187" s="318"/>
      <c r="Z187" s="318"/>
    </row>
    <row r="188" ht="15.75" customHeight="1">
      <c r="A188" s="318"/>
      <c r="B188" s="318"/>
      <c r="C188" s="318"/>
      <c r="D188" s="318"/>
      <c r="E188" s="318"/>
      <c r="F188" s="318"/>
      <c r="G188" s="318"/>
      <c r="H188" s="318"/>
      <c r="I188" s="318"/>
      <c r="J188" s="318"/>
      <c r="K188" s="318"/>
      <c r="L188" s="318"/>
      <c r="M188" s="318"/>
      <c r="N188" s="318"/>
      <c r="O188" s="318"/>
      <c r="P188" s="318"/>
      <c r="Q188" s="318"/>
      <c r="R188" s="318"/>
      <c r="S188" s="318"/>
      <c r="T188" s="318"/>
      <c r="U188" s="318"/>
      <c r="V188" s="318"/>
      <c r="W188" s="318"/>
      <c r="X188" s="318"/>
      <c r="Y188" s="318"/>
      <c r="Z188" s="318"/>
    </row>
    <row r="189" ht="15.75" customHeight="1">
      <c r="A189" s="318"/>
      <c r="B189" s="318"/>
      <c r="C189" s="318"/>
      <c r="D189" s="318"/>
      <c r="E189" s="318"/>
      <c r="F189" s="318"/>
      <c r="G189" s="318"/>
      <c r="H189" s="318"/>
      <c r="I189" s="318"/>
      <c r="J189" s="318"/>
      <c r="K189" s="318"/>
      <c r="L189" s="318"/>
      <c r="M189" s="318"/>
      <c r="N189" s="318"/>
      <c r="O189" s="318"/>
      <c r="P189" s="318"/>
      <c r="Q189" s="318"/>
      <c r="R189" s="318"/>
      <c r="S189" s="318"/>
      <c r="T189" s="318"/>
      <c r="U189" s="318"/>
      <c r="V189" s="318"/>
      <c r="W189" s="318"/>
      <c r="X189" s="318"/>
      <c r="Y189" s="318"/>
      <c r="Z189" s="318"/>
    </row>
    <row r="190" ht="15.75" customHeight="1">
      <c r="A190" s="318"/>
      <c r="B190" s="318"/>
      <c r="C190" s="318"/>
      <c r="D190" s="318"/>
      <c r="E190" s="318"/>
      <c r="F190" s="318"/>
      <c r="G190" s="318"/>
      <c r="H190" s="318"/>
      <c r="I190" s="318"/>
      <c r="J190" s="318"/>
      <c r="K190" s="318"/>
      <c r="L190" s="318"/>
      <c r="M190" s="318"/>
      <c r="N190" s="318"/>
      <c r="O190" s="318"/>
      <c r="P190" s="318"/>
      <c r="Q190" s="318"/>
      <c r="R190" s="318"/>
      <c r="S190" s="318"/>
      <c r="T190" s="318"/>
      <c r="U190" s="318"/>
      <c r="V190" s="318"/>
      <c r="W190" s="318"/>
      <c r="X190" s="318"/>
      <c r="Y190" s="318"/>
      <c r="Z190" s="318"/>
    </row>
    <row r="191" ht="15.75" customHeight="1">
      <c r="A191" s="318"/>
      <c r="B191" s="318"/>
      <c r="C191" s="318"/>
      <c r="D191" s="318"/>
      <c r="E191" s="318"/>
      <c r="F191" s="318"/>
      <c r="G191" s="318"/>
      <c r="H191" s="318"/>
      <c r="I191" s="318"/>
      <c r="J191" s="318"/>
      <c r="K191" s="318"/>
      <c r="L191" s="318"/>
      <c r="M191" s="318"/>
      <c r="N191" s="318"/>
      <c r="O191" s="318"/>
      <c r="P191" s="318"/>
      <c r="Q191" s="318"/>
      <c r="R191" s="318"/>
      <c r="S191" s="318"/>
      <c r="T191" s="318"/>
      <c r="U191" s="318"/>
      <c r="V191" s="318"/>
      <c r="W191" s="318"/>
      <c r="X191" s="318"/>
      <c r="Y191" s="318"/>
      <c r="Z191" s="318"/>
    </row>
    <row r="192" ht="15.75" customHeight="1">
      <c r="A192" s="318"/>
      <c r="B192" s="318"/>
      <c r="C192" s="318"/>
      <c r="D192" s="318"/>
      <c r="E192" s="318"/>
      <c r="F192" s="318"/>
      <c r="G192" s="318"/>
      <c r="H192" s="318"/>
      <c r="I192" s="318"/>
      <c r="J192" s="318"/>
      <c r="K192" s="318"/>
      <c r="L192" s="318"/>
      <c r="M192" s="318"/>
      <c r="N192" s="318"/>
      <c r="O192" s="318"/>
      <c r="P192" s="318"/>
      <c r="Q192" s="318"/>
      <c r="R192" s="318"/>
      <c r="S192" s="318"/>
      <c r="T192" s="318"/>
      <c r="U192" s="318"/>
      <c r="V192" s="318"/>
      <c r="W192" s="318"/>
      <c r="X192" s="318"/>
      <c r="Y192" s="318"/>
      <c r="Z192" s="318"/>
    </row>
    <row r="193" ht="15.75" customHeight="1">
      <c r="A193" s="318"/>
      <c r="B193" s="318"/>
      <c r="C193" s="318"/>
      <c r="D193" s="318"/>
      <c r="E193" s="318"/>
      <c r="F193" s="318"/>
      <c r="G193" s="318"/>
      <c r="H193" s="318"/>
      <c r="I193" s="318"/>
      <c r="J193" s="318"/>
      <c r="K193" s="318"/>
      <c r="L193" s="318"/>
      <c r="M193" s="318"/>
      <c r="N193" s="318"/>
      <c r="O193" s="318"/>
      <c r="P193" s="318"/>
      <c r="Q193" s="318"/>
      <c r="R193" s="318"/>
      <c r="S193" s="318"/>
      <c r="T193" s="318"/>
      <c r="U193" s="318"/>
      <c r="V193" s="318"/>
      <c r="W193" s="318"/>
      <c r="X193" s="318"/>
      <c r="Y193" s="318"/>
      <c r="Z193" s="318"/>
    </row>
    <row r="194" ht="15.75" customHeight="1">
      <c r="A194" s="318"/>
      <c r="B194" s="318"/>
      <c r="C194" s="318"/>
      <c r="D194" s="318"/>
      <c r="E194" s="318"/>
      <c r="F194" s="318"/>
      <c r="G194" s="318"/>
      <c r="H194" s="318"/>
      <c r="I194" s="318"/>
      <c r="J194" s="318"/>
      <c r="K194" s="318"/>
      <c r="L194" s="318"/>
      <c r="M194" s="318"/>
      <c r="N194" s="318"/>
      <c r="O194" s="318"/>
      <c r="P194" s="318"/>
      <c r="Q194" s="318"/>
      <c r="R194" s="318"/>
      <c r="S194" s="318"/>
      <c r="T194" s="318"/>
      <c r="U194" s="318"/>
      <c r="V194" s="318"/>
      <c r="W194" s="318"/>
      <c r="X194" s="318"/>
      <c r="Y194" s="318"/>
      <c r="Z194" s="318"/>
    </row>
    <row r="195" ht="15.75" customHeight="1">
      <c r="A195" s="318"/>
      <c r="B195" s="318"/>
      <c r="C195" s="318"/>
      <c r="D195" s="318"/>
      <c r="E195" s="318"/>
      <c r="F195" s="318"/>
      <c r="G195" s="318"/>
      <c r="H195" s="318"/>
      <c r="I195" s="318"/>
      <c r="J195" s="318"/>
      <c r="K195" s="318"/>
      <c r="L195" s="318"/>
      <c r="M195" s="318"/>
      <c r="N195" s="318"/>
      <c r="O195" s="318"/>
      <c r="P195" s="318"/>
      <c r="Q195" s="318"/>
      <c r="R195" s="318"/>
      <c r="S195" s="318"/>
      <c r="T195" s="318"/>
      <c r="U195" s="318"/>
      <c r="V195" s="318"/>
      <c r="W195" s="318"/>
      <c r="X195" s="318"/>
      <c r="Y195" s="318"/>
      <c r="Z195" s="318"/>
    </row>
    <row r="196" ht="15.75" customHeight="1">
      <c r="A196" s="318"/>
      <c r="B196" s="318"/>
      <c r="C196" s="318"/>
      <c r="D196" s="318"/>
      <c r="E196" s="318"/>
      <c r="F196" s="318"/>
      <c r="G196" s="318"/>
      <c r="H196" s="318"/>
      <c r="I196" s="318"/>
      <c r="J196" s="318"/>
      <c r="K196" s="318"/>
      <c r="L196" s="318"/>
      <c r="M196" s="318"/>
      <c r="N196" s="318"/>
      <c r="O196" s="318"/>
      <c r="P196" s="318"/>
      <c r="Q196" s="318"/>
      <c r="R196" s="318"/>
      <c r="S196" s="318"/>
      <c r="T196" s="318"/>
      <c r="U196" s="318"/>
      <c r="V196" s="318"/>
      <c r="W196" s="318"/>
      <c r="X196" s="318"/>
      <c r="Y196" s="318"/>
      <c r="Z196" s="318"/>
    </row>
    <row r="197" ht="15.75" customHeight="1">
      <c r="A197" s="318"/>
      <c r="B197" s="318"/>
      <c r="C197" s="318"/>
      <c r="D197" s="318"/>
      <c r="E197" s="318"/>
      <c r="F197" s="318"/>
      <c r="G197" s="318"/>
      <c r="H197" s="318"/>
      <c r="I197" s="318"/>
      <c r="J197" s="318"/>
      <c r="K197" s="318"/>
      <c r="L197" s="318"/>
      <c r="M197" s="318"/>
      <c r="N197" s="318"/>
      <c r="O197" s="318"/>
      <c r="P197" s="318"/>
      <c r="Q197" s="318"/>
      <c r="R197" s="318"/>
      <c r="S197" s="318"/>
      <c r="T197" s="318"/>
      <c r="U197" s="318"/>
      <c r="V197" s="318"/>
      <c r="W197" s="318"/>
      <c r="X197" s="318"/>
      <c r="Y197" s="318"/>
      <c r="Z197" s="318"/>
    </row>
    <row r="198" ht="15.75" customHeight="1">
      <c r="A198" s="318"/>
      <c r="B198" s="318"/>
      <c r="C198" s="318"/>
      <c r="D198" s="318"/>
      <c r="E198" s="318"/>
      <c r="F198" s="318"/>
      <c r="G198" s="318"/>
      <c r="H198" s="318"/>
      <c r="I198" s="318"/>
      <c r="J198" s="318"/>
      <c r="K198" s="318"/>
      <c r="L198" s="318"/>
      <c r="M198" s="318"/>
      <c r="N198" s="318"/>
      <c r="O198" s="318"/>
      <c r="P198" s="318"/>
      <c r="Q198" s="318"/>
      <c r="R198" s="318"/>
      <c r="S198" s="318"/>
      <c r="T198" s="318"/>
      <c r="U198" s="318"/>
      <c r="V198" s="318"/>
      <c r="W198" s="318"/>
      <c r="X198" s="318"/>
      <c r="Y198" s="318"/>
      <c r="Z198" s="318"/>
    </row>
    <row r="199" ht="15.75" customHeight="1">
      <c r="A199" s="318"/>
      <c r="B199" s="318"/>
      <c r="C199" s="318"/>
      <c r="D199" s="318"/>
      <c r="E199" s="318"/>
      <c r="F199" s="318"/>
      <c r="G199" s="318"/>
      <c r="H199" s="318"/>
      <c r="I199" s="318"/>
      <c r="J199" s="318"/>
      <c r="K199" s="318"/>
      <c r="L199" s="318"/>
      <c r="M199" s="318"/>
      <c r="N199" s="318"/>
      <c r="O199" s="318"/>
      <c r="P199" s="318"/>
      <c r="Q199" s="318"/>
      <c r="R199" s="318"/>
      <c r="S199" s="318"/>
      <c r="T199" s="318"/>
      <c r="U199" s="318"/>
      <c r="V199" s="318"/>
      <c r="W199" s="318"/>
      <c r="X199" s="318"/>
      <c r="Y199" s="318"/>
      <c r="Z199" s="318"/>
    </row>
    <row r="200" ht="15.75" customHeight="1">
      <c r="A200" s="318"/>
      <c r="B200" s="318"/>
      <c r="C200" s="318"/>
      <c r="D200" s="318"/>
      <c r="E200" s="318"/>
      <c r="F200" s="318"/>
      <c r="G200" s="318"/>
      <c r="H200" s="318"/>
      <c r="I200" s="318"/>
      <c r="J200" s="318"/>
      <c r="K200" s="318"/>
      <c r="L200" s="318"/>
      <c r="M200" s="318"/>
      <c r="N200" s="318"/>
      <c r="O200" s="318"/>
      <c r="P200" s="318"/>
      <c r="Q200" s="318"/>
      <c r="R200" s="318"/>
      <c r="S200" s="318"/>
      <c r="T200" s="318"/>
      <c r="U200" s="318"/>
      <c r="V200" s="318"/>
      <c r="W200" s="318"/>
      <c r="X200" s="318"/>
      <c r="Y200" s="318"/>
      <c r="Z200" s="318"/>
    </row>
    <row r="201" ht="15.75" customHeight="1">
      <c r="A201" s="318"/>
      <c r="B201" s="318"/>
      <c r="C201" s="318"/>
      <c r="D201" s="318"/>
      <c r="E201" s="318"/>
      <c r="F201" s="318"/>
      <c r="G201" s="318"/>
      <c r="H201" s="318"/>
      <c r="I201" s="318"/>
      <c r="J201" s="318"/>
      <c r="K201" s="318"/>
      <c r="L201" s="318"/>
      <c r="M201" s="318"/>
      <c r="N201" s="318"/>
      <c r="O201" s="318"/>
      <c r="P201" s="318"/>
      <c r="Q201" s="318"/>
      <c r="R201" s="318"/>
      <c r="S201" s="318"/>
      <c r="T201" s="318"/>
      <c r="U201" s="318"/>
      <c r="V201" s="318"/>
      <c r="W201" s="318"/>
      <c r="X201" s="318"/>
      <c r="Y201" s="318"/>
      <c r="Z201" s="318"/>
    </row>
    <row r="202" ht="15.75" customHeight="1">
      <c r="A202" s="318"/>
      <c r="B202" s="318"/>
      <c r="C202" s="318"/>
      <c r="D202" s="318"/>
      <c r="E202" s="318"/>
      <c r="F202" s="318"/>
      <c r="G202" s="318"/>
      <c r="H202" s="318"/>
      <c r="I202" s="318"/>
      <c r="J202" s="318"/>
      <c r="K202" s="318"/>
      <c r="L202" s="318"/>
      <c r="M202" s="318"/>
      <c r="N202" s="318"/>
      <c r="O202" s="318"/>
      <c r="P202" s="318"/>
      <c r="Q202" s="318"/>
      <c r="R202" s="318"/>
      <c r="S202" s="318"/>
      <c r="T202" s="318"/>
      <c r="U202" s="318"/>
      <c r="V202" s="318"/>
      <c r="W202" s="318"/>
      <c r="X202" s="318"/>
      <c r="Y202" s="318"/>
      <c r="Z202" s="318"/>
    </row>
    <row r="203" ht="15.75" customHeight="1">
      <c r="A203" s="318"/>
      <c r="B203" s="318"/>
      <c r="C203" s="318"/>
      <c r="D203" s="318"/>
      <c r="E203" s="318"/>
      <c r="F203" s="318"/>
      <c r="G203" s="318"/>
      <c r="H203" s="318"/>
      <c r="I203" s="318"/>
      <c r="J203" s="318"/>
      <c r="K203" s="318"/>
      <c r="L203" s="318"/>
      <c r="M203" s="318"/>
      <c r="N203" s="318"/>
      <c r="O203" s="318"/>
      <c r="P203" s="318"/>
      <c r="Q203" s="318"/>
      <c r="R203" s="318"/>
      <c r="S203" s="318"/>
      <c r="T203" s="318"/>
      <c r="U203" s="318"/>
      <c r="V203" s="318"/>
      <c r="W203" s="318"/>
      <c r="X203" s="318"/>
      <c r="Y203" s="318"/>
      <c r="Z203" s="318"/>
    </row>
    <row r="204" ht="15.75" customHeight="1">
      <c r="A204" s="318"/>
      <c r="B204" s="318"/>
      <c r="C204" s="318"/>
      <c r="D204" s="318"/>
      <c r="E204" s="318"/>
      <c r="F204" s="318"/>
      <c r="G204" s="318"/>
      <c r="H204" s="318"/>
      <c r="I204" s="318"/>
      <c r="J204" s="318"/>
      <c r="K204" s="318"/>
      <c r="L204" s="318"/>
      <c r="M204" s="318"/>
      <c r="N204" s="318"/>
      <c r="O204" s="318"/>
      <c r="P204" s="318"/>
      <c r="Q204" s="318"/>
      <c r="R204" s="318"/>
      <c r="S204" s="318"/>
      <c r="T204" s="318"/>
      <c r="U204" s="318"/>
      <c r="V204" s="318"/>
      <c r="W204" s="318"/>
      <c r="X204" s="318"/>
      <c r="Y204" s="318"/>
      <c r="Z204" s="318"/>
    </row>
    <row r="205" ht="15.75" customHeight="1">
      <c r="A205" s="318"/>
      <c r="B205" s="318"/>
      <c r="C205" s="318"/>
      <c r="D205" s="318"/>
      <c r="E205" s="318"/>
      <c r="F205" s="318"/>
      <c r="G205" s="318"/>
      <c r="H205" s="318"/>
      <c r="I205" s="318"/>
      <c r="J205" s="318"/>
      <c r="K205" s="318"/>
      <c r="L205" s="318"/>
      <c r="M205" s="318"/>
      <c r="N205" s="318"/>
      <c r="O205" s="318"/>
      <c r="P205" s="318"/>
      <c r="Q205" s="318"/>
      <c r="R205" s="318"/>
      <c r="S205" s="318"/>
      <c r="T205" s="318"/>
      <c r="U205" s="318"/>
      <c r="V205" s="318"/>
      <c r="W205" s="318"/>
      <c r="X205" s="318"/>
      <c r="Y205" s="318"/>
      <c r="Z205" s="318"/>
    </row>
    <row r="206" ht="15.75" customHeight="1">
      <c r="A206" s="318"/>
      <c r="B206" s="318"/>
      <c r="C206" s="318"/>
      <c r="D206" s="318"/>
      <c r="E206" s="318"/>
      <c r="F206" s="318"/>
      <c r="G206" s="318"/>
      <c r="H206" s="318"/>
      <c r="I206" s="318"/>
      <c r="J206" s="318"/>
      <c r="K206" s="318"/>
      <c r="L206" s="318"/>
      <c r="M206" s="318"/>
      <c r="N206" s="318"/>
      <c r="O206" s="318"/>
      <c r="P206" s="318"/>
      <c r="Q206" s="318"/>
      <c r="R206" s="318"/>
      <c r="S206" s="318"/>
      <c r="T206" s="318"/>
      <c r="U206" s="318"/>
      <c r="V206" s="318"/>
      <c r="W206" s="318"/>
      <c r="X206" s="318"/>
      <c r="Y206" s="318"/>
      <c r="Z206" s="318"/>
    </row>
    <row r="207" ht="15.75" customHeight="1">
      <c r="A207" s="318"/>
      <c r="B207" s="318"/>
      <c r="C207" s="318"/>
      <c r="D207" s="318"/>
      <c r="E207" s="318"/>
      <c r="F207" s="318"/>
      <c r="G207" s="318"/>
      <c r="H207" s="318"/>
      <c r="I207" s="318"/>
      <c r="J207" s="318"/>
      <c r="K207" s="318"/>
      <c r="L207" s="318"/>
      <c r="M207" s="318"/>
      <c r="N207" s="318"/>
      <c r="O207" s="318"/>
      <c r="P207" s="318"/>
      <c r="Q207" s="318"/>
      <c r="R207" s="318"/>
      <c r="S207" s="318"/>
      <c r="T207" s="318"/>
      <c r="U207" s="318"/>
      <c r="V207" s="318"/>
      <c r="W207" s="318"/>
      <c r="X207" s="318"/>
      <c r="Y207" s="318"/>
      <c r="Z207" s="318"/>
    </row>
    <row r="208" ht="15.75" customHeight="1">
      <c r="A208" s="318"/>
      <c r="B208" s="318"/>
      <c r="C208" s="318"/>
      <c r="D208" s="318"/>
      <c r="E208" s="318"/>
      <c r="F208" s="318"/>
      <c r="G208" s="318"/>
      <c r="H208" s="318"/>
      <c r="I208" s="318"/>
      <c r="J208" s="318"/>
      <c r="K208" s="318"/>
      <c r="L208" s="318"/>
      <c r="M208" s="318"/>
      <c r="N208" s="318"/>
      <c r="O208" s="318"/>
      <c r="P208" s="318"/>
      <c r="Q208" s="318"/>
      <c r="R208" s="318"/>
      <c r="S208" s="318"/>
      <c r="T208" s="318"/>
      <c r="U208" s="318"/>
      <c r="V208" s="318"/>
      <c r="W208" s="318"/>
      <c r="X208" s="318"/>
      <c r="Y208" s="318"/>
      <c r="Z208" s="318"/>
    </row>
    <row r="209" ht="15.75" customHeight="1">
      <c r="A209" s="318"/>
      <c r="B209" s="318"/>
      <c r="C209" s="318"/>
      <c r="D209" s="318"/>
      <c r="E209" s="318"/>
      <c r="F209" s="318"/>
      <c r="G209" s="318"/>
      <c r="H209" s="318"/>
      <c r="I209" s="318"/>
      <c r="J209" s="318"/>
      <c r="K209" s="318"/>
      <c r="L209" s="318"/>
      <c r="M209" s="318"/>
      <c r="N209" s="318"/>
      <c r="O209" s="318"/>
      <c r="P209" s="318"/>
      <c r="Q209" s="318"/>
      <c r="R209" s="318"/>
      <c r="S209" s="318"/>
      <c r="T209" s="318"/>
      <c r="U209" s="318"/>
      <c r="V209" s="318"/>
      <c r="W209" s="318"/>
      <c r="X209" s="318"/>
      <c r="Y209" s="318"/>
      <c r="Z209" s="318"/>
    </row>
    <row r="210" ht="15.75" customHeight="1">
      <c r="A210" s="318"/>
      <c r="B210" s="318"/>
      <c r="C210" s="318"/>
      <c r="D210" s="318"/>
      <c r="E210" s="318"/>
      <c r="F210" s="318"/>
      <c r="G210" s="318"/>
      <c r="H210" s="318"/>
      <c r="I210" s="318"/>
      <c r="J210" s="318"/>
      <c r="K210" s="318"/>
      <c r="L210" s="318"/>
      <c r="M210" s="318"/>
      <c r="N210" s="318"/>
      <c r="O210" s="318"/>
      <c r="P210" s="318"/>
      <c r="Q210" s="318"/>
      <c r="R210" s="318"/>
      <c r="S210" s="318"/>
      <c r="T210" s="318"/>
      <c r="U210" s="318"/>
      <c r="V210" s="318"/>
      <c r="W210" s="318"/>
      <c r="X210" s="318"/>
      <c r="Y210" s="318"/>
      <c r="Z210" s="318"/>
    </row>
    <row r="211" ht="15.75" customHeight="1">
      <c r="A211" s="318"/>
      <c r="B211" s="318"/>
      <c r="C211" s="318"/>
      <c r="D211" s="318"/>
      <c r="E211" s="318"/>
      <c r="F211" s="318"/>
      <c r="G211" s="318"/>
      <c r="H211" s="318"/>
      <c r="I211" s="318"/>
      <c r="J211" s="318"/>
      <c r="K211" s="318"/>
      <c r="L211" s="318"/>
      <c r="M211" s="318"/>
      <c r="N211" s="318"/>
      <c r="O211" s="318"/>
      <c r="P211" s="318"/>
      <c r="Q211" s="318"/>
      <c r="R211" s="318"/>
      <c r="S211" s="318"/>
      <c r="T211" s="318"/>
      <c r="U211" s="318"/>
      <c r="V211" s="318"/>
      <c r="W211" s="318"/>
      <c r="X211" s="318"/>
      <c r="Y211" s="318"/>
      <c r="Z211" s="318"/>
    </row>
    <row r="212" ht="15.75" customHeight="1">
      <c r="A212" s="318"/>
      <c r="B212" s="318"/>
      <c r="C212" s="318"/>
      <c r="D212" s="318"/>
      <c r="E212" s="318"/>
      <c r="F212" s="318"/>
      <c r="G212" s="318"/>
      <c r="H212" s="318"/>
      <c r="I212" s="318"/>
      <c r="J212" s="318"/>
      <c r="K212" s="318"/>
      <c r="L212" s="318"/>
      <c r="M212" s="318"/>
      <c r="N212" s="318"/>
      <c r="O212" s="318"/>
      <c r="P212" s="318"/>
      <c r="Q212" s="318"/>
      <c r="R212" s="318"/>
      <c r="S212" s="318"/>
      <c r="T212" s="318"/>
      <c r="U212" s="318"/>
      <c r="V212" s="318"/>
      <c r="W212" s="318"/>
      <c r="X212" s="318"/>
      <c r="Y212" s="318"/>
      <c r="Z212" s="318"/>
    </row>
    <row r="213" ht="15.75" customHeight="1">
      <c r="A213" s="318"/>
      <c r="B213" s="318"/>
      <c r="C213" s="318"/>
      <c r="D213" s="318"/>
      <c r="E213" s="318"/>
      <c r="F213" s="318"/>
      <c r="G213" s="318"/>
      <c r="H213" s="318"/>
      <c r="I213" s="318"/>
      <c r="J213" s="318"/>
      <c r="K213" s="318"/>
      <c r="L213" s="318"/>
      <c r="M213" s="318"/>
      <c r="N213" s="318"/>
      <c r="O213" s="318"/>
      <c r="P213" s="318"/>
      <c r="Q213" s="318"/>
      <c r="R213" s="318"/>
      <c r="S213" s="318"/>
      <c r="T213" s="318"/>
      <c r="U213" s="318"/>
      <c r="V213" s="318"/>
      <c r="W213" s="318"/>
      <c r="X213" s="318"/>
      <c r="Y213" s="318"/>
      <c r="Z213" s="318"/>
    </row>
    <row r="214" ht="15.75" customHeight="1">
      <c r="A214" s="318"/>
      <c r="B214" s="318"/>
      <c r="C214" s="318"/>
      <c r="D214" s="318"/>
      <c r="E214" s="318"/>
      <c r="F214" s="318"/>
      <c r="G214" s="318"/>
      <c r="H214" s="318"/>
      <c r="I214" s="318"/>
      <c r="J214" s="318"/>
      <c r="K214" s="318"/>
      <c r="L214" s="318"/>
      <c r="M214" s="318"/>
      <c r="N214" s="318"/>
      <c r="O214" s="318"/>
      <c r="P214" s="318"/>
      <c r="Q214" s="318"/>
      <c r="R214" s="318"/>
      <c r="S214" s="318"/>
      <c r="T214" s="318"/>
      <c r="U214" s="318"/>
      <c r="V214" s="318"/>
      <c r="W214" s="318"/>
      <c r="X214" s="318"/>
      <c r="Y214" s="318"/>
      <c r="Z214" s="318"/>
    </row>
    <row r="215" ht="15.75" customHeight="1">
      <c r="A215" s="318"/>
      <c r="B215" s="318"/>
      <c r="C215" s="318"/>
      <c r="D215" s="318"/>
      <c r="E215" s="318"/>
      <c r="F215" s="318"/>
      <c r="G215" s="318"/>
      <c r="H215" s="318"/>
      <c r="I215" s="318"/>
      <c r="J215" s="318"/>
      <c r="K215" s="318"/>
      <c r="L215" s="318"/>
      <c r="M215" s="318"/>
      <c r="N215" s="318"/>
      <c r="O215" s="318"/>
      <c r="P215" s="318"/>
      <c r="Q215" s="318"/>
      <c r="R215" s="318"/>
      <c r="S215" s="318"/>
      <c r="T215" s="318"/>
      <c r="U215" s="318"/>
      <c r="V215" s="318"/>
      <c r="W215" s="318"/>
      <c r="X215" s="318"/>
      <c r="Y215" s="318"/>
      <c r="Z215" s="318"/>
    </row>
    <row r="216" ht="15.75" customHeight="1">
      <c r="A216" s="318"/>
      <c r="B216" s="318"/>
      <c r="C216" s="318"/>
      <c r="D216" s="318"/>
      <c r="E216" s="318"/>
      <c r="F216" s="318"/>
      <c r="G216" s="318"/>
      <c r="H216" s="318"/>
      <c r="I216" s="318"/>
      <c r="J216" s="318"/>
      <c r="K216" s="318"/>
      <c r="L216" s="318"/>
      <c r="M216" s="318"/>
      <c r="N216" s="318"/>
      <c r="O216" s="318"/>
      <c r="P216" s="318"/>
      <c r="Q216" s="318"/>
      <c r="R216" s="318"/>
      <c r="S216" s="318"/>
      <c r="T216" s="318"/>
      <c r="U216" s="318"/>
      <c r="V216" s="318"/>
      <c r="W216" s="318"/>
      <c r="X216" s="318"/>
      <c r="Y216" s="318"/>
      <c r="Z216" s="318"/>
    </row>
    <row r="217" ht="15.75" customHeight="1">
      <c r="A217" s="318"/>
      <c r="B217" s="318"/>
      <c r="C217" s="318"/>
      <c r="D217" s="318"/>
      <c r="E217" s="318"/>
      <c r="F217" s="318"/>
      <c r="G217" s="318"/>
      <c r="H217" s="318"/>
      <c r="I217" s="318"/>
      <c r="J217" s="318"/>
      <c r="K217" s="318"/>
      <c r="L217" s="318"/>
      <c r="M217" s="318"/>
      <c r="N217" s="318"/>
      <c r="O217" s="318"/>
      <c r="P217" s="318"/>
      <c r="Q217" s="318"/>
      <c r="R217" s="318"/>
      <c r="S217" s="318"/>
      <c r="T217" s="318"/>
      <c r="U217" s="318"/>
      <c r="V217" s="318"/>
      <c r="W217" s="318"/>
      <c r="X217" s="318"/>
      <c r="Y217" s="318"/>
      <c r="Z217" s="318"/>
    </row>
    <row r="218" ht="15.75" customHeight="1">
      <c r="A218" s="318"/>
      <c r="B218" s="318"/>
      <c r="C218" s="318"/>
      <c r="D218" s="318"/>
      <c r="E218" s="318"/>
      <c r="F218" s="318"/>
      <c r="G218" s="318"/>
      <c r="H218" s="318"/>
      <c r="I218" s="318"/>
      <c r="J218" s="318"/>
      <c r="K218" s="318"/>
      <c r="L218" s="318"/>
      <c r="M218" s="318"/>
      <c r="N218" s="318"/>
      <c r="O218" s="318"/>
      <c r="P218" s="318"/>
      <c r="Q218" s="318"/>
      <c r="R218" s="318"/>
      <c r="S218" s="318"/>
      <c r="T218" s="318"/>
      <c r="U218" s="318"/>
      <c r="V218" s="318"/>
      <c r="W218" s="318"/>
      <c r="X218" s="318"/>
      <c r="Y218" s="318"/>
      <c r="Z218" s="318"/>
    </row>
    <row r="219" ht="15.75" customHeight="1">
      <c r="A219" s="318"/>
      <c r="B219" s="318"/>
      <c r="C219" s="318"/>
      <c r="D219" s="318"/>
      <c r="E219" s="318"/>
      <c r="F219" s="318"/>
      <c r="G219" s="318"/>
      <c r="H219" s="318"/>
      <c r="I219" s="318"/>
      <c r="J219" s="318"/>
      <c r="K219" s="318"/>
      <c r="L219" s="318"/>
      <c r="M219" s="318"/>
      <c r="N219" s="318"/>
      <c r="O219" s="318"/>
      <c r="P219" s="318"/>
      <c r="Q219" s="318"/>
      <c r="R219" s="318"/>
      <c r="S219" s="318"/>
      <c r="T219" s="318"/>
      <c r="U219" s="318"/>
      <c r="V219" s="318"/>
      <c r="W219" s="318"/>
      <c r="X219" s="318"/>
      <c r="Y219" s="318"/>
      <c r="Z219" s="318"/>
    </row>
    <row r="220" ht="15.75" customHeight="1">
      <c r="A220" s="318"/>
      <c r="B220" s="318"/>
      <c r="C220" s="318"/>
      <c r="D220" s="318"/>
      <c r="E220" s="318"/>
      <c r="F220" s="318"/>
      <c r="G220" s="318"/>
      <c r="H220" s="318"/>
      <c r="I220" s="318"/>
      <c r="J220" s="318"/>
      <c r="K220" s="318"/>
      <c r="L220" s="318"/>
      <c r="M220" s="318"/>
      <c r="N220" s="318"/>
      <c r="O220" s="318"/>
      <c r="P220" s="318"/>
      <c r="Q220" s="318"/>
      <c r="R220" s="318"/>
      <c r="S220" s="318"/>
      <c r="T220" s="318"/>
      <c r="U220" s="318"/>
      <c r="V220" s="318"/>
      <c r="W220" s="318"/>
      <c r="X220" s="318"/>
      <c r="Y220" s="318"/>
      <c r="Z220" s="3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79" t="s">
        <v>4304</v>
      </c>
      <c r="B1" s="179" t="s">
        <v>4305</v>
      </c>
      <c r="C1" s="1" t="s">
        <v>4306</v>
      </c>
      <c r="D1" s="1" t="s">
        <v>4307</v>
      </c>
      <c r="E1" s="1" t="s">
        <v>4308</v>
      </c>
      <c r="F1" s="1" t="s">
        <v>4309</v>
      </c>
    </row>
    <row r="2" ht="15.75" customHeight="1">
      <c r="A2" s="96" t="s">
        <v>22</v>
      </c>
      <c r="B2" s="96"/>
      <c r="E2" s="1" t="b">
        <v>1</v>
      </c>
      <c r="F2" s="1" t="s">
        <v>4310</v>
      </c>
    </row>
    <row r="3" ht="15.75" customHeight="1">
      <c r="A3" s="96" t="s">
        <v>75</v>
      </c>
      <c r="B3" s="96"/>
      <c r="E3" s="1" t="b">
        <v>1</v>
      </c>
      <c r="F3" s="1" t="s">
        <v>4310</v>
      </c>
    </row>
    <row r="4" ht="15.75" customHeight="1">
      <c r="A4" s="96" t="s">
        <v>95</v>
      </c>
      <c r="E4" s="1" t="b">
        <v>1</v>
      </c>
      <c r="F4" s="1" t="s">
        <v>4310</v>
      </c>
    </row>
    <row r="5" ht="15.75" customHeight="1">
      <c r="A5" s="96" t="s">
        <v>142</v>
      </c>
      <c r="E5" s="1" t="b">
        <v>1</v>
      </c>
      <c r="F5" s="1" t="s">
        <v>4310</v>
      </c>
    </row>
    <row r="6" ht="15.75" customHeight="1">
      <c r="A6" s="96" t="s">
        <v>152</v>
      </c>
      <c r="E6" s="1" t="b">
        <v>1</v>
      </c>
      <c r="F6" s="1" t="s">
        <v>4310</v>
      </c>
    </row>
    <row r="7" ht="15.75" customHeight="1">
      <c r="A7" s="96" t="s">
        <v>171</v>
      </c>
      <c r="E7" s="1" t="b">
        <v>1</v>
      </c>
      <c r="F7" s="1" t="s">
        <v>4310</v>
      </c>
    </row>
    <row r="8" ht="15.75" customHeight="1">
      <c r="A8" s="96" t="s">
        <v>177</v>
      </c>
      <c r="E8" s="1" t="b">
        <v>1</v>
      </c>
      <c r="F8" s="1" t="s">
        <v>4310</v>
      </c>
    </row>
    <row r="9" ht="15.75" customHeight="1">
      <c r="A9" s="96" t="s">
        <v>137</v>
      </c>
      <c r="E9" s="1" t="b">
        <v>1</v>
      </c>
      <c r="F9" s="1" t="s">
        <v>4310</v>
      </c>
    </row>
    <row r="10" ht="15.75" customHeight="1">
      <c r="A10" s="96" t="s">
        <v>229</v>
      </c>
      <c r="E10" s="1" t="b">
        <v>1</v>
      </c>
      <c r="F10" s="1" t="s">
        <v>4310</v>
      </c>
    </row>
    <row r="11" ht="15.75" customHeight="1">
      <c r="A11" s="96" t="s">
        <v>254</v>
      </c>
      <c r="E11" s="1" t="b">
        <v>1</v>
      </c>
      <c r="F11" s="1" t="s">
        <v>4310</v>
      </c>
    </row>
    <row r="12" ht="15.75" customHeight="1">
      <c r="A12" s="96" t="s">
        <v>525</v>
      </c>
      <c r="E12" s="1" t="b">
        <v>1</v>
      </c>
      <c r="F12" s="1" t="s">
        <v>4310</v>
      </c>
    </row>
    <row r="13" ht="15.75" customHeight="1">
      <c r="A13" s="96" t="s">
        <v>715</v>
      </c>
      <c r="E13" s="1" t="b">
        <v>1</v>
      </c>
      <c r="F13" s="1" t="s">
        <v>4310</v>
      </c>
    </row>
    <row r="14" ht="15.75" customHeight="1">
      <c r="A14" s="96" t="s">
        <v>744</v>
      </c>
      <c r="E14" s="1" t="b">
        <v>1</v>
      </c>
      <c r="F14" s="1" t="s">
        <v>4310</v>
      </c>
    </row>
    <row r="15" ht="15.75" customHeight="1">
      <c r="A15" s="96" t="s">
        <v>1182</v>
      </c>
      <c r="E15" s="1" t="b">
        <v>1</v>
      </c>
      <c r="F15" s="1" t="s">
        <v>4310</v>
      </c>
    </row>
    <row r="16" ht="15.75" customHeight="1">
      <c r="A16" s="96" t="s">
        <v>1376</v>
      </c>
      <c r="E16" s="1" t="b">
        <v>1</v>
      </c>
      <c r="F16" s="1" t="s">
        <v>4310</v>
      </c>
    </row>
    <row r="17" ht="15.75" customHeight="1">
      <c r="A17" s="96" t="s">
        <v>1387</v>
      </c>
      <c r="E17" s="1" t="b">
        <v>1</v>
      </c>
      <c r="F17" s="1" t="s">
        <v>4310</v>
      </c>
    </row>
    <row r="18" ht="15.75" customHeight="1">
      <c r="A18" s="96" t="s">
        <v>1376</v>
      </c>
      <c r="E18" s="1" t="b">
        <v>1</v>
      </c>
      <c r="F18" s="1" t="s">
        <v>4310</v>
      </c>
    </row>
    <row r="19" ht="15.75" customHeight="1">
      <c r="A19" s="96" t="s">
        <v>1622</v>
      </c>
      <c r="E19" s="1" t="b">
        <v>1</v>
      </c>
      <c r="F19" s="1" t="s">
        <v>4310</v>
      </c>
    </row>
    <row r="20" ht="15.75" customHeight="1">
      <c r="A20" s="96" t="s">
        <v>1724</v>
      </c>
      <c r="E20" s="1" t="b">
        <v>1</v>
      </c>
      <c r="F20" s="1" t="s">
        <v>4310</v>
      </c>
    </row>
    <row r="21" ht="15.75" customHeight="1">
      <c r="A21" s="96" t="s">
        <v>4311</v>
      </c>
      <c r="E21" s="1" t="b">
        <v>1</v>
      </c>
      <c r="F21" s="1" t="s">
        <v>4310</v>
      </c>
    </row>
    <row r="22" ht="15.75" customHeight="1">
      <c r="A22" s="96" t="s">
        <v>1847</v>
      </c>
      <c r="E22" s="1" t="b">
        <v>1</v>
      </c>
      <c r="F22" s="1" t="s">
        <v>4310</v>
      </c>
    </row>
    <row r="23" ht="15.75" customHeight="1">
      <c r="A23" s="1" t="s">
        <v>3072</v>
      </c>
      <c r="E23" s="1" t="b">
        <v>1</v>
      </c>
      <c r="F23" s="1" t="s">
        <v>4312</v>
      </c>
    </row>
    <row r="24" ht="15.75" customHeight="1">
      <c r="A24" s="1" t="s">
        <v>3217</v>
      </c>
      <c r="E24" s="1" t="b">
        <v>1</v>
      </c>
      <c r="F24" s="1" t="s">
        <v>4313</v>
      </c>
    </row>
    <row r="25" ht="15.75" customHeight="1">
      <c r="A25" s="1" t="s">
        <v>4314</v>
      </c>
      <c r="E25" s="1" t="b">
        <v>1</v>
      </c>
      <c r="F25" s="1" t="s">
        <v>4315</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4316</v>
      </c>
    </row>
    <row r="2">
      <c r="A2" s="15" t="str">
        <f>IFERROR(__xludf.DUMMYFUNCTION("UNIQUE(FILTER('Delivery Receipt'!B$2:B1001, COUNTIF(clients!A$2:A1001, 'Delivery Receipt'!B$2:B1001)=0))"),"")</f>
        <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9.63"/>
    <col customWidth="1" min="4" max="4" width="11.63"/>
    <col customWidth="1" min="5" max="8" width="35.38"/>
    <col customWidth="1" min="12" max="12" width="20.88"/>
    <col customWidth="1" min="13" max="13" width="17.13"/>
  </cols>
  <sheetData>
    <row r="1">
      <c r="A1" s="326" t="s">
        <v>4317</v>
      </c>
      <c r="B1" s="327" t="s">
        <v>4318</v>
      </c>
      <c r="C1" s="327" t="s">
        <v>4319</v>
      </c>
      <c r="D1" s="327" t="s">
        <v>4320</v>
      </c>
      <c r="E1" s="328" t="s">
        <v>4321</v>
      </c>
      <c r="F1" s="328" t="s">
        <v>4322</v>
      </c>
      <c r="G1" s="328" t="s">
        <v>4323</v>
      </c>
      <c r="H1" s="328" t="s">
        <v>4324</v>
      </c>
      <c r="I1" s="327" t="s">
        <v>4325</v>
      </c>
      <c r="J1" s="327" t="s">
        <v>4326</v>
      </c>
      <c r="K1" s="327" t="s">
        <v>4327</v>
      </c>
      <c r="L1" s="329" t="s">
        <v>4328</v>
      </c>
      <c r="M1" s="327" t="s">
        <v>4329</v>
      </c>
      <c r="N1" s="327" t="s">
        <v>7</v>
      </c>
      <c r="O1" s="330"/>
      <c r="P1" s="330"/>
      <c r="Q1" s="330"/>
      <c r="R1" s="330"/>
      <c r="S1" s="330"/>
    </row>
    <row r="2">
      <c r="A2" s="14" t="s">
        <v>574</v>
      </c>
      <c r="B2" s="331" t="s">
        <v>4330</v>
      </c>
      <c r="C2" s="330" t="b">
        <v>1</v>
      </c>
      <c r="D2" s="331">
        <v>2013.0</v>
      </c>
      <c r="E2" s="14"/>
      <c r="F2" s="14" t="s">
        <v>4331</v>
      </c>
      <c r="G2" s="1" t="s">
        <v>31</v>
      </c>
      <c r="H2" s="1" t="s">
        <v>31</v>
      </c>
      <c r="I2" s="331" t="s">
        <v>4332</v>
      </c>
      <c r="J2" s="1" t="s">
        <v>31</v>
      </c>
      <c r="K2" s="332"/>
      <c r="L2" s="331">
        <v>9.266193512E9</v>
      </c>
      <c r="M2" s="331"/>
      <c r="N2" s="333" t="s">
        <v>1182</v>
      </c>
      <c r="O2" s="331"/>
      <c r="P2" s="331"/>
      <c r="Q2" s="331"/>
      <c r="R2" s="331"/>
      <c r="S2" s="331"/>
    </row>
    <row r="3">
      <c r="A3" s="14" t="s">
        <v>1334</v>
      </c>
      <c r="B3" s="331" t="s">
        <v>4333</v>
      </c>
      <c r="C3" s="330" t="b">
        <v>0</v>
      </c>
      <c r="D3" s="331">
        <v>2020.0</v>
      </c>
      <c r="E3" s="14"/>
      <c r="F3" s="14" t="s">
        <v>4334</v>
      </c>
      <c r="G3" s="1" t="s">
        <v>31</v>
      </c>
      <c r="H3" s="1" t="s">
        <v>31</v>
      </c>
      <c r="I3" s="331" t="s">
        <v>4335</v>
      </c>
      <c r="J3" s="1" t="s">
        <v>31</v>
      </c>
      <c r="K3" s="332"/>
      <c r="L3" s="331">
        <v>9.503611416E9</v>
      </c>
      <c r="M3" s="331"/>
      <c r="N3" s="333" t="s">
        <v>1182</v>
      </c>
      <c r="O3" s="331"/>
      <c r="P3" s="331"/>
      <c r="Q3" s="331"/>
      <c r="R3" s="331"/>
      <c r="S3" s="331"/>
    </row>
    <row r="4">
      <c r="A4" s="14" t="s">
        <v>1337</v>
      </c>
      <c r="B4" s="331" t="s">
        <v>4336</v>
      </c>
      <c r="C4" s="330" t="b">
        <v>0</v>
      </c>
      <c r="D4" s="331">
        <v>2010.0</v>
      </c>
      <c r="E4" s="14"/>
      <c r="F4" s="14" t="s">
        <v>4337</v>
      </c>
      <c r="G4" s="1" t="s">
        <v>31</v>
      </c>
      <c r="H4" s="1" t="s">
        <v>31</v>
      </c>
      <c r="I4" s="331" t="s">
        <v>4338</v>
      </c>
      <c r="J4" s="1" t="s">
        <v>31</v>
      </c>
      <c r="K4" s="332"/>
      <c r="L4" s="331">
        <v>9.310924578E9</v>
      </c>
      <c r="M4" s="331"/>
      <c r="N4" s="333" t="s">
        <v>1182</v>
      </c>
      <c r="O4" s="331"/>
      <c r="P4" s="331"/>
      <c r="Q4" s="331"/>
      <c r="R4" s="331"/>
      <c r="S4" s="331"/>
    </row>
    <row r="5">
      <c r="A5" s="14" t="s">
        <v>1343</v>
      </c>
      <c r="B5" s="331" t="s">
        <v>4339</v>
      </c>
      <c r="C5" s="330" t="b">
        <v>0</v>
      </c>
      <c r="D5" s="331">
        <v>2020.0</v>
      </c>
      <c r="E5" s="14"/>
      <c r="F5" s="14" t="s">
        <v>4340</v>
      </c>
      <c r="G5" s="1" t="s">
        <v>31</v>
      </c>
      <c r="H5" s="1" t="s">
        <v>31</v>
      </c>
      <c r="I5" s="331" t="s">
        <v>4341</v>
      </c>
      <c r="J5" s="1" t="s">
        <v>31</v>
      </c>
      <c r="K5" s="332"/>
      <c r="L5" s="331">
        <v>9.178142382E9</v>
      </c>
      <c r="M5" s="331"/>
      <c r="N5" s="333" t="s">
        <v>1182</v>
      </c>
      <c r="O5" s="331"/>
      <c r="P5" s="331"/>
      <c r="Q5" s="331"/>
      <c r="R5" s="331"/>
      <c r="S5" s="331"/>
    </row>
    <row r="6">
      <c r="A6" s="14" t="s">
        <v>1273</v>
      </c>
      <c r="B6" s="331" t="s">
        <v>4342</v>
      </c>
      <c r="C6" s="330" t="b">
        <v>1</v>
      </c>
      <c r="D6" s="331">
        <v>2025.0</v>
      </c>
      <c r="E6" s="14"/>
      <c r="F6" s="14" t="s">
        <v>4343</v>
      </c>
      <c r="G6" s="1" t="s">
        <v>31</v>
      </c>
      <c r="H6" s="1" t="s">
        <v>31</v>
      </c>
      <c r="I6" s="331" t="s">
        <v>4344</v>
      </c>
      <c r="J6" s="1" t="s">
        <v>31</v>
      </c>
      <c r="K6" s="332"/>
      <c r="L6" s="331">
        <v>9.07543501E9</v>
      </c>
      <c r="M6" s="331"/>
      <c r="N6" s="333" t="s">
        <v>1182</v>
      </c>
      <c r="O6" s="331"/>
      <c r="P6" s="331"/>
      <c r="Q6" s="331"/>
      <c r="R6" s="331"/>
      <c r="S6" s="331"/>
    </row>
    <row r="7">
      <c r="A7" s="14" t="s">
        <v>1285</v>
      </c>
      <c r="B7" s="331" t="s">
        <v>4345</v>
      </c>
      <c r="C7" s="330" t="b">
        <v>0</v>
      </c>
      <c r="D7" s="331">
        <v>2025.0</v>
      </c>
      <c r="E7" s="14"/>
      <c r="F7" s="14" t="s">
        <v>4346</v>
      </c>
      <c r="G7" s="1" t="s">
        <v>31</v>
      </c>
      <c r="H7" s="1" t="s">
        <v>31</v>
      </c>
      <c r="I7" s="331" t="s">
        <v>4347</v>
      </c>
      <c r="J7" s="1" t="s">
        <v>31</v>
      </c>
      <c r="K7" s="332"/>
      <c r="L7" s="331">
        <v>9.155653693E9</v>
      </c>
      <c r="M7" s="331"/>
      <c r="N7" s="333" t="s">
        <v>1182</v>
      </c>
      <c r="O7" s="331"/>
      <c r="P7" s="331"/>
      <c r="Q7" s="331"/>
      <c r="R7" s="331"/>
      <c r="S7" s="331"/>
    </row>
    <row r="8">
      <c r="A8" s="14" t="s">
        <v>4348</v>
      </c>
      <c r="B8" s="331" t="s">
        <v>4349</v>
      </c>
      <c r="C8" s="330" t="b">
        <v>0</v>
      </c>
      <c r="D8" s="331">
        <v>2025.0</v>
      </c>
      <c r="E8" s="14"/>
      <c r="F8" s="14" t="s">
        <v>4350</v>
      </c>
      <c r="G8" s="1" t="s">
        <v>31</v>
      </c>
      <c r="H8" s="1" t="s">
        <v>31</v>
      </c>
      <c r="I8" s="331" t="s">
        <v>4351</v>
      </c>
      <c r="J8" s="1" t="s">
        <v>31</v>
      </c>
      <c r="K8" s="332"/>
      <c r="L8" s="331">
        <v>9.420022086E9</v>
      </c>
      <c r="M8" s="331"/>
      <c r="N8" s="333" t="s">
        <v>177</v>
      </c>
      <c r="O8" s="331"/>
      <c r="P8" s="331"/>
      <c r="Q8" s="331"/>
      <c r="R8" s="331"/>
      <c r="S8" s="331"/>
    </row>
    <row r="9">
      <c r="A9" s="14" t="s">
        <v>4352</v>
      </c>
      <c r="B9" s="331" t="s">
        <v>4353</v>
      </c>
      <c r="C9" s="330" t="b">
        <v>0</v>
      </c>
      <c r="D9" s="331">
        <v>2021.0</v>
      </c>
      <c r="E9" s="14"/>
      <c r="F9" s="14" t="s">
        <v>4354</v>
      </c>
      <c r="G9" s="1" t="s">
        <v>31</v>
      </c>
      <c r="H9" s="1" t="s">
        <v>31</v>
      </c>
      <c r="I9" s="331" t="s">
        <v>4355</v>
      </c>
      <c r="J9" s="1" t="s">
        <v>31</v>
      </c>
      <c r="K9" s="332"/>
      <c r="L9" s="331">
        <v>9.958401899E9</v>
      </c>
      <c r="M9" s="331"/>
      <c r="N9" s="333" t="s">
        <v>177</v>
      </c>
      <c r="O9" s="331"/>
      <c r="P9" s="331"/>
      <c r="Q9" s="331"/>
      <c r="R9" s="331"/>
      <c r="S9" s="331"/>
    </row>
    <row r="10">
      <c r="A10" s="14" t="s">
        <v>858</v>
      </c>
      <c r="B10" s="331" t="s">
        <v>4356</v>
      </c>
      <c r="C10" s="330" t="b">
        <v>1</v>
      </c>
      <c r="D10" s="331">
        <v>2016.0</v>
      </c>
      <c r="E10" s="14"/>
      <c r="F10" s="14" t="s">
        <v>4357</v>
      </c>
      <c r="G10" s="1" t="s">
        <v>31</v>
      </c>
      <c r="H10" s="1" t="s">
        <v>31</v>
      </c>
      <c r="I10" s="331" t="s">
        <v>4358</v>
      </c>
      <c r="J10" s="1" t="s">
        <v>31</v>
      </c>
      <c r="K10" s="332"/>
      <c r="L10" s="331">
        <v>9.202145609E9</v>
      </c>
      <c r="M10" s="331"/>
      <c r="N10" s="333" t="s">
        <v>177</v>
      </c>
      <c r="O10" s="331"/>
      <c r="P10" s="331"/>
      <c r="Q10" s="331"/>
      <c r="R10" s="331"/>
      <c r="S10" s="331"/>
    </row>
    <row r="11">
      <c r="A11" s="14" t="s">
        <v>461</v>
      </c>
      <c r="B11" s="331" t="s">
        <v>4359</v>
      </c>
      <c r="C11" s="330" t="b">
        <v>1</v>
      </c>
      <c r="D11" s="331">
        <v>1993.0</v>
      </c>
      <c r="E11" s="14"/>
      <c r="F11" s="14" t="s">
        <v>4360</v>
      </c>
      <c r="G11" s="1" t="s">
        <v>31</v>
      </c>
      <c r="H11" s="1" t="s">
        <v>31</v>
      </c>
      <c r="I11" s="331" t="s">
        <v>4361</v>
      </c>
      <c r="J11" s="1" t="s">
        <v>31</v>
      </c>
      <c r="K11" s="332"/>
      <c r="L11" s="331">
        <v>9.179854986E9</v>
      </c>
      <c r="M11" s="331"/>
      <c r="N11" s="333" t="s">
        <v>177</v>
      </c>
      <c r="O11" s="331"/>
      <c r="P11" s="331"/>
      <c r="Q11" s="331"/>
      <c r="R11" s="331"/>
      <c r="S11" s="331"/>
    </row>
    <row r="12">
      <c r="A12" s="14" t="s">
        <v>20</v>
      </c>
      <c r="B12" s="331"/>
      <c r="C12" s="330" t="b">
        <v>0</v>
      </c>
      <c r="D12" s="331"/>
      <c r="E12" s="14"/>
      <c r="F12" s="14" t="s">
        <v>4362</v>
      </c>
      <c r="G12" s="1" t="s">
        <v>31</v>
      </c>
      <c r="H12" s="1" t="s">
        <v>31</v>
      </c>
      <c r="I12" s="331" t="s">
        <v>4363</v>
      </c>
      <c r="J12" s="1" t="s">
        <v>31</v>
      </c>
      <c r="K12" s="332"/>
      <c r="L12" s="331">
        <v>9.171743098E9</v>
      </c>
      <c r="M12" s="331"/>
      <c r="N12" s="333" t="s">
        <v>22</v>
      </c>
      <c r="O12" s="331"/>
      <c r="P12" s="331"/>
      <c r="Q12" s="331"/>
      <c r="R12" s="331"/>
      <c r="S12" s="331"/>
    </row>
    <row r="13">
      <c r="A13" s="14" t="s">
        <v>29</v>
      </c>
      <c r="B13" s="331" t="s">
        <v>4364</v>
      </c>
      <c r="C13" s="330" t="b">
        <v>0</v>
      </c>
      <c r="D13" s="331"/>
      <c r="E13" s="14"/>
      <c r="F13" s="14" t="s">
        <v>4365</v>
      </c>
      <c r="G13" s="1" t="s">
        <v>31</v>
      </c>
      <c r="H13" s="1" t="s">
        <v>31</v>
      </c>
      <c r="I13" s="331" t="s">
        <v>4363</v>
      </c>
      <c r="J13" s="1" t="s">
        <v>31</v>
      </c>
      <c r="K13" s="332"/>
      <c r="L13" s="331">
        <v>9.178484439E9</v>
      </c>
      <c r="M13" s="331"/>
      <c r="N13" s="333" t="s">
        <v>22</v>
      </c>
      <c r="O13" s="331"/>
      <c r="P13" s="331"/>
      <c r="Q13" s="331"/>
      <c r="R13" s="331"/>
      <c r="S13" s="331"/>
    </row>
    <row r="14">
      <c r="A14" s="14" t="s">
        <v>34</v>
      </c>
      <c r="B14" s="331" t="s">
        <v>4366</v>
      </c>
      <c r="C14" s="330" t="b">
        <v>0</v>
      </c>
      <c r="D14" s="331"/>
      <c r="E14" s="14"/>
      <c r="F14" s="14" t="s">
        <v>4367</v>
      </c>
      <c r="G14" s="1" t="s">
        <v>31</v>
      </c>
      <c r="H14" s="1" t="s">
        <v>31</v>
      </c>
      <c r="I14" s="331" t="s">
        <v>4363</v>
      </c>
      <c r="J14" s="1" t="s">
        <v>31</v>
      </c>
      <c r="K14" s="332"/>
      <c r="L14" s="331">
        <v>9.171420706E9</v>
      </c>
      <c r="M14" s="331"/>
      <c r="N14" s="333" t="s">
        <v>22</v>
      </c>
      <c r="O14" s="331"/>
      <c r="P14" s="331"/>
      <c r="Q14" s="331"/>
      <c r="R14" s="331"/>
      <c r="S14" s="331"/>
    </row>
    <row r="15">
      <c r="A15" s="14" t="s">
        <v>394</v>
      </c>
      <c r="B15" s="331" t="s">
        <v>4368</v>
      </c>
      <c r="C15" s="330" t="b">
        <v>0</v>
      </c>
      <c r="D15" s="331"/>
      <c r="E15" s="14"/>
      <c r="F15" s="14" t="s">
        <v>4369</v>
      </c>
      <c r="G15" s="1" t="s">
        <v>31</v>
      </c>
      <c r="H15" s="1" t="s">
        <v>31</v>
      </c>
      <c r="I15" s="331" t="s">
        <v>4363</v>
      </c>
      <c r="J15" s="1" t="s">
        <v>31</v>
      </c>
      <c r="K15" s="332"/>
      <c r="L15" s="331">
        <v>9.773268696E9</v>
      </c>
      <c r="M15" s="331"/>
      <c r="N15" s="333" t="s">
        <v>22</v>
      </c>
      <c r="O15" s="331"/>
      <c r="P15" s="331"/>
      <c r="Q15" s="331"/>
      <c r="R15" s="331"/>
      <c r="S15" s="331"/>
    </row>
    <row r="16">
      <c r="A16" s="14" t="s">
        <v>73</v>
      </c>
      <c r="B16" s="331"/>
      <c r="C16" s="330" t="b">
        <v>0</v>
      </c>
      <c r="D16" s="331"/>
      <c r="E16" s="14"/>
      <c r="F16" s="331" t="s">
        <v>4370</v>
      </c>
      <c r="G16" s="1" t="s">
        <v>31</v>
      </c>
      <c r="H16" s="1" t="s">
        <v>31</v>
      </c>
      <c r="I16" s="331" t="s">
        <v>4363</v>
      </c>
      <c r="J16" s="1" t="s">
        <v>31</v>
      </c>
      <c r="K16" s="332"/>
      <c r="L16" s="331">
        <v>9.306085136E9</v>
      </c>
      <c r="M16" s="331"/>
      <c r="N16" s="333" t="s">
        <v>177</v>
      </c>
      <c r="O16" s="331"/>
      <c r="P16" s="331"/>
      <c r="Q16" s="331"/>
      <c r="R16" s="331"/>
      <c r="S16" s="331"/>
    </row>
    <row r="17">
      <c r="A17" s="14" t="s">
        <v>79</v>
      </c>
      <c r="B17" s="331"/>
      <c r="C17" s="330" t="b">
        <v>0</v>
      </c>
      <c r="D17" s="331"/>
      <c r="E17" s="14"/>
      <c r="F17" s="14" t="s">
        <v>4371</v>
      </c>
      <c r="G17" s="1" t="s">
        <v>31</v>
      </c>
      <c r="H17" s="1" t="s">
        <v>31</v>
      </c>
      <c r="I17" s="331" t="s">
        <v>4363</v>
      </c>
      <c r="J17" s="1" t="s">
        <v>31</v>
      </c>
      <c r="K17" s="332"/>
      <c r="L17" s="331">
        <v>9.086091735E9</v>
      </c>
      <c r="M17" s="331"/>
      <c r="N17" s="333" t="s">
        <v>177</v>
      </c>
      <c r="O17" s="331"/>
      <c r="P17" s="331"/>
      <c r="Q17" s="331"/>
      <c r="R17" s="331"/>
      <c r="S17" s="331"/>
    </row>
    <row r="18">
      <c r="A18" s="14" t="s">
        <v>83</v>
      </c>
      <c r="B18" s="331"/>
      <c r="C18" s="330" t="b">
        <v>0</v>
      </c>
      <c r="D18" s="331"/>
      <c r="E18" s="14"/>
      <c r="F18" s="14" t="s">
        <v>4372</v>
      </c>
      <c r="G18" s="1" t="s">
        <v>31</v>
      </c>
      <c r="H18" s="1" t="s">
        <v>31</v>
      </c>
      <c r="I18" s="331" t="s">
        <v>4363</v>
      </c>
      <c r="J18" s="1" t="s">
        <v>31</v>
      </c>
      <c r="K18" s="332"/>
      <c r="L18" s="331"/>
      <c r="M18" s="331"/>
      <c r="N18" s="333" t="s">
        <v>177</v>
      </c>
      <c r="O18" s="331"/>
      <c r="P18" s="331"/>
      <c r="Q18" s="331"/>
      <c r="R18" s="331"/>
      <c r="S18" s="331"/>
    </row>
    <row r="19">
      <c r="A19" s="14" t="s">
        <v>88</v>
      </c>
      <c r="B19" s="331"/>
      <c r="C19" s="330" t="b">
        <v>0</v>
      </c>
      <c r="D19" s="331"/>
      <c r="E19" s="14"/>
      <c r="F19" s="14" t="s">
        <v>4373</v>
      </c>
      <c r="G19" s="1" t="s">
        <v>31</v>
      </c>
      <c r="H19" s="1" t="s">
        <v>31</v>
      </c>
      <c r="I19" s="331" t="s">
        <v>4363</v>
      </c>
      <c r="J19" s="1" t="s">
        <v>31</v>
      </c>
      <c r="K19" s="332"/>
      <c r="L19" s="331">
        <v>9.704766309E9</v>
      </c>
      <c r="M19" s="331"/>
      <c r="N19" s="333" t="s">
        <v>177</v>
      </c>
      <c r="O19" s="331"/>
      <c r="P19" s="331"/>
      <c r="Q19" s="331"/>
      <c r="R19" s="331"/>
      <c r="S19" s="331"/>
    </row>
    <row r="20">
      <c r="A20" s="14" t="s">
        <v>104</v>
      </c>
      <c r="B20" s="331"/>
      <c r="C20" s="330" t="b">
        <v>0</v>
      </c>
      <c r="D20" s="331"/>
      <c r="E20" s="14"/>
      <c r="F20" s="14" t="s">
        <v>4374</v>
      </c>
      <c r="G20" s="1" t="s">
        <v>31</v>
      </c>
      <c r="H20" s="1" t="s">
        <v>31</v>
      </c>
      <c r="I20" s="331" t="s">
        <v>4363</v>
      </c>
      <c r="J20" s="1" t="s">
        <v>31</v>
      </c>
      <c r="K20" s="332"/>
      <c r="L20" s="331">
        <v>9.164753555E9</v>
      </c>
      <c r="M20" s="331"/>
      <c r="N20" s="333" t="s">
        <v>177</v>
      </c>
      <c r="O20" s="331"/>
      <c r="P20" s="331"/>
      <c r="Q20" s="331"/>
      <c r="R20" s="331"/>
      <c r="S20" s="331"/>
    </row>
    <row r="21">
      <c r="A21" s="14" t="s">
        <v>106</v>
      </c>
      <c r="B21" s="331"/>
      <c r="C21" s="330" t="b">
        <v>0</v>
      </c>
      <c r="D21" s="331"/>
      <c r="E21" s="14"/>
      <c r="F21" s="14" t="s">
        <v>4375</v>
      </c>
      <c r="G21" s="1" t="s">
        <v>31</v>
      </c>
      <c r="H21" s="1" t="s">
        <v>31</v>
      </c>
      <c r="I21" s="331" t="s">
        <v>4363</v>
      </c>
      <c r="J21" s="1" t="s">
        <v>31</v>
      </c>
      <c r="K21" s="332"/>
      <c r="L21" s="331">
        <v>9.232333242E9</v>
      </c>
      <c r="M21" s="331"/>
      <c r="N21" s="333" t="s">
        <v>177</v>
      </c>
      <c r="O21" s="331"/>
      <c r="P21" s="331"/>
      <c r="Q21" s="331"/>
      <c r="R21" s="331"/>
      <c r="S21" s="331"/>
    </row>
    <row r="22">
      <c r="A22" s="14" t="s">
        <v>109</v>
      </c>
      <c r="B22" s="331"/>
      <c r="C22" s="330" t="b">
        <v>0</v>
      </c>
      <c r="D22" s="331"/>
      <c r="E22" s="14"/>
      <c r="F22" s="14" t="s">
        <v>4376</v>
      </c>
      <c r="G22" s="1" t="s">
        <v>31</v>
      </c>
      <c r="H22" s="1" t="s">
        <v>31</v>
      </c>
      <c r="I22" s="331" t="s">
        <v>4363</v>
      </c>
      <c r="J22" s="1" t="s">
        <v>31</v>
      </c>
      <c r="K22" s="332"/>
      <c r="L22" s="331">
        <v>9.618783161E9</v>
      </c>
      <c r="M22" s="331"/>
      <c r="N22" s="333" t="s">
        <v>177</v>
      </c>
      <c r="O22" s="331"/>
      <c r="P22" s="331"/>
      <c r="Q22" s="331"/>
      <c r="R22" s="331"/>
      <c r="S22" s="331"/>
    </row>
    <row r="23">
      <c r="A23" s="14" t="s">
        <v>113</v>
      </c>
      <c r="B23" s="331"/>
      <c r="C23" s="330" t="b">
        <v>0</v>
      </c>
      <c r="D23" s="331"/>
      <c r="E23" s="14"/>
      <c r="F23" s="14" t="s">
        <v>4377</v>
      </c>
      <c r="G23" s="1" t="s">
        <v>31</v>
      </c>
      <c r="H23" s="1" t="s">
        <v>31</v>
      </c>
      <c r="I23" s="331" t="s">
        <v>4363</v>
      </c>
      <c r="J23" s="1" t="s">
        <v>31</v>
      </c>
      <c r="K23" s="332"/>
      <c r="L23" s="331">
        <v>9.228584373E9</v>
      </c>
      <c r="M23" s="331"/>
      <c r="N23" s="333" t="s">
        <v>177</v>
      </c>
      <c r="O23" s="331"/>
      <c r="P23" s="331"/>
      <c r="Q23" s="331"/>
      <c r="R23" s="331"/>
      <c r="S23" s="331"/>
    </row>
    <row r="24">
      <c r="A24" s="14" t="s">
        <v>119</v>
      </c>
      <c r="B24" s="331"/>
      <c r="C24" s="330" t="b">
        <v>0</v>
      </c>
      <c r="D24" s="331"/>
      <c r="E24" s="14"/>
      <c r="F24" s="14" t="s">
        <v>4378</v>
      </c>
      <c r="G24" s="1" t="s">
        <v>31</v>
      </c>
      <c r="H24" s="1" t="s">
        <v>31</v>
      </c>
      <c r="I24" s="331" t="s">
        <v>4363</v>
      </c>
      <c r="J24" s="1" t="s">
        <v>31</v>
      </c>
      <c r="K24" s="332"/>
      <c r="L24" s="331">
        <v>9.228555515E9</v>
      </c>
      <c r="M24" s="331"/>
      <c r="N24" s="333" t="s">
        <v>22</v>
      </c>
      <c r="O24" s="331"/>
      <c r="P24" s="331"/>
      <c r="Q24" s="331"/>
      <c r="R24" s="331"/>
      <c r="S24" s="331"/>
    </row>
    <row r="25">
      <c r="A25" s="14" t="s">
        <v>130</v>
      </c>
      <c r="B25" s="331"/>
      <c r="C25" s="330" t="b">
        <v>0</v>
      </c>
      <c r="D25" s="331"/>
      <c r="E25" s="14"/>
      <c r="F25" s="14" t="s">
        <v>4379</v>
      </c>
      <c r="G25" s="1" t="s">
        <v>31</v>
      </c>
      <c r="H25" s="1" t="s">
        <v>31</v>
      </c>
      <c r="I25" s="331" t="s">
        <v>4363</v>
      </c>
      <c r="J25" s="1" t="s">
        <v>31</v>
      </c>
      <c r="K25" s="332"/>
      <c r="L25" s="331">
        <v>9.056147232E9</v>
      </c>
      <c r="M25" s="331"/>
      <c r="N25" s="333" t="s">
        <v>177</v>
      </c>
      <c r="O25" s="331"/>
      <c r="P25" s="331"/>
      <c r="Q25" s="331"/>
      <c r="R25" s="331"/>
      <c r="S25" s="331"/>
    </row>
    <row r="26">
      <c r="A26" s="14" t="s">
        <v>132</v>
      </c>
      <c r="B26" s="331"/>
      <c r="C26" s="330" t="b">
        <v>0</v>
      </c>
      <c r="D26" s="331"/>
      <c r="E26" s="14"/>
      <c r="F26" s="14" t="s">
        <v>4380</v>
      </c>
      <c r="G26" s="1" t="s">
        <v>31</v>
      </c>
      <c r="H26" s="1" t="s">
        <v>31</v>
      </c>
      <c r="I26" s="331" t="s">
        <v>4363</v>
      </c>
      <c r="J26" s="1" t="s">
        <v>31</v>
      </c>
      <c r="K26" s="332"/>
      <c r="L26" s="331">
        <v>9.686579581E9</v>
      </c>
      <c r="M26" s="331"/>
      <c r="N26" s="333" t="s">
        <v>177</v>
      </c>
      <c r="O26" s="331"/>
      <c r="P26" s="331"/>
      <c r="Q26" s="331"/>
      <c r="R26" s="331"/>
      <c r="S26" s="331"/>
    </row>
    <row r="27">
      <c r="A27" s="14" t="s">
        <v>134</v>
      </c>
      <c r="B27" s="331"/>
      <c r="C27" s="330" t="b">
        <v>0</v>
      </c>
      <c r="D27" s="331"/>
      <c r="E27" s="14"/>
      <c r="F27" s="14" t="s">
        <v>4381</v>
      </c>
      <c r="G27" s="1" t="s">
        <v>31</v>
      </c>
      <c r="H27" s="1" t="s">
        <v>31</v>
      </c>
      <c r="I27" s="331" t="s">
        <v>4363</v>
      </c>
      <c r="J27" s="1" t="s">
        <v>31</v>
      </c>
      <c r="K27" s="332"/>
      <c r="L27" s="331">
        <v>9.991698785E9</v>
      </c>
      <c r="M27" s="331"/>
      <c r="N27" s="333" t="s">
        <v>177</v>
      </c>
      <c r="O27" s="331"/>
      <c r="P27" s="331"/>
      <c r="Q27" s="331"/>
      <c r="R27" s="331"/>
      <c r="S27" s="331"/>
    </row>
    <row r="28">
      <c r="A28" s="14" t="s">
        <v>4382</v>
      </c>
      <c r="B28" s="331"/>
      <c r="C28" s="330" t="b">
        <v>0</v>
      </c>
      <c r="D28" s="331"/>
      <c r="E28" s="14"/>
      <c r="F28" s="14" t="s">
        <v>4383</v>
      </c>
      <c r="G28" s="1" t="s">
        <v>31</v>
      </c>
      <c r="H28" s="1" t="s">
        <v>31</v>
      </c>
      <c r="I28" s="331" t="s">
        <v>4358</v>
      </c>
      <c r="J28" s="1" t="s">
        <v>31</v>
      </c>
      <c r="K28" s="332"/>
      <c r="L28" s="331">
        <v>9.778213123E9</v>
      </c>
      <c r="M28" s="331"/>
      <c r="N28" s="333" t="s">
        <v>177</v>
      </c>
      <c r="O28" s="331"/>
      <c r="P28" s="331"/>
      <c r="Q28" s="331"/>
      <c r="R28" s="331"/>
      <c r="S28" s="331"/>
    </row>
    <row r="29">
      <c r="A29" s="14" t="s">
        <v>151</v>
      </c>
      <c r="B29" s="331"/>
      <c r="C29" s="330" t="b">
        <v>0</v>
      </c>
      <c r="D29" s="331"/>
      <c r="E29" s="14"/>
      <c r="F29" s="14" t="s">
        <v>4384</v>
      </c>
      <c r="G29" s="1" t="s">
        <v>31</v>
      </c>
      <c r="H29" s="1" t="s">
        <v>31</v>
      </c>
      <c r="I29" s="331" t="s">
        <v>4363</v>
      </c>
      <c r="J29" s="1" t="s">
        <v>31</v>
      </c>
      <c r="K29" s="332"/>
      <c r="L29" s="331">
        <v>9.954675386E9</v>
      </c>
      <c r="M29" s="331"/>
      <c r="N29" s="333" t="s">
        <v>177</v>
      </c>
      <c r="O29" s="331"/>
      <c r="P29" s="331"/>
      <c r="Q29" s="331"/>
      <c r="R29" s="331"/>
      <c r="S29" s="331"/>
    </row>
    <row r="30">
      <c r="A30" s="14" t="s">
        <v>154</v>
      </c>
      <c r="B30" s="331"/>
      <c r="C30" s="330" t="b">
        <v>0</v>
      </c>
      <c r="D30" s="331"/>
      <c r="E30" s="14"/>
      <c r="F30" s="14" t="s">
        <v>4385</v>
      </c>
      <c r="G30" s="1" t="s">
        <v>31</v>
      </c>
      <c r="H30" s="1" t="s">
        <v>31</v>
      </c>
      <c r="I30" s="331" t="s">
        <v>4363</v>
      </c>
      <c r="J30" s="1" t="s">
        <v>31</v>
      </c>
      <c r="K30" s="332"/>
      <c r="L30" s="331">
        <v>9.274370036E9</v>
      </c>
      <c r="M30" s="331"/>
      <c r="N30" s="333" t="s">
        <v>177</v>
      </c>
      <c r="O30" s="331"/>
      <c r="P30" s="331"/>
      <c r="Q30" s="331"/>
      <c r="R30" s="331"/>
      <c r="S30" s="331"/>
    </row>
    <row r="31">
      <c r="A31" s="14" t="s">
        <v>170</v>
      </c>
      <c r="B31" s="331"/>
      <c r="C31" s="330" t="b">
        <v>0</v>
      </c>
      <c r="D31" s="331"/>
      <c r="E31" s="14"/>
      <c r="F31" s="14" t="s">
        <v>4386</v>
      </c>
      <c r="G31" s="1" t="s">
        <v>31</v>
      </c>
      <c r="H31" s="1" t="s">
        <v>31</v>
      </c>
      <c r="I31" s="331" t="s">
        <v>4363</v>
      </c>
      <c r="J31" s="1" t="s">
        <v>31</v>
      </c>
      <c r="K31" s="332"/>
      <c r="L31" s="331">
        <v>9.174569828E9</v>
      </c>
      <c r="M31" s="331"/>
      <c r="N31" s="333" t="s">
        <v>715</v>
      </c>
      <c r="O31" s="331"/>
      <c r="P31" s="331"/>
      <c r="Q31" s="331"/>
      <c r="R31" s="331"/>
      <c r="S31" s="331"/>
    </row>
    <row r="32">
      <c r="A32" s="14" t="s">
        <v>176</v>
      </c>
      <c r="B32" s="331" t="s">
        <v>4387</v>
      </c>
      <c r="C32" s="330" t="b">
        <v>0</v>
      </c>
      <c r="D32" s="331"/>
      <c r="E32" s="14"/>
      <c r="F32" s="14" t="s">
        <v>4388</v>
      </c>
      <c r="G32" s="1" t="s">
        <v>31</v>
      </c>
      <c r="H32" s="1" t="s">
        <v>31</v>
      </c>
      <c r="I32" s="331" t="s">
        <v>4358</v>
      </c>
      <c r="J32" s="1" t="s">
        <v>31</v>
      </c>
      <c r="K32" s="332"/>
      <c r="L32" s="331">
        <v>9.178903474E9</v>
      </c>
      <c r="M32" s="331"/>
      <c r="N32" s="333" t="s">
        <v>177</v>
      </c>
      <c r="O32" s="331"/>
      <c r="P32" s="331"/>
      <c r="Q32" s="331"/>
      <c r="R32" s="331"/>
      <c r="S32" s="331"/>
    </row>
    <row r="33">
      <c r="A33" s="14" t="s">
        <v>181</v>
      </c>
      <c r="B33" s="331" t="s">
        <v>4389</v>
      </c>
      <c r="C33" s="330" t="b">
        <v>1</v>
      </c>
      <c r="D33" s="331">
        <v>2019.0</v>
      </c>
      <c r="E33" s="14"/>
      <c r="F33" s="14" t="s">
        <v>4390</v>
      </c>
      <c r="G33" s="1" t="s">
        <v>31</v>
      </c>
      <c r="H33" s="1" t="s">
        <v>31</v>
      </c>
      <c r="I33" s="331" t="s">
        <v>4391</v>
      </c>
      <c r="J33" s="1" t="s">
        <v>31</v>
      </c>
      <c r="K33" s="332"/>
      <c r="L33" s="331">
        <v>9.954504906E9</v>
      </c>
      <c r="M33" s="331"/>
      <c r="N33" s="333" t="s">
        <v>715</v>
      </c>
      <c r="O33" s="331"/>
      <c r="P33" s="331"/>
      <c r="Q33" s="331"/>
      <c r="R33" s="331"/>
      <c r="S33" s="331"/>
    </row>
    <row r="34">
      <c r="A34" s="14" t="s">
        <v>185</v>
      </c>
      <c r="B34" s="331"/>
      <c r="C34" s="330" t="b">
        <v>0</v>
      </c>
      <c r="D34" s="331"/>
      <c r="E34" s="14"/>
      <c r="F34" s="14" t="s">
        <v>4392</v>
      </c>
      <c r="G34" s="1" t="s">
        <v>31</v>
      </c>
      <c r="H34" s="1" t="s">
        <v>31</v>
      </c>
      <c r="I34" s="331" t="s">
        <v>4391</v>
      </c>
      <c r="J34" s="1" t="s">
        <v>31</v>
      </c>
      <c r="K34" s="332"/>
      <c r="L34" s="331">
        <v>9.258292005E9</v>
      </c>
      <c r="M34" s="331"/>
      <c r="N34" s="333" t="s">
        <v>171</v>
      </c>
      <c r="O34" s="331"/>
      <c r="P34" s="331"/>
      <c r="Q34" s="331"/>
      <c r="R34" s="331"/>
      <c r="S34" s="331"/>
    </row>
    <row r="35">
      <c r="A35" s="14" t="s">
        <v>189</v>
      </c>
      <c r="B35" s="331" t="s">
        <v>4393</v>
      </c>
      <c r="C35" s="330" t="b">
        <v>0</v>
      </c>
      <c r="D35" s="331"/>
      <c r="E35" s="14"/>
      <c r="F35" s="14" t="s">
        <v>4394</v>
      </c>
      <c r="G35" s="1" t="s">
        <v>31</v>
      </c>
      <c r="H35" s="1" t="s">
        <v>31</v>
      </c>
      <c r="I35" s="331" t="s">
        <v>4395</v>
      </c>
      <c r="J35" s="1" t="s">
        <v>31</v>
      </c>
      <c r="K35" s="332"/>
      <c r="L35" s="331">
        <v>9.23187426E9</v>
      </c>
      <c r="M35" s="331"/>
      <c r="N35" s="333" t="s">
        <v>177</v>
      </c>
      <c r="O35" s="331"/>
      <c r="P35" s="331"/>
      <c r="Q35" s="331"/>
      <c r="R35" s="331"/>
      <c r="S35" s="331"/>
    </row>
    <row r="36">
      <c r="A36" s="14" t="s">
        <v>194</v>
      </c>
      <c r="B36" s="331" t="s">
        <v>4396</v>
      </c>
      <c r="C36" s="330" t="b">
        <v>0</v>
      </c>
      <c r="D36" s="331"/>
      <c r="E36" s="14"/>
      <c r="F36" s="14" t="s">
        <v>4397</v>
      </c>
      <c r="G36" s="1" t="s">
        <v>31</v>
      </c>
      <c r="H36" s="1" t="s">
        <v>31</v>
      </c>
      <c r="I36" s="331" t="s">
        <v>4358</v>
      </c>
      <c r="J36" s="1" t="s">
        <v>31</v>
      </c>
      <c r="K36" s="332"/>
      <c r="L36" s="331"/>
      <c r="M36" s="331"/>
      <c r="N36" s="333" t="s">
        <v>177</v>
      </c>
      <c r="O36" s="331"/>
      <c r="P36" s="331"/>
      <c r="Q36" s="331"/>
      <c r="R36" s="331"/>
      <c r="S36" s="331"/>
    </row>
    <row r="37">
      <c r="A37" s="14" t="s">
        <v>198</v>
      </c>
      <c r="B37" s="331" t="s">
        <v>4398</v>
      </c>
      <c r="C37" s="330" t="b">
        <v>0</v>
      </c>
      <c r="D37" s="331"/>
      <c r="E37" s="14"/>
      <c r="F37" s="14" t="s">
        <v>4399</v>
      </c>
      <c r="G37" s="1" t="s">
        <v>31</v>
      </c>
      <c r="H37" s="1" t="s">
        <v>31</v>
      </c>
      <c r="I37" s="331" t="s">
        <v>4363</v>
      </c>
      <c r="J37" s="1" t="s">
        <v>31</v>
      </c>
      <c r="K37" s="332"/>
      <c r="L37" s="331">
        <v>9.194872935E9</v>
      </c>
      <c r="M37" s="331"/>
      <c r="N37" s="333" t="s">
        <v>177</v>
      </c>
      <c r="O37" s="331"/>
      <c r="P37" s="331"/>
      <c r="Q37" s="331"/>
      <c r="R37" s="331"/>
      <c r="S37" s="331"/>
    </row>
    <row r="38">
      <c r="A38" s="14" t="s">
        <v>202</v>
      </c>
      <c r="B38" s="331" t="s">
        <v>4400</v>
      </c>
      <c r="C38" s="330" t="b">
        <v>0</v>
      </c>
      <c r="D38" s="331"/>
      <c r="E38" s="14"/>
      <c r="F38" s="14" t="s">
        <v>4401</v>
      </c>
      <c r="G38" s="1" t="s">
        <v>31</v>
      </c>
      <c r="H38" s="1" t="s">
        <v>31</v>
      </c>
      <c r="I38" s="331" t="s">
        <v>4363</v>
      </c>
      <c r="J38" s="1" t="s">
        <v>31</v>
      </c>
      <c r="K38" s="332"/>
      <c r="L38" s="331">
        <v>9.178739016E9</v>
      </c>
      <c r="M38" s="331"/>
      <c r="N38" s="333" t="s">
        <v>177</v>
      </c>
      <c r="O38" s="331"/>
      <c r="P38" s="331"/>
      <c r="Q38" s="331"/>
      <c r="R38" s="331"/>
      <c r="S38" s="331"/>
    </row>
    <row r="39">
      <c r="A39" s="14" t="s">
        <v>206</v>
      </c>
      <c r="B39" s="331"/>
      <c r="C39" s="330" t="b">
        <v>0</v>
      </c>
      <c r="D39" s="331"/>
      <c r="E39" s="14"/>
      <c r="F39" s="14" t="s">
        <v>4402</v>
      </c>
      <c r="G39" s="1" t="s">
        <v>31</v>
      </c>
      <c r="H39" s="1" t="s">
        <v>31</v>
      </c>
      <c r="I39" s="331" t="s">
        <v>4403</v>
      </c>
      <c r="J39" s="1" t="s">
        <v>31</v>
      </c>
      <c r="K39" s="332"/>
      <c r="L39" s="331">
        <v>9.774297368E9</v>
      </c>
      <c r="M39" s="331"/>
      <c r="N39" s="333" t="s">
        <v>171</v>
      </c>
      <c r="O39" s="331"/>
      <c r="P39" s="331"/>
      <c r="Q39" s="331"/>
      <c r="R39" s="331"/>
      <c r="S39" s="331"/>
    </row>
    <row r="40">
      <c r="A40" s="14" t="s">
        <v>210</v>
      </c>
      <c r="B40" s="331"/>
      <c r="C40" s="330" t="b">
        <v>0</v>
      </c>
      <c r="D40" s="331"/>
      <c r="E40" s="14"/>
      <c r="F40" s="14" t="s">
        <v>4404</v>
      </c>
      <c r="G40" s="1" t="s">
        <v>31</v>
      </c>
      <c r="H40" s="1" t="s">
        <v>31</v>
      </c>
      <c r="I40" s="331" t="s">
        <v>4391</v>
      </c>
      <c r="J40" s="1" t="s">
        <v>31</v>
      </c>
      <c r="K40" s="332"/>
      <c r="L40" s="331">
        <v>9.551038609E9</v>
      </c>
      <c r="M40" s="331"/>
      <c r="N40" s="333" t="s">
        <v>171</v>
      </c>
      <c r="O40" s="331"/>
      <c r="P40" s="331"/>
      <c r="Q40" s="331"/>
      <c r="R40" s="331"/>
      <c r="S40" s="331"/>
    </row>
    <row r="41">
      <c r="A41" s="14" t="s">
        <v>214</v>
      </c>
      <c r="B41" s="331"/>
      <c r="C41" s="330" t="b">
        <v>0</v>
      </c>
      <c r="D41" s="331"/>
      <c r="E41" s="14"/>
      <c r="F41" s="334" t="s">
        <v>4405</v>
      </c>
      <c r="G41" s="1" t="s">
        <v>31</v>
      </c>
      <c r="H41" s="1" t="s">
        <v>31</v>
      </c>
      <c r="I41" s="331" t="s">
        <v>4358</v>
      </c>
      <c r="J41" s="1" t="s">
        <v>31</v>
      </c>
      <c r="K41" s="332"/>
      <c r="L41" s="331"/>
      <c r="M41" s="331"/>
      <c r="N41" s="333" t="s">
        <v>177</v>
      </c>
      <c r="O41" s="331"/>
      <c r="P41" s="331"/>
      <c r="Q41" s="331"/>
      <c r="R41" s="331"/>
      <c r="S41" s="331"/>
    </row>
    <row r="42">
      <c r="A42" s="335" t="s">
        <v>234</v>
      </c>
      <c r="B42" s="331"/>
      <c r="C42" s="330" t="b">
        <v>0</v>
      </c>
      <c r="D42" s="331"/>
      <c r="E42" s="14"/>
      <c r="F42" s="14" t="s">
        <v>4406</v>
      </c>
      <c r="G42" s="1" t="s">
        <v>31</v>
      </c>
      <c r="H42" s="1" t="s">
        <v>31</v>
      </c>
      <c r="I42" s="331" t="s">
        <v>4358</v>
      </c>
      <c r="J42" s="1" t="s">
        <v>31</v>
      </c>
      <c r="K42" s="332"/>
      <c r="L42" s="331">
        <v>9.172024405E9</v>
      </c>
      <c r="M42" s="331"/>
      <c r="N42" s="333" t="s">
        <v>177</v>
      </c>
      <c r="O42" s="331"/>
      <c r="P42" s="331"/>
      <c r="Q42" s="331"/>
      <c r="R42" s="331"/>
      <c r="S42" s="331"/>
    </row>
    <row r="43">
      <c r="A43" s="335" t="s">
        <v>217</v>
      </c>
      <c r="B43" s="331"/>
      <c r="C43" s="330" t="b">
        <v>0</v>
      </c>
      <c r="D43" s="331"/>
      <c r="E43" s="14"/>
      <c r="F43" s="14" t="s">
        <v>4407</v>
      </c>
      <c r="G43" s="1" t="s">
        <v>31</v>
      </c>
      <c r="H43" s="1" t="s">
        <v>31</v>
      </c>
      <c r="I43" s="331" t="s">
        <v>4358</v>
      </c>
      <c r="J43" s="1" t="s">
        <v>31</v>
      </c>
      <c r="K43" s="332"/>
      <c r="L43" s="331">
        <v>9.055461903E9</v>
      </c>
      <c r="M43" s="331"/>
      <c r="N43" s="333" t="s">
        <v>177</v>
      </c>
      <c r="O43" s="331"/>
      <c r="P43" s="331"/>
      <c r="Q43" s="331"/>
      <c r="R43" s="331"/>
      <c r="S43" s="331"/>
    </row>
    <row r="44">
      <c r="A44" s="14" t="s">
        <v>224</v>
      </c>
      <c r="B44" s="331" t="s">
        <v>4408</v>
      </c>
      <c r="C44" s="330" t="b">
        <v>0</v>
      </c>
      <c r="D44" s="331"/>
      <c r="E44" s="14"/>
      <c r="F44" s="14" t="s">
        <v>4409</v>
      </c>
      <c r="G44" s="1" t="s">
        <v>31</v>
      </c>
      <c r="H44" s="1" t="s">
        <v>31</v>
      </c>
      <c r="I44" s="331" t="s">
        <v>4363</v>
      </c>
      <c r="J44" s="1" t="s">
        <v>31</v>
      </c>
      <c r="K44" s="332"/>
      <c r="L44" s="331">
        <v>9.334384715E9</v>
      </c>
      <c r="M44" s="331"/>
      <c r="N44" s="333" t="s">
        <v>177</v>
      </c>
      <c r="O44" s="331"/>
      <c r="P44" s="331"/>
      <c r="Q44" s="331"/>
      <c r="R44" s="331"/>
      <c r="S44" s="331"/>
    </row>
    <row r="45">
      <c r="A45" s="175" t="s">
        <v>228</v>
      </c>
      <c r="B45" s="331" t="s">
        <v>4410</v>
      </c>
      <c r="C45" s="330" t="b">
        <v>0</v>
      </c>
      <c r="D45" s="331"/>
      <c r="E45" s="14"/>
      <c r="F45" s="14" t="s">
        <v>4411</v>
      </c>
      <c r="G45" s="1" t="s">
        <v>31</v>
      </c>
      <c r="H45" s="1" t="s">
        <v>31</v>
      </c>
      <c r="I45" s="331" t="s">
        <v>4412</v>
      </c>
      <c r="J45" s="1" t="s">
        <v>31</v>
      </c>
      <c r="K45" s="332"/>
      <c r="L45" s="331">
        <v>9.452968391E9</v>
      </c>
      <c r="M45" s="331"/>
      <c r="N45" s="333" t="s">
        <v>177</v>
      </c>
      <c r="O45" s="331"/>
      <c r="P45" s="331"/>
      <c r="Q45" s="331"/>
      <c r="R45" s="331"/>
      <c r="S45" s="331"/>
    </row>
    <row r="46">
      <c r="A46" s="14" t="s">
        <v>236</v>
      </c>
      <c r="B46" s="331"/>
      <c r="C46" s="330" t="b">
        <v>0</v>
      </c>
      <c r="D46" s="331"/>
      <c r="E46" s="14"/>
      <c r="F46" s="14" t="s">
        <v>4413</v>
      </c>
      <c r="G46" s="1" t="s">
        <v>31</v>
      </c>
      <c r="H46" s="1" t="s">
        <v>31</v>
      </c>
      <c r="I46" s="331" t="s">
        <v>4363</v>
      </c>
      <c r="J46" s="1" t="s">
        <v>31</v>
      </c>
      <c r="K46" s="332"/>
      <c r="L46" s="331">
        <v>9.330194475E9</v>
      </c>
      <c r="M46" s="331"/>
      <c r="N46" s="333" t="s">
        <v>177</v>
      </c>
      <c r="O46" s="331"/>
      <c r="P46" s="331"/>
      <c r="Q46" s="331"/>
      <c r="R46" s="331"/>
      <c r="S46" s="331"/>
    </row>
    <row r="47">
      <c r="A47" s="14" t="s">
        <v>245</v>
      </c>
      <c r="B47" s="331"/>
      <c r="C47" s="330" t="b">
        <v>0</v>
      </c>
      <c r="D47" s="331"/>
      <c r="E47" s="14"/>
      <c r="F47" s="14" t="s">
        <v>4414</v>
      </c>
      <c r="G47" s="1" t="s">
        <v>31</v>
      </c>
      <c r="H47" s="1" t="s">
        <v>31</v>
      </c>
      <c r="I47" s="331" t="s">
        <v>4391</v>
      </c>
      <c r="J47" s="1" t="s">
        <v>31</v>
      </c>
      <c r="K47" s="332"/>
      <c r="L47" s="331">
        <v>9.451922403E9</v>
      </c>
      <c r="M47" s="331"/>
      <c r="N47" s="333" t="s">
        <v>171</v>
      </c>
      <c r="O47" s="331"/>
      <c r="P47" s="331"/>
      <c r="Q47" s="331"/>
      <c r="R47" s="331"/>
      <c r="S47" s="331"/>
    </row>
    <row r="48">
      <c r="A48" s="14" t="s">
        <v>249</v>
      </c>
      <c r="B48" s="331"/>
      <c r="C48" s="330" t="b">
        <v>0</v>
      </c>
      <c r="D48" s="331"/>
      <c r="E48" s="14"/>
      <c r="F48" s="14" t="s">
        <v>4415</v>
      </c>
      <c r="G48" s="1" t="s">
        <v>31</v>
      </c>
      <c r="H48" s="1" t="s">
        <v>31</v>
      </c>
      <c r="I48" s="331" t="s">
        <v>4391</v>
      </c>
      <c r="J48" s="1" t="s">
        <v>31</v>
      </c>
      <c r="K48" s="332"/>
      <c r="L48" s="331">
        <v>9.228104337E9</v>
      </c>
      <c r="M48" s="331"/>
      <c r="N48" s="333" t="s">
        <v>171</v>
      </c>
      <c r="O48" s="331"/>
      <c r="P48" s="331"/>
      <c r="Q48" s="331"/>
      <c r="R48" s="331"/>
      <c r="S48" s="331"/>
    </row>
    <row r="49">
      <c r="A49" s="14" t="s">
        <v>253</v>
      </c>
      <c r="B49" s="331"/>
      <c r="C49" s="330" t="b">
        <v>0</v>
      </c>
      <c r="D49" s="331"/>
      <c r="E49" s="14"/>
      <c r="F49" s="14" t="s">
        <v>4416</v>
      </c>
      <c r="G49" s="1" t="s">
        <v>31</v>
      </c>
      <c r="H49" s="1" t="s">
        <v>31</v>
      </c>
      <c r="I49" s="331" t="s">
        <v>4417</v>
      </c>
      <c r="J49" s="1" t="s">
        <v>31</v>
      </c>
      <c r="K49" s="332"/>
      <c r="L49" s="331">
        <v>9.173367477E9</v>
      </c>
      <c r="M49" s="331"/>
      <c r="N49" s="333" t="s">
        <v>254</v>
      </c>
      <c r="O49" s="331"/>
      <c r="P49" s="331"/>
      <c r="Q49" s="331"/>
      <c r="R49" s="331"/>
      <c r="S49" s="331"/>
    </row>
    <row r="50">
      <c r="A50" s="14" t="s">
        <v>258</v>
      </c>
      <c r="B50" s="331"/>
      <c r="C50" s="330" t="b">
        <v>0</v>
      </c>
      <c r="D50" s="331"/>
      <c r="E50" s="14"/>
      <c r="F50" s="14" t="s">
        <v>4418</v>
      </c>
      <c r="G50" s="1" t="s">
        <v>31</v>
      </c>
      <c r="H50" s="1" t="s">
        <v>31</v>
      </c>
      <c r="I50" s="331" t="s">
        <v>4419</v>
      </c>
      <c r="J50" s="1" t="s">
        <v>31</v>
      </c>
      <c r="K50" s="332"/>
      <c r="L50" s="331"/>
      <c r="M50" s="331"/>
      <c r="N50" s="333" t="s">
        <v>254</v>
      </c>
      <c r="O50" s="331"/>
      <c r="P50" s="331"/>
      <c r="Q50" s="331"/>
      <c r="R50" s="331"/>
      <c r="S50" s="331"/>
    </row>
    <row r="51">
      <c r="A51" s="14" t="s">
        <v>262</v>
      </c>
      <c r="B51" s="331"/>
      <c r="C51" s="330" t="b">
        <v>0</v>
      </c>
      <c r="D51" s="331"/>
      <c r="E51" s="14"/>
      <c r="F51" s="14" t="s">
        <v>4420</v>
      </c>
      <c r="G51" s="1" t="s">
        <v>31</v>
      </c>
      <c r="H51" s="1" t="s">
        <v>31</v>
      </c>
      <c r="I51" s="331" t="s">
        <v>4419</v>
      </c>
      <c r="J51" s="1" t="s">
        <v>31</v>
      </c>
      <c r="K51" s="332"/>
      <c r="L51" s="331">
        <v>9.190018159E9</v>
      </c>
      <c r="M51" s="331"/>
      <c r="N51" s="333" t="s">
        <v>744</v>
      </c>
      <c r="O51" s="331"/>
      <c r="P51" s="331"/>
      <c r="Q51" s="331"/>
      <c r="R51" s="331"/>
      <c r="S51" s="331"/>
    </row>
    <row r="52">
      <c r="A52" s="14" t="s">
        <v>265</v>
      </c>
      <c r="B52" s="331" t="s">
        <v>4421</v>
      </c>
      <c r="C52" s="330" t="b">
        <v>0</v>
      </c>
      <c r="D52" s="331"/>
      <c r="E52" s="14"/>
      <c r="F52" s="14" t="s">
        <v>4422</v>
      </c>
      <c r="G52" s="1" t="s">
        <v>31</v>
      </c>
      <c r="H52" s="1" t="s">
        <v>31</v>
      </c>
      <c r="I52" s="331" t="s">
        <v>4412</v>
      </c>
      <c r="J52" s="1" t="s">
        <v>31</v>
      </c>
      <c r="K52" s="332"/>
      <c r="L52" s="331">
        <v>9.985968517E9</v>
      </c>
      <c r="M52" s="331"/>
      <c r="N52" s="333" t="s">
        <v>1387</v>
      </c>
      <c r="O52" s="331"/>
      <c r="P52" s="331"/>
      <c r="Q52" s="331"/>
      <c r="R52" s="331"/>
      <c r="S52" s="331"/>
    </row>
    <row r="53">
      <c r="A53" s="14" t="s">
        <v>268</v>
      </c>
      <c r="B53" s="331"/>
      <c r="C53" s="330" t="b">
        <v>0</v>
      </c>
      <c r="D53" s="331"/>
      <c r="E53" s="14"/>
      <c r="F53" s="14" t="s">
        <v>4423</v>
      </c>
      <c r="G53" s="1" t="s">
        <v>31</v>
      </c>
      <c r="H53" s="1" t="s">
        <v>31</v>
      </c>
      <c r="I53" s="331" t="s">
        <v>4391</v>
      </c>
      <c r="J53" s="1" t="s">
        <v>31</v>
      </c>
      <c r="K53" s="332"/>
      <c r="L53" s="331">
        <v>9.565109948E9</v>
      </c>
      <c r="M53" s="331"/>
      <c r="N53" s="333" t="s">
        <v>715</v>
      </c>
      <c r="O53" s="331"/>
      <c r="P53" s="331"/>
      <c r="Q53" s="331"/>
      <c r="R53" s="331"/>
      <c r="S53" s="331"/>
    </row>
    <row r="54">
      <c r="A54" s="14" t="s">
        <v>272</v>
      </c>
      <c r="B54" s="331"/>
      <c r="C54" s="330" t="b">
        <v>0</v>
      </c>
      <c r="D54" s="331"/>
      <c r="E54" s="14"/>
      <c r="F54" s="14" t="s">
        <v>4424</v>
      </c>
      <c r="G54" s="1" t="s">
        <v>31</v>
      </c>
      <c r="H54" s="1" t="s">
        <v>31</v>
      </c>
      <c r="I54" s="331" t="s">
        <v>4391</v>
      </c>
      <c r="J54" s="1" t="s">
        <v>31</v>
      </c>
      <c r="K54" s="332"/>
      <c r="L54" s="331">
        <v>9.663418334E9</v>
      </c>
      <c r="M54" s="331"/>
      <c r="N54" s="333" t="s">
        <v>171</v>
      </c>
      <c r="O54" s="331"/>
      <c r="P54" s="331"/>
      <c r="Q54" s="331"/>
      <c r="R54" s="331"/>
      <c r="S54" s="331"/>
    </row>
    <row r="55">
      <c r="A55" s="331" t="s">
        <v>276</v>
      </c>
      <c r="B55" s="331" t="s">
        <v>4425</v>
      </c>
      <c r="C55" s="330" t="b">
        <v>0</v>
      </c>
      <c r="D55" s="331"/>
      <c r="E55" s="14"/>
      <c r="F55" s="14" t="s">
        <v>4426</v>
      </c>
      <c r="G55" s="1" t="s">
        <v>31</v>
      </c>
      <c r="H55" s="1" t="s">
        <v>31</v>
      </c>
      <c r="I55" s="331" t="s">
        <v>4363</v>
      </c>
      <c r="J55" s="1" t="s">
        <v>31</v>
      </c>
      <c r="K55" s="332"/>
      <c r="L55" s="331">
        <v>9.338212878E9</v>
      </c>
      <c r="M55" s="331"/>
      <c r="N55" s="333" t="s">
        <v>177</v>
      </c>
      <c r="O55" s="331"/>
      <c r="P55" s="331"/>
      <c r="Q55" s="331"/>
      <c r="R55" s="331"/>
      <c r="S55" s="331"/>
    </row>
    <row r="56">
      <c r="A56" s="14" t="s">
        <v>284</v>
      </c>
      <c r="B56" s="331" t="s">
        <v>4427</v>
      </c>
      <c r="C56" s="330" t="b">
        <v>0</v>
      </c>
      <c r="D56" s="331"/>
      <c r="E56" s="14"/>
      <c r="F56" s="14" t="s">
        <v>4428</v>
      </c>
      <c r="G56" s="1" t="s">
        <v>31</v>
      </c>
      <c r="H56" s="1" t="s">
        <v>31</v>
      </c>
      <c r="I56" s="331" t="s">
        <v>4363</v>
      </c>
      <c r="J56" s="1" t="s">
        <v>31</v>
      </c>
      <c r="K56" s="332"/>
      <c r="L56" s="331">
        <v>9.178375758E9</v>
      </c>
      <c r="M56" s="331"/>
      <c r="N56" s="333" t="s">
        <v>177</v>
      </c>
      <c r="O56" s="331"/>
      <c r="P56" s="331"/>
      <c r="Q56" s="331"/>
      <c r="R56" s="331"/>
      <c r="S56" s="331"/>
    </row>
    <row r="57">
      <c r="A57" s="14" t="s">
        <v>280</v>
      </c>
      <c r="B57" s="331" t="s">
        <v>4429</v>
      </c>
      <c r="C57" s="330" t="b">
        <v>0</v>
      </c>
      <c r="D57" s="331"/>
      <c r="E57" s="14"/>
      <c r="F57" s="14" t="s">
        <v>4430</v>
      </c>
      <c r="G57" s="1" t="s">
        <v>31</v>
      </c>
      <c r="H57" s="1" t="s">
        <v>31</v>
      </c>
      <c r="I57" s="331" t="s">
        <v>4431</v>
      </c>
      <c r="J57" s="1" t="s">
        <v>31</v>
      </c>
      <c r="K57" s="332"/>
      <c r="L57" s="331">
        <v>9.171269877E9</v>
      </c>
      <c r="M57" s="331"/>
      <c r="N57" s="333" t="s">
        <v>177</v>
      </c>
      <c r="O57" s="331"/>
      <c r="P57" s="331"/>
      <c r="Q57" s="331"/>
      <c r="R57" s="331"/>
      <c r="S57" s="331"/>
    </row>
    <row r="58">
      <c r="A58" s="14" t="s">
        <v>288</v>
      </c>
      <c r="B58" s="331"/>
      <c r="C58" s="330" t="b">
        <v>0</v>
      </c>
      <c r="D58" s="331"/>
      <c r="E58" s="14"/>
      <c r="F58" s="14" t="s">
        <v>4432</v>
      </c>
      <c r="G58" s="1" t="s">
        <v>31</v>
      </c>
      <c r="H58" s="1" t="s">
        <v>31</v>
      </c>
      <c r="I58" s="331" t="s">
        <v>4433</v>
      </c>
      <c r="J58" s="1" t="s">
        <v>31</v>
      </c>
      <c r="K58" s="332"/>
      <c r="L58" s="331">
        <v>9.434808057E9</v>
      </c>
      <c r="M58" s="331"/>
      <c r="N58" s="333" t="s">
        <v>177</v>
      </c>
      <c r="O58" s="331"/>
      <c r="P58" s="331"/>
      <c r="Q58" s="331"/>
      <c r="R58" s="331"/>
      <c r="S58" s="331"/>
    </row>
    <row r="59">
      <c r="A59" s="14" t="s">
        <v>292</v>
      </c>
      <c r="B59" s="331"/>
      <c r="C59" s="330" t="b">
        <v>0</v>
      </c>
      <c r="D59" s="331"/>
      <c r="E59" s="14"/>
      <c r="F59" s="14" t="s">
        <v>4434</v>
      </c>
      <c r="G59" s="1" t="s">
        <v>31</v>
      </c>
      <c r="H59" s="1" t="s">
        <v>31</v>
      </c>
      <c r="I59" s="331" t="s">
        <v>4433</v>
      </c>
      <c r="J59" s="1" t="s">
        <v>31</v>
      </c>
      <c r="K59" s="332"/>
      <c r="L59" s="331">
        <v>9.497792647E9</v>
      </c>
      <c r="M59" s="331"/>
      <c r="N59" s="333" t="s">
        <v>177</v>
      </c>
      <c r="O59" s="331"/>
      <c r="P59" s="331"/>
      <c r="Q59" s="331"/>
      <c r="R59" s="331"/>
      <c r="S59" s="331"/>
    </row>
    <row r="60">
      <c r="A60" s="14" t="s">
        <v>294</v>
      </c>
      <c r="B60" s="331" t="s">
        <v>4435</v>
      </c>
      <c r="C60" s="330" t="b">
        <v>0</v>
      </c>
      <c r="D60" s="331"/>
      <c r="E60" s="14"/>
      <c r="F60" s="14" t="s">
        <v>4436</v>
      </c>
      <c r="G60" s="1" t="s">
        <v>31</v>
      </c>
      <c r="H60" s="1" t="s">
        <v>31</v>
      </c>
      <c r="I60" s="331" t="s">
        <v>4437</v>
      </c>
      <c r="J60" s="1" t="s">
        <v>31</v>
      </c>
      <c r="K60" s="332"/>
      <c r="L60" s="331">
        <v>9.177278616E9</v>
      </c>
      <c r="M60" s="331"/>
      <c r="N60" s="333" t="s">
        <v>1182</v>
      </c>
      <c r="O60" s="331"/>
      <c r="P60" s="331"/>
      <c r="Q60" s="331"/>
      <c r="R60" s="331"/>
      <c r="S60" s="331"/>
    </row>
    <row r="61">
      <c r="A61" s="14" t="s">
        <v>298</v>
      </c>
      <c r="B61" s="331" t="s">
        <v>4438</v>
      </c>
      <c r="C61" s="330" t="b">
        <v>0</v>
      </c>
      <c r="D61" s="331"/>
      <c r="E61" s="14"/>
      <c r="F61" s="14" t="s">
        <v>4439</v>
      </c>
      <c r="G61" s="1" t="s">
        <v>31</v>
      </c>
      <c r="H61" s="1" t="s">
        <v>31</v>
      </c>
      <c r="I61" s="331" t="s">
        <v>4437</v>
      </c>
      <c r="J61" s="1" t="s">
        <v>31</v>
      </c>
      <c r="K61" s="332"/>
      <c r="L61" s="331">
        <v>9.179986338E9</v>
      </c>
      <c r="M61" s="331"/>
      <c r="N61" s="333" t="s">
        <v>177</v>
      </c>
      <c r="O61" s="331"/>
      <c r="P61" s="331"/>
      <c r="Q61" s="331"/>
      <c r="R61" s="331"/>
      <c r="S61" s="331"/>
    </row>
    <row r="62">
      <c r="A62" s="14" t="s">
        <v>302</v>
      </c>
      <c r="B62" s="331" t="s">
        <v>4440</v>
      </c>
      <c r="C62" s="330" t="b">
        <v>0</v>
      </c>
      <c r="D62" s="331"/>
      <c r="E62" s="14"/>
      <c r="F62" s="14" t="s">
        <v>4441</v>
      </c>
      <c r="G62" s="1" t="s">
        <v>31</v>
      </c>
      <c r="H62" s="1" t="s">
        <v>31</v>
      </c>
      <c r="I62" s="331" t="s">
        <v>4395</v>
      </c>
      <c r="J62" s="1" t="s">
        <v>31</v>
      </c>
      <c r="K62" s="332"/>
      <c r="L62" s="331">
        <v>9.173220715E9</v>
      </c>
      <c r="M62" s="331"/>
      <c r="N62" s="333" t="s">
        <v>177</v>
      </c>
      <c r="O62" s="331"/>
      <c r="P62" s="331"/>
      <c r="Q62" s="331"/>
      <c r="R62" s="331"/>
      <c r="S62" s="331"/>
    </row>
    <row r="63">
      <c r="A63" s="14" t="s">
        <v>306</v>
      </c>
      <c r="B63" s="331"/>
      <c r="C63" s="330" t="b">
        <v>0</v>
      </c>
      <c r="D63" s="331"/>
      <c r="E63" s="14"/>
      <c r="F63" s="14" t="s">
        <v>4442</v>
      </c>
      <c r="G63" s="1" t="s">
        <v>31</v>
      </c>
      <c r="H63" s="1" t="s">
        <v>31</v>
      </c>
      <c r="I63" s="331" t="s">
        <v>4433</v>
      </c>
      <c r="J63" s="1" t="s">
        <v>31</v>
      </c>
      <c r="K63" s="332"/>
      <c r="L63" s="331">
        <v>9.687492164E9</v>
      </c>
      <c r="M63" s="331"/>
      <c r="N63" s="333" t="s">
        <v>177</v>
      </c>
      <c r="O63" s="331"/>
      <c r="P63" s="331"/>
      <c r="Q63" s="331"/>
      <c r="R63" s="331"/>
      <c r="S63" s="331"/>
    </row>
    <row r="64">
      <c r="A64" s="14" t="s">
        <v>310</v>
      </c>
      <c r="B64" s="331"/>
      <c r="C64" s="330" t="b">
        <v>0</v>
      </c>
      <c r="D64" s="331"/>
      <c r="E64" s="14"/>
      <c r="F64" s="14" t="s">
        <v>4443</v>
      </c>
      <c r="G64" s="1" t="s">
        <v>31</v>
      </c>
      <c r="H64" s="1" t="s">
        <v>31</v>
      </c>
      <c r="I64" s="331" t="s">
        <v>4391</v>
      </c>
      <c r="J64" s="1" t="s">
        <v>31</v>
      </c>
      <c r="K64" s="332"/>
      <c r="L64" s="331">
        <v>9.324220048E9</v>
      </c>
      <c r="M64" s="331"/>
      <c r="N64" s="333" t="s">
        <v>171</v>
      </c>
      <c r="O64" s="331"/>
      <c r="P64" s="331"/>
      <c r="Q64" s="331"/>
      <c r="R64" s="331"/>
      <c r="S64" s="331"/>
    </row>
    <row r="65">
      <c r="A65" s="336" t="s">
        <v>314</v>
      </c>
      <c r="B65" s="331"/>
      <c r="C65" s="330" t="b">
        <v>0</v>
      </c>
      <c r="D65" s="331"/>
      <c r="E65" s="14"/>
      <c r="F65" s="14" t="s">
        <v>4444</v>
      </c>
      <c r="G65" s="1" t="s">
        <v>31</v>
      </c>
      <c r="H65" s="1" t="s">
        <v>31</v>
      </c>
      <c r="I65" s="331" t="s">
        <v>4391</v>
      </c>
      <c r="J65" s="1" t="s">
        <v>31</v>
      </c>
      <c r="K65" s="332"/>
      <c r="L65" s="331">
        <v>9.203604361E9</v>
      </c>
      <c r="M65" s="331"/>
      <c r="N65" s="333" t="s">
        <v>171</v>
      </c>
      <c r="O65" s="331"/>
      <c r="P65" s="331"/>
      <c r="Q65" s="331"/>
      <c r="R65" s="331"/>
      <c r="S65" s="331"/>
    </row>
    <row r="66">
      <c r="A66" s="14" t="s">
        <v>319</v>
      </c>
      <c r="B66" s="331"/>
      <c r="C66" s="330" t="b">
        <v>0</v>
      </c>
      <c r="D66" s="331"/>
      <c r="E66" s="14"/>
      <c r="F66" s="14" t="s">
        <v>4445</v>
      </c>
      <c r="G66" s="1" t="s">
        <v>31</v>
      </c>
      <c r="H66" s="1" t="s">
        <v>31</v>
      </c>
      <c r="I66" s="331" t="s">
        <v>4391</v>
      </c>
      <c r="J66" s="1" t="s">
        <v>31</v>
      </c>
      <c r="K66" s="332"/>
      <c r="L66" s="331">
        <v>9.173446105E9</v>
      </c>
      <c r="M66" s="331"/>
      <c r="N66" s="333" t="s">
        <v>171</v>
      </c>
      <c r="O66" s="331"/>
      <c r="P66" s="331"/>
      <c r="Q66" s="331"/>
      <c r="R66" s="331"/>
      <c r="S66" s="331"/>
    </row>
    <row r="67">
      <c r="A67" s="14" t="s">
        <v>323</v>
      </c>
      <c r="B67" s="331" t="s">
        <v>4446</v>
      </c>
      <c r="C67" s="330" t="b">
        <v>0</v>
      </c>
      <c r="D67" s="331"/>
      <c r="E67" s="14"/>
      <c r="F67" s="14" t="s">
        <v>4447</v>
      </c>
      <c r="G67" s="1" t="s">
        <v>31</v>
      </c>
      <c r="H67" s="1" t="s">
        <v>31</v>
      </c>
      <c r="I67" s="331" t="s">
        <v>4412</v>
      </c>
      <c r="J67" s="1" t="s">
        <v>31</v>
      </c>
      <c r="K67" s="332"/>
      <c r="L67" s="331" t="s">
        <v>4448</v>
      </c>
      <c r="M67" s="331"/>
      <c r="N67" s="333" t="s">
        <v>1182</v>
      </c>
      <c r="O67" s="331"/>
      <c r="P67" s="331"/>
      <c r="Q67" s="331"/>
      <c r="R67" s="331"/>
      <c r="S67" s="331"/>
    </row>
    <row r="68">
      <c r="A68" s="14" t="s">
        <v>330</v>
      </c>
      <c r="B68" s="331" t="s">
        <v>4449</v>
      </c>
      <c r="C68" s="330" t="b">
        <v>0</v>
      </c>
      <c r="D68" s="331"/>
      <c r="E68" s="14"/>
      <c r="F68" s="14" t="s">
        <v>4450</v>
      </c>
      <c r="G68" s="1" t="s">
        <v>31</v>
      </c>
      <c r="H68" s="1" t="s">
        <v>31</v>
      </c>
      <c r="I68" s="331" t="s">
        <v>4451</v>
      </c>
      <c r="J68" s="1" t="s">
        <v>31</v>
      </c>
      <c r="K68" s="332"/>
      <c r="L68" s="331">
        <v>9.983565496E9</v>
      </c>
      <c r="M68" s="331"/>
      <c r="N68" s="333" t="s">
        <v>177</v>
      </c>
      <c r="O68" s="331"/>
      <c r="P68" s="331"/>
      <c r="Q68" s="331"/>
      <c r="R68" s="331"/>
      <c r="S68" s="331"/>
    </row>
    <row r="69">
      <c r="A69" s="14" t="s">
        <v>334</v>
      </c>
      <c r="B69" s="331" t="s">
        <v>4452</v>
      </c>
      <c r="C69" s="330" t="b">
        <v>0</v>
      </c>
      <c r="D69" s="331"/>
      <c r="E69" s="14"/>
      <c r="F69" s="14" t="s">
        <v>4453</v>
      </c>
      <c r="G69" s="1" t="s">
        <v>31</v>
      </c>
      <c r="H69" s="1" t="s">
        <v>31</v>
      </c>
      <c r="I69" s="331" t="s">
        <v>4395</v>
      </c>
      <c r="J69" s="1" t="s">
        <v>31</v>
      </c>
      <c r="K69" s="332"/>
      <c r="L69" s="331">
        <v>9.175027959E9</v>
      </c>
      <c r="M69" s="331"/>
      <c r="N69" s="333" t="s">
        <v>177</v>
      </c>
      <c r="O69" s="331"/>
      <c r="P69" s="331"/>
      <c r="Q69" s="331"/>
      <c r="R69" s="331"/>
      <c r="S69" s="331"/>
    </row>
    <row r="70">
      <c r="A70" s="14" t="s">
        <v>336</v>
      </c>
      <c r="B70" s="331" t="s">
        <v>4454</v>
      </c>
      <c r="C70" s="330" t="b">
        <v>0</v>
      </c>
      <c r="D70" s="331"/>
      <c r="E70" s="14"/>
      <c r="F70" s="14" t="s">
        <v>4455</v>
      </c>
      <c r="G70" s="1" t="s">
        <v>31</v>
      </c>
      <c r="H70" s="1" t="s">
        <v>31</v>
      </c>
      <c r="I70" s="331" t="s">
        <v>4437</v>
      </c>
      <c r="J70" s="1" t="s">
        <v>31</v>
      </c>
      <c r="K70" s="332"/>
      <c r="L70" s="331">
        <v>9.925580167E9</v>
      </c>
      <c r="M70" s="331"/>
      <c r="N70" s="333" t="s">
        <v>1182</v>
      </c>
      <c r="O70" s="331"/>
      <c r="P70" s="331"/>
      <c r="Q70" s="331"/>
      <c r="R70" s="331"/>
      <c r="S70" s="331"/>
    </row>
    <row r="71">
      <c r="A71" s="14" t="s">
        <v>338</v>
      </c>
      <c r="B71" s="331" t="s">
        <v>4456</v>
      </c>
      <c r="C71" s="330" t="b">
        <v>0</v>
      </c>
      <c r="D71" s="331"/>
      <c r="E71" s="14"/>
      <c r="F71" s="14" t="s">
        <v>4457</v>
      </c>
      <c r="G71" s="1" t="s">
        <v>31</v>
      </c>
      <c r="H71" s="1" t="s">
        <v>31</v>
      </c>
      <c r="I71" s="331" t="s">
        <v>4419</v>
      </c>
      <c r="J71" s="1" t="s">
        <v>31</v>
      </c>
      <c r="K71" s="332"/>
      <c r="L71" s="331">
        <v>9.215520673E9</v>
      </c>
      <c r="M71" s="331"/>
      <c r="N71" s="333" t="s">
        <v>254</v>
      </c>
      <c r="O71" s="331"/>
      <c r="P71" s="331"/>
      <c r="Q71" s="331"/>
      <c r="R71" s="331"/>
      <c r="S71" s="331"/>
    </row>
    <row r="72">
      <c r="A72" s="14" t="s">
        <v>342</v>
      </c>
      <c r="B72" s="331" t="s">
        <v>4458</v>
      </c>
      <c r="C72" s="330" t="b">
        <v>0</v>
      </c>
      <c r="D72" s="331"/>
      <c r="E72" s="14"/>
      <c r="F72" s="14" t="s">
        <v>4459</v>
      </c>
      <c r="G72" s="1" t="s">
        <v>31</v>
      </c>
      <c r="H72" s="1" t="s">
        <v>31</v>
      </c>
      <c r="I72" s="331" t="s">
        <v>4391</v>
      </c>
      <c r="J72" s="1" t="s">
        <v>31</v>
      </c>
      <c r="K72" s="332"/>
      <c r="L72" s="331">
        <v>9.177129055E9</v>
      </c>
      <c r="M72" s="331"/>
      <c r="N72" s="333" t="s">
        <v>715</v>
      </c>
      <c r="O72" s="331"/>
      <c r="P72" s="331"/>
      <c r="Q72" s="331"/>
      <c r="R72" s="331"/>
      <c r="S72" s="331"/>
    </row>
    <row r="73">
      <c r="A73" s="14" t="s">
        <v>345</v>
      </c>
      <c r="B73" s="331" t="s">
        <v>4460</v>
      </c>
      <c r="C73" s="330" t="b">
        <v>0</v>
      </c>
      <c r="D73" s="331"/>
      <c r="E73" s="14"/>
      <c r="F73" s="14" t="s">
        <v>4461</v>
      </c>
      <c r="G73" s="1" t="s">
        <v>31</v>
      </c>
      <c r="H73" s="1" t="s">
        <v>31</v>
      </c>
      <c r="I73" s="331" t="s">
        <v>4391</v>
      </c>
      <c r="J73" s="1" t="s">
        <v>31</v>
      </c>
      <c r="K73" s="332"/>
      <c r="L73" s="14">
        <v>9.61788698E9</v>
      </c>
      <c r="M73" s="331"/>
      <c r="N73" s="333" t="s">
        <v>171</v>
      </c>
      <c r="O73" s="331"/>
      <c r="P73" s="331"/>
      <c r="Q73" s="331"/>
      <c r="R73" s="331"/>
      <c r="S73" s="331"/>
    </row>
    <row r="74">
      <c r="A74" s="14" t="s">
        <v>349</v>
      </c>
      <c r="B74" s="331" t="s">
        <v>4462</v>
      </c>
      <c r="C74" s="330" t="b">
        <v>0</v>
      </c>
      <c r="D74" s="331"/>
      <c r="E74" s="14"/>
      <c r="F74" s="14" t="s">
        <v>4463</v>
      </c>
      <c r="G74" s="1" t="s">
        <v>31</v>
      </c>
      <c r="H74" s="1" t="s">
        <v>31</v>
      </c>
      <c r="I74" s="331" t="s">
        <v>4464</v>
      </c>
      <c r="J74" s="1" t="s">
        <v>31</v>
      </c>
      <c r="K74" s="332"/>
      <c r="L74" s="331">
        <v>9.630329692E9</v>
      </c>
      <c r="M74" s="331"/>
      <c r="N74" s="333" t="s">
        <v>254</v>
      </c>
      <c r="O74" s="331"/>
      <c r="P74" s="331"/>
      <c r="Q74" s="331"/>
      <c r="R74" s="331"/>
      <c r="S74" s="331"/>
    </row>
    <row r="75">
      <c r="A75" s="14" t="s">
        <v>353</v>
      </c>
      <c r="B75" s="331" t="s">
        <v>4465</v>
      </c>
      <c r="C75" s="330" t="b">
        <v>0</v>
      </c>
      <c r="D75" s="331"/>
      <c r="E75" s="14"/>
      <c r="F75" s="14" t="s">
        <v>4466</v>
      </c>
      <c r="G75" s="1" t="s">
        <v>31</v>
      </c>
      <c r="H75" s="1" t="s">
        <v>31</v>
      </c>
      <c r="I75" s="331" t="s">
        <v>4464</v>
      </c>
      <c r="J75" s="1" t="s">
        <v>31</v>
      </c>
      <c r="K75" s="332"/>
      <c r="L75" s="331">
        <v>9.209020481E9</v>
      </c>
      <c r="M75" s="331"/>
      <c r="N75" s="333" t="s">
        <v>744</v>
      </c>
      <c r="O75" s="331"/>
      <c r="P75" s="331"/>
      <c r="Q75" s="331"/>
      <c r="R75" s="331"/>
      <c r="S75" s="331"/>
    </row>
    <row r="76">
      <c r="A76" s="14" t="s">
        <v>357</v>
      </c>
      <c r="B76" s="331"/>
      <c r="C76" s="330" t="b">
        <v>0</v>
      </c>
      <c r="D76" s="331"/>
      <c r="E76" s="14"/>
      <c r="F76" s="14" t="s">
        <v>4467</v>
      </c>
      <c r="G76" s="1" t="s">
        <v>31</v>
      </c>
      <c r="H76" s="1" t="s">
        <v>31</v>
      </c>
      <c r="I76" s="331" t="s">
        <v>4433</v>
      </c>
      <c r="J76" s="1" t="s">
        <v>31</v>
      </c>
      <c r="K76" s="332"/>
      <c r="L76" s="331">
        <v>9.255382736E9</v>
      </c>
      <c r="M76" s="331"/>
      <c r="N76" s="333" t="s">
        <v>177</v>
      </c>
      <c r="O76" s="331"/>
      <c r="P76" s="331"/>
      <c r="Q76" s="331"/>
      <c r="R76" s="331"/>
      <c r="S76" s="331"/>
    </row>
    <row r="77">
      <c r="A77" s="14" t="s">
        <v>361</v>
      </c>
      <c r="B77" s="331" t="s">
        <v>4468</v>
      </c>
      <c r="C77" s="330" t="b">
        <v>0</v>
      </c>
      <c r="D77" s="331"/>
      <c r="E77" s="14"/>
      <c r="F77" s="14" t="s">
        <v>4469</v>
      </c>
      <c r="G77" s="1" t="s">
        <v>31</v>
      </c>
      <c r="H77" s="1" t="s">
        <v>31</v>
      </c>
      <c r="I77" s="331" t="s">
        <v>4395</v>
      </c>
      <c r="J77" s="1" t="s">
        <v>31</v>
      </c>
      <c r="K77" s="332"/>
      <c r="L77" s="331">
        <v>9.276886772E9</v>
      </c>
      <c r="M77" s="331"/>
      <c r="N77" s="333" t="s">
        <v>177</v>
      </c>
      <c r="O77" s="331"/>
      <c r="P77" s="331"/>
      <c r="Q77" s="331"/>
      <c r="R77" s="331"/>
      <c r="S77" s="331"/>
    </row>
    <row r="78">
      <c r="A78" s="14" t="s">
        <v>365</v>
      </c>
      <c r="B78" s="331"/>
      <c r="C78" s="330" t="b">
        <v>0</v>
      </c>
      <c r="D78" s="331"/>
      <c r="E78" s="14"/>
      <c r="F78" s="14" t="s">
        <v>4470</v>
      </c>
      <c r="G78" s="1" t="s">
        <v>31</v>
      </c>
      <c r="H78" s="1" t="s">
        <v>31</v>
      </c>
      <c r="I78" s="331" t="s">
        <v>4471</v>
      </c>
      <c r="J78" s="1" t="s">
        <v>31</v>
      </c>
      <c r="K78" s="332"/>
      <c r="L78" s="331">
        <v>9.664190848E9</v>
      </c>
      <c r="M78" s="331"/>
      <c r="N78" s="333" t="s">
        <v>171</v>
      </c>
      <c r="O78" s="331"/>
      <c r="P78" s="331"/>
      <c r="Q78" s="331"/>
      <c r="R78" s="331"/>
      <c r="S78" s="331"/>
    </row>
    <row r="79">
      <c r="A79" s="14" t="s">
        <v>369</v>
      </c>
      <c r="B79" s="331" t="s">
        <v>4472</v>
      </c>
      <c r="C79" s="330" t="b">
        <v>0</v>
      </c>
      <c r="D79" s="331"/>
      <c r="E79" s="14"/>
      <c r="F79" s="14" t="s">
        <v>4473</v>
      </c>
      <c r="G79" s="1" t="s">
        <v>31</v>
      </c>
      <c r="H79" s="1" t="s">
        <v>31</v>
      </c>
      <c r="I79" s="331" t="s">
        <v>4358</v>
      </c>
      <c r="J79" s="1" t="s">
        <v>31</v>
      </c>
      <c r="K79" s="332"/>
      <c r="L79" s="331">
        <v>9.519898888E9</v>
      </c>
      <c r="M79" s="331"/>
      <c r="N79" s="333" t="s">
        <v>177</v>
      </c>
      <c r="O79" s="331"/>
      <c r="P79" s="331"/>
      <c r="Q79" s="331"/>
      <c r="R79" s="331"/>
      <c r="S79" s="331"/>
    </row>
    <row r="80">
      <c r="A80" s="14" t="s">
        <v>373</v>
      </c>
      <c r="B80" s="331" t="s">
        <v>4474</v>
      </c>
      <c r="C80" s="330" t="b">
        <v>0</v>
      </c>
      <c r="D80" s="331"/>
      <c r="E80" s="14"/>
      <c r="F80" s="14" t="s">
        <v>4475</v>
      </c>
      <c r="G80" s="1" t="s">
        <v>31</v>
      </c>
      <c r="H80" s="1" t="s">
        <v>31</v>
      </c>
      <c r="I80" s="331" t="s">
        <v>4395</v>
      </c>
      <c r="J80" s="1" t="s">
        <v>31</v>
      </c>
      <c r="K80" s="332"/>
      <c r="L80" s="331">
        <v>9.777290416E9</v>
      </c>
      <c r="M80" s="331"/>
      <c r="N80" s="333" t="s">
        <v>177</v>
      </c>
      <c r="O80" s="331"/>
      <c r="P80" s="331"/>
      <c r="Q80" s="331"/>
      <c r="R80" s="331"/>
      <c r="S80" s="331"/>
    </row>
    <row r="81">
      <c r="A81" s="14" t="s">
        <v>378</v>
      </c>
      <c r="B81" s="331" t="s">
        <v>4476</v>
      </c>
      <c r="C81" s="330" t="b">
        <v>0</v>
      </c>
      <c r="D81" s="331"/>
      <c r="E81" s="14"/>
      <c r="F81" s="14" t="s">
        <v>4477</v>
      </c>
      <c r="G81" s="1" t="s">
        <v>31</v>
      </c>
      <c r="H81" s="1" t="s">
        <v>31</v>
      </c>
      <c r="I81" s="331" t="s">
        <v>4363</v>
      </c>
      <c r="J81" s="1" t="s">
        <v>31</v>
      </c>
      <c r="K81" s="332"/>
      <c r="L81" s="331">
        <v>9.48647421E9</v>
      </c>
      <c r="M81" s="331"/>
      <c r="N81" s="333" t="s">
        <v>177</v>
      </c>
      <c r="O81" s="331"/>
      <c r="P81" s="331"/>
      <c r="Q81" s="331"/>
      <c r="R81" s="331"/>
      <c r="S81" s="331"/>
    </row>
    <row r="82">
      <c r="A82" s="14" t="s">
        <v>381</v>
      </c>
      <c r="B82" s="331" t="s">
        <v>4478</v>
      </c>
      <c r="C82" s="330" t="b">
        <v>0</v>
      </c>
      <c r="D82" s="331"/>
      <c r="E82" s="14"/>
      <c r="F82" s="14" t="s">
        <v>4479</v>
      </c>
      <c r="G82" s="1" t="s">
        <v>31</v>
      </c>
      <c r="H82" s="1" t="s">
        <v>31</v>
      </c>
      <c r="I82" s="331" t="s">
        <v>4363</v>
      </c>
      <c r="J82" s="1" t="s">
        <v>31</v>
      </c>
      <c r="K82" s="332"/>
      <c r="L82" s="331">
        <v>9.156747112E9</v>
      </c>
      <c r="M82" s="331"/>
      <c r="N82" s="333" t="s">
        <v>177</v>
      </c>
      <c r="O82" s="331"/>
      <c r="P82" s="331"/>
      <c r="Q82" s="331"/>
      <c r="R82" s="331"/>
      <c r="S82" s="331"/>
    </row>
    <row r="83">
      <c r="A83" s="14" t="s">
        <v>384</v>
      </c>
      <c r="B83" s="331" t="s">
        <v>4480</v>
      </c>
      <c r="C83" s="330" t="b">
        <v>0</v>
      </c>
      <c r="D83" s="331"/>
      <c r="E83" s="14"/>
      <c r="F83" s="14" t="s">
        <v>4481</v>
      </c>
      <c r="G83" s="1" t="s">
        <v>31</v>
      </c>
      <c r="H83" s="1" t="s">
        <v>31</v>
      </c>
      <c r="I83" s="331" t="s">
        <v>4417</v>
      </c>
      <c r="J83" s="1" t="s">
        <v>31</v>
      </c>
      <c r="K83" s="332"/>
      <c r="L83" s="331">
        <v>9.858433201E9</v>
      </c>
      <c r="M83" s="331"/>
      <c r="N83" s="333" t="s">
        <v>254</v>
      </c>
      <c r="O83" s="331"/>
      <c r="P83" s="331"/>
      <c r="Q83" s="331"/>
      <c r="R83" s="331"/>
      <c r="S83" s="331"/>
    </row>
    <row r="84">
      <c r="A84" s="14" t="s">
        <v>387</v>
      </c>
      <c r="B84" s="331" t="s">
        <v>4482</v>
      </c>
      <c r="C84" s="330" t="b">
        <v>0</v>
      </c>
      <c r="D84" s="331"/>
      <c r="E84" s="14"/>
      <c r="F84" s="14" t="s">
        <v>4483</v>
      </c>
      <c r="G84" s="1" t="s">
        <v>31</v>
      </c>
      <c r="H84" s="1" t="s">
        <v>31</v>
      </c>
      <c r="I84" s="331" t="s">
        <v>4395</v>
      </c>
      <c r="J84" s="1" t="s">
        <v>31</v>
      </c>
      <c r="K84" s="332"/>
      <c r="L84" s="331">
        <v>9.084821797E9</v>
      </c>
      <c r="M84" s="331"/>
      <c r="N84" s="333" t="s">
        <v>177</v>
      </c>
      <c r="O84" s="331"/>
      <c r="P84" s="331"/>
      <c r="Q84" s="331"/>
      <c r="R84" s="331"/>
      <c r="S84" s="331"/>
    </row>
    <row r="85">
      <c r="A85" s="14" t="s">
        <v>391</v>
      </c>
      <c r="B85" s="331"/>
      <c r="C85" s="330" t="b">
        <v>0</v>
      </c>
      <c r="D85" s="331"/>
      <c r="E85" s="14"/>
      <c r="F85" s="14" t="s">
        <v>4484</v>
      </c>
      <c r="G85" s="1" t="s">
        <v>31</v>
      </c>
      <c r="H85" s="1" t="s">
        <v>31</v>
      </c>
      <c r="I85" s="331" t="s">
        <v>4485</v>
      </c>
      <c r="J85" s="1" t="s">
        <v>31</v>
      </c>
      <c r="K85" s="332"/>
      <c r="L85" s="331">
        <v>9.23086629E9</v>
      </c>
      <c r="M85" s="331"/>
      <c r="N85" s="333" t="s">
        <v>177</v>
      </c>
      <c r="O85" s="331"/>
      <c r="P85" s="331"/>
      <c r="Q85" s="331"/>
      <c r="R85" s="331"/>
      <c r="S85" s="331"/>
    </row>
    <row r="86">
      <c r="A86" s="14" t="s">
        <v>398</v>
      </c>
      <c r="B86" s="331" t="s">
        <v>4486</v>
      </c>
      <c r="C86" s="330" t="b">
        <v>0</v>
      </c>
      <c r="D86" s="331"/>
      <c r="E86" s="14"/>
      <c r="F86" s="14" t="s">
        <v>4487</v>
      </c>
      <c r="G86" s="1" t="s">
        <v>31</v>
      </c>
      <c r="H86" s="1" t="s">
        <v>31</v>
      </c>
      <c r="I86" s="331" t="s">
        <v>4395</v>
      </c>
      <c r="J86" s="1" t="s">
        <v>31</v>
      </c>
      <c r="K86" s="332"/>
      <c r="L86" s="331">
        <v>9.455271655E9</v>
      </c>
      <c r="M86" s="331"/>
      <c r="N86" s="333" t="s">
        <v>177</v>
      </c>
      <c r="O86" s="331"/>
      <c r="P86" s="331"/>
      <c r="Q86" s="331"/>
      <c r="R86" s="331"/>
      <c r="S86" s="331"/>
    </row>
    <row r="87">
      <c r="A87" s="14" t="s">
        <v>403</v>
      </c>
      <c r="B87" s="331"/>
      <c r="C87" s="330" t="b">
        <v>0</v>
      </c>
      <c r="D87" s="331"/>
      <c r="E87" s="14"/>
      <c r="F87" s="14" t="s">
        <v>4488</v>
      </c>
      <c r="G87" s="1" t="s">
        <v>31</v>
      </c>
      <c r="H87" s="1" t="s">
        <v>31</v>
      </c>
      <c r="I87" s="331" t="s">
        <v>4395</v>
      </c>
      <c r="J87" s="1" t="s">
        <v>31</v>
      </c>
      <c r="K87" s="332"/>
      <c r="L87" s="331">
        <v>9.45401772E9</v>
      </c>
      <c r="M87" s="331"/>
      <c r="N87" s="333" t="s">
        <v>177</v>
      </c>
      <c r="O87" s="331"/>
      <c r="P87" s="331"/>
      <c r="Q87" s="331"/>
      <c r="R87" s="331"/>
      <c r="S87" s="331"/>
    </row>
    <row r="88">
      <c r="A88" s="14" t="s">
        <v>422</v>
      </c>
      <c r="B88" s="331"/>
      <c r="C88" s="330" t="b">
        <v>0</v>
      </c>
      <c r="D88" s="331"/>
      <c r="E88" s="14"/>
      <c r="F88" s="14" t="s">
        <v>4489</v>
      </c>
      <c r="G88" s="1" t="s">
        <v>31</v>
      </c>
      <c r="H88" s="1" t="s">
        <v>31</v>
      </c>
      <c r="I88" s="331" t="s">
        <v>4391</v>
      </c>
      <c r="J88" s="1" t="s">
        <v>31</v>
      </c>
      <c r="K88" s="332"/>
      <c r="L88" s="331">
        <v>9.178829781E9</v>
      </c>
      <c r="M88" s="331"/>
      <c r="N88" s="333" t="s">
        <v>171</v>
      </c>
      <c r="O88" s="331"/>
      <c r="P88" s="331"/>
      <c r="Q88" s="331"/>
      <c r="R88" s="331"/>
      <c r="S88" s="331"/>
    </row>
    <row r="89">
      <c r="A89" s="14" t="s">
        <v>426</v>
      </c>
      <c r="B89" s="331"/>
      <c r="C89" s="330" t="b">
        <v>0</v>
      </c>
      <c r="D89" s="331"/>
      <c r="E89" s="14"/>
      <c r="F89" s="14" t="s">
        <v>4490</v>
      </c>
      <c r="G89" s="1" t="s">
        <v>31</v>
      </c>
      <c r="H89" s="1" t="s">
        <v>31</v>
      </c>
      <c r="I89" s="331" t="s">
        <v>4391</v>
      </c>
      <c r="J89" s="1" t="s">
        <v>31</v>
      </c>
      <c r="K89" s="332"/>
      <c r="L89" s="331">
        <v>9.75071006E9</v>
      </c>
      <c r="M89" s="331"/>
      <c r="N89" s="333" t="s">
        <v>171</v>
      </c>
      <c r="O89" s="331"/>
      <c r="P89" s="331"/>
      <c r="Q89" s="331"/>
      <c r="R89" s="331"/>
      <c r="S89" s="331"/>
    </row>
    <row r="90">
      <c r="A90" s="14" t="s">
        <v>430</v>
      </c>
      <c r="B90" s="331"/>
      <c r="C90" s="330" t="b">
        <v>0</v>
      </c>
      <c r="D90" s="331"/>
      <c r="E90" s="14"/>
      <c r="F90" s="14" t="s">
        <v>4491</v>
      </c>
      <c r="G90" s="1" t="s">
        <v>31</v>
      </c>
      <c r="H90" s="1" t="s">
        <v>31</v>
      </c>
      <c r="I90" s="331" t="s">
        <v>4391</v>
      </c>
      <c r="J90" s="1" t="s">
        <v>31</v>
      </c>
      <c r="K90" s="332"/>
      <c r="L90" s="331">
        <v>9.207763152E9</v>
      </c>
      <c r="M90" s="331"/>
      <c r="N90" s="333" t="s">
        <v>171</v>
      </c>
      <c r="O90" s="331"/>
      <c r="P90" s="331"/>
      <c r="Q90" s="331"/>
      <c r="R90" s="331"/>
      <c r="S90" s="331"/>
    </row>
    <row r="91">
      <c r="A91" s="14" t="s">
        <v>434</v>
      </c>
      <c r="B91" s="331"/>
      <c r="C91" s="330" t="b">
        <v>0</v>
      </c>
      <c r="D91" s="331"/>
      <c r="E91" s="14"/>
      <c r="F91" s="14" t="s">
        <v>4492</v>
      </c>
      <c r="G91" s="1" t="s">
        <v>31</v>
      </c>
      <c r="H91" s="1" t="s">
        <v>31</v>
      </c>
      <c r="I91" s="331" t="s">
        <v>4391</v>
      </c>
      <c r="J91" s="1" t="s">
        <v>31</v>
      </c>
      <c r="K91" s="332"/>
      <c r="L91" s="331">
        <v>9.190056787E9</v>
      </c>
      <c r="M91" s="331"/>
      <c r="N91" s="333" t="s">
        <v>171</v>
      </c>
      <c r="O91" s="331"/>
      <c r="P91" s="331"/>
      <c r="Q91" s="331"/>
      <c r="R91" s="331"/>
      <c r="S91" s="331"/>
    </row>
    <row r="92">
      <c r="A92" s="14" t="s">
        <v>457</v>
      </c>
      <c r="B92" s="331" t="s">
        <v>4493</v>
      </c>
      <c r="C92" s="330" t="b">
        <v>0</v>
      </c>
      <c r="D92" s="331"/>
      <c r="E92" s="14"/>
      <c r="F92" s="14" t="s">
        <v>4494</v>
      </c>
      <c r="G92" s="1" t="s">
        <v>31</v>
      </c>
      <c r="H92" s="1" t="s">
        <v>31</v>
      </c>
      <c r="I92" s="331" t="s">
        <v>4395</v>
      </c>
      <c r="J92" s="1" t="s">
        <v>31</v>
      </c>
      <c r="K92" s="332"/>
      <c r="L92" s="331">
        <v>9.189095347E9</v>
      </c>
      <c r="M92" s="331"/>
      <c r="N92" s="333" t="s">
        <v>177</v>
      </c>
      <c r="O92" s="331"/>
      <c r="P92" s="331"/>
      <c r="Q92" s="331"/>
      <c r="R92" s="331"/>
      <c r="S92" s="331"/>
    </row>
    <row r="93">
      <c r="A93" s="14" t="s">
        <v>465</v>
      </c>
      <c r="B93" s="331"/>
      <c r="C93" s="330" t="b">
        <v>0</v>
      </c>
      <c r="D93" s="331"/>
      <c r="E93" s="14"/>
      <c r="F93" s="331" t="s">
        <v>4495</v>
      </c>
      <c r="G93" s="1" t="s">
        <v>31</v>
      </c>
      <c r="H93" s="1" t="s">
        <v>31</v>
      </c>
      <c r="I93" s="331" t="s">
        <v>4395</v>
      </c>
      <c r="J93" s="1" t="s">
        <v>31</v>
      </c>
      <c r="K93" s="332"/>
      <c r="L93" s="14">
        <v>9.088729336E9</v>
      </c>
      <c r="M93" s="331"/>
      <c r="N93" s="333" t="s">
        <v>177</v>
      </c>
      <c r="O93" s="331"/>
      <c r="P93" s="331"/>
      <c r="Q93" s="331"/>
      <c r="R93" s="331"/>
      <c r="S93" s="331"/>
    </row>
    <row r="94">
      <c r="A94" s="14" t="s">
        <v>469</v>
      </c>
      <c r="B94" s="331"/>
      <c r="C94" s="330" t="b">
        <v>0</v>
      </c>
      <c r="D94" s="331"/>
      <c r="E94" s="14"/>
      <c r="F94" s="14" t="s">
        <v>4496</v>
      </c>
      <c r="G94" s="1" t="s">
        <v>31</v>
      </c>
      <c r="H94" s="1" t="s">
        <v>31</v>
      </c>
      <c r="I94" s="331" t="s">
        <v>4363</v>
      </c>
      <c r="J94" s="1" t="s">
        <v>31</v>
      </c>
      <c r="K94" s="332"/>
      <c r="L94" s="14">
        <v>9.95252165E8</v>
      </c>
      <c r="M94" s="331"/>
      <c r="N94" s="333" t="s">
        <v>177</v>
      </c>
      <c r="O94" s="331"/>
      <c r="P94" s="331"/>
      <c r="Q94" s="331"/>
      <c r="R94" s="331"/>
      <c r="S94" s="331"/>
    </row>
    <row r="95">
      <c r="A95" s="14" t="s">
        <v>473</v>
      </c>
      <c r="B95" s="331" t="s">
        <v>4497</v>
      </c>
      <c r="C95" s="330" t="b">
        <v>0</v>
      </c>
      <c r="D95" s="331"/>
      <c r="E95" s="14"/>
      <c r="F95" s="14" t="s">
        <v>4498</v>
      </c>
      <c r="G95" s="1" t="s">
        <v>31</v>
      </c>
      <c r="H95" s="1" t="s">
        <v>31</v>
      </c>
      <c r="I95" s="331" t="s">
        <v>4358</v>
      </c>
      <c r="J95" s="1" t="s">
        <v>31</v>
      </c>
      <c r="K95" s="332"/>
      <c r="L95" s="331">
        <v>9.052792913E9</v>
      </c>
      <c r="M95" s="331"/>
      <c r="N95" s="333" t="s">
        <v>177</v>
      </c>
      <c r="O95" s="331"/>
      <c r="P95" s="331"/>
      <c r="Q95" s="331"/>
      <c r="R95" s="331"/>
      <c r="S95" s="331"/>
    </row>
    <row r="96">
      <c r="A96" s="14" t="s">
        <v>477</v>
      </c>
      <c r="B96" s="331"/>
      <c r="C96" s="330" t="b">
        <v>0</v>
      </c>
      <c r="D96" s="331"/>
      <c r="E96" s="14"/>
      <c r="F96" s="331" t="s">
        <v>4499</v>
      </c>
      <c r="G96" s="1" t="s">
        <v>31</v>
      </c>
      <c r="H96" s="1" t="s">
        <v>31</v>
      </c>
      <c r="I96" s="331" t="s">
        <v>4358</v>
      </c>
      <c r="J96" s="1" t="s">
        <v>31</v>
      </c>
      <c r="K96" s="332"/>
      <c r="L96" s="14">
        <v>9.209525165E9</v>
      </c>
      <c r="M96" s="331"/>
      <c r="N96" s="333" t="s">
        <v>177</v>
      </c>
      <c r="O96" s="331"/>
      <c r="P96" s="331"/>
      <c r="Q96" s="331"/>
      <c r="R96" s="331"/>
      <c r="S96" s="331"/>
    </row>
    <row r="97">
      <c r="A97" s="14" t="s">
        <v>481</v>
      </c>
      <c r="B97" s="331"/>
      <c r="C97" s="330" t="b">
        <v>0</v>
      </c>
      <c r="D97" s="331"/>
      <c r="E97" s="14"/>
      <c r="F97" s="14" t="s">
        <v>4500</v>
      </c>
      <c r="G97" s="1" t="s">
        <v>31</v>
      </c>
      <c r="H97" s="1" t="s">
        <v>31</v>
      </c>
      <c r="I97" s="331" t="s">
        <v>4358</v>
      </c>
      <c r="J97" s="1" t="s">
        <v>31</v>
      </c>
      <c r="K97" s="332"/>
      <c r="L97" s="331"/>
      <c r="M97" s="331"/>
      <c r="N97" s="333" t="s">
        <v>177</v>
      </c>
      <c r="O97" s="331"/>
      <c r="P97" s="331"/>
      <c r="Q97" s="331"/>
      <c r="R97" s="331"/>
      <c r="S97" s="331"/>
    </row>
    <row r="98">
      <c r="A98" s="14" t="s">
        <v>486</v>
      </c>
      <c r="B98" s="331"/>
      <c r="C98" s="330" t="b">
        <v>0</v>
      </c>
      <c r="D98" s="331"/>
      <c r="E98" s="14"/>
      <c r="F98" s="331" t="s">
        <v>4501</v>
      </c>
      <c r="G98" s="1" t="s">
        <v>31</v>
      </c>
      <c r="H98" s="1" t="s">
        <v>31</v>
      </c>
      <c r="I98" s="331" t="s">
        <v>4358</v>
      </c>
      <c r="J98" s="1" t="s">
        <v>31</v>
      </c>
      <c r="K98" s="332"/>
      <c r="L98" s="14">
        <v>9.568726247E9</v>
      </c>
      <c r="M98" s="331"/>
      <c r="N98" s="333" t="s">
        <v>177</v>
      </c>
      <c r="O98" s="331"/>
      <c r="P98" s="331"/>
      <c r="Q98" s="331"/>
      <c r="R98" s="331"/>
      <c r="S98" s="331"/>
    </row>
    <row r="99">
      <c r="A99" s="14" t="s">
        <v>491</v>
      </c>
      <c r="B99" s="331"/>
      <c r="C99" s="330" t="b">
        <v>0</v>
      </c>
      <c r="D99" s="331"/>
      <c r="E99" s="14"/>
      <c r="F99" s="331" t="s">
        <v>4502</v>
      </c>
      <c r="G99" s="1" t="s">
        <v>31</v>
      </c>
      <c r="H99" s="1" t="s">
        <v>31</v>
      </c>
      <c r="I99" s="331" t="s">
        <v>4451</v>
      </c>
      <c r="J99" s="1" t="s">
        <v>31</v>
      </c>
      <c r="K99" s="332"/>
      <c r="L99" s="14">
        <v>9.179000206E9</v>
      </c>
      <c r="M99" s="331"/>
      <c r="N99" s="333" t="s">
        <v>177</v>
      </c>
      <c r="O99" s="331"/>
      <c r="P99" s="331"/>
      <c r="Q99" s="331"/>
      <c r="R99" s="331"/>
      <c r="S99" s="331"/>
    </row>
    <row r="100">
      <c r="A100" s="14" t="s">
        <v>495</v>
      </c>
      <c r="B100" s="331"/>
      <c r="C100" s="330" t="b">
        <v>0</v>
      </c>
      <c r="D100" s="331"/>
      <c r="E100" s="14"/>
      <c r="F100" s="14" t="s">
        <v>4503</v>
      </c>
      <c r="G100" s="1" t="s">
        <v>31</v>
      </c>
      <c r="H100" s="1" t="s">
        <v>31</v>
      </c>
      <c r="I100" s="331" t="s">
        <v>4395</v>
      </c>
      <c r="J100" s="1" t="s">
        <v>31</v>
      </c>
      <c r="K100" s="332"/>
      <c r="L100" s="331">
        <v>9.223163125E9</v>
      </c>
      <c r="M100" s="331"/>
      <c r="N100" s="333" t="s">
        <v>177</v>
      </c>
      <c r="O100" s="331"/>
      <c r="P100" s="331"/>
      <c r="Q100" s="331"/>
      <c r="R100" s="331"/>
      <c r="S100" s="331"/>
    </row>
    <row r="101">
      <c r="A101" s="14" t="s">
        <v>504</v>
      </c>
      <c r="B101" s="331"/>
      <c r="C101" s="330" t="b">
        <v>0</v>
      </c>
      <c r="D101" s="331"/>
      <c r="E101" s="14"/>
      <c r="F101" s="14" t="s">
        <v>4504</v>
      </c>
      <c r="G101" s="1" t="s">
        <v>31</v>
      </c>
      <c r="H101" s="1" t="s">
        <v>31</v>
      </c>
      <c r="I101" s="331" t="s">
        <v>4403</v>
      </c>
      <c r="J101" s="1" t="s">
        <v>31</v>
      </c>
      <c r="K101" s="332"/>
      <c r="L101" s="331">
        <v>9.682458245E9</v>
      </c>
      <c r="M101" s="331"/>
      <c r="N101" s="333" t="s">
        <v>171</v>
      </c>
      <c r="O101" s="331"/>
      <c r="P101" s="331"/>
      <c r="Q101" s="331"/>
      <c r="R101" s="331"/>
      <c r="S101" s="331"/>
    </row>
    <row r="102">
      <c r="A102" s="14" t="s">
        <v>508</v>
      </c>
      <c r="B102" s="331"/>
      <c r="C102" s="330" t="b">
        <v>0</v>
      </c>
      <c r="D102" s="331"/>
      <c r="E102" s="14"/>
      <c r="F102" s="14" t="s">
        <v>4505</v>
      </c>
      <c r="G102" s="1" t="s">
        <v>31</v>
      </c>
      <c r="H102" s="1" t="s">
        <v>31</v>
      </c>
      <c r="I102" s="331" t="s">
        <v>4403</v>
      </c>
      <c r="J102" s="1" t="s">
        <v>31</v>
      </c>
      <c r="K102" s="332"/>
      <c r="L102" s="331">
        <v>9.991737248E9</v>
      </c>
      <c r="M102" s="331"/>
      <c r="N102" s="333" t="s">
        <v>171</v>
      </c>
      <c r="O102" s="331"/>
      <c r="P102" s="331"/>
      <c r="Q102" s="331"/>
      <c r="R102" s="331"/>
      <c r="S102" s="331"/>
    </row>
    <row r="103">
      <c r="A103" s="14" t="s">
        <v>511</v>
      </c>
      <c r="B103" s="331"/>
      <c r="C103" s="330" t="b">
        <v>0</v>
      </c>
      <c r="D103" s="331"/>
      <c r="E103" s="14"/>
      <c r="F103" s="331" t="s">
        <v>4506</v>
      </c>
      <c r="G103" s="1" t="s">
        <v>31</v>
      </c>
      <c r="H103" s="1" t="s">
        <v>31</v>
      </c>
      <c r="I103" s="331" t="s">
        <v>4507</v>
      </c>
      <c r="J103" s="1" t="s">
        <v>31</v>
      </c>
      <c r="K103" s="332"/>
      <c r="L103" s="14">
        <v>9.656213674E9</v>
      </c>
      <c r="M103" s="331"/>
      <c r="N103" s="333" t="s">
        <v>177</v>
      </c>
      <c r="O103" s="331"/>
      <c r="P103" s="331"/>
      <c r="Q103" s="331"/>
      <c r="R103" s="331"/>
      <c r="S103" s="331"/>
    </row>
    <row r="104">
      <c r="A104" s="14" t="s">
        <v>515</v>
      </c>
      <c r="B104" s="331"/>
      <c r="C104" s="330" t="b">
        <v>0</v>
      </c>
      <c r="D104" s="331"/>
      <c r="E104" s="14"/>
      <c r="F104" s="14" t="s">
        <v>4508</v>
      </c>
      <c r="G104" s="1" t="s">
        <v>31</v>
      </c>
      <c r="H104" s="1" t="s">
        <v>31</v>
      </c>
      <c r="I104" s="331" t="s">
        <v>4507</v>
      </c>
      <c r="J104" s="1" t="s">
        <v>31</v>
      </c>
      <c r="K104" s="332"/>
      <c r="L104" s="14">
        <v>9.228763176E9</v>
      </c>
      <c r="M104" s="331"/>
      <c r="N104" s="333" t="s">
        <v>177</v>
      </c>
      <c r="O104" s="331"/>
      <c r="P104" s="331"/>
      <c r="Q104" s="331"/>
      <c r="R104" s="331"/>
      <c r="S104" s="331"/>
    </row>
    <row r="105">
      <c r="A105" s="14" t="s">
        <v>519</v>
      </c>
      <c r="B105" s="331"/>
      <c r="C105" s="330" t="b">
        <v>0</v>
      </c>
      <c r="D105" s="331"/>
      <c r="E105" s="14"/>
      <c r="F105" s="331" t="s">
        <v>4509</v>
      </c>
      <c r="G105" s="1" t="s">
        <v>31</v>
      </c>
      <c r="H105" s="1" t="s">
        <v>31</v>
      </c>
      <c r="I105" s="331" t="s">
        <v>4358</v>
      </c>
      <c r="J105" s="1" t="s">
        <v>31</v>
      </c>
      <c r="K105" s="332"/>
      <c r="L105" s="14">
        <v>9.177166599E9</v>
      </c>
      <c r="M105" s="331"/>
      <c r="N105" s="333" t="s">
        <v>177</v>
      </c>
      <c r="O105" s="331"/>
      <c r="P105" s="331"/>
      <c r="Q105" s="331"/>
      <c r="R105" s="331"/>
      <c r="S105" s="331"/>
    </row>
    <row r="106">
      <c r="A106" s="14" t="s">
        <v>1569</v>
      </c>
      <c r="B106" s="331"/>
      <c r="C106" s="330" t="b">
        <v>0</v>
      </c>
      <c r="D106" s="331"/>
      <c r="E106" s="14"/>
      <c r="F106" s="14" t="s">
        <v>4510</v>
      </c>
      <c r="G106" s="1" t="s">
        <v>31</v>
      </c>
      <c r="H106" s="1" t="s">
        <v>31</v>
      </c>
      <c r="I106" s="331" t="s">
        <v>4351</v>
      </c>
      <c r="J106" s="1" t="s">
        <v>31</v>
      </c>
      <c r="K106" s="332"/>
      <c r="L106" s="331">
        <v>9.213933463E9</v>
      </c>
      <c r="M106" s="331"/>
      <c r="N106" s="333" t="s">
        <v>525</v>
      </c>
      <c r="O106" s="331"/>
      <c r="P106" s="331"/>
      <c r="Q106" s="331"/>
      <c r="R106" s="331"/>
      <c r="S106" s="331"/>
    </row>
    <row r="107">
      <c r="A107" s="14" t="s">
        <v>527</v>
      </c>
      <c r="B107" s="331"/>
      <c r="C107" s="330" t="b">
        <v>0</v>
      </c>
      <c r="D107" s="331"/>
      <c r="E107" s="14"/>
      <c r="F107" s="14" t="s">
        <v>4511</v>
      </c>
      <c r="G107" s="1" t="s">
        <v>31</v>
      </c>
      <c r="H107" s="1" t="s">
        <v>31</v>
      </c>
      <c r="I107" s="331" t="s">
        <v>4351</v>
      </c>
      <c r="J107" s="1" t="s">
        <v>31</v>
      </c>
      <c r="K107" s="332"/>
      <c r="L107" s="331">
        <v>9.338203208E9</v>
      </c>
      <c r="M107" s="331"/>
      <c r="N107" s="333" t="s">
        <v>525</v>
      </c>
      <c r="O107" s="331"/>
      <c r="P107" s="331"/>
      <c r="Q107" s="331"/>
      <c r="R107" s="331"/>
      <c r="S107" s="331"/>
    </row>
    <row r="108">
      <c r="A108" s="14" t="s">
        <v>529</v>
      </c>
      <c r="B108" s="331"/>
      <c r="C108" s="330" t="b">
        <v>0</v>
      </c>
      <c r="D108" s="331"/>
      <c r="E108" s="14"/>
      <c r="F108" s="14" t="s">
        <v>4512</v>
      </c>
      <c r="G108" s="1" t="s">
        <v>31</v>
      </c>
      <c r="H108" s="1" t="s">
        <v>31</v>
      </c>
      <c r="I108" s="331" t="s">
        <v>4351</v>
      </c>
      <c r="J108" s="1" t="s">
        <v>31</v>
      </c>
      <c r="K108" s="332"/>
      <c r="L108" s="331">
        <v>9.17700475E9</v>
      </c>
      <c r="M108" s="331"/>
      <c r="N108" s="333" t="s">
        <v>525</v>
      </c>
      <c r="O108" s="331"/>
      <c r="P108" s="331"/>
      <c r="Q108" s="331"/>
      <c r="R108" s="331"/>
      <c r="S108" s="331"/>
    </row>
    <row r="109">
      <c r="A109" s="14" t="s">
        <v>531</v>
      </c>
      <c r="B109" s="331"/>
      <c r="C109" s="330" t="b">
        <v>0</v>
      </c>
      <c r="D109" s="331"/>
      <c r="E109" s="14"/>
      <c r="F109" s="14" t="s">
        <v>4513</v>
      </c>
      <c r="G109" s="1" t="s">
        <v>31</v>
      </c>
      <c r="H109" s="1" t="s">
        <v>31</v>
      </c>
      <c r="I109" s="331" t="s">
        <v>4351</v>
      </c>
      <c r="J109" s="1" t="s">
        <v>31</v>
      </c>
      <c r="K109" s="332"/>
      <c r="L109" s="331">
        <v>9.776001224E9</v>
      </c>
      <c r="M109" s="331"/>
      <c r="N109" s="333" t="s">
        <v>525</v>
      </c>
      <c r="O109" s="331"/>
      <c r="P109" s="331"/>
      <c r="Q109" s="331"/>
      <c r="R109" s="331"/>
      <c r="S109" s="331"/>
    </row>
    <row r="110">
      <c r="A110" s="14" t="s">
        <v>533</v>
      </c>
      <c r="B110" s="331"/>
      <c r="C110" s="330" t="b">
        <v>0</v>
      </c>
      <c r="D110" s="331"/>
      <c r="E110" s="14"/>
      <c r="F110" s="14" t="s">
        <v>4514</v>
      </c>
      <c r="G110" s="1" t="s">
        <v>31</v>
      </c>
      <c r="H110" s="1" t="s">
        <v>31</v>
      </c>
      <c r="I110" s="331" t="s">
        <v>4351</v>
      </c>
      <c r="J110" s="1" t="s">
        <v>31</v>
      </c>
      <c r="K110" s="332"/>
      <c r="L110" s="331">
        <v>9.199952955E9</v>
      </c>
      <c r="M110" s="331"/>
      <c r="N110" s="333" t="s">
        <v>177</v>
      </c>
      <c r="O110" s="331"/>
      <c r="P110" s="331"/>
      <c r="Q110" s="331"/>
      <c r="R110" s="331"/>
      <c r="S110" s="331"/>
    </row>
    <row r="111">
      <c r="A111" s="14" t="s">
        <v>535</v>
      </c>
      <c r="B111" s="331"/>
      <c r="C111" s="330" t="b">
        <v>0</v>
      </c>
      <c r="D111" s="331"/>
      <c r="E111" s="14"/>
      <c r="F111" s="14" t="s">
        <v>4512</v>
      </c>
      <c r="G111" s="1" t="s">
        <v>31</v>
      </c>
      <c r="H111" s="1" t="s">
        <v>31</v>
      </c>
      <c r="I111" s="331" t="s">
        <v>4351</v>
      </c>
      <c r="J111" s="1" t="s">
        <v>31</v>
      </c>
      <c r="K111" s="332"/>
      <c r="L111" s="331">
        <v>9.66640322E9</v>
      </c>
      <c r="M111" s="331"/>
      <c r="N111" s="333" t="s">
        <v>525</v>
      </c>
      <c r="O111" s="331"/>
      <c r="P111" s="331"/>
      <c r="Q111" s="331"/>
      <c r="R111" s="331"/>
      <c r="S111" s="331"/>
    </row>
    <row r="112">
      <c r="A112" s="14" t="s">
        <v>539</v>
      </c>
      <c r="B112" s="331"/>
      <c r="C112" s="330" t="b">
        <v>0</v>
      </c>
      <c r="D112" s="331"/>
      <c r="E112" s="14"/>
      <c r="F112" s="331" t="s">
        <v>4515</v>
      </c>
      <c r="G112" s="1" t="s">
        <v>31</v>
      </c>
      <c r="H112" s="1" t="s">
        <v>31</v>
      </c>
      <c r="I112" s="331" t="s">
        <v>4433</v>
      </c>
      <c r="J112" s="1" t="s">
        <v>31</v>
      </c>
      <c r="K112" s="332"/>
      <c r="L112" s="14">
        <v>9.953219352E9</v>
      </c>
      <c r="M112" s="331"/>
      <c r="N112" s="333" t="s">
        <v>177</v>
      </c>
      <c r="O112" s="331"/>
      <c r="P112" s="331"/>
      <c r="Q112" s="331"/>
      <c r="R112" s="331"/>
      <c r="S112" s="331"/>
    </row>
    <row r="113">
      <c r="A113" s="14" t="s">
        <v>543</v>
      </c>
      <c r="B113" s="331"/>
      <c r="C113" s="330" t="b">
        <v>0</v>
      </c>
      <c r="D113" s="331"/>
      <c r="E113" s="14"/>
      <c r="F113" s="14" t="s">
        <v>4516</v>
      </c>
      <c r="G113" s="1" t="s">
        <v>31</v>
      </c>
      <c r="H113" s="1" t="s">
        <v>31</v>
      </c>
      <c r="I113" s="331" t="s">
        <v>4351</v>
      </c>
      <c r="J113" s="1" t="s">
        <v>31</v>
      </c>
      <c r="K113" s="332"/>
      <c r="L113" s="331">
        <v>9.656694733E9</v>
      </c>
      <c r="M113" s="331"/>
      <c r="N113" s="333" t="s">
        <v>525</v>
      </c>
      <c r="O113" s="331"/>
      <c r="P113" s="331"/>
      <c r="Q113" s="331"/>
      <c r="R113" s="331"/>
      <c r="S113" s="331"/>
    </row>
    <row r="114">
      <c r="A114" s="14" t="s">
        <v>547</v>
      </c>
      <c r="B114" s="331" t="s">
        <v>4517</v>
      </c>
      <c r="C114" s="330" t="b">
        <v>0</v>
      </c>
      <c r="D114" s="331"/>
      <c r="E114" s="14"/>
      <c r="F114" s="14" t="s">
        <v>4518</v>
      </c>
      <c r="G114" s="1" t="s">
        <v>31</v>
      </c>
      <c r="H114" s="1" t="s">
        <v>31</v>
      </c>
      <c r="I114" s="331" t="s">
        <v>4363</v>
      </c>
      <c r="J114" s="1" t="s">
        <v>31</v>
      </c>
      <c r="K114" s="332"/>
      <c r="L114" s="331">
        <v>9.255229884E9</v>
      </c>
      <c r="M114" s="331"/>
      <c r="N114" s="333" t="s">
        <v>177</v>
      </c>
      <c r="O114" s="331"/>
      <c r="P114" s="331"/>
      <c r="Q114" s="331"/>
      <c r="R114" s="331"/>
      <c r="S114" s="331"/>
    </row>
    <row r="115">
      <c r="A115" s="14" t="s">
        <v>554</v>
      </c>
      <c r="B115" s="331" t="s">
        <v>4519</v>
      </c>
      <c r="C115" s="330" t="b">
        <v>0</v>
      </c>
      <c r="D115" s="331"/>
      <c r="E115" s="14"/>
      <c r="F115" s="14" t="s">
        <v>4520</v>
      </c>
      <c r="G115" s="1" t="s">
        <v>31</v>
      </c>
      <c r="H115" s="1" t="s">
        <v>31</v>
      </c>
      <c r="I115" s="331" t="s">
        <v>4358</v>
      </c>
      <c r="J115" s="1" t="s">
        <v>31</v>
      </c>
      <c r="K115" s="332"/>
      <c r="L115" s="331">
        <v>9.300351756E9</v>
      </c>
      <c r="M115" s="331"/>
      <c r="N115" s="333" t="s">
        <v>177</v>
      </c>
      <c r="O115" s="331"/>
      <c r="P115" s="331"/>
      <c r="Q115" s="331"/>
      <c r="R115" s="331"/>
      <c r="S115" s="331"/>
    </row>
    <row r="116">
      <c r="A116" s="14" t="s">
        <v>558</v>
      </c>
      <c r="B116" s="331"/>
      <c r="C116" s="330" t="b">
        <v>0</v>
      </c>
      <c r="D116" s="331"/>
      <c r="E116" s="14"/>
      <c r="F116" s="14" t="s">
        <v>4521</v>
      </c>
      <c r="G116" s="1" t="s">
        <v>31</v>
      </c>
      <c r="H116" s="1" t="s">
        <v>31</v>
      </c>
      <c r="I116" s="331" t="s">
        <v>4433</v>
      </c>
      <c r="J116" s="1" t="s">
        <v>31</v>
      </c>
      <c r="K116" s="332"/>
      <c r="L116" s="331">
        <v>9.069491523E9</v>
      </c>
      <c r="M116" s="331"/>
      <c r="N116" s="333" t="s">
        <v>177</v>
      </c>
      <c r="O116" s="331"/>
      <c r="P116" s="331"/>
      <c r="Q116" s="331"/>
      <c r="R116" s="331"/>
      <c r="S116" s="331"/>
    </row>
    <row r="117">
      <c r="A117" s="14" t="s">
        <v>562</v>
      </c>
      <c r="B117" s="331"/>
      <c r="C117" s="330" t="b">
        <v>0</v>
      </c>
      <c r="D117" s="331"/>
      <c r="E117" s="14"/>
      <c r="F117" s="14" t="s">
        <v>4129</v>
      </c>
      <c r="G117" s="1" t="s">
        <v>31</v>
      </c>
      <c r="H117" s="1" t="s">
        <v>31</v>
      </c>
      <c r="I117" s="331" t="s">
        <v>4433</v>
      </c>
      <c r="J117" s="1" t="s">
        <v>31</v>
      </c>
      <c r="K117" s="332"/>
      <c r="L117" s="14">
        <v>9.176266488E9</v>
      </c>
      <c r="M117" s="331"/>
      <c r="N117" s="333" t="s">
        <v>177</v>
      </c>
      <c r="O117" s="331"/>
      <c r="P117" s="331"/>
      <c r="Q117" s="331"/>
      <c r="R117" s="331"/>
      <c r="S117" s="331"/>
    </row>
    <row r="118">
      <c r="A118" s="14" t="s">
        <v>581</v>
      </c>
      <c r="B118" s="331"/>
      <c r="C118" s="330" t="b">
        <v>0</v>
      </c>
      <c r="D118" s="331"/>
      <c r="E118" s="14"/>
      <c r="F118" s="14" t="s">
        <v>4244</v>
      </c>
      <c r="G118" s="1" t="s">
        <v>31</v>
      </c>
      <c r="H118" s="1" t="s">
        <v>31</v>
      </c>
      <c r="I118" s="331" t="s">
        <v>4395</v>
      </c>
      <c r="J118" s="1" t="s">
        <v>31</v>
      </c>
      <c r="K118" s="332"/>
      <c r="L118" s="14">
        <v>9.175128833E9</v>
      </c>
      <c r="M118" s="331"/>
      <c r="N118" s="333" t="s">
        <v>177</v>
      </c>
      <c r="O118" s="331"/>
      <c r="P118" s="331"/>
      <c r="Q118" s="331"/>
      <c r="R118" s="331"/>
      <c r="S118" s="331"/>
    </row>
    <row r="119">
      <c r="A119" s="14" t="s">
        <v>585</v>
      </c>
      <c r="B119" s="331"/>
      <c r="C119" s="330" t="b">
        <v>0</v>
      </c>
      <c r="D119" s="331"/>
      <c r="E119" s="14"/>
      <c r="F119" s="14" t="s">
        <v>4522</v>
      </c>
      <c r="G119" s="1" t="s">
        <v>31</v>
      </c>
      <c r="H119" s="1" t="s">
        <v>31</v>
      </c>
      <c r="I119" s="331" t="s">
        <v>4395</v>
      </c>
      <c r="J119" s="1" t="s">
        <v>31</v>
      </c>
      <c r="K119" s="332"/>
      <c r="L119" s="331">
        <v>9.25880722E9</v>
      </c>
      <c r="M119" s="331"/>
      <c r="N119" s="333" t="s">
        <v>177</v>
      </c>
      <c r="O119" s="331"/>
      <c r="P119" s="331"/>
      <c r="Q119" s="331"/>
      <c r="R119" s="331"/>
      <c r="S119" s="331"/>
    </row>
    <row r="120">
      <c r="A120" s="14" t="s">
        <v>589</v>
      </c>
      <c r="B120" s="331"/>
      <c r="C120" s="330" t="b">
        <v>0</v>
      </c>
      <c r="D120" s="331"/>
      <c r="E120" s="14"/>
      <c r="F120" s="334" t="s">
        <v>4523</v>
      </c>
      <c r="G120" s="1" t="s">
        <v>31</v>
      </c>
      <c r="H120" s="1" t="s">
        <v>31</v>
      </c>
      <c r="I120" s="331" t="s">
        <v>4395</v>
      </c>
      <c r="J120" s="1" t="s">
        <v>31</v>
      </c>
      <c r="K120" s="332"/>
      <c r="L120" s="14">
        <v>9.944939782E9</v>
      </c>
      <c r="M120" s="331"/>
      <c r="N120" s="333" t="s">
        <v>177</v>
      </c>
      <c r="O120" s="331"/>
      <c r="P120" s="331"/>
      <c r="Q120" s="331"/>
      <c r="R120" s="331"/>
      <c r="S120" s="331"/>
    </row>
    <row r="121">
      <c r="A121" s="14" t="s">
        <v>595</v>
      </c>
      <c r="B121" s="331" t="s">
        <v>4524</v>
      </c>
      <c r="C121" s="330" t="b">
        <v>0</v>
      </c>
      <c r="D121" s="331"/>
      <c r="E121" s="14"/>
      <c r="F121" s="14" t="s">
        <v>4525</v>
      </c>
      <c r="G121" s="1" t="s">
        <v>31</v>
      </c>
      <c r="H121" s="1" t="s">
        <v>31</v>
      </c>
      <c r="I121" s="331" t="s">
        <v>4391</v>
      </c>
      <c r="J121" s="1" t="s">
        <v>31</v>
      </c>
      <c r="K121" s="332"/>
      <c r="L121" s="331">
        <v>9.178829781E9</v>
      </c>
      <c r="M121" s="331"/>
      <c r="N121" s="333" t="s">
        <v>171</v>
      </c>
      <c r="O121" s="331"/>
      <c r="P121" s="331"/>
      <c r="Q121" s="331"/>
      <c r="R121" s="331"/>
      <c r="S121" s="331"/>
    </row>
    <row r="122">
      <c r="A122" s="14" t="s">
        <v>599</v>
      </c>
      <c r="B122" s="331"/>
      <c r="C122" s="330" t="b">
        <v>0</v>
      </c>
      <c r="D122" s="331"/>
      <c r="E122" s="14"/>
      <c r="F122" s="337" t="s">
        <v>4526</v>
      </c>
      <c r="G122" s="1" t="s">
        <v>31</v>
      </c>
      <c r="H122" s="1" t="s">
        <v>31</v>
      </c>
      <c r="I122" s="331" t="s">
        <v>4391</v>
      </c>
      <c r="J122" s="1" t="s">
        <v>31</v>
      </c>
      <c r="K122" s="332"/>
      <c r="L122" s="331">
        <v>9.164714888E9</v>
      </c>
      <c r="M122" s="331"/>
      <c r="N122" s="333" t="s">
        <v>171</v>
      </c>
      <c r="O122" s="331"/>
      <c r="P122" s="331"/>
      <c r="Q122" s="331"/>
      <c r="R122" s="331"/>
      <c r="S122" s="331"/>
    </row>
    <row r="123">
      <c r="A123" s="14" t="s">
        <v>602</v>
      </c>
      <c r="B123" s="331"/>
      <c r="C123" s="330" t="b">
        <v>0</v>
      </c>
      <c r="D123" s="331"/>
      <c r="E123" s="14"/>
      <c r="F123" s="337" t="s">
        <v>4527</v>
      </c>
      <c r="G123" s="1" t="s">
        <v>31</v>
      </c>
      <c r="H123" s="1" t="s">
        <v>31</v>
      </c>
      <c r="I123" s="331" t="s">
        <v>4391</v>
      </c>
      <c r="J123" s="1" t="s">
        <v>31</v>
      </c>
      <c r="K123" s="332"/>
      <c r="L123" s="331">
        <v>9.176884193E9</v>
      </c>
      <c r="M123" s="331"/>
      <c r="N123" s="333" t="s">
        <v>171</v>
      </c>
      <c r="O123" s="331"/>
      <c r="P123" s="331"/>
      <c r="Q123" s="331"/>
      <c r="R123" s="331"/>
      <c r="S123" s="331"/>
    </row>
    <row r="124">
      <c r="A124" s="14" t="s">
        <v>606</v>
      </c>
      <c r="B124" s="331"/>
      <c r="C124" s="330" t="b">
        <v>0</v>
      </c>
      <c r="D124" s="331"/>
      <c r="E124" s="14"/>
      <c r="F124" s="14" t="s">
        <v>4528</v>
      </c>
      <c r="G124" s="1" t="s">
        <v>31</v>
      </c>
      <c r="H124" s="1" t="s">
        <v>31</v>
      </c>
      <c r="I124" s="331" t="s">
        <v>4391</v>
      </c>
      <c r="J124" s="1" t="s">
        <v>31</v>
      </c>
      <c r="K124" s="332"/>
      <c r="L124" s="331">
        <v>9.157017723E9</v>
      </c>
      <c r="M124" s="331"/>
      <c r="N124" s="333" t="s">
        <v>171</v>
      </c>
      <c r="O124" s="331"/>
      <c r="P124" s="331"/>
      <c r="Q124" s="331"/>
      <c r="R124" s="331"/>
      <c r="S124" s="331"/>
    </row>
    <row r="125">
      <c r="A125" s="14" t="s">
        <v>610</v>
      </c>
      <c r="B125" s="331"/>
      <c r="C125" s="330" t="b">
        <v>0</v>
      </c>
      <c r="D125" s="331"/>
      <c r="E125" s="14"/>
      <c r="F125" s="334" t="s">
        <v>4529</v>
      </c>
      <c r="G125" s="1" t="s">
        <v>31</v>
      </c>
      <c r="H125" s="1" t="s">
        <v>31</v>
      </c>
      <c r="I125" s="331" t="s">
        <v>4363</v>
      </c>
      <c r="J125" s="1" t="s">
        <v>31</v>
      </c>
      <c r="K125" s="332"/>
      <c r="L125" s="331">
        <v>9.190792764E9</v>
      </c>
      <c r="M125" s="331"/>
      <c r="N125" s="333" t="s">
        <v>177</v>
      </c>
      <c r="O125" s="331"/>
      <c r="P125" s="331"/>
      <c r="Q125" s="331"/>
      <c r="R125" s="331"/>
      <c r="S125" s="331"/>
    </row>
    <row r="126">
      <c r="A126" s="14" t="s">
        <v>614</v>
      </c>
      <c r="B126" s="331" t="s">
        <v>4530</v>
      </c>
      <c r="C126" s="330" t="b">
        <v>0</v>
      </c>
      <c r="D126" s="331"/>
      <c r="E126" s="14"/>
      <c r="F126" s="14" t="s">
        <v>4531</v>
      </c>
      <c r="G126" s="1" t="s">
        <v>31</v>
      </c>
      <c r="H126" s="1" t="s">
        <v>31</v>
      </c>
      <c r="I126" s="331" t="s">
        <v>4437</v>
      </c>
      <c r="J126" s="1" t="s">
        <v>31</v>
      </c>
      <c r="K126" s="332"/>
      <c r="L126" s="331">
        <v>9.171869453E9</v>
      </c>
      <c r="M126" s="331"/>
      <c r="N126" s="333" t="s">
        <v>177</v>
      </c>
      <c r="O126" s="331"/>
      <c r="P126" s="331"/>
      <c r="Q126" s="331"/>
      <c r="R126" s="331"/>
      <c r="S126" s="331"/>
    </row>
    <row r="127">
      <c r="A127" s="14" t="s">
        <v>618</v>
      </c>
      <c r="B127" s="331" t="s">
        <v>4532</v>
      </c>
      <c r="C127" s="330" t="b">
        <v>0</v>
      </c>
      <c r="D127" s="331"/>
      <c r="E127" s="14"/>
      <c r="F127" s="14" t="s">
        <v>4533</v>
      </c>
      <c r="G127" s="1" t="s">
        <v>31</v>
      </c>
      <c r="H127" s="1" t="s">
        <v>31</v>
      </c>
      <c r="I127" s="331" t="s">
        <v>4358</v>
      </c>
      <c r="J127" s="1" t="s">
        <v>31</v>
      </c>
      <c r="K127" s="332"/>
      <c r="L127" s="331">
        <v>9.196407913E9</v>
      </c>
      <c r="M127" s="331"/>
      <c r="N127" s="333" t="s">
        <v>177</v>
      </c>
      <c r="O127" s="331"/>
      <c r="P127" s="331"/>
      <c r="Q127" s="331"/>
      <c r="R127" s="331"/>
      <c r="S127" s="331"/>
    </row>
    <row r="128">
      <c r="A128" s="14" t="s">
        <v>622</v>
      </c>
      <c r="B128" s="331"/>
      <c r="C128" s="330" t="b">
        <v>0</v>
      </c>
      <c r="D128" s="331"/>
      <c r="E128" s="14"/>
      <c r="F128" s="14" t="s">
        <v>4534</v>
      </c>
      <c r="G128" s="1" t="s">
        <v>31</v>
      </c>
      <c r="H128" s="1" t="s">
        <v>31</v>
      </c>
      <c r="I128" s="331" t="s">
        <v>4358</v>
      </c>
      <c r="J128" s="1" t="s">
        <v>31</v>
      </c>
      <c r="K128" s="332"/>
      <c r="L128" s="331">
        <v>9.971563756E9</v>
      </c>
      <c r="M128" s="331"/>
      <c r="N128" s="333" t="s">
        <v>177</v>
      </c>
      <c r="O128" s="331"/>
      <c r="P128" s="331"/>
      <c r="Q128" s="331"/>
      <c r="R128" s="331"/>
      <c r="S128" s="331"/>
    </row>
    <row r="129">
      <c r="A129" s="14" t="s">
        <v>627</v>
      </c>
      <c r="B129" s="331"/>
      <c r="C129" s="330" t="b">
        <v>0</v>
      </c>
      <c r="D129" s="331"/>
      <c r="E129" s="14"/>
      <c r="F129" s="14" t="s">
        <v>4535</v>
      </c>
      <c r="G129" s="1" t="s">
        <v>31</v>
      </c>
      <c r="H129" s="1" t="s">
        <v>31</v>
      </c>
      <c r="I129" s="331" t="s">
        <v>4363</v>
      </c>
      <c r="J129" s="1" t="s">
        <v>31</v>
      </c>
      <c r="K129" s="332"/>
      <c r="L129" s="331">
        <v>9.178967947E9</v>
      </c>
      <c r="M129" s="331"/>
      <c r="N129" s="333" t="s">
        <v>177</v>
      </c>
      <c r="O129" s="331"/>
      <c r="P129" s="331"/>
      <c r="Q129" s="331"/>
      <c r="R129" s="331"/>
      <c r="S129" s="331"/>
    </row>
    <row r="130">
      <c r="A130" s="14" t="s">
        <v>631</v>
      </c>
      <c r="B130" s="331"/>
      <c r="C130" s="330" t="b">
        <v>0</v>
      </c>
      <c r="D130" s="331"/>
      <c r="E130" s="14"/>
      <c r="F130" s="14" t="s">
        <v>4536</v>
      </c>
      <c r="G130" s="1" t="s">
        <v>31</v>
      </c>
      <c r="H130" s="1" t="s">
        <v>31</v>
      </c>
      <c r="I130" s="331" t="s">
        <v>4437</v>
      </c>
      <c r="J130" s="1" t="s">
        <v>31</v>
      </c>
      <c r="K130" s="332"/>
      <c r="L130" s="331">
        <v>9.770731909E9</v>
      </c>
      <c r="M130" s="331"/>
      <c r="N130" s="333" t="s">
        <v>177</v>
      </c>
      <c r="O130" s="331"/>
      <c r="P130" s="331"/>
      <c r="Q130" s="331"/>
      <c r="R130" s="331"/>
      <c r="S130" s="331"/>
    </row>
    <row r="131">
      <c r="A131" s="14" t="s">
        <v>635</v>
      </c>
      <c r="B131" s="331"/>
      <c r="C131" s="330" t="b">
        <v>0</v>
      </c>
      <c r="D131" s="331"/>
      <c r="E131" s="14"/>
      <c r="F131" s="14" t="s">
        <v>4537</v>
      </c>
      <c r="G131" s="1" t="s">
        <v>31</v>
      </c>
      <c r="H131" s="1" t="s">
        <v>31</v>
      </c>
      <c r="I131" s="331" t="s">
        <v>4437</v>
      </c>
      <c r="J131" s="1" t="s">
        <v>31</v>
      </c>
      <c r="K131" s="332"/>
      <c r="L131" s="331"/>
      <c r="M131" s="331"/>
      <c r="N131" s="333" t="s">
        <v>177</v>
      </c>
      <c r="O131" s="331"/>
      <c r="P131" s="331"/>
      <c r="Q131" s="331"/>
      <c r="R131" s="331"/>
      <c r="S131" s="331"/>
    </row>
    <row r="132">
      <c r="A132" s="14" t="s">
        <v>640</v>
      </c>
      <c r="B132" s="331"/>
      <c r="C132" s="330" t="b">
        <v>0</v>
      </c>
      <c r="D132" s="331"/>
      <c r="E132" s="14"/>
      <c r="F132" s="337" t="s">
        <v>4538</v>
      </c>
      <c r="G132" s="1" t="s">
        <v>31</v>
      </c>
      <c r="H132" s="1" t="s">
        <v>31</v>
      </c>
      <c r="I132" s="331" t="s">
        <v>4363</v>
      </c>
      <c r="J132" s="1" t="s">
        <v>31</v>
      </c>
      <c r="K132" s="332"/>
      <c r="L132" s="331">
        <v>9.292977263E9</v>
      </c>
      <c r="M132" s="331"/>
      <c r="N132" s="333" t="s">
        <v>177</v>
      </c>
      <c r="O132" s="331"/>
      <c r="P132" s="331"/>
      <c r="Q132" s="331"/>
      <c r="R132" s="331"/>
      <c r="S132" s="331"/>
    </row>
    <row r="133">
      <c r="A133" s="14" t="s">
        <v>643</v>
      </c>
      <c r="B133" s="331"/>
      <c r="C133" s="330" t="b">
        <v>0</v>
      </c>
      <c r="D133" s="331"/>
      <c r="E133" s="14"/>
      <c r="F133" s="337" t="s">
        <v>4539</v>
      </c>
      <c r="G133" s="1" t="s">
        <v>31</v>
      </c>
      <c r="H133" s="1" t="s">
        <v>31</v>
      </c>
      <c r="I133" s="331" t="s">
        <v>4363</v>
      </c>
      <c r="J133" s="1" t="s">
        <v>31</v>
      </c>
      <c r="K133" s="332"/>
      <c r="L133" s="331">
        <v>9.956620271E9</v>
      </c>
      <c r="M133" s="331"/>
      <c r="N133" s="333" t="s">
        <v>177</v>
      </c>
      <c r="O133" s="331"/>
      <c r="P133" s="331"/>
      <c r="Q133" s="331"/>
      <c r="R133" s="331"/>
      <c r="S133" s="331"/>
    </row>
    <row r="134">
      <c r="A134" s="14" t="s">
        <v>647</v>
      </c>
      <c r="B134" s="331" t="s">
        <v>4540</v>
      </c>
      <c r="C134" s="330" t="b">
        <v>0</v>
      </c>
      <c r="D134" s="331"/>
      <c r="E134" s="14"/>
      <c r="F134" s="14" t="s">
        <v>4541</v>
      </c>
      <c r="G134" s="1" t="s">
        <v>31</v>
      </c>
      <c r="H134" s="1" t="s">
        <v>31</v>
      </c>
      <c r="I134" s="331" t="s">
        <v>4358</v>
      </c>
      <c r="J134" s="1" t="s">
        <v>31</v>
      </c>
      <c r="K134" s="332"/>
      <c r="L134" s="331">
        <v>9.171291432E9</v>
      </c>
      <c r="M134" s="331"/>
      <c r="N134" s="333" t="s">
        <v>177</v>
      </c>
      <c r="O134" s="331"/>
      <c r="P134" s="331"/>
      <c r="Q134" s="331"/>
      <c r="R134" s="331"/>
      <c r="S134" s="331"/>
    </row>
    <row r="135">
      <c r="A135" s="14" t="s">
        <v>661</v>
      </c>
      <c r="B135" s="331"/>
      <c r="C135" s="330" t="b">
        <v>0</v>
      </c>
      <c r="D135" s="331"/>
      <c r="E135" s="14"/>
      <c r="F135" s="14" t="s">
        <v>4542</v>
      </c>
      <c r="G135" s="1" t="s">
        <v>31</v>
      </c>
      <c r="H135" s="1" t="s">
        <v>31</v>
      </c>
      <c r="I135" s="331" t="s">
        <v>4363</v>
      </c>
      <c r="J135" s="1" t="s">
        <v>31</v>
      </c>
      <c r="K135" s="332"/>
      <c r="L135" s="331">
        <v>9.155512779E9</v>
      </c>
      <c r="M135" s="331"/>
      <c r="N135" s="333" t="s">
        <v>177</v>
      </c>
      <c r="O135" s="331"/>
      <c r="P135" s="331"/>
      <c r="Q135" s="331"/>
      <c r="R135" s="331"/>
      <c r="S135" s="331"/>
    </row>
    <row r="136">
      <c r="A136" s="14" t="s">
        <v>665</v>
      </c>
      <c r="B136" s="331"/>
      <c r="C136" s="330" t="b">
        <v>0</v>
      </c>
      <c r="D136" s="331"/>
      <c r="E136" s="14"/>
      <c r="F136" s="14" t="s">
        <v>4543</v>
      </c>
      <c r="G136" s="1" t="s">
        <v>31</v>
      </c>
      <c r="H136" s="1" t="s">
        <v>31</v>
      </c>
      <c r="I136" s="331" t="s">
        <v>4363</v>
      </c>
      <c r="J136" s="1" t="s">
        <v>31</v>
      </c>
      <c r="K136" s="332"/>
      <c r="L136" s="331"/>
      <c r="M136" s="331"/>
      <c r="N136" s="333" t="s">
        <v>177</v>
      </c>
      <c r="O136" s="331"/>
      <c r="P136" s="331"/>
      <c r="Q136" s="331"/>
      <c r="R136" s="331"/>
      <c r="S136" s="331"/>
    </row>
    <row r="137">
      <c r="A137" s="14" t="s">
        <v>669</v>
      </c>
      <c r="B137" s="331"/>
      <c r="C137" s="330" t="b">
        <v>0</v>
      </c>
      <c r="D137" s="331"/>
      <c r="E137" s="14"/>
      <c r="F137" s="14" t="s">
        <v>4544</v>
      </c>
      <c r="G137" s="1" t="s">
        <v>31</v>
      </c>
      <c r="H137" s="1" t="s">
        <v>31</v>
      </c>
      <c r="I137" s="331" t="s">
        <v>4358</v>
      </c>
      <c r="J137" s="1" t="s">
        <v>31</v>
      </c>
      <c r="K137" s="332"/>
      <c r="L137" s="331">
        <v>9.560248697E9</v>
      </c>
      <c r="M137" s="331"/>
      <c r="N137" s="333" t="s">
        <v>177</v>
      </c>
      <c r="O137" s="331"/>
      <c r="P137" s="331"/>
      <c r="Q137" s="331"/>
      <c r="R137" s="331"/>
      <c r="S137" s="331"/>
    </row>
    <row r="138">
      <c r="A138" s="14" t="s">
        <v>672</v>
      </c>
      <c r="B138" s="331"/>
      <c r="C138" s="330" t="b">
        <v>0</v>
      </c>
      <c r="D138" s="331"/>
      <c r="E138" s="14"/>
      <c r="F138" s="14" t="s">
        <v>4545</v>
      </c>
      <c r="G138" s="1" t="s">
        <v>31</v>
      </c>
      <c r="H138" s="1" t="s">
        <v>31</v>
      </c>
      <c r="I138" s="331" t="s">
        <v>4363</v>
      </c>
      <c r="J138" s="1" t="s">
        <v>31</v>
      </c>
      <c r="K138" s="332"/>
      <c r="L138" s="331">
        <v>9.195650511E9</v>
      </c>
      <c r="M138" s="331"/>
      <c r="N138" s="333" t="s">
        <v>22</v>
      </c>
      <c r="O138" s="331"/>
      <c r="P138" s="331"/>
      <c r="Q138" s="331"/>
      <c r="R138" s="331"/>
      <c r="S138" s="331"/>
    </row>
    <row r="139">
      <c r="A139" s="14" t="s">
        <v>680</v>
      </c>
      <c r="B139" s="331" t="s">
        <v>4546</v>
      </c>
      <c r="C139" s="330" t="b">
        <v>0</v>
      </c>
      <c r="D139" s="331"/>
      <c r="E139" s="14"/>
      <c r="F139" s="14" t="s">
        <v>4547</v>
      </c>
      <c r="G139" s="1" t="s">
        <v>31</v>
      </c>
      <c r="H139" s="1" t="s">
        <v>31</v>
      </c>
      <c r="I139" s="331" t="s">
        <v>4391</v>
      </c>
      <c r="J139" s="1" t="s">
        <v>31</v>
      </c>
      <c r="K139" s="332"/>
      <c r="L139" s="331">
        <v>9.627977314E9</v>
      </c>
      <c r="M139" s="331"/>
      <c r="N139" s="333" t="s">
        <v>171</v>
      </c>
      <c r="O139" s="331"/>
      <c r="P139" s="331"/>
      <c r="Q139" s="331"/>
      <c r="R139" s="331"/>
      <c r="S139" s="331"/>
    </row>
    <row r="140">
      <c r="A140" s="14" t="s">
        <v>693</v>
      </c>
      <c r="B140" s="331"/>
      <c r="C140" s="330" t="b">
        <v>0</v>
      </c>
      <c r="D140" s="331"/>
      <c r="E140" s="14"/>
      <c r="F140" s="14" t="s">
        <v>4548</v>
      </c>
      <c r="G140" s="1" t="s">
        <v>31</v>
      </c>
      <c r="H140" s="1" t="s">
        <v>31</v>
      </c>
      <c r="I140" s="331" t="s">
        <v>4433</v>
      </c>
      <c r="J140" s="1" t="s">
        <v>31</v>
      </c>
      <c r="K140" s="332"/>
      <c r="L140" s="331"/>
      <c r="M140" s="331"/>
      <c r="N140" s="333" t="s">
        <v>177</v>
      </c>
      <c r="O140" s="331"/>
      <c r="P140" s="331"/>
      <c r="Q140" s="331"/>
      <c r="R140" s="331"/>
      <c r="S140" s="331"/>
    </row>
    <row r="141">
      <c r="A141" s="14" t="s">
        <v>698</v>
      </c>
      <c r="B141" s="331"/>
      <c r="C141" s="330" t="b">
        <v>0</v>
      </c>
      <c r="D141" s="331"/>
      <c r="E141" s="14"/>
      <c r="F141" s="14" t="s">
        <v>4549</v>
      </c>
      <c r="G141" s="1" t="s">
        <v>31</v>
      </c>
      <c r="H141" s="1" t="s">
        <v>31</v>
      </c>
      <c r="I141" s="331" t="s">
        <v>4358</v>
      </c>
      <c r="J141" s="1" t="s">
        <v>31</v>
      </c>
      <c r="K141" s="332"/>
      <c r="L141" s="331">
        <v>9.171143915E9</v>
      </c>
      <c r="M141" s="331"/>
      <c r="N141" s="333" t="s">
        <v>177</v>
      </c>
      <c r="O141" s="331"/>
      <c r="P141" s="331"/>
      <c r="Q141" s="331"/>
      <c r="R141" s="331"/>
      <c r="S141" s="331"/>
    </row>
    <row r="142">
      <c r="A142" s="14" t="s">
        <v>701</v>
      </c>
      <c r="B142" s="331"/>
      <c r="C142" s="330" t="b">
        <v>0</v>
      </c>
      <c r="D142" s="331"/>
      <c r="E142" s="14"/>
      <c r="F142" s="14" t="s">
        <v>4550</v>
      </c>
      <c r="G142" s="1" t="s">
        <v>31</v>
      </c>
      <c r="H142" s="1" t="s">
        <v>31</v>
      </c>
      <c r="I142" s="331" t="s">
        <v>4358</v>
      </c>
      <c r="J142" s="1" t="s">
        <v>31</v>
      </c>
      <c r="K142" s="332"/>
      <c r="L142" s="331"/>
      <c r="M142" s="331"/>
      <c r="N142" s="333" t="s">
        <v>177</v>
      </c>
      <c r="O142" s="331"/>
      <c r="P142" s="331"/>
      <c r="Q142" s="331"/>
      <c r="R142" s="331"/>
      <c r="S142" s="331"/>
    </row>
    <row r="143">
      <c r="A143" s="14" t="s">
        <v>708</v>
      </c>
      <c r="B143" s="331"/>
      <c r="C143" s="330" t="b">
        <v>0</v>
      </c>
      <c r="D143" s="331"/>
      <c r="E143" s="14"/>
      <c r="F143" s="14" t="s">
        <v>4551</v>
      </c>
      <c r="G143" s="1" t="s">
        <v>31</v>
      </c>
      <c r="H143" s="1" t="s">
        <v>31</v>
      </c>
      <c r="I143" s="331" t="s">
        <v>4358</v>
      </c>
      <c r="J143" s="1" t="s">
        <v>31</v>
      </c>
      <c r="K143" s="332"/>
      <c r="L143" s="331">
        <v>9.189163972E9</v>
      </c>
      <c r="M143" s="331"/>
      <c r="N143" s="333" t="s">
        <v>177</v>
      </c>
      <c r="O143" s="331"/>
      <c r="P143" s="331"/>
      <c r="Q143" s="331"/>
      <c r="R143" s="331"/>
      <c r="S143" s="331"/>
    </row>
    <row r="144">
      <c r="A144" s="14" t="s">
        <v>718</v>
      </c>
      <c r="B144" s="331"/>
      <c r="C144" s="330" t="b">
        <v>0</v>
      </c>
      <c r="D144" s="331"/>
      <c r="E144" s="14"/>
      <c r="F144" s="14" t="s">
        <v>4552</v>
      </c>
      <c r="G144" s="1" t="s">
        <v>31</v>
      </c>
      <c r="H144" s="1" t="s">
        <v>31</v>
      </c>
      <c r="I144" s="331" t="s">
        <v>4395</v>
      </c>
      <c r="J144" s="1" t="s">
        <v>31</v>
      </c>
      <c r="K144" s="332"/>
      <c r="L144" s="331">
        <v>9.173244615E9</v>
      </c>
      <c r="M144" s="331"/>
      <c r="N144" s="333" t="s">
        <v>177</v>
      </c>
      <c r="O144" s="331"/>
      <c r="P144" s="331"/>
      <c r="Q144" s="331"/>
      <c r="R144" s="331"/>
      <c r="S144" s="331"/>
    </row>
    <row r="145">
      <c r="A145" s="14" t="s">
        <v>722</v>
      </c>
      <c r="B145" s="331"/>
      <c r="C145" s="330" t="b">
        <v>0</v>
      </c>
      <c r="D145" s="331"/>
      <c r="E145" s="14"/>
      <c r="F145" s="14" t="s">
        <v>4553</v>
      </c>
      <c r="G145" s="1" t="s">
        <v>31</v>
      </c>
      <c r="H145" s="1" t="s">
        <v>31</v>
      </c>
      <c r="I145" s="331" t="s">
        <v>4395</v>
      </c>
      <c r="J145" s="1" t="s">
        <v>31</v>
      </c>
      <c r="K145" s="332"/>
      <c r="L145" s="331">
        <v>9.062174996E9</v>
      </c>
      <c r="M145" s="331"/>
      <c r="N145" s="333" t="s">
        <v>177</v>
      </c>
      <c r="O145" s="331"/>
      <c r="P145" s="331"/>
      <c r="Q145" s="331"/>
      <c r="R145" s="331"/>
      <c r="S145" s="331"/>
    </row>
    <row r="146">
      <c r="A146" s="14" t="s">
        <v>730</v>
      </c>
      <c r="B146" s="331"/>
      <c r="C146" s="330" t="b">
        <v>0</v>
      </c>
      <c r="D146" s="331"/>
      <c r="E146" s="14"/>
      <c r="F146" s="14" t="s">
        <v>4554</v>
      </c>
      <c r="G146" s="1" t="s">
        <v>31</v>
      </c>
      <c r="H146" s="1" t="s">
        <v>31</v>
      </c>
      <c r="I146" s="331" t="s">
        <v>4363</v>
      </c>
      <c r="J146" s="1" t="s">
        <v>31</v>
      </c>
      <c r="K146" s="332"/>
      <c r="L146" s="331">
        <v>9.338671236E9</v>
      </c>
      <c r="M146" s="331"/>
      <c r="N146" s="333" t="s">
        <v>177</v>
      </c>
      <c r="O146" s="331"/>
      <c r="P146" s="331"/>
      <c r="Q146" s="331"/>
      <c r="R146" s="331"/>
      <c r="S146" s="331"/>
    </row>
    <row r="147">
      <c r="A147" s="14" t="s">
        <v>737</v>
      </c>
      <c r="B147" s="331" t="s">
        <v>4555</v>
      </c>
      <c r="C147" s="330" t="b">
        <v>0</v>
      </c>
      <c r="D147" s="331"/>
      <c r="E147" s="14"/>
      <c r="F147" s="14" t="s">
        <v>4556</v>
      </c>
      <c r="G147" s="1" t="s">
        <v>31</v>
      </c>
      <c r="H147" s="1" t="s">
        <v>31</v>
      </c>
      <c r="I147" s="331" t="s">
        <v>4395</v>
      </c>
      <c r="J147" s="1" t="s">
        <v>31</v>
      </c>
      <c r="K147" s="332"/>
      <c r="L147" s="331">
        <v>9.237352063E9</v>
      </c>
      <c r="M147" s="331"/>
      <c r="N147" s="333" t="s">
        <v>177</v>
      </c>
      <c r="O147" s="331"/>
      <c r="P147" s="331"/>
      <c r="Q147" s="331"/>
      <c r="R147" s="331"/>
      <c r="S147" s="331"/>
    </row>
    <row r="148">
      <c r="A148" s="14" t="s">
        <v>743</v>
      </c>
      <c r="B148" s="331" t="s">
        <v>4557</v>
      </c>
      <c r="C148" s="330" t="b">
        <v>0</v>
      </c>
      <c r="D148" s="331"/>
      <c r="E148" s="14"/>
      <c r="F148" s="14" t="s">
        <v>4558</v>
      </c>
      <c r="G148" s="1" t="s">
        <v>31</v>
      </c>
      <c r="H148" s="1" t="s">
        <v>31</v>
      </c>
      <c r="I148" s="331" t="s">
        <v>4417</v>
      </c>
      <c r="J148" s="1" t="s">
        <v>31</v>
      </c>
      <c r="K148" s="332"/>
      <c r="L148" s="331">
        <v>9.431402113E9</v>
      </c>
      <c r="M148" s="331"/>
      <c r="N148" s="333" t="s">
        <v>744</v>
      </c>
      <c r="O148" s="331"/>
      <c r="P148" s="331"/>
      <c r="Q148" s="331"/>
      <c r="R148" s="331"/>
      <c r="S148" s="331"/>
    </row>
    <row r="149">
      <c r="A149" s="14" t="s">
        <v>748</v>
      </c>
      <c r="B149" s="331" t="s">
        <v>4559</v>
      </c>
      <c r="C149" s="330" t="b">
        <v>0</v>
      </c>
      <c r="D149" s="331"/>
      <c r="E149" s="14"/>
      <c r="F149" s="14" t="s">
        <v>4560</v>
      </c>
      <c r="G149" s="1" t="s">
        <v>31</v>
      </c>
      <c r="H149" s="1" t="s">
        <v>31</v>
      </c>
      <c r="I149" s="331" t="s">
        <v>4395</v>
      </c>
      <c r="J149" s="1" t="s">
        <v>31</v>
      </c>
      <c r="K149" s="332"/>
      <c r="L149" s="331">
        <v>9.95458883E9</v>
      </c>
      <c r="M149" s="331"/>
      <c r="N149" s="333" t="s">
        <v>177</v>
      </c>
      <c r="O149" s="331"/>
      <c r="P149" s="331"/>
      <c r="Q149" s="331"/>
      <c r="R149" s="331"/>
      <c r="S149" s="331"/>
    </row>
    <row r="150">
      <c r="A150" s="14" t="s">
        <v>752</v>
      </c>
      <c r="B150" s="331" t="s">
        <v>4561</v>
      </c>
      <c r="C150" s="330" t="b">
        <v>0</v>
      </c>
      <c r="D150" s="331"/>
      <c r="E150" s="14"/>
      <c r="F150" s="14" t="s">
        <v>4562</v>
      </c>
      <c r="G150" s="1" t="s">
        <v>31</v>
      </c>
      <c r="H150" s="1" t="s">
        <v>31</v>
      </c>
      <c r="I150" s="331" t="s">
        <v>4395</v>
      </c>
      <c r="J150" s="1" t="s">
        <v>31</v>
      </c>
      <c r="K150" s="332"/>
      <c r="L150" s="331">
        <v>9.175276264E9</v>
      </c>
      <c r="M150" s="331"/>
      <c r="N150" s="333" t="s">
        <v>177</v>
      </c>
      <c r="O150" s="331"/>
      <c r="P150" s="331"/>
      <c r="Q150" s="331"/>
      <c r="R150" s="331"/>
      <c r="S150" s="331"/>
    </row>
    <row r="151">
      <c r="A151" s="14" t="s">
        <v>760</v>
      </c>
      <c r="B151" s="331"/>
      <c r="C151" s="330" t="b">
        <v>0</v>
      </c>
      <c r="D151" s="331"/>
      <c r="E151" s="14"/>
      <c r="F151" s="14" t="s">
        <v>4253</v>
      </c>
      <c r="G151" s="1" t="s">
        <v>31</v>
      </c>
      <c r="H151" s="1" t="s">
        <v>31</v>
      </c>
      <c r="I151" s="331" t="s">
        <v>4395</v>
      </c>
      <c r="J151" s="1" t="s">
        <v>31</v>
      </c>
      <c r="K151" s="332"/>
      <c r="L151" s="338">
        <v>9.309171229E9</v>
      </c>
      <c r="M151" s="331"/>
      <c r="N151" s="333" t="s">
        <v>177</v>
      </c>
      <c r="O151" s="331"/>
      <c r="P151" s="331"/>
      <c r="Q151" s="331"/>
      <c r="R151" s="331"/>
      <c r="S151" s="331"/>
    </row>
    <row r="152">
      <c r="A152" s="14" t="s">
        <v>764</v>
      </c>
      <c r="B152" s="331"/>
      <c r="C152" s="330" t="b">
        <v>0</v>
      </c>
      <c r="D152" s="331"/>
      <c r="E152" s="14"/>
      <c r="F152" s="14" t="s">
        <v>4563</v>
      </c>
      <c r="G152" s="1" t="s">
        <v>31</v>
      </c>
      <c r="H152" s="1" t="s">
        <v>31</v>
      </c>
      <c r="I152" s="331" t="s">
        <v>4363</v>
      </c>
      <c r="J152" s="1" t="s">
        <v>31</v>
      </c>
      <c r="K152" s="332"/>
      <c r="L152" s="331"/>
      <c r="M152" s="331"/>
      <c r="N152" s="333" t="s">
        <v>177</v>
      </c>
      <c r="O152" s="331"/>
      <c r="P152" s="331"/>
      <c r="Q152" s="331"/>
      <c r="R152" s="331"/>
      <c r="S152" s="331"/>
    </row>
    <row r="153">
      <c r="A153" s="14" t="s">
        <v>769</v>
      </c>
      <c r="B153" s="331" t="s">
        <v>4564</v>
      </c>
      <c r="C153" s="330" t="b">
        <v>0</v>
      </c>
      <c r="D153" s="331"/>
      <c r="E153" s="14"/>
      <c r="F153" s="14" t="s">
        <v>4565</v>
      </c>
      <c r="G153" s="1" t="s">
        <v>31</v>
      </c>
      <c r="H153" s="1" t="s">
        <v>31</v>
      </c>
      <c r="I153" s="331" t="s">
        <v>4363</v>
      </c>
      <c r="J153" s="1" t="s">
        <v>31</v>
      </c>
      <c r="K153" s="332"/>
      <c r="L153" s="331"/>
      <c r="M153" s="331"/>
      <c r="N153" s="333" t="s">
        <v>715</v>
      </c>
      <c r="O153" s="331"/>
      <c r="P153" s="331"/>
      <c r="Q153" s="331"/>
      <c r="R153" s="331"/>
      <c r="S153" s="331"/>
    </row>
    <row r="154">
      <c r="A154" s="14" t="s">
        <v>779</v>
      </c>
      <c r="B154" s="331"/>
      <c r="C154" s="330" t="b">
        <v>0</v>
      </c>
      <c r="D154" s="331"/>
      <c r="E154" s="14"/>
      <c r="F154" s="14" t="s">
        <v>4566</v>
      </c>
      <c r="G154" s="1" t="s">
        <v>31</v>
      </c>
      <c r="H154" s="1" t="s">
        <v>31</v>
      </c>
      <c r="I154" s="331" t="s">
        <v>4419</v>
      </c>
      <c r="J154" s="1" t="s">
        <v>31</v>
      </c>
      <c r="K154" s="332"/>
      <c r="L154" s="331">
        <v>9.662056699E9</v>
      </c>
      <c r="M154" s="331"/>
      <c r="N154" s="333" t="s">
        <v>744</v>
      </c>
      <c r="O154" s="331"/>
      <c r="P154" s="331"/>
      <c r="Q154" s="331"/>
      <c r="R154" s="331"/>
      <c r="S154" s="331"/>
    </row>
    <row r="155">
      <c r="A155" s="14" t="s">
        <v>785</v>
      </c>
      <c r="B155" s="331" t="s">
        <v>4567</v>
      </c>
      <c r="C155" s="330" t="b">
        <v>0</v>
      </c>
      <c r="D155" s="331"/>
      <c r="E155" s="14"/>
      <c r="F155" s="14" t="s">
        <v>4568</v>
      </c>
      <c r="G155" s="1" t="s">
        <v>31</v>
      </c>
      <c r="H155" s="1" t="s">
        <v>31</v>
      </c>
      <c r="I155" s="331" t="s">
        <v>4419</v>
      </c>
      <c r="J155" s="1" t="s">
        <v>31</v>
      </c>
      <c r="K155" s="332"/>
      <c r="L155" s="331">
        <v>9.431402113E9</v>
      </c>
      <c r="M155" s="331"/>
      <c r="N155" s="333" t="s">
        <v>744</v>
      </c>
      <c r="O155" s="331"/>
      <c r="P155" s="331"/>
      <c r="Q155" s="331"/>
      <c r="R155" s="331"/>
      <c r="S155" s="331"/>
    </row>
    <row r="156">
      <c r="A156" s="14" t="s">
        <v>791</v>
      </c>
      <c r="B156" s="331"/>
      <c r="C156" s="330" t="b">
        <v>0</v>
      </c>
      <c r="D156" s="331"/>
      <c r="E156" s="14"/>
      <c r="F156" s="14" t="s">
        <v>4569</v>
      </c>
      <c r="G156" s="1" t="s">
        <v>31</v>
      </c>
      <c r="H156" s="1" t="s">
        <v>31</v>
      </c>
      <c r="I156" s="331" t="s">
        <v>4485</v>
      </c>
      <c r="J156" s="1" t="s">
        <v>31</v>
      </c>
      <c r="K156" s="332"/>
      <c r="L156" s="331">
        <v>9.263132118E9</v>
      </c>
      <c r="M156" s="331"/>
      <c r="N156" s="333" t="s">
        <v>177</v>
      </c>
      <c r="O156" s="331"/>
      <c r="P156" s="331"/>
      <c r="Q156" s="331"/>
      <c r="R156" s="331"/>
      <c r="S156" s="331"/>
    </row>
    <row r="157">
      <c r="A157" s="14" t="s">
        <v>795</v>
      </c>
      <c r="B157" s="331"/>
      <c r="C157" s="330" t="b">
        <v>0</v>
      </c>
      <c r="D157" s="331"/>
      <c r="E157" s="14"/>
      <c r="F157" s="14" t="s">
        <v>4570</v>
      </c>
      <c r="G157" s="1" t="s">
        <v>31</v>
      </c>
      <c r="H157" s="1" t="s">
        <v>31</v>
      </c>
      <c r="I157" s="331" t="s">
        <v>4358</v>
      </c>
      <c r="J157" s="1" t="s">
        <v>31</v>
      </c>
      <c r="K157" s="332"/>
      <c r="L157" s="331"/>
      <c r="M157" s="331"/>
      <c r="N157" s="333" t="s">
        <v>177</v>
      </c>
      <c r="O157" s="331"/>
      <c r="P157" s="331"/>
      <c r="Q157" s="331"/>
      <c r="R157" s="331"/>
      <c r="S157" s="331"/>
    </row>
    <row r="158">
      <c r="A158" s="14" t="s">
        <v>869</v>
      </c>
      <c r="B158" s="331"/>
      <c r="C158" s="330" t="b">
        <v>0</v>
      </c>
      <c r="D158" s="331"/>
      <c r="E158" s="14"/>
      <c r="F158" s="14" t="s">
        <v>4571</v>
      </c>
      <c r="G158" s="1" t="s">
        <v>31</v>
      </c>
      <c r="H158" s="1" t="s">
        <v>31</v>
      </c>
      <c r="I158" s="331" t="s">
        <v>4358</v>
      </c>
      <c r="J158" s="1" t="s">
        <v>31</v>
      </c>
      <c r="K158" s="332"/>
      <c r="L158" s="331">
        <v>9.19586579E9</v>
      </c>
      <c r="M158" s="331"/>
      <c r="N158" s="333" t="s">
        <v>177</v>
      </c>
      <c r="O158" s="331"/>
      <c r="P158" s="331"/>
      <c r="Q158" s="331"/>
      <c r="R158" s="331"/>
      <c r="S158" s="331"/>
    </row>
    <row r="159">
      <c r="A159" s="14" t="s">
        <v>803</v>
      </c>
      <c r="B159" s="331"/>
      <c r="C159" s="330" t="b">
        <v>0</v>
      </c>
      <c r="D159" s="331"/>
      <c r="E159" s="14"/>
      <c r="F159" s="14" t="s">
        <v>4572</v>
      </c>
      <c r="G159" s="1" t="s">
        <v>31</v>
      </c>
      <c r="H159" s="1" t="s">
        <v>31</v>
      </c>
      <c r="I159" s="331" t="s">
        <v>4433</v>
      </c>
      <c r="J159" s="1" t="s">
        <v>31</v>
      </c>
      <c r="K159" s="332"/>
      <c r="L159" s="331">
        <v>9.175800385E9</v>
      </c>
      <c r="M159" s="331"/>
      <c r="N159" s="333" t="s">
        <v>177</v>
      </c>
      <c r="O159" s="331"/>
      <c r="P159" s="331"/>
      <c r="Q159" s="331"/>
      <c r="R159" s="331"/>
      <c r="S159" s="331"/>
    </row>
    <row r="160">
      <c r="A160" s="14" t="s">
        <v>807</v>
      </c>
      <c r="B160" s="331" t="s">
        <v>4573</v>
      </c>
      <c r="C160" s="330" t="b">
        <v>0</v>
      </c>
      <c r="D160" s="331"/>
      <c r="E160" s="14"/>
      <c r="F160" s="14" t="s">
        <v>4574</v>
      </c>
      <c r="G160" s="1" t="s">
        <v>31</v>
      </c>
      <c r="H160" s="1" t="s">
        <v>31</v>
      </c>
      <c r="I160" s="331" t="s">
        <v>4417</v>
      </c>
      <c r="J160" s="1" t="s">
        <v>31</v>
      </c>
      <c r="K160" s="332"/>
      <c r="L160" s="331">
        <v>9.306692692E9</v>
      </c>
      <c r="M160" s="331"/>
      <c r="N160" s="333" t="s">
        <v>744</v>
      </c>
      <c r="O160" s="331"/>
      <c r="P160" s="331"/>
      <c r="Q160" s="331"/>
      <c r="R160" s="331"/>
      <c r="S160" s="331"/>
    </row>
    <row r="161">
      <c r="A161" s="14" t="s">
        <v>811</v>
      </c>
      <c r="B161" s="331"/>
      <c r="C161" s="330" t="b">
        <v>0</v>
      </c>
      <c r="D161" s="331"/>
      <c r="E161" s="14"/>
      <c r="F161" s="14" t="s">
        <v>4575</v>
      </c>
      <c r="G161" s="1" t="s">
        <v>31</v>
      </c>
      <c r="H161" s="1" t="s">
        <v>31</v>
      </c>
      <c r="I161" s="331" t="s">
        <v>4417</v>
      </c>
      <c r="J161" s="1" t="s">
        <v>31</v>
      </c>
      <c r="K161" s="332"/>
      <c r="L161" s="331">
        <v>9.982542875E9</v>
      </c>
      <c r="M161" s="331"/>
      <c r="N161" s="333" t="s">
        <v>744</v>
      </c>
      <c r="O161" s="331"/>
      <c r="P161" s="331"/>
      <c r="Q161" s="331"/>
      <c r="R161" s="331"/>
      <c r="S161" s="331"/>
    </row>
    <row r="162">
      <c r="A162" s="14" t="s">
        <v>815</v>
      </c>
      <c r="B162" s="331"/>
      <c r="C162" s="330" t="b">
        <v>0</v>
      </c>
      <c r="D162" s="331"/>
      <c r="E162" s="14"/>
      <c r="F162" s="14" t="s">
        <v>4576</v>
      </c>
      <c r="G162" s="1" t="s">
        <v>31</v>
      </c>
      <c r="H162" s="1" t="s">
        <v>31</v>
      </c>
      <c r="I162" s="331" t="s">
        <v>4464</v>
      </c>
      <c r="J162" s="1" t="s">
        <v>31</v>
      </c>
      <c r="K162" s="332"/>
      <c r="L162" s="331">
        <v>9.615504598E9</v>
      </c>
      <c r="M162" s="331"/>
      <c r="N162" s="333" t="s">
        <v>744</v>
      </c>
      <c r="O162" s="331"/>
      <c r="P162" s="331"/>
      <c r="Q162" s="331"/>
      <c r="R162" s="331"/>
      <c r="S162" s="331"/>
    </row>
    <row r="163">
      <c r="A163" s="14" t="s">
        <v>4577</v>
      </c>
      <c r="B163" s="331"/>
      <c r="C163" s="330" t="b">
        <v>0</v>
      </c>
      <c r="D163" s="331"/>
      <c r="E163" s="14"/>
      <c r="F163" s="14" t="s">
        <v>4578</v>
      </c>
      <c r="G163" s="1" t="s">
        <v>31</v>
      </c>
      <c r="H163" s="1" t="s">
        <v>31</v>
      </c>
      <c r="I163" s="331" t="s">
        <v>4464</v>
      </c>
      <c r="J163" s="1" t="s">
        <v>31</v>
      </c>
      <c r="K163" s="332"/>
      <c r="L163" s="331">
        <v>9.190982589E9</v>
      </c>
      <c r="M163" s="331"/>
      <c r="N163" s="333" t="s">
        <v>744</v>
      </c>
      <c r="O163" s="331"/>
      <c r="P163" s="331"/>
      <c r="Q163" s="331"/>
      <c r="R163" s="331"/>
      <c r="S163" s="331"/>
    </row>
    <row r="164">
      <c r="A164" s="14" t="s">
        <v>822</v>
      </c>
      <c r="B164" s="331"/>
      <c r="C164" s="330" t="b">
        <v>0</v>
      </c>
      <c r="D164" s="331"/>
      <c r="E164" s="14"/>
      <c r="F164" s="14" t="s">
        <v>4579</v>
      </c>
      <c r="G164" s="1" t="s">
        <v>31</v>
      </c>
      <c r="H164" s="1" t="s">
        <v>31</v>
      </c>
      <c r="I164" s="331" t="s">
        <v>4464</v>
      </c>
      <c r="J164" s="1" t="s">
        <v>31</v>
      </c>
      <c r="K164" s="332"/>
      <c r="L164" s="331">
        <v>9.772166407E9</v>
      </c>
      <c r="M164" s="331"/>
      <c r="N164" s="333" t="s">
        <v>744</v>
      </c>
      <c r="O164" s="331"/>
      <c r="P164" s="331"/>
      <c r="Q164" s="331"/>
      <c r="R164" s="331"/>
      <c r="S164" s="331"/>
    </row>
    <row r="165">
      <c r="A165" s="14" t="s">
        <v>829</v>
      </c>
      <c r="B165" s="331" t="s">
        <v>4580</v>
      </c>
      <c r="C165" s="330" t="b">
        <v>0</v>
      </c>
      <c r="D165" s="331"/>
      <c r="E165" s="14"/>
      <c r="F165" s="14" t="s">
        <v>4581</v>
      </c>
      <c r="G165" s="1" t="s">
        <v>31</v>
      </c>
      <c r="H165" s="1" t="s">
        <v>31</v>
      </c>
      <c r="I165" s="331" t="s">
        <v>4363</v>
      </c>
      <c r="J165" s="1" t="s">
        <v>31</v>
      </c>
      <c r="K165" s="332"/>
      <c r="L165" s="331">
        <v>9.171753232E9</v>
      </c>
      <c r="M165" s="331"/>
      <c r="N165" s="333" t="s">
        <v>22</v>
      </c>
      <c r="O165" s="331"/>
      <c r="P165" s="331"/>
      <c r="Q165" s="331"/>
      <c r="R165" s="331"/>
      <c r="S165" s="331"/>
    </row>
    <row r="166">
      <c r="A166" s="14" t="s">
        <v>833</v>
      </c>
      <c r="B166" s="331"/>
      <c r="C166" s="330" t="b">
        <v>0</v>
      </c>
      <c r="D166" s="331"/>
      <c r="E166" s="14"/>
      <c r="F166" s="14" t="s">
        <v>4582</v>
      </c>
      <c r="G166" s="1" t="s">
        <v>31</v>
      </c>
      <c r="H166" s="1" t="s">
        <v>31</v>
      </c>
      <c r="I166" s="331" t="s">
        <v>4485</v>
      </c>
      <c r="J166" s="1" t="s">
        <v>31</v>
      </c>
      <c r="K166" s="332"/>
      <c r="L166" s="331">
        <v>9.17807588E9</v>
      </c>
      <c r="M166" s="331"/>
      <c r="N166" s="333" t="s">
        <v>177</v>
      </c>
      <c r="O166" s="331"/>
      <c r="P166" s="331"/>
      <c r="Q166" s="331"/>
      <c r="R166" s="331"/>
      <c r="S166" s="331"/>
    </row>
    <row r="167">
      <c r="A167" s="14" t="s">
        <v>837</v>
      </c>
      <c r="B167" s="331" t="s">
        <v>4583</v>
      </c>
      <c r="C167" s="330" t="b">
        <v>0</v>
      </c>
      <c r="D167" s="331"/>
      <c r="E167" s="14"/>
      <c r="F167" s="14" t="s">
        <v>4584</v>
      </c>
      <c r="G167" s="1" t="s">
        <v>31</v>
      </c>
      <c r="H167" s="1" t="s">
        <v>31</v>
      </c>
      <c r="I167" s="331" t="s">
        <v>4391</v>
      </c>
      <c r="J167" s="1" t="s">
        <v>31</v>
      </c>
      <c r="K167" s="332"/>
      <c r="L167" s="331">
        <v>9.254841248E9</v>
      </c>
      <c r="M167" s="331"/>
      <c r="N167" s="333" t="s">
        <v>715</v>
      </c>
      <c r="O167" s="331"/>
      <c r="P167" s="331"/>
      <c r="Q167" s="331"/>
      <c r="R167" s="331"/>
      <c r="S167" s="331"/>
    </row>
    <row r="168">
      <c r="A168" s="14" t="s">
        <v>840</v>
      </c>
      <c r="B168" s="331" t="s">
        <v>4585</v>
      </c>
      <c r="C168" s="330" t="b">
        <v>0</v>
      </c>
      <c r="D168" s="331"/>
      <c r="E168" s="14"/>
      <c r="F168" s="14" t="s">
        <v>4586</v>
      </c>
      <c r="G168" s="1" t="s">
        <v>31</v>
      </c>
      <c r="H168" s="1" t="s">
        <v>31</v>
      </c>
      <c r="I168" s="331" t="s">
        <v>4391</v>
      </c>
      <c r="J168" s="1" t="s">
        <v>31</v>
      </c>
      <c r="K168" s="332"/>
      <c r="L168" s="331"/>
      <c r="M168" s="331"/>
      <c r="N168" s="333" t="s">
        <v>715</v>
      </c>
      <c r="O168" s="331"/>
      <c r="P168" s="331"/>
      <c r="Q168" s="331"/>
      <c r="R168" s="331"/>
      <c r="S168" s="331"/>
    </row>
    <row r="169">
      <c r="A169" s="14" t="s">
        <v>844</v>
      </c>
      <c r="B169" s="331" t="s">
        <v>4587</v>
      </c>
      <c r="C169" s="330" t="b">
        <v>0</v>
      </c>
      <c r="D169" s="331"/>
      <c r="E169" s="14"/>
      <c r="F169" s="14" t="s">
        <v>4588</v>
      </c>
      <c r="G169" s="1" t="s">
        <v>31</v>
      </c>
      <c r="H169" s="1" t="s">
        <v>31</v>
      </c>
      <c r="I169" s="331" t="s">
        <v>4391</v>
      </c>
      <c r="J169" s="1" t="s">
        <v>31</v>
      </c>
      <c r="K169" s="332"/>
      <c r="L169" s="331"/>
      <c r="M169" s="331"/>
      <c r="N169" s="333" t="s">
        <v>715</v>
      </c>
      <c r="O169" s="331"/>
      <c r="P169" s="331"/>
      <c r="Q169" s="331"/>
      <c r="R169" s="331"/>
      <c r="S169" s="331"/>
    </row>
    <row r="170">
      <c r="A170" s="14" t="s">
        <v>862</v>
      </c>
      <c r="B170" s="331"/>
      <c r="C170" s="330" t="b">
        <v>0</v>
      </c>
      <c r="D170" s="331"/>
      <c r="E170" s="14"/>
      <c r="F170" s="14" t="s">
        <v>4589</v>
      </c>
      <c r="G170" s="1" t="s">
        <v>31</v>
      </c>
      <c r="H170" s="1" t="s">
        <v>31</v>
      </c>
      <c r="I170" s="331" t="s">
        <v>4358</v>
      </c>
      <c r="J170" s="1" t="s">
        <v>31</v>
      </c>
      <c r="K170" s="332"/>
      <c r="L170" s="331">
        <v>9.669582828E9</v>
      </c>
      <c r="M170" s="331"/>
      <c r="N170" s="333" t="s">
        <v>177</v>
      </c>
      <c r="O170" s="331"/>
      <c r="P170" s="331"/>
      <c r="Q170" s="331"/>
      <c r="R170" s="331"/>
      <c r="S170" s="331"/>
    </row>
    <row r="171">
      <c r="A171" s="14" t="s">
        <v>865</v>
      </c>
      <c r="B171" s="331"/>
      <c r="C171" s="330" t="b">
        <v>0</v>
      </c>
      <c r="D171" s="331"/>
      <c r="E171" s="14"/>
      <c r="F171" s="14" t="s">
        <v>4590</v>
      </c>
      <c r="G171" s="1" t="s">
        <v>31</v>
      </c>
      <c r="H171" s="1" t="s">
        <v>31</v>
      </c>
      <c r="I171" s="331" t="s">
        <v>4358</v>
      </c>
      <c r="J171" s="1" t="s">
        <v>31</v>
      </c>
      <c r="K171" s="332"/>
      <c r="L171" s="331">
        <v>9.776093455E9</v>
      </c>
      <c r="M171" s="331"/>
      <c r="N171" s="333" t="s">
        <v>177</v>
      </c>
      <c r="O171" s="331"/>
      <c r="P171" s="331"/>
      <c r="Q171" s="331"/>
      <c r="R171" s="331"/>
      <c r="S171" s="331"/>
    </row>
    <row r="172">
      <c r="A172" s="14" t="s">
        <v>873</v>
      </c>
      <c r="B172" s="331"/>
      <c r="C172" s="330" t="b">
        <v>0</v>
      </c>
      <c r="D172" s="331"/>
      <c r="E172" s="14"/>
      <c r="F172" s="14" t="s">
        <v>4591</v>
      </c>
      <c r="G172" s="1" t="s">
        <v>31</v>
      </c>
      <c r="H172" s="1" t="s">
        <v>31</v>
      </c>
      <c r="I172" s="331" t="s">
        <v>4358</v>
      </c>
      <c r="J172" s="1" t="s">
        <v>31</v>
      </c>
      <c r="K172" s="332"/>
      <c r="L172" s="331">
        <v>9.086549521E9</v>
      </c>
      <c r="M172" s="331"/>
      <c r="N172" s="333" t="s">
        <v>177</v>
      </c>
      <c r="O172" s="331"/>
      <c r="P172" s="331"/>
      <c r="Q172" s="331"/>
      <c r="R172" s="331"/>
      <c r="S172" s="331"/>
    </row>
    <row r="173">
      <c r="A173" s="14" t="s">
        <v>876</v>
      </c>
      <c r="B173" s="331" t="s">
        <v>4592</v>
      </c>
      <c r="C173" s="330" t="b">
        <v>0</v>
      </c>
      <c r="D173" s="331"/>
      <c r="E173" s="14"/>
      <c r="F173" s="14" t="s">
        <v>4593</v>
      </c>
      <c r="G173" s="1" t="s">
        <v>31</v>
      </c>
      <c r="H173" s="1" t="s">
        <v>31</v>
      </c>
      <c r="I173" s="331" t="s">
        <v>4358</v>
      </c>
      <c r="J173" s="1" t="s">
        <v>31</v>
      </c>
      <c r="K173" s="332"/>
      <c r="L173" s="331">
        <v>9.175470003E9</v>
      </c>
      <c r="M173" s="331"/>
      <c r="N173" s="333" t="s">
        <v>177</v>
      </c>
      <c r="O173" s="331"/>
      <c r="P173" s="331"/>
      <c r="Q173" s="331"/>
      <c r="R173" s="331"/>
      <c r="S173" s="331"/>
    </row>
    <row r="174">
      <c r="A174" s="14" t="s">
        <v>880</v>
      </c>
      <c r="B174" s="331"/>
      <c r="C174" s="330" t="b">
        <v>0</v>
      </c>
      <c r="D174" s="331"/>
      <c r="E174" s="14"/>
      <c r="F174" s="14" t="s">
        <v>4594</v>
      </c>
      <c r="G174" s="1" t="s">
        <v>31</v>
      </c>
      <c r="H174" s="1" t="s">
        <v>31</v>
      </c>
      <c r="I174" s="331" t="s">
        <v>4363</v>
      </c>
      <c r="J174" s="1" t="s">
        <v>31</v>
      </c>
      <c r="K174" s="332"/>
      <c r="L174" s="331"/>
      <c r="M174" s="331"/>
      <c r="N174" s="333" t="s">
        <v>177</v>
      </c>
      <c r="O174" s="331"/>
      <c r="P174" s="331"/>
      <c r="Q174" s="331"/>
      <c r="R174" s="331"/>
      <c r="S174" s="331"/>
    </row>
    <row r="175">
      <c r="A175" s="14" t="s">
        <v>886</v>
      </c>
      <c r="B175" s="331" t="s">
        <v>4595</v>
      </c>
      <c r="C175" s="330" t="b">
        <v>0</v>
      </c>
      <c r="D175" s="331"/>
      <c r="E175" s="14"/>
      <c r="F175" s="14" t="s">
        <v>4596</v>
      </c>
      <c r="G175" s="1" t="s">
        <v>31</v>
      </c>
      <c r="H175" s="1" t="s">
        <v>31</v>
      </c>
      <c r="I175" s="331" t="s">
        <v>4391</v>
      </c>
      <c r="J175" s="1" t="s">
        <v>31</v>
      </c>
      <c r="K175" s="332"/>
      <c r="L175" s="331">
        <v>9.274269616E9</v>
      </c>
      <c r="M175" s="331"/>
      <c r="N175" s="333" t="s">
        <v>715</v>
      </c>
      <c r="O175" s="331"/>
      <c r="P175" s="331"/>
      <c r="Q175" s="331"/>
      <c r="R175" s="331"/>
      <c r="S175" s="331"/>
    </row>
    <row r="176">
      <c r="A176" s="14" t="s">
        <v>891</v>
      </c>
      <c r="B176" s="331" t="s">
        <v>4597</v>
      </c>
      <c r="C176" s="330" t="b">
        <v>0</v>
      </c>
      <c r="D176" s="331"/>
      <c r="E176" s="14"/>
      <c r="F176" s="337" t="s">
        <v>4598</v>
      </c>
      <c r="G176" s="1" t="s">
        <v>31</v>
      </c>
      <c r="H176" s="1" t="s">
        <v>31</v>
      </c>
      <c r="I176" s="331" t="s">
        <v>4363</v>
      </c>
      <c r="J176" s="1" t="s">
        <v>31</v>
      </c>
      <c r="K176" s="332"/>
      <c r="L176" s="331"/>
      <c r="M176" s="331"/>
      <c r="N176" s="333" t="s">
        <v>715</v>
      </c>
      <c r="O176" s="331"/>
      <c r="P176" s="331"/>
      <c r="Q176" s="331"/>
      <c r="R176" s="331"/>
      <c r="S176" s="331"/>
    </row>
    <row r="177">
      <c r="A177" s="14" t="s">
        <v>895</v>
      </c>
      <c r="B177" s="331" t="s">
        <v>4599</v>
      </c>
      <c r="C177" s="330" t="b">
        <v>0</v>
      </c>
      <c r="D177" s="331"/>
      <c r="E177" s="14"/>
      <c r="F177" s="337" t="s">
        <v>4600</v>
      </c>
      <c r="G177" s="1" t="s">
        <v>31</v>
      </c>
      <c r="H177" s="1" t="s">
        <v>31</v>
      </c>
      <c r="I177" s="331" t="s">
        <v>4363</v>
      </c>
      <c r="J177" s="1" t="s">
        <v>31</v>
      </c>
      <c r="K177" s="332"/>
      <c r="L177" s="331"/>
      <c r="M177" s="331"/>
      <c r="N177" s="333" t="s">
        <v>715</v>
      </c>
      <c r="O177" s="331"/>
      <c r="P177" s="331"/>
      <c r="Q177" s="331"/>
      <c r="R177" s="331"/>
      <c r="S177" s="331"/>
    </row>
    <row r="178">
      <c r="A178" s="14" t="s">
        <v>899</v>
      </c>
      <c r="B178" s="331" t="s">
        <v>4601</v>
      </c>
      <c r="C178" s="330" t="b">
        <v>0</v>
      </c>
      <c r="D178" s="331"/>
      <c r="E178" s="14"/>
      <c r="F178" s="14" t="s">
        <v>4602</v>
      </c>
      <c r="G178" s="1" t="s">
        <v>31</v>
      </c>
      <c r="H178" s="1" t="s">
        <v>31</v>
      </c>
      <c r="I178" s="331" t="s">
        <v>4391</v>
      </c>
      <c r="J178" s="1" t="s">
        <v>31</v>
      </c>
      <c r="K178" s="332"/>
      <c r="L178" s="331"/>
      <c r="M178" s="331"/>
      <c r="N178" s="333" t="s">
        <v>715</v>
      </c>
      <c r="O178" s="331"/>
      <c r="P178" s="331"/>
      <c r="Q178" s="331"/>
      <c r="R178" s="331"/>
      <c r="S178" s="331"/>
    </row>
    <row r="179">
      <c r="A179" s="14" t="s">
        <v>902</v>
      </c>
      <c r="B179" s="331" t="s">
        <v>4603</v>
      </c>
      <c r="C179" s="330" t="b">
        <v>0</v>
      </c>
      <c r="D179" s="331"/>
      <c r="E179" s="14"/>
      <c r="F179" s="14" t="s">
        <v>4604</v>
      </c>
      <c r="G179" s="1" t="s">
        <v>31</v>
      </c>
      <c r="H179" s="1" t="s">
        <v>31</v>
      </c>
      <c r="I179" s="331" t="s">
        <v>4358</v>
      </c>
      <c r="J179" s="1" t="s">
        <v>31</v>
      </c>
      <c r="K179" s="332"/>
      <c r="L179" s="331">
        <v>9.23237051E9</v>
      </c>
      <c r="M179" s="331"/>
      <c r="N179" s="333" t="s">
        <v>715</v>
      </c>
      <c r="O179" s="331"/>
      <c r="P179" s="331"/>
      <c r="Q179" s="331"/>
      <c r="R179" s="331"/>
      <c r="S179" s="331"/>
    </row>
    <row r="180">
      <c r="A180" s="14" t="s">
        <v>906</v>
      </c>
      <c r="B180" s="331" t="s">
        <v>4605</v>
      </c>
      <c r="C180" s="330" t="b">
        <v>0</v>
      </c>
      <c r="D180" s="331"/>
      <c r="E180" s="14"/>
      <c r="F180" s="14" t="s">
        <v>4606</v>
      </c>
      <c r="G180" s="1" t="s">
        <v>31</v>
      </c>
      <c r="H180" s="1" t="s">
        <v>31</v>
      </c>
      <c r="I180" s="331" t="s">
        <v>4363</v>
      </c>
      <c r="J180" s="1" t="s">
        <v>31</v>
      </c>
      <c r="K180" s="332"/>
      <c r="L180" s="331" t="s">
        <v>4607</v>
      </c>
      <c r="M180" s="331"/>
      <c r="N180" s="333" t="s">
        <v>715</v>
      </c>
      <c r="O180" s="331"/>
      <c r="P180" s="331"/>
      <c r="Q180" s="331"/>
      <c r="R180" s="331"/>
      <c r="S180" s="331"/>
    </row>
    <row r="181">
      <c r="A181" s="14" t="s">
        <v>916</v>
      </c>
      <c r="B181" s="331" t="s">
        <v>4608</v>
      </c>
      <c r="C181" s="330" t="b">
        <v>0</v>
      </c>
      <c r="D181" s="331"/>
      <c r="E181" s="14"/>
      <c r="F181" s="14" t="s">
        <v>4609</v>
      </c>
      <c r="G181" s="1" t="s">
        <v>31</v>
      </c>
      <c r="H181" s="1" t="s">
        <v>31</v>
      </c>
      <c r="I181" s="331" t="s">
        <v>4464</v>
      </c>
      <c r="J181" s="1" t="s">
        <v>31</v>
      </c>
      <c r="K181" s="332"/>
      <c r="L181" s="331">
        <v>9.453442352E9</v>
      </c>
      <c r="M181" s="331"/>
      <c r="N181" s="333" t="s">
        <v>744</v>
      </c>
      <c r="O181" s="331"/>
      <c r="P181" s="331"/>
      <c r="Q181" s="331"/>
      <c r="R181" s="331"/>
      <c r="S181" s="331"/>
    </row>
    <row r="182">
      <c r="A182" s="14" t="s">
        <v>919</v>
      </c>
      <c r="B182" s="331"/>
      <c r="C182" s="330" t="b">
        <v>0</v>
      </c>
      <c r="D182" s="331"/>
      <c r="E182" s="14"/>
      <c r="F182" s="14" t="s">
        <v>4610</v>
      </c>
      <c r="G182" s="1" t="s">
        <v>31</v>
      </c>
      <c r="H182" s="1" t="s">
        <v>31</v>
      </c>
      <c r="I182" s="331" t="s">
        <v>4464</v>
      </c>
      <c r="J182" s="1" t="s">
        <v>31</v>
      </c>
      <c r="K182" s="332"/>
      <c r="L182" s="331">
        <v>9.989622772E9</v>
      </c>
      <c r="M182" s="331"/>
      <c r="N182" s="333" t="s">
        <v>744</v>
      </c>
      <c r="O182" s="331"/>
      <c r="P182" s="331"/>
      <c r="Q182" s="331"/>
      <c r="R182" s="331"/>
      <c r="S182" s="331"/>
    </row>
    <row r="183">
      <c r="A183" s="14" t="s">
        <v>926</v>
      </c>
      <c r="B183" s="331" t="s">
        <v>4611</v>
      </c>
      <c r="C183" s="330" t="b">
        <v>0</v>
      </c>
      <c r="D183" s="331"/>
      <c r="E183" s="14"/>
      <c r="F183" s="14" t="s">
        <v>4612</v>
      </c>
      <c r="G183" s="1" t="s">
        <v>31</v>
      </c>
      <c r="H183" s="1" t="s">
        <v>31</v>
      </c>
      <c r="I183" s="331" t="s">
        <v>4391</v>
      </c>
      <c r="J183" s="1" t="s">
        <v>31</v>
      </c>
      <c r="K183" s="332"/>
      <c r="L183" s="331">
        <v>9.985869416E9</v>
      </c>
      <c r="M183" s="331"/>
      <c r="N183" s="333" t="s">
        <v>715</v>
      </c>
      <c r="O183" s="331"/>
      <c r="P183" s="331"/>
      <c r="Q183" s="331"/>
      <c r="R183" s="331"/>
      <c r="S183" s="331"/>
    </row>
    <row r="184">
      <c r="A184" s="14" t="s">
        <v>930</v>
      </c>
      <c r="B184" s="331"/>
      <c r="C184" s="330" t="b">
        <v>0</v>
      </c>
      <c r="D184" s="331"/>
      <c r="E184" s="14"/>
      <c r="F184" s="14" t="s">
        <v>4613</v>
      </c>
      <c r="G184" s="1" t="s">
        <v>31</v>
      </c>
      <c r="H184" s="1" t="s">
        <v>31</v>
      </c>
      <c r="I184" s="331" t="s">
        <v>4363</v>
      </c>
      <c r="J184" s="1" t="s">
        <v>31</v>
      </c>
      <c r="K184" s="332"/>
      <c r="L184" s="331">
        <v>9.165233139E9</v>
      </c>
      <c r="M184" s="331"/>
      <c r="N184" s="333" t="s">
        <v>177</v>
      </c>
      <c r="O184" s="331"/>
      <c r="P184" s="331"/>
      <c r="Q184" s="331"/>
      <c r="R184" s="331"/>
      <c r="S184" s="331"/>
    </row>
    <row r="185">
      <c r="A185" s="14" t="s">
        <v>934</v>
      </c>
      <c r="B185" s="331"/>
      <c r="C185" s="330" t="b">
        <v>0</v>
      </c>
      <c r="D185" s="331"/>
      <c r="E185" s="14"/>
      <c r="F185" s="14" t="s">
        <v>4614</v>
      </c>
      <c r="G185" s="1" t="s">
        <v>31</v>
      </c>
      <c r="H185" s="1" t="s">
        <v>31</v>
      </c>
      <c r="I185" s="331" t="s">
        <v>4363</v>
      </c>
      <c r="J185" s="1" t="s">
        <v>31</v>
      </c>
      <c r="K185" s="332"/>
      <c r="L185" s="331">
        <v>9.0644498E9</v>
      </c>
      <c r="M185" s="331"/>
      <c r="N185" s="333" t="s">
        <v>177</v>
      </c>
      <c r="O185" s="331"/>
      <c r="P185" s="331"/>
      <c r="Q185" s="331"/>
      <c r="R185" s="331"/>
      <c r="S185" s="331"/>
    </row>
    <row r="186">
      <c r="A186" s="14" t="s">
        <v>942</v>
      </c>
      <c r="B186" s="331"/>
      <c r="C186" s="330" t="b">
        <v>0</v>
      </c>
      <c r="D186" s="331"/>
      <c r="E186" s="14"/>
      <c r="F186" s="14" t="s">
        <v>4615</v>
      </c>
      <c r="G186" s="1" t="s">
        <v>31</v>
      </c>
      <c r="H186" s="1" t="s">
        <v>31</v>
      </c>
      <c r="I186" s="331" t="s">
        <v>4419</v>
      </c>
      <c r="J186" s="1" t="s">
        <v>31</v>
      </c>
      <c r="K186" s="332"/>
      <c r="L186" s="331">
        <v>9.514783814E9</v>
      </c>
      <c r="M186" s="331"/>
      <c r="N186" s="333" t="s">
        <v>744</v>
      </c>
      <c r="O186" s="331"/>
      <c r="P186" s="331"/>
      <c r="Q186" s="331"/>
      <c r="R186" s="331"/>
      <c r="S186" s="331"/>
    </row>
    <row r="187">
      <c r="A187" s="14" t="s">
        <v>947</v>
      </c>
      <c r="B187" s="331"/>
      <c r="C187" s="330" t="b">
        <v>0</v>
      </c>
      <c r="D187" s="331"/>
      <c r="E187" s="14"/>
      <c r="F187" s="14" t="s">
        <v>4616</v>
      </c>
      <c r="G187" s="1" t="s">
        <v>31</v>
      </c>
      <c r="H187" s="1" t="s">
        <v>31</v>
      </c>
      <c r="I187" s="331" t="s">
        <v>4419</v>
      </c>
      <c r="J187" s="1" t="s">
        <v>31</v>
      </c>
      <c r="K187" s="332"/>
      <c r="L187" s="331">
        <v>9.516088486E9</v>
      </c>
      <c r="M187" s="331"/>
      <c r="N187" s="333" t="s">
        <v>744</v>
      </c>
      <c r="O187" s="331"/>
      <c r="P187" s="331"/>
      <c r="Q187" s="331"/>
      <c r="R187" s="331"/>
      <c r="S187" s="331"/>
    </row>
    <row r="188">
      <c r="A188" s="14" t="s">
        <v>952</v>
      </c>
      <c r="B188" s="331"/>
      <c r="C188" s="330" t="b">
        <v>0</v>
      </c>
      <c r="D188" s="331"/>
      <c r="E188" s="14"/>
      <c r="F188" s="14" t="s">
        <v>4617</v>
      </c>
      <c r="G188" s="1" t="s">
        <v>31</v>
      </c>
      <c r="H188" s="1" t="s">
        <v>31</v>
      </c>
      <c r="I188" s="331" t="s">
        <v>4464</v>
      </c>
      <c r="J188" s="1" t="s">
        <v>31</v>
      </c>
      <c r="K188" s="332"/>
      <c r="L188" s="331">
        <v>9.913412798E9</v>
      </c>
      <c r="M188" s="331"/>
      <c r="N188" s="333" t="s">
        <v>744</v>
      </c>
      <c r="O188" s="331"/>
      <c r="P188" s="331"/>
      <c r="Q188" s="331"/>
      <c r="R188" s="331"/>
      <c r="S188" s="331"/>
    </row>
    <row r="189">
      <c r="A189" s="14" t="s">
        <v>963</v>
      </c>
      <c r="B189" s="331" t="s">
        <v>4618</v>
      </c>
      <c r="C189" s="330" t="b">
        <v>0</v>
      </c>
      <c r="D189" s="331"/>
      <c r="E189" s="14"/>
      <c r="F189" s="14" t="s">
        <v>4619</v>
      </c>
      <c r="G189" s="1" t="s">
        <v>31</v>
      </c>
      <c r="H189" s="1" t="s">
        <v>31</v>
      </c>
      <c r="I189" s="331" t="s">
        <v>4620</v>
      </c>
      <c r="J189" s="1" t="s">
        <v>31</v>
      </c>
      <c r="K189" s="332"/>
      <c r="L189" s="331">
        <v>9.065836356E9</v>
      </c>
      <c r="M189" s="331"/>
      <c r="N189" s="333" t="s">
        <v>177</v>
      </c>
      <c r="O189" s="331"/>
      <c r="P189" s="331"/>
      <c r="Q189" s="331"/>
      <c r="R189" s="331"/>
      <c r="S189" s="331"/>
    </row>
    <row r="190">
      <c r="A190" s="14" t="s">
        <v>966</v>
      </c>
      <c r="B190" s="331" t="s">
        <v>4621</v>
      </c>
      <c r="C190" s="330" t="b">
        <v>0</v>
      </c>
      <c r="D190" s="331"/>
      <c r="E190" s="14"/>
      <c r="F190" s="14" t="s">
        <v>4622</v>
      </c>
      <c r="G190" s="1" t="s">
        <v>31</v>
      </c>
      <c r="H190" s="1" t="s">
        <v>31</v>
      </c>
      <c r="I190" s="331" t="s">
        <v>4620</v>
      </c>
      <c r="J190" s="1" t="s">
        <v>31</v>
      </c>
      <c r="K190" s="332"/>
      <c r="L190" s="331">
        <v>9.771790795E9</v>
      </c>
      <c r="M190" s="331"/>
      <c r="N190" s="333" t="s">
        <v>177</v>
      </c>
      <c r="O190" s="331"/>
      <c r="P190" s="331"/>
      <c r="Q190" s="331"/>
      <c r="R190" s="331"/>
      <c r="S190" s="331"/>
    </row>
    <row r="191">
      <c r="A191" s="14" t="s">
        <v>970</v>
      </c>
      <c r="B191" s="331" t="s">
        <v>4623</v>
      </c>
      <c r="C191" s="330" t="b">
        <v>0</v>
      </c>
      <c r="D191" s="331"/>
      <c r="E191" s="14"/>
      <c r="F191" s="14" t="s">
        <v>4624</v>
      </c>
      <c r="G191" s="1" t="s">
        <v>31</v>
      </c>
      <c r="H191" s="1" t="s">
        <v>31</v>
      </c>
      <c r="I191" s="331" t="s">
        <v>4391</v>
      </c>
      <c r="J191" s="1" t="s">
        <v>31</v>
      </c>
      <c r="K191" s="332"/>
      <c r="L191" s="331">
        <v>9.175991842E9</v>
      </c>
      <c r="M191" s="331"/>
      <c r="N191" s="333" t="s">
        <v>715</v>
      </c>
      <c r="O191" s="331"/>
      <c r="P191" s="331"/>
      <c r="Q191" s="331"/>
      <c r="R191" s="331"/>
      <c r="S191" s="331"/>
    </row>
    <row r="192">
      <c r="A192" s="14" t="s">
        <v>974</v>
      </c>
      <c r="B192" s="331" t="s">
        <v>4625</v>
      </c>
      <c r="C192" s="330" t="b">
        <v>0</v>
      </c>
      <c r="D192" s="331"/>
      <c r="E192" s="14"/>
      <c r="F192" s="14" t="s">
        <v>4626</v>
      </c>
      <c r="G192" s="1" t="s">
        <v>31</v>
      </c>
      <c r="H192" s="1" t="s">
        <v>31</v>
      </c>
      <c r="I192" s="331" t="s">
        <v>4391</v>
      </c>
      <c r="J192" s="1" t="s">
        <v>31</v>
      </c>
      <c r="K192" s="332"/>
      <c r="L192" s="331">
        <v>9.686222227E9</v>
      </c>
      <c r="M192" s="331"/>
      <c r="N192" s="333" t="s">
        <v>715</v>
      </c>
      <c r="O192" s="331"/>
      <c r="P192" s="331"/>
      <c r="Q192" s="331"/>
      <c r="R192" s="331"/>
      <c r="S192" s="331"/>
    </row>
    <row r="193">
      <c r="A193" s="14" t="s">
        <v>978</v>
      </c>
      <c r="B193" s="331" t="s">
        <v>4524</v>
      </c>
      <c r="C193" s="330" t="b">
        <v>0</v>
      </c>
      <c r="D193" s="331"/>
      <c r="E193" s="14"/>
      <c r="F193" s="14" t="s">
        <v>4627</v>
      </c>
      <c r="G193" s="1" t="s">
        <v>31</v>
      </c>
      <c r="H193" s="1" t="s">
        <v>31</v>
      </c>
      <c r="I193" s="331" t="s">
        <v>4628</v>
      </c>
      <c r="J193" s="1" t="s">
        <v>31</v>
      </c>
      <c r="K193" s="332"/>
      <c r="L193" s="331">
        <v>9.634762716E9</v>
      </c>
      <c r="M193" s="331"/>
      <c r="N193" s="333" t="s">
        <v>715</v>
      </c>
      <c r="O193" s="331"/>
      <c r="P193" s="331"/>
      <c r="Q193" s="331"/>
      <c r="R193" s="331"/>
      <c r="S193" s="331"/>
    </row>
    <row r="194">
      <c r="A194" s="14" t="s">
        <v>984</v>
      </c>
      <c r="B194" s="331" t="s">
        <v>4629</v>
      </c>
      <c r="C194" s="330" t="b">
        <v>0</v>
      </c>
      <c r="D194" s="331"/>
      <c r="E194" s="14"/>
      <c r="F194" s="14" t="s">
        <v>4630</v>
      </c>
      <c r="G194" s="1" t="s">
        <v>31</v>
      </c>
      <c r="H194" s="1" t="s">
        <v>31</v>
      </c>
      <c r="I194" s="331" t="s">
        <v>4395</v>
      </c>
      <c r="J194" s="1" t="s">
        <v>31</v>
      </c>
      <c r="K194" s="332"/>
      <c r="L194" s="331">
        <v>9.999165902E9</v>
      </c>
      <c r="M194" s="331"/>
      <c r="N194" s="333" t="s">
        <v>177</v>
      </c>
      <c r="O194" s="331"/>
      <c r="P194" s="331"/>
      <c r="Q194" s="331"/>
      <c r="R194" s="331"/>
      <c r="S194" s="331"/>
    </row>
    <row r="195">
      <c r="A195" s="14" t="s">
        <v>988</v>
      </c>
      <c r="B195" s="331" t="s">
        <v>4631</v>
      </c>
      <c r="C195" s="330" t="b">
        <v>0</v>
      </c>
      <c r="D195" s="331"/>
      <c r="E195" s="14"/>
      <c r="F195" s="14" t="s">
        <v>4632</v>
      </c>
      <c r="G195" s="1" t="s">
        <v>31</v>
      </c>
      <c r="H195" s="1" t="s">
        <v>31</v>
      </c>
      <c r="I195" s="331" t="s">
        <v>4419</v>
      </c>
      <c r="J195" s="1" t="s">
        <v>31</v>
      </c>
      <c r="K195" s="332"/>
      <c r="L195" s="331">
        <v>9.257302983E9</v>
      </c>
      <c r="M195" s="331"/>
      <c r="N195" s="333" t="s">
        <v>744</v>
      </c>
      <c r="O195" s="331"/>
      <c r="P195" s="331"/>
      <c r="Q195" s="331"/>
      <c r="R195" s="331"/>
      <c r="S195" s="331"/>
    </row>
    <row r="196">
      <c r="A196" s="14" t="s">
        <v>992</v>
      </c>
      <c r="B196" s="331" t="s">
        <v>4633</v>
      </c>
      <c r="C196" s="330" t="b">
        <v>0</v>
      </c>
      <c r="D196" s="331"/>
      <c r="E196" s="14"/>
      <c r="F196" s="14" t="s">
        <v>4634</v>
      </c>
      <c r="G196" s="1" t="s">
        <v>31</v>
      </c>
      <c r="H196" s="1" t="s">
        <v>31</v>
      </c>
      <c r="I196" s="331" t="s">
        <v>4417</v>
      </c>
      <c r="J196" s="1" t="s">
        <v>31</v>
      </c>
      <c r="K196" s="332"/>
      <c r="L196" s="331">
        <v>9.5618212E9</v>
      </c>
      <c r="M196" s="331"/>
      <c r="N196" s="333" t="s">
        <v>744</v>
      </c>
      <c r="O196" s="331"/>
      <c r="P196" s="331"/>
      <c r="Q196" s="331"/>
      <c r="R196" s="331"/>
      <c r="S196" s="331"/>
    </row>
    <row r="197">
      <c r="A197" s="14" t="s">
        <v>995</v>
      </c>
      <c r="B197" s="331" t="s">
        <v>4635</v>
      </c>
      <c r="C197" s="330" t="b">
        <v>0</v>
      </c>
      <c r="D197" s="331"/>
      <c r="E197" s="14"/>
      <c r="F197" s="14" t="s">
        <v>4636</v>
      </c>
      <c r="G197" s="1" t="s">
        <v>31</v>
      </c>
      <c r="H197" s="1" t="s">
        <v>31</v>
      </c>
      <c r="I197" s="331" t="s">
        <v>4391</v>
      </c>
      <c r="J197" s="1" t="s">
        <v>31</v>
      </c>
      <c r="K197" s="332"/>
      <c r="L197" s="331">
        <v>9.951208633E9</v>
      </c>
      <c r="M197" s="331"/>
      <c r="N197" s="333" t="s">
        <v>715</v>
      </c>
      <c r="O197" s="331"/>
      <c r="P197" s="331"/>
      <c r="Q197" s="331"/>
      <c r="R197" s="331"/>
      <c r="S197" s="331"/>
    </row>
    <row r="198">
      <c r="A198" s="14" t="s">
        <v>999</v>
      </c>
      <c r="B198" s="331" t="s">
        <v>4637</v>
      </c>
      <c r="C198" s="330" t="b">
        <v>0</v>
      </c>
      <c r="D198" s="331"/>
      <c r="E198" s="14"/>
      <c r="F198" s="14" t="s">
        <v>4638</v>
      </c>
      <c r="G198" s="1" t="s">
        <v>31</v>
      </c>
      <c r="H198" s="1" t="s">
        <v>31</v>
      </c>
      <c r="I198" s="331" t="s">
        <v>4391</v>
      </c>
      <c r="J198" s="1" t="s">
        <v>31</v>
      </c>
      <c r="K198" s="332"/>
      <c r="L198" s="331">
        <v>9.686876753E9</v>
      </c>
      <c r="M198" s="331"/>
      <c r="N198" s="333" t="s">
        <v>715</v>
      </c>
      <c r="O198" s="331"/>
      <c r="P198" s="331"/>
      <c r="Q198" s="331"/>
      <c r="R198" s="331"/>
      <c r="S198" s="331"/>
    </row>
    <row r="199">
      <c r="A199" s="14" t="s">
        <v>1007</v>
      </c>
      <c r="B199" s="331"/>
      <c r="C199" s="330" t="b">
        <v>0</v>
      </c>
      <c r="D199" s="331"/>
      <c r="E199" s="14"/>
      <c r="F199" s="14" t="s">
        <v>4639</v>
      </c>
      <c r="G199" s="1" t="s">
        <v>31</v>
      </c>
      <c r="H199" s="1" t="s">
        <v>31</v>
      </c>
      <c r="I199" s="331" t="s">
        <v>4395</v>
      </c>
      <c r="J199" s="1" t="s">
        <v>31</v>
      </c>
      <c r="K199" s="332"/>
      <c r="L199" s="331"/>
      <c r="M199" s="331"/>
      <c r="N199" s="333" t="s">
        <v>177</v>
      </c>
      <c r="O199" s="331"/>
      <c r="P199" s="331"/>
      <c r="Q199" s="331"/>
      <c r="R199" s="331"/>
      <c r="S199" s="331"/>
    </row>
    <row r="200">
      <c r="A200" s="14" t="s">
        <v>1018</v>
      </c>
      <c r="B200" s="331"/>
      <c r="C200" s="330" t="b">
        <v>0</v>
      </c>
      <c r="D200" s="331"/>
      <c r="E200" s="14"/>
      <c r="F200" s="14" t="s">
        <v>4640</v>
      </c>
      <c r="G200" s="1" t="s">
        <v>31</v>
      </c>
      <c r="H200" s="1" t="s">
        <v>31</v>
      </c>
      <c r="I200" s="331" t="s">
        <v>4391</v>
      </c>
      <c r="J200" s="1" t="s">
        <v>31</v>
      </c>
      <c r="K200" s="332"/>
      <c r="L200" s="331"/>
      <c r="M200" s="331"/>
      <c r="N200" s="333" t="s">
        <v>715</v>
      </c>
      <c r="O200" s="331"/>
      <c r="P200" s="331"/>
      <c r="Q200" s="331"/>
      <c r="R200" s="331"/>
      <c r="S200" s="331"/>
    </row>
    <row r="201">
      <c r="A201" s="14" t="s">
        <v>1031</v>
      </c>
      <c r="B201" s="331" t="s">
        <v>4641</v>
      </c>
      <c r="C201" s="330" t="b">
        <v>0</v>
      </c>
      <c r="D201" s="331"/>
      <c r="E201" s="14"/>
      <c r="F201" s="14" t="s">
        <v>4642</v>
      </c>
      <c r="G201" s="1" t="s">
        <v>31</v>
      </c>
      <c r="H201" s="1" t="s">
        <v>31</v>
      </c>
      <c r="I201" s="331" t="s">
        <v>4419</v>
      </c>
      <c r="J201" s="1" t="s">
        <v>31</v>
      </c>
      <c r="K201" s="332"/>
      <c r="L201" s="331">
        <v>9.46304161E9</v>
      </c>
      <c r="M201" s="331"/>
      <c r="N201" s="333" t="s">
        <v>744</v>
      </c>
      <c r="O201" s="331"/>
      <c r="P201" s="331"/>
      <c r="Q201" s="331"/>
      <c r="R201" s="331"/>
      <c r="S201" s="331"/>
    </row>
    <row r="202">
      <c r="A202" s="14" t="s">
        <v>1035</v>
      </c>
      <c r="B202" s="331"/>
      <c r="C202" s="330" t="b">
        <v>0</v>
      </c>
      <c r="D202" s="331"/>
      <c r="E202" s="14"/>
      <c r="F202" s="14" t="s">
        <v>4643</v>
      </c>
      <c r="G202" s="1" t="s">
        <v>31</v>
      </c>
      <c r="H202" s="1" t="s">
        <v>31</v>
      </c>
      <c r="I202" s="331" t="s">
        <v>4451</v>
      </c>
      <c r="J202" s="1" t="s">
        <v>31</v>
      </c>
      <c r="K202" s="332"/>
      <c r="L202" s="331">
        <v>9.163166662E9</v>
      </c>
      <c r="M202" s="331"/>
      <c r="N202" s="333" t="s">
        <v>744</v>
      </c>
      <c r="O202" s="331"/>
      <c r="P202" s="331"/>
      <c r="Q202" s="331"/>
      <c r="R202" s="331"/>
      <c r="S202" s="331"/>
    </row>
    <row r="203">
      <c r="A203" s="14" t="s">
        <v>1041</v>
      </c>
      <c r="B203" s="331" t="s">
        <v>4644</v>
      </c>
      <c r="C203" s="330" t="b">
        <v>0</v>
      </c>
      <c r="D203" s="331"/>
      <c r="E203" s="14"/>
      <c r="F203" s="14" t="s">
        <v>4645</v>
      </c>
      <c r="G203" s="1" t="s">
        <v>31</v>
      </c>
      <c r="H203" s="1" t="s">
        <v>31</v>
      </c>
      <c r="I203" s="331" t="s">
        <v>4391</v>
      </c>
      <c r="J203" s="1" t="s">
        <v>31</v>
      </c>
      <c r="K203" s="332"/>
      <c r="L203" s="331">
        <v>9.161128021E9</v>
      </c>
      <c r="M203" s="331"/>
      <c r="N203" s="333" t="s">
        <v>715</v>
      </c>
      <c r="O203" s="331"/>
      <c r="P203" s="331"/>
      <c r="Q203" s="331"/>
      <c r="R203" s="331"/>
      <c r="S203" s="331"/>
    </row>
    <row r="204">
      <c r="A204" s="14" t="s">
        <v>1056</v>
      </c>
      <c r="B204" s="331" t="s">
        <v>4646</v>
      </c>
      <c r="C204" s="330" t="b">
        <v>0</v>
      </c>
      <c r="D204" s="331"/>
      <c r="E204" s="14"/>
      <c r="F204" s="14" t="s">
        <v>4647</v>
      </c>
      <c r="G204" s="1" t="s">
        <v>31</v>
      </c>
      <c r="H204" s="1" t="s">
        <v>31</v>
      </c>
      <c r="I204" s="331" t="s">
        <v>4419</v>
      </c>
      <c r="J204" s="1" t="s">
        <v>31</v>
      </c>
      <c r="K204" s="332"/>
      <c r="L204" s="331">
        <v>9.355134315E9</v>
      </c>
      <c r="M204" s="331"/>
      <c r="N204" s="333" t="s">
        <v>744</v>
      </c>
      <c r="O204" s="331"/>
      <c r="P204" s="331"/>
      <c r="Q204" s="331"/>
      <c r="R204" s="331"/>
      <c r="S204" s="331"/>
    </row>
    <row r="205">
      <c r="A205" s="14" t="s">
        <v>1060</v>
      </c>
      <c r="B205" s="331" t="s">
        <v>4648</v>
      </c>
      <c r="C205" s="330" t="b">
        <v>0</v>
      </c>
      <c r="D205" s="331"/>
      <c r="E205" s="14"/>
      <c r="F205" s="14" t="s">
        <v>4649</v>
      </c>
      <c r="G205" s="1" t="s">
        <v>31</v>
      </c>
      <c r="H205" s="1" t="s">
        <v>31</v>
      </c>
      <c r="I205" s="331" t="s">
        <v>4395</v>
      </c>
      <c r="J205" s="1" t="s">
        <v>31</v>
      </c>
      <c r="K205" s="332"/>
      <c r="L205" s="331">
        <v>9.668450478E9</v>
      </c>
      <c r="M205" s="331"/>
      <c r="N205" s="333" t="s">
        <v>177</v>
      </c>
      <c r="O205" s="331"/>
      <c r="P205" s="331"/>
      <c r="Q205" s="331"/>
      <c r="R205" s="331"/>
      <c r="S205" s="331"/>
    </row>
    <row r="206">
      <c r="A206" s="14" t="s">
        <v>1064</v>
      </c>
      <c r="B206" s="331"/>
      <c r="C206" s="330" t="b">
        <v>0</v>
      </c>
      <c r="D206" s="331"/>
      <c r="E206" s="14"/>
      <c r="F206" s="14" t="s">
        <v>4650</v>
      </c>
      <c r="G206" s="1" t="s">
        <v>31</v>
      </c>
      <c r="H206" s="1" t="s">
        <v>31</v>
      </c>
      <c r="I206" s="331" t="s">
        <v>4395</v>
      </c>
      <c r="J206" s="1" t="s">
        <v>31</v>
      </c>
      <c r="K206" s="332"/>
      <c r="L206" s="331"/>
      <c r="M206" s="331"/>
      <c r="N206" s="333" t="s">
        <v>177</v>
      </c>
      <c r="O206" s="331"/>
      <c r="P206" s="331"/>
      <c r="Q206" s="331"/>
      <c r="R206" s="331"/>
      <c r="S206" s="331"/>
    </row>
    <row r="207">
      <c r="A207" s="14" t="s">
        <v>1070</v>
      </c>
      <c r="B207" s="331"/>
      <c r="C207" s="330" t="b">
        <v>0</v>
      </c>
      <c r="D207" s="331"/>
      <c r="E207" s="14"/>
      <c r="F207" s="14" t="s">
        <v>4651</v>
      </c>
      <c r="G207" s="1" t="s">
        <v>31</v>
      </c>
      <c r="H207" s="1" t="s">
        <v>31</v>
      </c>
      <c r="I207" s="331" t="s">
        <v>4417</v>
      </c>
      <c r="J207" s="1" t="s">
        <v>31</v>
      </c>
      <c r="K207" s="332"/>
      <c r="L207" s="331">
        <v>9.941742172E9</v>
      </c>
      <c r="M207" s="331"/>
      <c r="N207" s="333" t="s">
        <v>22</v>
      </c>
      <c r="O207" s="331"/>
      <c r="P207" s="331"/>
      <c r="Q207" s="331"/>
      <c r="R207" s="331"/>
      <c r="S207" s="331"/>
    </row>
    <row r="208">
      <c r="A208" s="14" t="s">
        <v>1073</v>
      </c>
      <c r="B208" s="331" t="s">
        <v>4652</v>
      </c>
      <c r="C208" s="330" t="b">
        <v>0</v>
      </c>
      <c r="D208" s="331"/>
      <c r="E208" s="14"/>
      <c r="F208" s="14" t="s">
        <v>4653</v>
      </c>
      <c r="G208" s="1" t="s">
        <v>31</v>
      </c>
      <c r="H208" s="1" t="s">
        <v>31</v>
      </c>
      <c r="I208" s="331" t="s">
        <v>4417</v>
      </c>
      <c r="J208" s="1" t="s">
        <v>31</v>
      </c>
      <c r="K208" s="332"/>
      <c r="L208" s="331">
        <v>9.915178456E9</v>
      </c>
      <c r="M208" s="331"/>
      <c r="N208" s="333" t="s">
        <v>744</v>
      </c>
      <c r="O208" s="331"/>
      <c r="P208" s="331"/>
      <c r="Q208" s="331"/>
      <c r="R208" s="331"/>
      <c r="S208" s="331"/>
    </row>
    <row r="209">
      <c r="A209" s="14" t="s">
        <v>1076</v>
      </c>
      <c r="B209" s="331" t="s">
        <v>4654</v>
      </c>
      <c r="C209" s="330" t="b">
        <v>0</v>
      </c>
      <c r="D209" s="331"/>
      <c r="E209" s="14"/>
      <c r="F209" s="14" t="s">
        <v>4655</v>
      </c>
      <c r="G209" s="1" t="s">
        <v>31</v>
      </c>
      <c r="H209" s="1" t="s">
        <v>31</v>
      </c>
      <c r="I209" s="331" t="s">
        <v>4419</v>
      </c>
      <c r="J209" s="1" t="s">
        <v>31</v>
      </c>
      <c r="K209" s="332"/>
      <c r="L209" s="331">
        <v>9.567429171E9</v>
      </c>
      <c r="M209" s="331"/>
      <c r="N209" s="333" t="s">
        <v>744</v>
      </c>
      <c r="O209" s="331"/>
      <c r="P209" s="331"/>
      <c r="Q209" s="331"/>
      <c r="R209" s="331"/>
      <c r="S209" s="331"/>
    </row>
    <row r="210">
      <c r="A210" s="14" t="s">
        <v>1079</v>
      </c>
      <c r="B210" s="331" t="s">
        <v>4656</v>
      </c>
      <c r="C210" s="330" t="b">
        <v>0</v>
      </c>
      <c r="D210" s="331"/>
      <c r="E210" s="14"/>
      <c r="F210" s="14" t="s">
        <v>4657</v>
      </c>
      <c r="G210" s="1" t="s">
        <v>31</v>
      </c>
      <c r="H210" s="1" t="s">
        <v>31</v>
      </c>
      <c r="I210" s="331" t="s">
        <v>4363</v>
      </c>
      <c r="J210" s="1" t="s">
        <v>31</v>
      </c>
      <c r="K210" s="332"/>
      <c r="L210" s="331">
        <v>9.156062286E9</v>
      </c>
      <c r="M210" s="331"/>
      <c r="N210" s="333" t="s">
        <v>715</v>
      </c>
      <c r="O210" s="331"/>
      <c r="P210" s="331"/>
      <c r="Q210" s="331"/>
      <c r="R210" s="331"/>
      <c r="S210" s="331"/>
    </row>
    <row r="211">
      <c r="A211" s="14" t="s">
        <v>1083</v>
      </c>
      <c r="B211" s="331" t="s">
        <v>4658</v>
      </c>
      <c r="C211" s="330" t="b">
        <v>0</v>
      </c>
      <c r="D211" s="331"/>
      <c r="E211" s="14"/>
      <c r="F211" s="331" t="s">
        <v>4659</v>
      </c>
      <c r="G211" s="1" t="s">
        <v>31</v>
      </c>
      <c r="H211" s="1" t="s">
        <v>31</v>
      </c>
      <c r="I211" s="331" t="s">
        <v>4464</v>
      </c>
      <c r="J211" s="1" t="s">
        <v>31</v>
      </c>
      <c r="K211" s="332"/>
      <c r="L211" s="331"/>
      <c r="M211" s="331"/>
      <c r="N211" s="333" t="s">
        <v>744</v>
      </c>
      <c r="O211" s="331"/>
      <c r="P211" s="331"/>
      <c r="Q211" s="331"/>
      <c r="R211" s="331"/>
      <c r="S211" s="331"/>
    </row>
    <row r="212">
      <c r="A212" s="14" t="s">
        <v>1087</v>
      </c>
      <c r="B212" s="331" t="s">
        <v>4660</v>
      </c>
      <c r="C212" s="330" t="b">
        <v>0</v>
      </c>
      <c r="D212" s="331"/>
      <c r="E212" s="14"/>
      <c r="F212" s="14" t="s">
        <v>4661</v>
      </c>
      <c r="G212" s="1" t="s">
        <v>31</v>
      </c>
      <c r="H212" s="1" t="s">
        <v>31</v>
      </c>
      <c r="I212" s="331" t="s">
        <v>4419</v>
      </c>
      <c r="J212" s="1" t="s">
        <v>31</v>
      </c>
      <c r="K212" s="332"/>
      <c r="L212" s="331">
        <v>9.988590773E9</v>
      </c>
      <c r="M212" s="331"/>
      <c r="N212" s="333" t="s">
        <v>744</v>
      </c>
      <c r="O212" s="331"/>
      <c r="P212" s="331"/>
      <c r="Q212" s="331"/>
      <c r="R212" s="331"/>
      <c r="S212" s="331"/>
    </row>
    <row r="213">
      <c r="A213" s="14" t="s">
        <v>1099</v>
      </c>
      <c r="B213" s="331" t="s">
        <v>4662</v>
      </c>
      <c r="C213" s="330" t="b">
        <v>0</v>
      </c>
      <c r="D213" s="331"/>
      <c r="E213" s="14"/>
      <c r="F213" s="14" t="s">
        <v>4663</v>
      </c>
      <c r="G213" s="1" t="s">
        <v>31</v>
      </c>
      <c r="H213" s="1" t="s">
        <v>31</v>
      </c>
      <c r="I213" s="331" t="s">
        <v>4664</v>
      </c>
      <c r="J213" s="1" t="s">
        <v>31</v>
      </c>
      <c r="K213" s="332"/>
      <c r="L213" s="331">
        <v>9.334036113E9</v>
      </c>
      <c r="M213" s="331"/>
      <c r="N213" s="333" t="s">
        <v>715</v>
      </c>
      <c r="O213" s="331"/>
      <c r="P213" s="331"/>
      <c r="Q213" s="331"/>
      <c r="R213" s="331"/>
      <c r="S213" s="331"/>
    </row>
    <row r="214">
      <c r="A214" s="14" t="s">
        <v>1101</v>
      </c>
      <c r="B214" s="331" t="s">
        <v>4665</v>
      </c>
      <c r="C214" s="330" t="b">
        <v>0</v>
      </c>
      <c r="D214" s="331"/>
      <c r="E214" s="14"/>
      <c r="F214" s="14" t="s">
        <v>4666</v>
      </c>
      <c r="G214" s="1" t="s">
        <v>31</v>
      </c>
      <c r="H214" s="1" t="s">
        <v>31</v>
      </c>
      <c r="I214" s="331" t="s">
        <v>4391</v>
      </c>
      <c r="J214" s="1" t="s">
        <v>31</v>
      </c>
      <c r="K214" s="332"/>
      <c r="L214" s="331">
        <v>9.166222922E9</v>
      </c>
      <c r="M214" s="331"/>
      <c r="N214" s="333" t="s">
        <v>715</v>
      </c>
      <c r="O214" s="331"/>
      <c r="P214" s="331"/>
      <c r="Q214" s="331"/>
      <c r="R214" s="331"/>
      <c r="S214" s="331"/>
    </row>
    <row r="215">
      <c r="A215" s="14" t="s">
        <v>1105</v>
      </c>
      <c r="B215" s="331"/>
      <c r="C215" s="330" t="b">
        <v>0</v>
      </c>
      <c r="D215" s="331"/>
      <c r="E215" s="14"/>
      <c r="F215" s="14" t="s">
        <v>4667</v>
      </c>
      <c r="G215" s="1" t="s">
        <v>31</v>
      </c>
      <c r="H215" s="1" t="s">
        <v>31</v>
      </c>
      <c r="I215" s="331" t="s">
        <v>4363</v>
      </c>
      <c r="J215" s="1" t="s">
        <v>31</v>
      </c>
      <c r="K215" s="332"/>
      <c r="L215" s="331" t="s">
        <v>4668</v>
      </c>
      <c r="M215" s="331"/>
      <c r="N215" s="333" t="s">
        <v>715</v>
      </c>
      <c r="O215" s="331"/>
      <c r="P215" s="331"/>
      <c r="Q215" s="331"/>
      <c r="R215" s="331"/>
      <c r="S215" s="331"/>
    </row>
    <row r="216">
      <c r="A216" s="14" t="s">
        <v>1111</v>
      </c>
      <c r="B216" s="331"/>
      <c r="C216" s="330" t="b">
        <v>0</v>
      </c>
      <c r="D216" s="331"/>
      <c r="E216" s="14"/>
      <c r="F216" s="14" t="s">
        <v>4669</v>
      </c>
      <c r="G216" s="1" t="s">
        <v>31</v>
      </c>
      <c r="H216" s="1" t="s">
        <v>31</v>
      </c>
      <c r="I216" s="331" t="s">
        <v>4395</v>
      </c>
      <c r="J216" s="1" t="s">
        <v>31</v>
      </c>
      <c r="K216" s="332"/>
      <c r="L216" s="331"/>
      <c r="M216" s="331"/>
      <c r="N216" s="333" t="s">
        <v>177</v>
      </c>
      <c r="O216" s="331"/>
      <c r="P216" s="331"/>
      <c r="Q216" s="331"/>
      <c r="R216" s="331"/>
      <c r="S216" s="331"/>
    </row>
    <row r="217">
      <c r="A217" s="14" t="s">
        <v>1121</v>
      </c>
      <c r="B217" s="331" t="s">
        <v>4670</v>
      </c>
      <c r="C217" s="330" t="b">
        <v>0</v>
      </c>
      <c r="D217" s="331"/>
      <c r="E217" s="14"/>
      <c r="F217" s="14" t="s">
        <v>4671</v>
      </c>
      <c r="G217" s="1" t="s">
        <v>31</v>
      </c>
      <c r="H217" s="1" t="s">
        <v>31</v>
      </c>
      <c r="I217" s="331" t="s">
        <v>4417</v>
      </c>
      <c r="J217" s="1" t="s">
        <v>31</v>
      </c>
      <c r="K217" s="332"/>
      <c r="L217" s="331">
        <v>9.064043625E9</v>
      </c>
      <c r="M217" s="331"/>
      <c r="N217" s="333" t="s">
        <v>744</v>
      </c>
      <c r="O217" s="331"/>
      <c r="P217" s="331"/>
      <c r="Q217" s="331"/>
      <c r="R217" s="331"/>
      <c r="S217" s="331"/>
    </row>
    <row r="218">
      <c r="A218" s="14" t="s">
        <v>1130</v>
      </c>
      <c r="B218" s="331"/>
      <c r="C218" s="330" t="b">
        <v>0</v>
      </c>
      <c r="D218" s="331"/>
      <c r="E218" s="14"/>
      <c r="F218" s="14" t="s">
        <v>4672</v>
      </c>
      <c r="G218" s="1" t="s">
        <v>31</v>
      </c>
      <c r="H218" s="1" t="s">
        <v>31</v>
      </c>
      <c r="I218" s="331" t="s">
        <v>4363</v>
      </c>
      <c r="J218" s="1" t="s">
        <v>31</v>
      </c>
      <c r="K218" s="332"/>
      <c r="L218" s="331"/>
      <c r="M218" s="331"/>
      <c r="N218" s="333" t="s">
        <v>177</v>
      </c>
      <c r="O218" s="331"/>
      <c r="P218" s="331"/>
      <c r="Q218" s="331"/>
      <c r="R218" s="331"/>
      <c r="S218" s="331"/>
    </row>
    <row r="219">
      <c r="A219" s="14" t="s">
        <v>1135</v>
      </c>
      <c r="B219" s="331"/>
      <c r="C219" s="330" t="b">
        <v>0</v>
      </c>
      <c r="D219" s="331"/>
      <c r="E219" s="14"/>
      <c r="F219" s="14" t="s">
        <v>4673</v>
      </c>
      <c r="G219" s="1" t="s">
        <v>31</v>
      </c>
      <c r="H219" s="1" t="s">
        <v>31</v>
      </c>
      <c r="I219" s="331" t="s">
        <v>4363</v>
      </c>
      <c r="J219" s="1" t="s">
        <v>31</v>
      </c>
      <c r="K219" s="332"/>
      <c r="L219" s="331"/>
      <c r="M219" s="331"/>
      <c r="N219" s="333" t="s">
        <v>177</v>
      </c>
      <c r="O219" s="331"/>
      <c r="P219" s="331"/>
      <c r="Q219" s="331"/>
      <c r="R219" s="331"/>
      <c r="S219" s="331"/>
    </row>
    <row r="220">
      <c r="A220" s="14" t="s">
        <v>1138</v>
      </c>
      <c r="B220" s="331"/>
      <c r="C220" s="330" t="b">
        <v>0</v>
      </c>
      <c r="D220" s="331"/>
      <c r="E220" s="14"/>
      <c r="F220" s="14" t="s">
        <v>4674</v>
      </c>
      <c r="G220" s="1" t="s">
        <v>31</v>
      </c>
      <c r="H220" s="1" t="s">
        <v>31</v>
      </c>
      <c r="I220" s="331" t="s">
        <v>4363</v>
      </c>
      <c r="J220" s="1" t="s">
        <v>31</v>
      </c>
      <c r="K220" s="332"/>
      <c r="L220" s="331"/>
      <c r="M220" s="331"/>
      <c r="N220" s="333" t="s">
        <v>177</v>
      </c>
      <c r="O220" s="331"/>
      <c r="P220" s="331"/>
      <c r="Q220" s="331"/>
      <c r="R220" s="331"/>
      <c r="S220" s="331"/>
    </row>
    <row r="221">
      <c r="A221" s="14" t="s">
        <v>1142</v>
      </c>
      <c r="B221" s="331" t="s">
        <v>4675</v>
      </c>
      <c r="C221" s="330" t="b">
        <v>0</v>
      </c>
      <c r="D221" s="331"/>
      <c r="E221" s="14"/>
      <c r="F221" s="331" t="s">
        <v>4676</v>
      </c>
      <c r="G221" s="1" t="s">
        <v>31</v>
      </c>
      <c r="H221" s="1" t="s">
        <v>31</v>
      </c>
      <c r="I221" s="331" t="s">
        <v>4677</v>
      </c>
      <c r="J221" s="1" t="s">
        <v>31</v>
      </c>
      <c r="K221" s="332"/>
      <c r="L221" s="14">
        <v>9.165705953E9</v>
      </c>
      <c r="M221" s="331"/>
      <c r="N221" s="333" t="s">
        <v>744</v>
      </c>
      <c r="O221" s="331"/>
      <c r="P221" s="331"/>
      <c r="Q221" s="331"/>
      <c r="R221" s="331"/>
      <c r="S221" s="331"/>
    </row>
    <row r="222">
      <c r="A222" s="14" t="s">
        <v>1154</v>
      </c>
      <c r="B222" s="331" t="s">
        <v>4678</v>
      </c>
      <c r="C222" s="330" t="b">
        <v>0</v>
      </c>
      <c r="D222" s="331"/>
      <c r="E222" s="14"/>
      <c r="F222" s="14" t="s">
        <v>4679</v>
      </c>
      <c r="G222" s="1" t="s">
        <v>31</v>
      </c>
      <c r="H222" s="1" t="s">
        <v>31</v>
      </c>
      <c r="I222" s="331" t="s">
        <v>4391</v>
      </c>
      <c r="J222" s="1" t="s">
        <v>31</v>
      </c>
      <c r="K222" s="332"/>
      <c r="L222" s="331">
        <v>9.237204591E9</v>
      </c>
      <c r="M222" s="331"/>
      <c r="N222" s="333" t="s">
        <v>715</v>
      </c>
      <c r="O222" s="331"/>
      <c r="P222" s="331"/>
      <c r="Q222" s="331"/>
      <c r="R222" s="331"/>
      <c r="S222" s="331"/>
    </row>
    <row r="223">
      <c r="A223" s="14" t="s">
        <v>1157</v>
      </c>
      <c r="B223" s="331" t="s">
        <v>4680</v>
      </c>
      <c r="C223" s="330" t="b">
        <v>0</v>
      </c>
      <c r="D223" s="331"/>
      <c r="E223" s="14"/>
      <c r="F223" s="14" t="s">
        <v>4681</v>
      </c>
      <c r="G223" s="1" t="s">
        <v>31</v>
      </c>
      <c r="H223" s="1" t="s">
        <v>31</v>
      </c>
      <c r="I223" s="331" t="s">
        <v>4391</v>
      </c>
      <c r="J223" s="1" t="s">
        <v>31</v>
      </c>
      <c r="K223" s="332"/>
      <c r="L223" s="331">
        <v>9.228740814E9</v>
      </c>
      <c r="M223" s="331"/>
      <c r="N223" s="333" t="s">
        <v>715</v>
      </c>
      <c r="O223" s="331"/>
      <c r="P223" s="331"/>
      <c r="Q223" s="331"/>
      <c r="R223" s="331"/>
      <c r="S223" s="331"/>
    </row>
    <row r="224">
      <c r="A224" s="14" t="s">
        <v>1161</v>
      </c>
      <c r="B224" s="331" t="s">
        <v>4682</v>
      </c>
      <c r="C224" s="330" t="b">
        <v>0</v>
      </c>
      <c r="D224" s="331"/>
      <c r="E224" s="14"/>
      <c r="F224" s="14" t="s">
        <v>4683</v>
      </c>
      <c r="G224" s="1" t="s">
        <v>31</v>
      </c>
      <c r="H224" s="1" t="s">
        <v>31</v>
      </c>
      <c r="I224" s="331" t="s">
        <v>4391</v>
      </c>
      <c r="J224" s="1" t="s">
        <v>31</v>
      </c>
      <c r="K224" s="332"/>
      <c r="L224" s="331">
        <v>9.257384747E9</v>
      </c>
      <c r="M224" s="331"/>
      <c r="N224" s="333" t="s">
        <v>715</v>
      </c>
      <c r="O224" s="331"/>
      <c r="P224" s="331"/>
      <c r="Q224" s="331"/>
      <c r="R224" s="331"/>
      <c r="S224" s="331"/>
    </row>
    <row r="225">
      <c r="A225" s="14" t="s">
        <v>1179</v>
      </c>
      <c r="B225" s="331" t="s">
        <v>4684</v>
      </c>
      <c r="C225" s="330" t="b">
        <v>0</v>
      </c>
      <c r="D225" s="331"/>
      <c r="E225" s="14"/>
      <c r="F225" s="14" t="s">
        <v>4685</v>
      </c>
      <c r="G225" s="1" t="s">
        <v>31</v>
      </c>
      <c r="H225" s="1" t="s">
        <v>31</v>
      </c>
      <c r="I225" s="331" t="s">
        <v>4419</v>
      </c>
      <c r="J225" s="1" t="s">
        <v>31</v>
      </c>
      <c r="K225" s="332"/>
      <c r="L225" s="331">
        <v>9.175135899E9</v>
      </c>
      <c r="M225" s="331"/>
      <c r="N225" s="333" t="s">
        <v>744</v>
      </c>
      <c r="O225" s="331"/>
      <c r="P225" s="331"/>
      <c r="Q225" s="331"/>
      <c r="R225" s="331"/>
      <c r="S225" s="331"/>
    </row>
    <row r="226">
      <c r="A226" s="14" t="s">
        <v>1186</v>
      </c>
      <c r="B226" s="331" t="s">
        <v>4686</v>
      </c>
      <c r="C226" s="330" t="b">
        <v>0</v>
      </c>
      <c r="D226" s="331"/>
      <c r="E226" s="14"/>
      <c r="F226" s="14" t="s">
        <v>4687</v>
      </c>
      <c r="G226" s="1" t="s">
        <v>31</v>
      </c>
      <c r="H226" s="1" t="s">
        <v>31</v>
      </c>
      <c r="I226" s="331" t="s">
        <v>4363</v>
      </c>
      <c r="J226" s="1" t="s">
        <v>31</v>
      </c>
      <c r="K226" s="332"/>
      <c r="L226" s="331"/>
      <c r="M226" s="331"/>
      <c r="N226" s="333" t="s">
        <v>715</v>
      </c>
      <c r="O226" s="331"/>
      <c r="P226" s="331"/>
      <c r="Q226" s="331"/>
      <c r="R226" s="331"/>
      <c r="S226" s="331"/>
    </row>
    <row r="227">
      <c r="A227" s="14" t="s">
        <v>1190</v>
      </c>
      <c r="B227" s="331" t="s">
        <v>4468</v>
      </c>
      <c r="C227" s="330" t="b">
        <v>0</v>
      </c>
      <c r="D227" s="331"/>
      <c r="E227" s="14"/>
      <c r="F227" s="14" t="s">
        <v>4688</v>
      </c>
      <c r="G227" s="1" t="s">
        <v>31</v>
      </c>
      <c r="H227" s="1" t="s">
        <v>31</v>
      </c>
      <c r="I227" s="331" t="s">
        <v>4391</v>
      </c>
      <c r="J227" s="1" t="s">
        <v>31</v>
      </c>
      <c r="K227" s="332"/>
      <c r="L227" s="331"/>
      <c r="M227" s="331"/>
      <c r="N227" s="333" t="s">
        <v>715</v>
      </c>
      <c r="O227" s="331"/>
      <c r="P227" s="331"/>
      <c r="Q227" s="331"/>
      <c r="R227" s="331"/>
      <c r="S227" s="331"/>
    </row>
    <row r="228">
      <c r="A228" s="14" t="s">
        <v>1195</v>
      </c>
      <c r="B228" s="331" t="s">
        <v>4689</v>
      </c>
      <c r="C228" s="330" t="b">
        <v>0</v>
      </c>
      <c r="D228" s="331"/>
      <c r="E228" s="14"/>
      <c r="F228" s="14" t="s">
        <v>4690</v>
      </c>
      <c r="G228" s="1" t="s">
        <v>31</v>
      </c>
      <c r="H228" s="1" t="s">
        <v>31</v>
      </c>
      <c r="I228" s="331" t="s">
        <v>4391</v>
      </c>
      <c r="J228" s="1" t="s">
        <v>31</v>
      </c>
      <c r="K228" s="332"/>
      <c r="L228" s="331">
        <v>9.988612463E9</v>
      </c>
      <c r="M228" s="331"/>
      <c r="N228" s="333" t="s">
        <v>715</v>
      </c>
      <c r="O228" s="331"/>
      <c r="P228" s="331"/>
      <c r="Q228" s="331"/>
      <c r="R228" s="331"/>
      <c r="S228" s="331"/>
    </row>
    <row r="229">
      <c r="A229" s="14" t="s">
        <v>1200</v>
      </c>
      <c r="B229" s="331"/>
      <c r="C229" s="330" t="b">
        <v>0</v>
      </c>
      <c r="D229" s="331"/>
      <c r="E229" s="14"/>
      <c r="F229" s="14" t="s">
        <v>4691</v>
      </c>
      <c r="G229" s="1" t="s">
        <v>31</v>
      </c>
      <c r="H229" s="1" t="s">
        <v>31</v>
      </c>
      <c r="I229" s="331" t="s">
        <v>4391</v>
      </c>
      <c r="J229" s="1" t="s">
        <v>31</v>
      </c>
      <c r="K229" s="332"/>
      <c r="L229" s="331">
        <v>9.125731166E9</v>
      </c>
      <c r="M229" s="331"/>
      <c r="N229" s="333" t="s">
        <v>171</v>
      </c>
      <c r="O229" s="331"/>
      <c r="P229" s="331"/>
      <c r="Q229" s="331"/>
      <c r="R229" s="331"/>
      <c r="S229" s="331"/>
    </row>
    <row r="230">
      <c r="A230" s="14" t="s">
        <v>1203</v>
      </c>
      <c r="B230" s="331" t="s">
        <v>4692</v>
      </c>
      <c r="C230" s="330" t="b">
        <v>0</v>
      </c>
      <c r="D230" s="331"/>
      <c r="E230" s="14"/>
      <c r="F230" s="14" t="s">
        <v>4693</v>
      </c>
      <c r="G230" s="1" t="s">
        <v>31</v>
      </c>
      <c r="H230" s="1" t="s">
        <v>31</v>
      </c>
      <c r="I230" s="331" t="s">
        <v>4391</v>
      </c>
      <c r="J230" s="1" t="s">
        <v>31</v>
      </c>
      <c r="K230" s="332"/>
      <c r="L230" s="331"/>
      <c r="M230" s="331"/>
      <c r="N230" s="333" t="s">
        <v>171</v>
      </c>
      <c r="O230" s="331"/>
      <c r="P230" s="331"/>
      <c r="Q230" s="331"/>
      <c r="R230" s="331"/>
      <c r="S230" s="331"/>
    </row>
    <row r="231">
      <c r="A231" s="14" t="s">
        <v>855</v>
      </c>
      <c r="B231" s="331"/>
      <c r="C231" s="330" t="b">
        <v>0</v>
      </c>
      <c r="D231" s="331"/>
      <c r="E231" s="14"/>
      <c r="F231" s="14" t="s">
        <v>4694</v>
      </c>
      <c r="G231" s="1" t="s">
        <v>31</v>
      </c>
      <c r="H231" s="1" t="s">
        <v>31</v>
      </c>
      <c r="I231" s="331" t="s">
        <v>4419</v>
      </c>
      <c r="J231" s="1" t="s">
        <v>31</v>
      </c>
      <c r="K231" s="332"/>
      <c r="L231" s="331"/>
      <c r="M231" s="331"/>
      <c r="N231" s="333" t="s">
        <v>744</v>
      </c>
      <c r="O231" s="331"/>
      <c r="P231" s="331"/>
      <c r="Q231" s="331"/>
      <c r="R231" s="331"/>
      <c r="S231" s="331"/>
    </row>
    <row r="232">
      <c r="A232" s="14" t="s">
        <v>1216</v>
      </c>
      <c r="B232" s="331" t="s">
        <v>4695</v>
      </c>
      <c r="C232" s="330" t="b">
        <v>0</v>
      </c>
      <c r="D232" s="331"/>
      <c r="E232" s="14"/>
      <c r="F232" s="14" t="s">
        <v>4696</v>
      </c>
      <c r="G232" s="1" t="s">
        <v>31</v>
      </c>
      <c r="H232" s="1" t="s">
        <v>31</v>
      </c>
      <c r="I232" s="331" t="s">
        <v>4417</v>
      </c>
      <c r="J232" s="1" t="s">
        <v>31</v>
      </c>
      <c r="K232" s="332"/>
      <c r="L232" s="331">
        <v>9.657997763E9</v>
      </c>
      <c r="M232" s="331"/>
      <c r="N232" s="333" t="s">
        <v>744</v>
      </c>
      <c r="O232" s="331"/>
      <c r="P232" s="331"/>
      <c r="Q232" s="331"/>
      <c r="R232" s="331"/>
      <c r="S232" s="331"/>
    </row>
    <row r="233">
      <c r="A233" s="14" t="s">
        <v>1219</v>
      </c>
      <c r="B233" s="331" t="s">
        <v>4697</v>
      </c>
      <c r="C233" s="330" t="b">
        <v>0</v>
      </c>
      <c r="D233" s="331"/>
      <c r="E233" s="14"/>
      <c r="F233" s="14" t="s">
        <v>4698</v>
      </c>
      <c r="G233" s="1" t="s">
        <v>31</v>
      </c>
      <c r="H233" s="1" t="s">
        <v>31</v>
      </c>
      <c r="I233" s="331" t="s">
        <v>4417</v>
      </c>
      <c r="J233" s="1" t="s">
        <v>31</v>
      </c>
      <c r="K233" s="332"/>
      <c r="L233" s="331">
        <v>9.637063978E9</v>
      </c>
      <c r="M233" s="331"/>
      <c r="N233" s="333" t="s">
        <v>744</v>
      </c>
      <c r="O233" s="331"/>
      <c r="P233" s="331"/>
      <c r="Q233" s="331"/>
      <c r="R233" s="331"/>
      <c r="S233" s="331"/>
    </row>
    <row r="234">
      <c r="A234" s="14" t="s">
        <v>1223</v>
      </c>
      <c r="B234" s="331"/>
      <c r="C234" s="330" t="b">
        <v>0</v>
      </c>
      <c r="D234" s="331"/>
      <c r="E234" s="14"/>
      <c r="F234" s="14" t="s">
        <v>4699</v>
      </c>
      <c r="G234" s="1" t="s">
        <v>31</v>
      </c>
      <c r="H234" s="1" t="s">
        <v>31</v>
      </c>
      <c r="I234" s="331" t="s">
        <v>4363</v>
      </c>
      <c r="J234" s="1" t="s">
        <v>31</v>
      </c>
      <c r="K234" s="332"/>
      <c r="L234" s="331">
        <v>9.075161843E9</v>
      </c>
      <c r="M234" s="331"/>
      <c r="N234" s="333" t="s">
        <v>177</v>
      </c>
      <c r="O234" s="331"/>
      <c r="P234" s="331"/>
      <c r="Q234" s="331"/>
      <c r="R234" s="331"/>
      <c r="S234" s="331"/>
    </row>
    <row r="235">
      <c r="A235" s="14" t="s">
        <v>1228</v>
      </c>
      <c r="B235" s="331"/>
      <c r="C235" s="330" t="b">
        <v>0</v>
      </c>
      <c r="D235" s="331"/>
      <c r="E235" s="14"/>
      <c r="F235" s="14" t="s">
        <v>4700</v>
      </c>
      <c r="G235" s="1" t="s">
        <v>31</v>
      </c>
      <c r="H235" s="1" t="s">
        <v>31</v>
      </c>
      <c r="I235" s="331" t="s">
        <v>4464</v>
      </c>
      <c r="J235" s="1" t="s">
        <v>31</v>
      </c>
      <c r="K235" s="332"/>
      <c r="L235" s="331">
        <v>9.369302238E9</v>
      </c>
      <c r="M235" s="331"/>
      <c r="N235" s="333" t="s">
        <v>744</v>
      </c>
      <c r="O235" s="331"/>
      <c r="P235" s="331"/>
      <c r="Q235" s="331"/>
      <c r="R235" s="331"/>
      <c r="S235" s="331"/>
    </row>
    <row r="236">
      <c r="A236" s="14" t="s">
        <v>1233</v>
      </c>
      <c r="B236" s="331" t="s">
        <v>4701</v>
      </c>
      <c r="C236" s="330" t="b">
        <v>0</v>
      </c>
      <c r="D236" s="331"/>
      <c r="E236" s="14"/>
      <c r="F236" s="14" t="s">
        <v>4702</v>
      </c>
      <c r="G236" s="1" t="s">
        <v>31</v>
      </c>
      <c r="H236" s="1" t="s">
        <v>31</v>
      </c>
      <c r="I236" s="331" t="s">
        <v>4391</v>
      </c>
      <c r="J236" s="1" t="s">
        <v>31</v>
      </c>
      <c r="K236" s="332"/>
      <c r="L236" s="331">
        <v>9.777961882E9</v>
      </c>
      <c r="M236" s="331"/>
      <c r="N236" s="333" t="s">
        <v>715</v>
      </c>
      <c r="O236" s="331"/>
      <c r="P236" s="331"/>
      <c r="Q236" s="331"/>
      <c r="R236" s="331"/>
      <c r="S236" s="331"/>
    </row>
    <row r="237">
      <c r="A237" s="14" t="s">
        <v>1235</v>
      </c>
      <c r="B237" s="331"/>
      <c r="C237" s="330" t="b">
        <v>0</v>
      </c>
      <c r="D237" s="331"/>
      <c r="E237" s="14"/>
      <c r="F237" s="14" t="s">
        <v>4703</v>
      </c>
      <c r="G237" s="1" t="s">
        <v>31</v>
      </c>
      <c r="H237" s="1" t="s">
        <v>31</v>
      </c>
      <c r="I237" s="331" t="s">
        <v>4351</v>
      </c>
      <c r="J237" s="1" t="s">
        <v>31</v>
      </c>
      <c r="K237" s="332"/>
      <c r="L237" s="331" t="s">
        <v>4704</v>
      </c>
      <c r="M237" s="331"/>
      <c r="N237" s="333" t="s">
        <v>177</v>
      </c>
      <c r="O237" s="331"/>
      <c r="P237" s="331"/>
      <c r="Q237" s="331"/>
      <c r="R237" s="331"/>
      <c r="S237" s="331"/>
    </row>
    <row r="238">
      <c r="A238" s="14" t="s">
        <v>1247</v>
      </c>
      <c r="B238" s="331" t="s">
        <v>4705</v>
      </c>
      <c r="C238" s="330" t="b">
        <v>0</v>
      </c>
      <c r="D238" s="331"/>
      <c r="E238" s="14"/>
      <c r="F238" s="14" t="s">
        <v>4706</v>
      </c>
      <c r="G238" s="1" t="s">
        <v>31</v>
      </c>
      <c r="H238" s="1" t="s">
        <v>31</v>
      </c>
      <c r="I238" s="331" t="s">
        <v>4351</v>
      </c>
      <c r="J238" s="1" t="s">
        <v>31</v>
      </c>
      <c r="K238" s="332"/>
      <c r="L238" s="331">
        <v>9.487206619E9</v>
      </c>
      <c r="M238" s="331"/>
      <c r="N238" s="333" t="s">
        <v>715</v>
      </c>
      <c r="O238" s="331"/>
      <c r="P238" s="331"/>
      <c r="Q238" s="331"/>
      <c r="R238" s="331"/>
      <c r="S238" s="331"/>
    </row>
    <row r="239">
      <c r="A239" s="14" t="s">
        <v>1252</v>
      </c>
      <c r="B239" s="331" t="s">
        <v>4707</v>
      </c>
      <c r="C239" s="330" t="b">
        <v>0</v>
      </c>
      <c r="D239" s="331"/>
      <c r="E239" s="14"/>
      <c r="F239" s="14" t="s">
        <v>4708</v>
      </c>
      <c r="G239" s="1" t="s">
        <v>31</v>
      </c>
      <c r="H239" s="1" t="s">
        <v>31</v>
      </c>
      <c r="I239" s="331" t="s">
        <v>4417</v>
      </c>
      <c r="J239" s="1" t="s">
        <v>31</v>
      </c>
      <c r="K239" s="332"/>
      <c r="L239" s="331">
        <v>9.296648034E9</v>
      </c>
      <c r="M239" s="331"/>
      <c r="N239" s="333" t="s">
        <v>744</v>
      </c>
      <c r="O239" s="331"/>
      <c r="P239" s="331"/>
      <c r="Q239" s="331"/>
      <c r="R239" s="331"/>
      <c r="S239" s="331"/>
    </row>
    <row r="240">
      <c r="A240" s="14" t="s">
        <v>1255</v>
      </c>
      <c r="B240" s="331"/>
      <c r="C240" s="330" t="b">
        <v>0</v>
      </c>
      <c r="D240" s="331"/>
      <c r="E240" s="14"/>
      <c r="F240" s="331" t="s">
        <v>4709</v>
      </c>
      <c r="G240" s="1" t="s">
        <v>31</v>
      </c>
      <c r="H240" s="1" t="s">
        <v>31</v>
      </c>
      <c r="I240" s="331" t="s">
        <v>4363</v>
      </c>
      <c r="J240" s="1" t="s">
        <v>31</v>
      </c>
      <c r="K240" s="332"/>
      <c r="L240" s="331">
        <v>9.064627805E9</v>
      </c>
      <c r="M240" s="331"/>
      <c r="N240" s="333" t="s">
        <v>177</v>
      </c>
      <c r="O240" s="331"/>
      <c r="P240" s="331"/>
      <c r="Q240" s="331"/>
      <c r="R240" s="331"/>
      <c r="S240" s="331"/>
    </row>
    <row r="241">
      <c r="A241" s="14" t="s">
        <v>1261</v>
      </c>
      <c r="B241" s="331" t="s">
        <v>4680</v>
      </c>
      <c r="C241" s="330" t="b">
        <v>0</v>
      </c>
      <c r="D241" s="331"/>
      <c r="E241" s="14"/>
      <c r="F241" s="14" t="s">
        <v>4710</v>
      </c>
      <c r="G241" s="1" t="s">
        <v>31</v>
      </c>
      <c r="H241" s="1" t="s">
        <v>31</v>
      </c>
      <c r="I241" s="331" t="s">
        <v>4391</v>
      </c>
      <c r="J241" s="1" t="s">
        <v>31</v>
      </c>
      <c r="K241" s="332"/>
      <c r="L241" s="331">
        <v>9.171532389E9</v>
      </c>
      <c r="M241" s="331"/>
      <c r="N241" s="333" t="s">
        <v>715</v>
      </c>
      <c r="O241" s="331"/>
      <c r="P241" s="331"/>
      <c r="Q241" s="331"/>
      <c r="R241" s="331"/>
      <c r="S241" s="331"/>
    </row>
    <row r="242">
      <c r="A242" s="14" t="s">
        <v>1263</v>
      </c>
      <c r="B242" s="331" t="s">
        <v>4711</v>
      </c>
      <c r="C242" s="330" t="b">
        <v>0</v>
      </c>
      <c r="D242" s="331"/>
      <c r="E242" s="14"/>
      <c r="F242" s="14" t="s">
        <v>4712</v>
      </c>
      <c r="G242" s="1" t="s">
        <v>31</v>
      </c>
      <c r="H242" s="1" t="s">
        <v>31</v>
      </c>
      <c r="I242" s="331" t="s">
        <v>4391</v>
      </c>
      <c r="J242" s="1" t="s">
        <v>31</v>
      </c>
      <c r="K242" s="332"/>
      <c r="L242" s="331">
        <v>9.859379895E9</v>
      </c>
      <c r="M242" s="331"/>
      <c r="N242" s="333" t="s">
        <v>715</v>
      </c>
      <c r="O242" s="331"/>
      <c r="P242" s="331"/>
      <c r="Q242" s="331"/>
      <c r="R242" s="331"/>
      <c r="S242" s="331"/>
    </row>
    <row r="243">
      <c r="A243" s="14" t="s">
        <v>1276</v>
      </c>
      <c r="B243" s="331"/>
      <c r="C243" s="330" t="b">
        <v>0</v>
      </c>
      <c r="D243" s="331"/>
      <c r="E243" s="14"/>
      <c r="F243" s="14" t="s">
        <v>4335</v>
      </c>
      <c r="G243" s="1" t="s">
        <v>31</v>
      </c>
      <c r="H243" s="1" t="s">
        <v>31</v>
      </c>
      <c r="I243" s="331" t="s">
        <v>4355</v>
      </c>
      <c r="J243" s="1" t="s">
        <v>31</v>
      </c>
      <c r="K243" s="332"/>
      <c r="L243" s="331">
        <v>9.178514452E9</v>
      </c>
      <c r="M243" s="331"/>
      <c r="N243" s="333" t="s">
        <v>1182</v>
      </c>
      <c r="O243" s="331"/>
      <c r="P243" s="331"/>
      <c r="Q243" s="331"/>
      <c r="R243" s="331"/>
      <c r="S243" s="331"/>
    </row>
    <row r="244">
      <c r="A244" s="14" t="s">
        <v>1278</v>
      </c>
      <c r="B244" s="331" t="s">
        <v>4713</v>
      </c>
      <c r="C244" s="330" t="b">
        <v>0</v>
      </c>
      <c r="D244" s="331"/>
      <c r="E244" s="14"/>
      <c r="F244" s="14" t="s">
        <v>4344</v>
      </c>
      <c r="G244" s="1" t="s">
        <v>31</v>
      </c>
      <c r="H244" s="1" t="s">
        <v>31</v>
      </c>
      <c r="I244" s="331" t="s">
        <v>4344</v>
      </c>
      <c r="J244" s="1" t="s">
        <v>31</v>
      </c>
      <c r="K244" s="332"/>
      <c r="L244" s="331">
        <v>9.613548342E9</v>
      </c>
      <c r="M244" s="331"/>
      <c r="N244" s="333" t="s">
        <v>1182</v>
      </c>
      <c r="O244" s="331"/>
      <c r="P244" s="331"/>
      <c r="Q244" s="331"/>
      <c r="R244" s="331"/>
      <c r="S244" s="331"/>
    </row>
    <row r="245">
      <c r="A245" s="14" t="s">
        <v>1280</v>
      </c>
      <c r="B245" s="331" t="s">
        <v>4714</v>
      </c>
      <c r="C245" s="330" t="b">
        <v>0</v>
      </c>
      <c r="D245" s="331"/>
      <c r="E245" s="14"/>
      <c r="F245" s="14" t="s">
        <v>4715</v>
      </c>
      <c r="G245" s="1" t="s">
        <v>31</v>
      </c>
      <c r="H245" s="1" t="s">
        <v>31</v>
      </c>
      <c r="I245" s="331" t="s">
        <v>4716</v>
      </c>
      <c r="J245" s="1" t="s">
        <v>31</v>
      </c>
      <c r="K245" s="332"/>
      <c r="L245" s="331">
        <v>9.171009406E9</v>
      </c>
      <c r="M245" s="331"/>
      <c r="N245" s="333" t="s">
        <v>1182</v>
      </c>
      <c r="O245" s="331"/>
      <c r="P245" s="331"/>
      <c r="Q245" s="331"/>
      <c r="R245" s="331"/>
      <c r="S245" s="331"/>
    </row>
    <row r="246">
      <c r="A246" s="14" t="s">
        <v>1283</v>
      </c>
      <c r="B246" s="331" t="s">
        <v>4717</v>
      </c>
      <c r="C246" s="330" t="b">
        <v>0</v>
      </c>
      <c r="D246" s="331"/>
      <c r="E246" s="14"/>
      <c r="F246" s="14" t="s">
        <v>4718</v>
      </c>
      <c r="G246" s="1" t="s">
        <v>31</v>
      </c>
      <c r="H246" s="1" t="s">
        <v>31</v>
      </c>
      <c r="I246" s="331" t="s">
        <v>4355</v>
      </c>
      <c r="J246" s="1" t="s">
        <v>31</v>
      </c>
      <c r="K246" s="332"/>
      <c r="L246" s="331">
        <v>9.282653707E9</v>
      </c>
      <c r="M246" s="331"/>
      <c r="N246" s="333" t="s">
        <v>1182</v>
      </c>
      <c r="O246" s="331"/>
      <c r="P246" s="331"/>
      <c r="Q246" s="331"/>
      <c r="R246" s="331"/>
      <c r="S246" s="331"/>
    </row>
    <row r="247">
      <c r="A247" s="14" t="s">
        <v>1294</v>
      </c>
      <c r="B247" s="331" t="s">
        <v>4719</v>
      </c>
      <c r="C247" s="330" t="b">
        <v>1</v>
      </c>
      <c r="D247" s="331">
        <v>2016.0</v>
      </c>
      <c r="E247" s="14"/>
      <c r="F247" s="14" t="s">
        <v>4720</v>
      </c>
      <c r="G247" s="1" t="s">
        <v>31</v>
      </c>
      <c r="H247" s="1" t="s">
        <v>31</v>
      </c>
      <c r="I247" s="331" t="s">
        <v>4721</v>
      </c>
      <c r="J247" s="1" t="s">
        <v>31</v>
      </c>
      <c r="K247" s="332"/>
      <c r="L247" s="331">
        <v>9.192758101E9</v>
      </c>
      <c r="M247" s="331"/>
      <c r="N247" s="333" t="s">
        <v>1182</v>
      </c>
      <c r="O247" s="331"/>
      <c r="P247" s="331"/>
      <c r="Q247" s="331"/>
      <c r="R247" s="331"/>
      <c r="S247" s="331"/>
    </row>
    <row r="248">
      <c r="A248" s="14" t="s">
        <v>1307</v>
      </c>
      <c r="B248" s="331" t="s">
        <v>4722</v>
      </c>
      <c r="C248" s="330" t="b">
        <v>0</v>
      </c>
      <c r="D248" s="331"/>
      <c r="E248" s="14"/>
      <c r="F248" s="14" t="s">
        <v>4723</v>
      </c>
      <c r="G248" s="1" t="s">
        <v>31</v>
      </c>
      <c r="H248" s="1" t="s">
        <v>31</v>
      </c>
      <c r="I248" s="331" t="s">
        <v>4391</v>
      </c>
      <c r="J248" s="1" t="s">
        <v>31</v>
      </c>
      <c r="K248" s="332"/>
      <c r="L248" s="331">
        <v>9.22279451E9</v>
      </c>
      <c r="M248" s="331"/>
      <c r="N248" s="333" t="s">
        <v>715</v>
      </c>
      <c r="O248" s="331"/>
      <c r="P248" s="331"/>
      <c r="Q248" s="331"/>
      <c r="R248" s="331"/>
      <c r="S248" s="331"/>
    </row>
    <row r="249">
      <c r="A249" s="14" t="s">
        <v>1634</v>
      </c>
      <c r="B249" s="331"/>
      <c r="C249" s="330" t="b">
        <v>0</v>
      </c>
      <c r="D249" s="331"/>
      <c r="E249" s="14"/>
      <c r="F249" s="14" t="s">
        <v>4724</v>
      </c>
      <c r="G249" s="1" t="s">
        <v>31</v>
      </c>
      <c r="H249" s="1" t="s">
        <v>31</v>
      </c>
      <c r="I249" s="331" t="s">
        <v>4358</v>
      </c>
      <c r="J249" s="1" t="s">
        <v>31</v>
      </c>
      <c r="K249" s="332"/>
      <c r="L249" s="331">
        <v>9.07746925E9</v>
      </c>
      <c r="M249" s="331"/>
      <c r="N249" s="333" t="s">
        <v>715</v>
      </c>
      <c r="O249" s="331"/>
      <c r="P249" s="331"/>
      <c r="Q249" s="331"/>
      <c r="R249" s="331"/>
      <c r="S249" s="331"/>
    </row>
    <row r="250">
      <c r="A250" s="14" t="s">
        <v>1318</v>
      </c>
      <c r="B250" s="331"/>
      <c r="C250" s="330" t="b">
        <v>0</v>
      </c>
      <c r="D250" s="331"/>
      <c r="E250" s="14"/>
      <c r="F250" s="14" t="s">
        <v>4725</v>
      </c>
      <c r="G250" s="1" t="s">
        <v>31</v>
      </c>
      <c r="H250" s="1" t="s">
        <v>31</v>
      </c>
      <c r="I250" s="331" t="s">
        <v>4419</v>
      </c>
      <c r="J250" s="1" t="s">
        <v>31</v>
      </c>
      <c r="K250" s="332"/>
      <c r="L250" s="331">
        <v>9.178408303E9</v>
      </c>
      <c r="M250" s="331"/>
      <c r="N250" s="333" t="s">
        <v>744</v>
      </c>
      <c r="O250" s="331"/>
      <c r="P250" s="331"/>
      <c r="Q250" s="331"/>
      <c r="R250" s="331"/>
      <c r="S250" s="331"/>
    </row>
    <row r="251">
      <c r="A251" s="14" t="s">
        <v>1323</v>
      </c>
      <c r="B251" s="331"/>
      <c r="C251" s="330" t="b">
        <v>0</v>
      </c>
      <c r="D251" s="331"/>
      <c r="E251" s="14"/>
      <c r="F251" s="14" t="s">
        <v>4726</v>
      </c>
      <c r="G251" s="1" t="s">
        <v>31</v>
      </c>
      <c r="H251" s="1" t="s">
        <v>31</v>
      </c>
      <c r="I251" s="331" t="s">
        <v>4351</v>
      </c>
      <c r="J251" s="1" t="s">
        <v>31</v>
      </c>
      <c r="K251" s="332"/>
      <c r="L251" s="331"/>
      <c r="M251" s="331"/>
      <c r="N251" s="333" t="s">
        <v>177</v>
      </c>
      <c r="O251" s="331"/>
      <c r="P251" s="331"/>
      <c r="Q251" s="331"/>
      <c r="R251" s="331"/>
      <c r="S251" s="331"/>
    </row>
    <row r="252">
      <c r="A252" s="14" t="s">
        <v>1328</v>
      </c>
      <c r="B252" s="331"/>
      <c r="C252" s="330" t="b">
        <v>0</v>
      </c>
      <c r="D252" s="331"/>
      <c r="E252" s="14"/>
      <c r="F252" s="14" t="s">
        <v>4727</v>
      </c>
      <c r="G252" s="1" t="s">
        <v>31</v>
      </c>
      <c r="H252" s="1" t="s">
        <v>31</v>
      </c>
      <c r="I252" s="331" t="s">
        <v>4485</v>
      </c>
      <c r="J252" s="1" t="s">
        <v>31</v>
      </c>
      <c r="K252" s="332"/>
      <c r="L252" s="331"/>
      <c r="M252" s="331"/>
      <c r="N252" s="333" t="s">
        <v>177</v>
      </c>
      <c r="O252" s="331"/>
      <c r="P252" s="331"/>
      <c r="Q252" s="331"/>
      <c r="R252" s="331"/>
      <c r="S252" s="331"/>
    </row>
    <row r="253">
      <c r="A253" s="14" t="s">
        <v>1339</v>
      </c>
      <c r="B253" s="331"/>
      <c r="C253" s="330" t="b">
        <v>0</v>
      </c>
      <c r="D253" s="331"/>
      <c r="E253" s="14"/>
      <c r="F253" s="14" t="s">
        <v>4728</v>
      </c>
      <c r="G253" s="1" t="s">
        <v>31</v>
      </c>
      <c r="H253" s="1" t="s">
        <v>31</v>
      </c>
      <c r="I253" s="331" t="s">
        <v>4677</v>
      </c>
      <c r="J253" s="1" t="s">
        <v>31</v>
      </c>
      <c r="K253" s="332"/>
      <c r="L253" s="331"/>
      <c r="M253" s="331"/>
      <c r="N253" s="333" t="s">
        <v>1182</v>
      </c>
      <c r="O253" s="331"/>
      <c r="P253" s="331"/>
      <c r="Q253" s="331"/>
      <c r="R253" s="331"/>
      <c r="S253" s="331"/>
    </row>
    <row r="254">
      <c r="A254" s="14" t="s">
        <v>1346</v>
      </c>
      <c r="B254" s="331"/>
      <c r="C254" s="330" t="b">
        <v>0</v>
      </c>
      <c r="D254" s="331"/>
      <c r="E254" s="14"/>
      <c r="F254" s="14" t="s">
        <v>4729</v>
      </c>
      <c r="G254" s="1" t="s">
        <v>31</v>
      </c>
      <c r="H254" s="1" t="s">
        <v>31</v>
      </c>
      <c r="I254" s="331" t="s">
        <v>4358</v>
      </c>
      <c r="J254" s="1" t="s">
        <v>31</v>
      </c>
      <c r="K254" s="332"/>
      <c r="L254" s="331"/>
      <c r="M254" s="331"/>
      <c r="N254" s="333" t="s">
        <v>177</v>
      </c>
      <c r="O254" s="331"/>
      <c r="P254" s="331"/>
      <c r="Q254" s="331"/>
      <c r="R254" s="331"/>
      <c r="S254" s="331"/>
    </row>
    <row r="255">
      <c r="A255" s="14" t="s">
        <v>1353</v>
      </c>
      <c r="B255" s="331"/>
      <c r="C255" s="330" t="b">
        <v>0</v>
      </c>
      <c r="D255" s="331"/>
      <c r="E255" s="14"/>
      <c r="F255" s="14" t="s">
        <v>4730</v>
      </c>
      <c r="G255" s="1" t="s">
        <v>31</v>
      </c>
      <c r="H255" s="1" t="s">
        <v>31</v>
      </c>
      <c r="I255" s="331" t="s">
        <v>4363</v>
      </c>
      <c r="J255" s="1" t="s">
        <v>31</v>
      </c>
      <c r="K255" s="332"/>
      <c r="L255" s="331"/>
      <c r="M255" s="331"/>
      <c r="N255" s="333" t="s">
        <v>177</v>
      </c>
      <c r="O255" s="331"/>
      <c r="P255" s="331"/>
      <c r="Q255" s="331"/>
      <c r="R255" s="331"/>
      <c r="S255" s="331"/>
    </row>
    <row r="256">
      <c r="A256" s="14" t="s">
        <v>1364</v>
      </c>
      <c r="B256" s="331" t="s">
        <v>4731</v>
      </c>
      <c r="C256" s="330" t="b">
        <v>1</v>
      </c>
      <c r="D256" s="331">
        <v>2022.0</v>
      </c>
      <c r="E256" s="14"/>
      <c r="F256" s="14" t="s">
        <v>4732</v>
      </c>
      <c r="G256" s="1" t="s">
        <v>31</v>
      </c>
      <c r="H256" s="1" t="s">
        <v>31</v>
      </c>
      <c r="I256" s="331" t="s">
        <v>4391</v>
      </c>
      <c r="J256" s="1" t="s">
        <v>31</v>
      </c>
      <c r="K256" s="332"/>
      <c r="L256" s="331">
        <v>9.354919766E9</v>
      </c>
      <c r="M256" s="331"/>
      <c r="N256" s="333" t="s">
        <v>715</v>
      </c>
      <c r="O256" s="331"/>
      <c r="P256" s="331"/>
      <c r="Q256" s="331"/>
      <c r="R256" s="331"/>
      <c r="S256" s="331"/>
    </row>
    <row r="257">
      <c r="A257" s="14" t="s">
        <v>1373</v>
      </c>
      <c r="B257" s="331" t="s">
        <v>4733</v>
      </c>
      <c r="C257" s="330" t="b">
        <v>0</v>
      </c>
      <c r="D257" s="331"/>
      <c r="E257" s="14"/>
      <c r="F257" s="14" t="s">
        <v>4734</v>
      </c>
      <c r="G257" s="1" t="s">
        <v>31</v>
      </c>
      <c r="H257" s="1" t="s">
        <v>31</v>
      </c>
      <c r="I257" s="331" t="s">
        <v>4437</v>
      </c>
      <c r="J257" s="1" t="s">
        <v>31</v>
      </c>
      <c r="K257" s="332"/>
      <c r="L257" s="331">
        <v>9.494343421E9</v>
      </c>
      <c r="M257" s="331"/>
      <c r="N257" s="333" t="s">
        <v>1387</v>
      </c>
      <c r="O257" s="331"/>
      <c r="P257" s="331"/>
      <c r="Q257" s="331"/>
      <c r="R257" s="331"/>
      <c r="S257" s="331"/>
    </row>
    <row r="258">
      <c r="A258" s="14" t="s">
        <v>1375</v>
      </c>
      <c r="B258" s="331"/>
      <c r="C258" s="330" t="b">
        <v>0</v>
      </c>
      <c r="D258" s="331"/>
      <c r="E258" s="14"/>
      <c r="F258" s="14" t="s">
        <v>4735</v>
      </c>
      <c r="G258" s="1" t="s">
        <v>31</v>
      </c>
      <c r="H258" s="1" t="s">
        <v>31</v>
      </c>
      <c r="I258" s="331" t="s">
        <v>4736</v>
      </c>
      <c r="J258" s="1" t="s">
        <v>31</v>
      </c>
      <c r="K258" s="332"/>
      <c r="L258" s="331">
        <v>9.279411548E9</v>
      </c>
      <c r="M258" s="331"/>
      <c r="N258" s="333" t="s">
        <v>4737</v>
      </c>
      <c r="O258" s="331"/>
      <c r="P258" s="331"/>
      <c r="Q258" s="331"/>
      <c r="R258" s="331"/>
      <c r="S258" s="331"/>
    </row>
    <row r="259">
      <c r="A259" s="14" t="s">
        <v>1379</v>
      </c>
      <c r="B259" s="331"/>
      <c r="C259" s="330" t="b">
        <v>0</v>
      </c>
      <c r="D259" s="331"/>
      <c r="E259" s="14"/>
      <c r="F259" s="14" t="s">
        <v>4738</v>
      </c>
      <c r="G259" s="1" t="s">
        <v>31</v>
      </c>
      <c r="H259" s="1" t="s">
        <v>31</v>
      </c>
      <c r="I259" s="331" t="s">
        <v>4677</v>
      </c>
      <c r="J259" s="1" t="s">
        <v>31</v>
      </c>
      <c r="K259" s="332"/>
      <c r="L259" s="331"/>
      <c r="M259" s="331"/>
      <c r="N259" s="333" t="s">
        <v>4737</v>
      </c>
      <c r="O259" s="331"/>
      <c r="P259" s="331"/>
      <c r="Q259" s="331"/>
      <c r="R259" s="331"/>
      <c r="S259" s="331"/>
    </row>
    <row r="260">
      <c r="A260" s="14" t="s">
        <v>1383</v>
      </c>
      <c r="B260" s="331"/>
      <c r="C260" s="330" t="b">
        <v>0</v>
      </c>
      <c r="D260" s="331"/>
      <c r="E260" s="14"/>
      <c r="F260" s="14" t="s">
        <v>4739</v>
      </c>
      <c r="G260" s="1" t="s">
        <v>31</v>
      </c>
      <c r="H260" s="1" t="s">
        <v>31</v>
      </c>
      <c r="I260" s="331" t="s">
        <v>4736</v>
      </c>
      <c r="J260" s="1" t="s">
        <v>31</v>
      </c>
      <c r="K260" s="332"/>
      <c r="L260" s="331"/>
      <c r="M260" s="331"/>
      <c r="N260" s="333" t="s">
        <v>4737</v>
      </c>
      <c r="O260" s="331"/>
      <c r="P260" s="331"/>
      <c r="Q260" s="331"/>
      <c r="R260" s="331"/>
      <c r="S260" s="331"/>
    </row>
    <row r="261">
      <c r="A261" s="14" t="s">
        <v>1386</v>
      </c>
      <c r="B261" s="331"/>
      <c r="C261" s="330" t="b">
        <v>0</v>
      </c>
      <c r="D261" s="331"/>
      <c r="E261" s="14"/>
      <c r="F261" s="14" t="s">
        <v>4740</v>
      </c>
      <c r="G261" s="1" t="s">
        <v>31</v>
      </c>
      <c r="H261" s="1" t="s">
        <v>31</v>
      </c>
      <c r="I261" s="331" t="s">
        <v>4395</v>
      </c>
      <c r="J261" s="1" t="s">
        <v>31</v>
      </c>
      <c r="K261" s="332"/>
      <c r="L261" s="331">
        <v>9.333600163E9</v>
      </c>
      <c r="M261" s="331"/>
      <c r="N261" s="333" t="s">
        <v>1387</v>
      </c>
      <c r="O261" s="331"/>
      <c r="P261" s="331"/>
      <c r="Q261" s="331"/>
      <c r="R261" s="331"/>
      <c r="S261" s="331"/>
    </row>
    <row r="262">
      <c r="A262" s="14" t="s">
        <v>1657</v>
      </c>
      <c r="B262" s="331"/>
      <c r="C262" s="330" t="b">
        <v>0</v>
      </c>
      <c r="D262" s="331"/>
      <c r="E262" s="14"/>
      <c r="F262" s="14" t="s">
        <v>4741</v>
      </c>
      <c r="G262" s="1" t="s">
        <v>31</v>
      </c>
      <c r="H262" s="1" t="s">
        <v>31</v>
      </c>
      <c r="I262" s="331" t="s">
        <v>4742</v>
      </c>
      <c r="J262" s="1" t="s">
        <v>31</v>
      </c>
      <c r="K262" s="332"/>
      <c r="L262" s="331"/>
      <c r="M262" s="331"/>
      <c r="N262" s="333" t="s">
        <v>4737</v>
      </c>
      <c r="O262" s="331"/>
      <c r="P262" s="331"/>
      <c r="Q262" s="331"/>
      <c r="R262" s="331"/>
      <c r="S262" s="331"/>
    </row>
    <row r="263">
      <c r="A263" s="14" t="s">
        <v>1392</v>
      </c>
      <c r="B263" s="331"/>
      <c r="C263" s="330" t="b">
        <v>0</v>
      </c>
      <c r="D263" s="331"/>
      <c r="E263" s="14"/>
      <c r="F263" s="14" t="s">
        <v>4743</v>
      </c>
      <c r="G263" s="1" t="s">
        <v>31</v>
      </c>
      <c r="H263" s="1" t="s">
        <v>31</v>
      </c>
      <c r="I263" s="331" t="s">
        <v>4736</v>
      </c>
      <c r="J263" s="1" t="s">
        <v>31</v>
      </c>
      <c r="K263" s="332"/>
      <c r="L263" s="331"/>
      <c r="M263" s="331"/>
      <c r="N263" s="333" t="s">
        <v>4737</v>
      </c>
      <c r="O263" s="331"/>
      <c r="P263" s="331"/>
      <c r="Q263" s="331"/>
      <c r="R263" s="331"/>
      <c r="S263" s="331"/>
    </row>
    <row r="264">
      <c r="A264" s="14" t="s">
        <v>1395</v>
      </c>
      <c r="B264" s="331"/>
      <c r="C264" s="330" t="b">
        <v>0</v>
      </c>
      <c r="D264" s="331"/>
      <c r="E264" s="14"/>
      <c r="F264" s="14" t="s">
        <v>4744</v>
      </c>
      <c r="G264" s="1" t="s">
        <v>31</v>
      </c>
      <c r="H264" s="1" t="s">
        <v>31</v>
      </c>
      <c r="I264" s="331" t="s">
        <v>4736</v>
      </c>
      <c r="J264" s="1" t="s">
        <v>31</v>
      </c>
      <c r="K264" s="332"/>
      <c r="L264" s="331"/>
      <c r="M264" s="331"/>
      <c r="N264" s="333" t="s">
        <v>177</v>
      </c>
      <c r="O264" s="331"/>
      <c r="P264" s="331"/>
      <c r="Q264" s="331"/>
      <c r="R264" s="331"/>
      <c r="S264" s="331"/>
    </row>
    <row r="265">
      <c r="A265" s="14" t="s">
        <v>1409</v>
      </c>
      <c r="B265" s="331"/>
      <c r="C265" s="330" t="b">
        <v>0</v>
      </c>
      <c r="D265" s="331"/>
      <c r="E265" s="14"/>
      <c r="F265" s="14" t="s">
        <v>4745</v>
      </c>
      <c r="G265" s="1" t="s">
        <v>31</v>
      </c>
      <c r="H265" s="1" t="s">
        <v>31</v>
      </c>
      <c r="I265" s="331" t="s">
        <v>4736</v>
      </c>
      <c r="J265" s="1" t="s">
        <v>31</v>
      </c>
      <c r="K265" s="332"/>
      <c r="L265" s="331"/>
      <c r="M265" s="331"/>
      <c r="N265" s="333" t="s">
        <v>4737</v>
      </c>
      <c r="O265" s="331"/>
      <c r="P265" s="331"/>
      <c r="Q265" s="331"/>
      <c r="R265" s="331"/>
      <c r="S265" s="331"/>
    </row>
    <row r="266">
      <c r="A266" s="14" t="s">
        <v>1413</v>
      </c>
      <c r="B266" s="331"/>
      <c r="C266" s="330" t="b">
        <v>0</v>
      </c>
      <c r="D266" s="331"/>
      <c r="E266" s="14"/>
      <c r="F266" s="14" t="s">
        <v>4746</v>
      </c>
      <c r="G266" s="1" t="s">
        <v>31</v>
      </c>
      <c r="H266" s="1" t="s">
        <v>31</v>
      </c>
      <c r="I266" s="331" t="s">
        <v>4736</v>
      </c>
      <c r="J266" s="1" t="s">
        <v>31</v>
      </c>
      <c r="K266" s="332"/>
      <c r="L266" s="331"/>
      <c r="M266" s="331"/>
      <c r="N266" s="333" t="s">
        <v>4737</v>
      </c>
      <c r="O266" s="331"/>
      <c r="P266" s="331"/>
      <c r="Q266" s="331"/>
      <c r="R266" s="331"/>
      <c r="S266" s="331"/>
    </row>
    <row r="267">
      <c r="A267" s="14" t="s">
        <v>1417</v>
      </c>
      <c r="B267" s="331" t="s">
        <v>4747</v>
      </c>
      <c r="C267" s="330" t="b">
        <v>0</v>
      </c>
      <c r="D267" s="331"/>
      <c r="E267" s="14"/>
      <c r="F267" s="14" t="s">
        <v>4748</v>
      </c>
      <c r="G267" s="1" t="s">
        <v>31</v>
      </c>
      <c r="H267" s="1" t="s">
        <v>31</v>
      </c>
      <c r="I267" s="331" t="s">
        <v>4391</v>
      </c>
      <c r="J267" s="1" t="s">
        <v>31</v>
      </c>
      <c r="K267" s="332"/>
      <c r="L267" s="331">
        <v>9.331796244E9</v>
      </c>
      <c r="M267" s="331"/>
      <c r="N267" s="333" t="s">
        <v>715</v>
      </c>
      <c r="O267" s="331"/>
      <c r="P267" s="331"/>
      <c r="Q267" s="331"/>
      <c r="R267" s="331"/>
      <c r="S267" s="331"/>
    </row>
    <row r="268">
      <c r="A268" s="14" t="s">
        <v>1420</v>
      </c>
      <c r="B268" s="331" t="s">
        <v>4749</v>
      </c>
      <c r="C268" s="330" t="b">
        <v>0</v>
      </c>
      <c r="D268" s="331"/>
      <c r="E268" s="14"/>
      <c r="F268" s="14" t="s">
        <v>4750</v>
      </c>
      <c r="G268" s="1" t="s">
        <v>31</v>
      </c>
      <c r="H268" s="1" t="s">
        <v>31</v>
      </c>
      <c r="I268" s="331" t="s">
        <v>4628</v>
      </c>
      <c r="J268" s="1" t="s">
        <v>31</v>
      </c>
      <c r="K268" s="332"/>
      <c r="L268" s="331">
        <v>9.984135569E9</v>
      </c>
      <c r="M268" s="331"/>
      <c r="N268" s="333" t="s">
        <v>715</v>
      </c>
      <c r="O268" s="331"/>
      <c r="P268" s="331"/>
      <c r="Q268" s="331"/>
      <c r="R268" s="331"/>
      <c r="S268" s="331"/>
    </row>
    <row r="269">
      <c r="A269" s="14" t="s">
        <v>1422</v>
      </c>
      <c r="B269" s="331" t="s">
        <v>4751</v>
      </c>
      <c r="C269" s="330" t="b">
        <v>0</v>
      </c>
      <c r="D269" s="331"/>
      <c r="E269" s="14"/>
      <c r="F269" s="14" t="s">
        <v>4752</v>
      </c>
      <c r="G269" s="1" t="s">
        <v>31</v>
      </c>
      <c r="H269" s="1" t="s">
        <v>31</v>
      </c>
      <c r="I269" s="331" t="s">
        <v>4358</v>
      </c>
      <c r="J269" s="1" t="s">
        <v>31</v>
      </c>
      <c r="K269" s="332"/>
      <c r="L269" s="331">
        <v>9.706664686E9</v>
      </c>
      <c r="M269" s="331"/>
      <c r="N269" s="333" t="s">
        <v>715</v>
      </c>
      <c r="O269" s="331"/>
      <c r="P269" s="331"/>
      <c r="Q269" s="331"/>
      <c r="R269" s="331"/>
      <c r="S269" s="331"/>
    </row>
    <row r="270">
      <c r="A270" s="14" t="s">
        <v>1428</v>
      </c>
      <c r="B270" s="331" t="s">
        <v>4753</v>
      </c>
      <c r="C270" s="330" t="b">
        <v>0</v>
      </c>
      <c r="D270" s="331"/>
      <c r="E270" s="14"/>
      <c r="F270" s="14" t="s">
        <v>4754</v>
      </c>
      <c r="G270" s="1" t="s">
        <v>31</v>
      </c>
      <c r="H270" s="1" t="s">
        <v>31</v>
      </c>
      <c r="I270" s="331" t="s">
        <v>4419</v>
      </c>
      <c r="J270" s="1" t="s">
        <v>31</v>
      </c>
      <c r="K270" s="332"/>
      <c r="L270" s="331">
        <v>9.45223665E9</v>
      </c>
      <c r="M270" s="331"/>
      <c r="N270" s="333" t="s">
        <v>744</v>
      </c>
      <c r="O270" s="331"/>
      <c r="P270" s="331"/>
      <c r="Q270" s="331"/>
      <c r="R270" s="331"/>
      <c r="S270" s="331"/>
    </row>
    <row r="271">
      <c r="A271" s="14" t="s">
        <v>1437</v>
      </c>
      <c r="B271" s="331"/>
      <c r="C271" s="330" t="b">
        <v>0</v>
      </c>
      <c r="D271" s="331"/>
      <c r="E271" s="14"/>
      <c r="F271" s="14" t="s">
        <v>4755</v>
      </c>
      <c r="G271" s="1" t="s">
        <v>31</v>
      </c>
      <c r="H271" s="1" t="s">
        <v>31</v>
      </c>
      <c r="I271" s="331" t="s">
        <v>4742</v>
      </c>
      <c r="J271" s="1" t="s">
        <v>31</v>
      </c>
      <c r="K271" s="332"/>
      <c r="L271" s="331"/>
      <c r="M271" s="331"/>
      <c r="N271" s="333" t="s">
        <v>4737</v>
      </c>
      <c r="O271" s="331"/>
      <c r="P271" s="331"/>
      <c r="Q271" s="331"/>
      <c r="R271" s="331"/>
      <c r="S271" s="331"/>
    </row>
    <row r="272">
      <c r="A272" s="14" t="s">
        <v>1440</v>
      </c>
      <c r="B272" s="331"/>
      <c r="C272" s="330" t="b">
        <v>0</v>
      </c>
      <c r="D272" s="331"/>
      <c r="E272" s="14"/>
      <c r="F272" s="14" t="s">
        <v>4756</v>
      </c>
      <c r="G272" s="1" t="s">
        <v>31</v>
      </c>
      <c r="H272" s="1" t="s">
        <v>31</v>
      </c>
      <c r="I272" s="331" t="s">
        <v>4742</v>
      </c>
      <c r="J272" s="1" t="s">
        <v>31</v>
      </c>
      <c r="K272" s="332"/>
      <c r="L272" s="331"/>
      <c r="M272" s="331"/>
      <c r="N272" s="333" t="s">
        <v>4737</v>
      </c>
      <c r="O272" s="331"/>
      <c r="P272" s="331"/>
      <c r="Q272" s="331"/>
      <c r="R272" s="331"/>
      <c r="S272" s="331"/>
    </row>
    <row r="273">
      <c r="A273" s="14" t="s">
        <v>1444</v>
      </c>
      <c r="B273" s="331" t="s">
        <v>4757</v>
      </c>
      <c r="C273" s="330" t="b">
        <v>0</v>
      </c>
      <c r="D273" s="331"/>
      <c r="E273" s="14"/>
      <c r="F273" s="14" t="s">
        <v>4758</v>
      </c>
      <c r="G273" s="1" t="s">
        <v>31</v>
      </c>
      <c r="H273" s="1" t="s">
        <v>31</v>
      </c>
      <c r="I273" s="331" t="s">
        <v>4358</v>
      </c>
      <c r="J273" s="1" t="s">
        <v>31</v>
      </c>
      <c r="K273" s="332"/>
      <c r="L273" s="331">
        <v>9.32223743E9</v>
      </c>
      <c r="M273" s="331"/>
      <c r="N273" s="333" t="s">
        <v>177</v>
      </c>
      <c r="O273" s="331"/>
      <c r="P273" s="331"/>
      <c r="Q273" s="331"/>
      <c r="R273" s="331"/>
      <c r="S273" s="331"/>
    </row>
    <row r="274">
      <c r="A274" s="14" t="s">
        <v>1449</v>
      </c>
      <c r="B274" s="331" t="s">
        <v>4759</v>
      </c>
      <c r="C274" s="330" t="b">
        <v>0</v>
      </c>
      <c r="D274" s="331"/>
      <c r="E274" s="14"/>
      <c r="F274" s="14" t="s">
        <v>4760</v>
      </c>
      <c r="G274" s="1" t="s">
        <v>31</v>
      </c>
      <c r="H274" s="1" t="s">
        <v>31</v>
      </c>
      <c r="I274" s="331" t="s">
        <v>4417</v>
      </c>
      <c r="J274" s="1" t="s">
        <v>31</v>
      </c>
      <c r="K274" s="332"/>
      <c r="L274" s="331">
        <v>9.388656148E9</v>
      </c>
      <c r="M274" s="331"/>
      <c r="N274" s="333" t="s">
        <v>744</v>
      </c>
      <c r="O274" s="331"/>
      <c r="P274" s="331"/>
      <c r="Q274" s="331"/>
      <c r="R274" s="331"/>
      <c r="S274" s="331"/>
    </row>
    <row r="275">
      <c r="A275" s="14" t="s">
        <v>1454</v>
      </c>
      <c r="B275" s="331" t="s">
        <v>4761</v>
      </c>
      <c r="C275" s="330" t="b">
        <v>0</v>
      </c>
      <c r="D275" s="331"/>
      <c r="E275" s="14"/>
      <c r="F275" s="14" t="s">
        <v>4762</v>
      </c>
      <c r="G275" s="1" t="s">
        <v>31</v>
      </c>
      <c r="H275" s="1" t="s">
        <v>31</v>
      </c>
      <c r="I275" s="331" t="s">
        <v>4351</v>
      </c>
      <c r="J275" s="1" t="s">
        <v>31</v>
      </c>
      <c r="K275" s="332"/>
      <c r="L275" s="331">
        <v>9.365326516E9</v>
      </c>
      <c r="M275" s="331"/>
      <c r="N275" s="333" t="s">
        <v>1387</v>
      </c>
      <c r="O275" s="331"/>
      <c r="P275" s="331"/>
      <c r="Q275" s="331"/>
      <c r="R275" s="331"/>
      <c r="S275" s="331"/>
    </row>
    <row r="276">
      <c r="A276" s="14" t="s">
        <v>1457</v>
      </c>
      <c r="B276" s="331" t="s">
        <v>4763</v>
      </c>
      <c r="C276" s="330" t="b">
        <v>0</v>
      </c>
      <c r="D276" s="331"/>
      <c r="E276" s="14"/>
      <c r="F276" s="14" t="s">
        <v>4764</v>
      </c>
      <c r="G276" s="1" t="s">
        <v>31</v>
      </c>
      <c r="H276" s="1" t="s">
        <v>31</v>
      </c>
      <c r="I276" s="331" t="s">
        <v>4437</v>
      </c>
      <c r="J276" s="1" t="s">
        <v>31</v>
      </c>
      <c r="K276" s="332"/>
      <c r="L276" s="331">
        <v>9.679966041E9</v>
      </c>
      <c r="M276" s="331"/>
      <c r="N276" s="333" t="s">
        <v>1387</v>
      </c>
      <c r="O276" s="331"/>
      <c r="P276" s="331"/>
      <c r="Q276" s="331"/>
      <c r="R276" s="331"/>
      <c r="S276" s="331"/>
    </row>
    <row r="277">
      <c r="A277" s="14" t="s">
        <v>1461</v>
      </c>
      <c r="B277" s="331" t="s">
        <v>4765</v>
      </c>
      <c r="C277" s="330" t="b">
        <v>0</v>
      </c>
      <c r="D277" s="331"/>
      <c r="E277" s="14"/>
      <c r="F277" s="14" t="s">
        <v>4766</v>
      </c>
      <c r="G277" s="1" t="s">
        <v>31</v>
      </c>
      <c r="H277" s="1" t="s">
        <v>31</v>
      </c>
      <c r="I277" s="331" t="s">
        <v>4742</v>
      </c>
      <c r="J277" s="1" t="s">
        <v>31</v>
      </c>
      <c r="K277" s="332"/>
      <c r="L277" s="331">
        <v>9.618812615E9</v>
      </c>
      <c r="M277" s="331"/>
      <c r="N277" s="333" t="s">
        <v>4737</v>
      </c>
      <c r="O277" s="331"/>
      <c r="P277" s="331"/>
      <c r="Q277" s="331"/>
      <c r="R277" s="331"/>
      <c r="S277" s="331"/>
    </row>
    <row r="278">
      <c r="A278" s="14" t="s">
        <v>1463</v>
      </c>
      <c r="B278" s="331" t="s">
        <v>4767</v>
      </c>
      <c r="C278" s="330" t="b">
        <v>0</v>
      </c>
      <c r="D278" s="331"/>
      <c r="E278" s="14"/>
      <c r="F278" s="14" t="s">
        <v>4768</v>
      </c>
      <c r="G278" s="1" t="s">
        <v>31</v>
      </c>
      <c r="H278" s="1" t="s">
        <v>31</v>
      </c>
      <c r="I278" s="331" t="s">
        <v>4742</v>
      </c>
      <c r="J278" s="1" t="s">
        <v>31</v>
      </c>
      <c r="K278" s="332"/>
      <c r="L278" s="331">
        <v>9.630742749E9</v>
      </c>
      <c r="M278" s="331"/>
      <c r="N278" s="333" t="s">
        <v>4737</v>
      </c>
      <c r="O278" s="331"/>
      <c r="P278" s="331"/>
      <c r="Q278" s="331"/>
      <c r="R278" s="331"/>
      <c r="S278" s="331"/>
    </row>
    <row r="279">
      <c r="A279" s="14" t="s">
        <v>1465</v>
      </c>
      <c r="B279" s="331" t="s">
        <v>4769</v>
      </c>
      <c r="C279" s="330" t="b">
        <v>0</v>
      </c>
      <c r="D279" s="331"/>
      <c r="E279" s="14"/>
      <c r="F279" s="14" t="s">
        <v>4770</v>
      </c>
      <c r="G279" s="1" t="s">
        <v>31</v>
      </c>
      <c r="H279" s="1" t="s">
        <v>31</v>
      </c>
      <c r="I279" s="331" t="s">
        <v>4437</v>
      </c>
      <c r="J279" s="1" t="s">
        <v>31</v>
      </c>
      <c r="K279" s="332"/>
      <c r="L279" s="331">
        <v>9.171284377E9</v>
      </c>
      <c r="M279" s="331"/>
      <c r="N279" s="333" t="s">
        <v>1387</v>
      </c>
      <c r="O279" s="331"/>
      <c r="P279" s="331"/>
      <c r="Q279" s="331"/>
      <c r="R279" s="331"/>
      <c r="S279" s="331"/>
    </row>
    <row r="280">
      <c r="A280" s="14" t="s">
        <v>1467</v>
      </c>
      <c r="B280" s="331" t="s">
        <v>4771</v>
      </c>
      <c r="C280" s="330" t="b">
        <v>0</v>
      </c>
      <c r="D280" s="331"/>
      <c r="E280" s="14"/>
      <c r="F280" s="14" t="s">
        <v>4772</v>
      </c>
      <c r="G280" s="1" t="s">
        <v>31</v>
      </c>
      <c r="H280" s="1" t="s">
        <v>31</v>
      </c>
      <c r="I280" s="331" t="s">
        <v>4437</v>
      </c>
      <c r="J280" s="1" t="s">
        <v>31</v>
      </c>
      <c r="K280" s="332"/>
      <c r="L280" s="331">
        <v>9.675961467E9</v>
      </c>
      <c r="M280" s="331"/>
      <c r="N280" s="333" t="s">
        <v>1387</v>
      </c>
      <c r="O280" s="331"/>
      <c r="P280" s="331"/>
      <c r="Q280" s="331"/>
      <c r="R280" s="331"/>
      <c r="S280" s="331"/>
    </row>
    <row r="281">
      <c r="A281" s="14" t="s">
        <v>1476</v>
      </c>
      <c r="B281" s="331" t="s">
        <v>4773</v>
      </c>
      <c r="C281" s="330" t="b">
        <v>0</v>
      </c>
      <c r="D281" s="331"/>
      <c r="E281" s="14"/>
      <c r="F281" s="14" t="s">
        <v>4774</v>
      </c>
      <c r="G281" s="1" t="s">
        <v>31</v>
      </c>
      <c r="H281" s="1" t="s">
        <v>31</v>
      </c>
      <c r="I281" s="331" t="s">
        <v>4677</v>
      </c>
      <c r="J281" s="1" t="s">
        <v>31</v>
      </c>
      <c r="K281" s="332"/>
      <c r="L281" s="331">
        <v>9.458847317E9</v>
      </c>
      <c r="M281" s="331"/>
      <c r="N281" s="333" t="s">
        <v>4737</v>
      </c>
      <c r="O281" s="331"/>
      <c r="P281" s="331"/>
      <c r="Q281" s="331"/>
      <c r="R281" s="331"/>
      <c r="S281" s="331"/>
    </row>
    <row r="282">
      <c r="A282" s="14" t="s">
        <v>1478</v>
      </c>
      <c r="B282" s="331" t="s">
        <v>4775</v>
      </c>
      <c r="C282" s="330" t="b">
        <v>0</v>
      </c>
      <c r="D282" s="331"/>
      <c r="E282" s="14"/>
      <c r="F282" s="14" t="s">
        <v>4776</v>
      </c>
      <c r="G282" s="1" t="s">
        <v>31</v>
      </c>
      <c r="H282" s="1" t="s">
        <v>31</v>
      </c>
      <c r="I282" s="331" t="s">
        <v>4437</v>
      </c>
      <c r="J282" s="1" t="s">
        <v>31</v>
      </c>
      <c r="K282" s="332"/>
      <c r="L282" s="331" t="s">
        <v>4777</v>
      </c>
      <c r="M282" s="331"/>
      <c r="N282" s="333" t="s">
        <v>1387</v>
      </c>
      <c r="O282" s="331"/>
      <c r="P282" s="331"/>
      <c r="Q282" s="331"/>
      <c r="R282" s="331"/>
      <c r="S282" s="331"/>
    </row>
    <row r="283">
      <c r="A283" s="14" t="s">
        <v>1482</v>
      </c>
      <c r="B283" s="331"/>
      <c r="C283" s="330" t="b">
        <v>0</v>
      </c>
      <c r="D283" s="331"/>
      <c r="E283" s="14"/>
      <c r="F283" s="14" t="s">
        <v>4778</v>
      </c>
      <c r="G283" s="1" t="s">
        <v>31</v>
      </c>
      <c r="H283" s="1" t="s">
        <v>31</v>
      </c>
      <c r="I283" s="331" t="s">
        <v>4677</v>
      </c>
      <c r="J283" s="1" t="s">
        <v>31</v>
      </c>
      <c r="K283" s="332"/>
      <c r="L283" s="331">
        <v>9.502854287E9</v>
      </c>
      <c r="M283" s="331"/>
      <c r="N283" s="333" t="s">
        <v>4737</v>
      </c>
      <c r="O283" s="331"/>
      <c r="P283" s="331"/>
      <c r="Q283" s="331"/>
      <c r="R283" s="331"/>
      <c r="S283" s="331"/>
    </row>
    <row r="284">
      <c r="A284" s="14" t="s">
        <v>1485</v>
      </c>
      <c r="B284" s="331"/>
      <c r="C284" s="330" t="b">
        <v>0</v>
      </c>
      <c r="D284" s="331"/>
      <c r="E284" s="14"/>
      <c r="F284" s="14" t="s">
        <v>4779</v>
      </c>
      <c r="G284" s="1" t="s">
        <v>31</v>
      </c>
      <c r="H284" s="1" t="s">
        <v>31</v>
      </c>
      <c r="I284" s="331" t="s">
        <v>4677</v>
      </c>
      <c r="J284" s="1" t="s">
        <v>31</v>
      </c>
      <c r="K284" s="332"/>
      <c r="L284" s="331">
        <v>9.052374354E9</v>
      </c>
      <c r="M284" s="331"/>
      <c r="N284" s="333" t="s">
        <v>4737</v>
      </c>
      <c r="O284" s="331"/>
      <c r="P284" s="331"/>
      <c r="Q284" s="331"/>
      <c r="R284" s="331"/>
      <c r="S284" s="331"/>
    </row>
    <row r="285">
      <c r="A285" s="14" t="s">
        <v>1489</v>
      </c>
      <c r="B285" s="331" t="s">
        <v>4780</v>
      </c>
      <c r="C285" s="330" t="b">
        <v>1</v>
      </c>
      <c r="D285" s="331">
        <v>2010.0</v>
      </c>
      <c r="E285" s="14"/>
      <c r="F285" s="14" t="s">
        <v>4781</v>
      </c>
      <c r="G285" s="1" t="s">
        <v>31</v>
      </c>
      <c r="H285" s="1" t="s">
        <v>31</v>
      </c>
      <c r="I285" s="331" t="s">
        <v>4437</v>
      </c>
      <c r="J285" s="1" t="s">
        <v>31</v>
      </c>
      <c r="K285" s="332"/>
      <c r="L285" s="331">
        <v>9.171668988E9</v>
      </c>
      <c r="M285" s="331"/>
      <c r="N285" s="333" t="s">
        <v>1387</v>
      </c>
      <c r="O285" s="331"/>
      <c r="P285" s="331"/>
      <c r="Q285" s="331"/>
      <c r="R285" s="331"/>
      <c r="S285" s="331"/>
    </row>
    <row r="286">
      <c r="A286" s="14" t="s">
        <v>1491</v>
      </c>
      <c r="B286" s="331" t="s">
        <v>4782</v>
      </c>
      <c r="C286" s="330" t="b">
        <v>1</v>
      </c>
      <c r="D286" s="331">
        <v>2008.0</v>
      </c>
      <c r="E286" s="14"/>
      <c r="F286" s="14" t="s">
        <v>4783</v>
      </c>
      <c r="G286" s="1" t="s">
        <v>31</v>
      </c>
      <c r="H286" s="1" t="s">
        <v>31</v>
      </c>
      <c r="I286" s="331" t="s">
        <v>4437</v>
      </c>
      <c r="J286" s="1" t="s">
        <v>31</v>
      </c>
      <c r="K286" s="332"/>
      <c r="L286" s="331">
        <v>9.258368879E9</v>
      </c>
      <c r="M286" s="331"/>
      <c r="N286" s="333" t="s">
        <v>1387</v>
      </c>
      <c r="O286" s="331"/>
      <c r="P286" s="331"/>
      <c r="Q286" s="331"/>
      <c r="R286" s="331"/>
      <c r="S286" s="331"/>
    </row>
    <row r="287">
      <c r="A287" s="14" t="s">
        <v>1494</v>
      </c>
      <c r="B287" s="331" t="s">
        <v>4784</v>
      </c>
      <c r="C287" s="330" t="b">
        <v>1</v>
      </c>
      <c r="D287" s="331">
        <v>2013.0</v>
      </c>
      <c r="E287" s="14"/>
      <c r="F287" s="14" t="s">
        <v>4785</v>
      </c>
      <c r="G287" s="1" t="s">
        <v>31</v>
      </c>
      <c r="H287" s="1" t="s">
        <v>31</v>
      </c>
      <c r="I287" s="331" t="s">
        <v>4437</v>
      </c>
      <c r="J287" s="1" t="s">
        <v>31</v>
      </c>
      <c r="K287" s="332"/>
      <c r="L287" s="331">
        <v>9.774134266E9</v>
      </c>
      <c r="M287" s="331"/>
      <c r="N287" s="333" t="s">
        <v>1387</v>
      </c>
      <c r="O287" s="331"/>
      <c r="P287" s="331"/>
      <c r="Q287" s="331"/>
      <c r="R287" s="331"/>
      <c r="S287" s="331"/>
    </row>
    <row r="288">
      <c r="A288" s="14" t="s">
        <v>1498</v>
      </c>
      <c r="B288" s="331" t="s">
        <v>4786</v>
      </c>
      <c r="C288" s="330" t="b">
        <v>0</v>
      </c>
      <c r="D288" s="331"/>
      <c r="E288" s="14"/>
      <c r="F288" s="14" t="s">
        <v>4787</v>
      </c>
      <c r="G288" s="1" t="s">
        <v>31</v>
      </c>
      <c r="H288" s="1" t="s">
        <v>31</v>
      </c>
      <c r="I288" s="331" t="s">
        <v>4677</v>
      </c>
      <c r="J288" s="1" t="s">
        <v>31</v>
      </c>
      <c r="K288" s="332"/>
      <c r="L288" s="331">
        <v>9.360910351E9</v>
      </c>
      <c r="M288" s="331"/>
      <c r="N288" s="333" t="s">
        <v>4737</v>
      </c>
      <c r="O288" s="331"/>
      <c r="P288" s="331"/>
      <c r="Q288" s="331"/>
      <c r="R288" s="331"/>
      <c r="S288" s="331"/>
    </row>
    <row r="289">
      <c r="A289" s="14" t="s">
        <v>1501</v>
      </c>
      <c r="B289" s="331"/>
      <c r="C289" s="330" t="b">
        <v>0</v>
      </c>
      <c r="D289" s="331"/>
      <c r="E289" s="14"/>
      <c r="F289" s="14" t="s">
        <v>4788</v>
      </c>
      <c r="G289" s="1" t="s">
        <v>31</v>
      </c>
      <c r="H289" s="1" t="s">
        <v>31</v>
      </c>
      <c r="I289" s="331" t="s">
        <v>4736</v>
      </c>
      <c r="J289" s="1" t="s">
        <v>31</v>
      </c>
      <c r="K289" s="332"/>
      <c r="L289" s="331">
        <v>9.150732613E9</v>
      </c>
      <c r="M289" s="331"/>
      <c r="N289" s="333" t="s">
        <v>177</v>
      </c>
      <c r="O289" s="331"/>
      <c r="P289" s="331"/>
      <c r="Q289" s="331"/>
      <c r="R289" s="331"/>
      <c r="S289" s="331"/>
    </row>
    <row r="290">
      <c r="A290" s="14" t="s">
        <v>1505</v>
      </c>
      <c r="B290" s="331"/>
      <c r="C290" s="330" t="b">
        <v>0</v>
      </c>
      <c r="D290" s="331"/>
      <c r="E290" s="14"/>
      <c r="F290" s="14" t="s">
        <v>4789</v>
      </c>
      <c r="G290" s="1" t="s">
        <v>31</v>
      </c>
      <c r="H290" s="1" t="s">
        <v>31</v>
      </c>
      <c r="I290" s="331" t="s">
        <v>4395</v>
      </c>
      <c r="J290" s="1" t="s">
        <v>31</v>
      </c>
      <c r="K290" s="332"/>
      <c r="L290" s="331"/>
      <c r="M290" s="331"/>
      <c r="N290" s="333" t="s">
        <v>177</v>
      </c>
      <c r="O290" s="331"/>
      <c r="P290" s="331"/>
      <c r="Q290" s="331"/>
      <c r="R290" s="331"/>
      <c r="S290" s="331"/>
    </row>
    <row r="291">
      <c r="A291" s="331" t="s">
        <v>1509</v>
      </c>
      <c r="B291" s="331" t="s">
        <v>4790</v>
      </c>
      <c r="C291" s="330" t="b">
        <v>0</v>
      </c>
      <c r="D291" s="331"/>
      <c r="E291" s="14"/>
      <c r="F291" s="14" t="s">
        <v>4791</v>
      </c>
      <c r="G291" s="1" t="s">
        <v>31</v>
      </c>
      <c r="H291" s="1" t="s">
        <v>31</v>
      </c>
      <c r="I291" s="331" t="s">
        <v>4391</v>
      </c>
      <c r="J291" s="1" t="s">
        <v>31</v>
      </c>
      <c r="K291" s="332"/>
      <c r="L291" s="331">
        <v>9.171372072E9</v>
      </c>
      <c r="M291" s="331"/>
      <c r="N291" s="333" t="s">
        <v>715</v>
      </c>
      <c r="O291" s="331"/>
      <c r="P291" s="331"/>
      <c r="Q291" s="331"/>
      <c r="R291" s="331"/>
      <c r="S291" s="331"/>
    </row>
    <row r="292">
      <c r="A292" s="331" t="s">
        <v>1511</v>
      </c>
      <c r="B292" s="331" t="s">
        <v>4792</v>
      </c>
      <c r="C292" s="330" t="b">
        <v>0</v>
      </c>
      <c r="D292" s="331"/>
      <c r="E292" s="14"/>
      <c r="F292" s="14" t="s">
        <v>4793</v>
      </c>
      <c r="G292" s="1" t="s">
        <v>31</v>
      </c>
      <c r="H292" s="1" t="s">
        <v>31</v>
      </c>
      <c r="I292" s="331" t="s">
        <v>4794</v>
      </c>
      <c r="J292" s="1" t="s">
        <v>31</v>
      </c>
      <c r="K292" s="332"/>
      <c r="L292" s="331"/>
      <c r="M292" s="331"/>
      <c r="N292" s="333" t="s">
        <v>715</v>
      </c>
      <c r="O292" s="331"/>
      <c r="P292" s="331"/>
      <c r="Q292" s="331"/>
      <c r="R292" s="331"/>
      <c r="S292" s="331"/>
    </row>
    <row r="293">
      <c r="A293" s="331" t="s">
        <v>1517</v>
      </c>
      <c r="B293" s="331"/>
      <c r="C293" s="330" t="b">
        <v>0</v>
      </c>
      <c r="D293" s="331"/>
      <c r="E293" s="14"/>
      <c r="F293" s="14" t="s">
        <v>4795</v>
      </c>
      <c r="G293" s="1" t="s">
        <v>31</v>
      </c>
      <c r="H293" s="1" t="s">
        <v>31</v>
      </c>
      <c r="I293" s="331" t="s">
        <v>4395</v>
      </c>
      <c r="J293" s="1" t="s">
        <v>31</v>
      </c>
      <c r="K293" s="332"/>
      <c r="L293" s="331"/>
      <c r="M293" s="331"/>
      <c r="N293" s="333" t="s">
        <v>177</v>
      </c>
      <c r="O293" s="331"/>
      <c r="P293" s="331"/>
      <c r="Q293" s="331"/>
      <c r="R293" s="331"/>
      <c r="S293" s="331"/>
    </row>
    <row r="294">
      <c r="A294" s="331" t="s">
        <v>1532</v>
      </c>
      <c r="B294" s="331" t="s">
        <v>4796</v>
      </c>
      <c r="C294" s="330" t="b">
        <v>0</v>
      </c>
      <c r="D294" s="331"/>
      <c r="E294" s="14"/>
      <c r="F294" s="14" t="s">
        <v>4797</v>
      </c>
      <c r="G294" s="1" t="s">
        <v>31</v>
      </c>
      <c r="H294" s="1" t="s">
        <v>31</v>
      </c>
      <c r="I294" s="331" t="s">
        <v>4742</v>
      </c>
      <c r="J294" s="1" t="s">
        <v>31</v>
      </c>
      <c r="K294" s="332"/>
      <c r="L294" s="331">
        <v>9.662897447E9</v>
      </c>
      <c r="M294" s="331"/>
      <c r="N294" s="333" t="s">
        <v>4737</v>
      </c>
      <c r="O294" s="331"/>
      <c r="P294" s="331"/>
      <c r="Q294" s="331"/>
      <c r="R294" s="331"/>
      <c r="S294" s="331"/>
    </row>
    <row r="295">
      <c r="A295" s="331" t="s">
        <v>1535</v>
      </c>
      <c r="B295" s="331" t="s">
        <v>4798</v>
      </c>
      <c r="C295" s="330" t="b">
        <v>0</v>
      </c>
      <c r="D295" s="331"/>
      <c r="E295" s="14"/>
      <c r="F295" s="14" t="s">
        <v>4799</v>
      </c>
      <c r="G295" s="1" t="s">
        <v>31</v>
      </c>
      <c r="H295" s="1" t="s">
        <v>31</v>
      </c>
      <c r="I295" s="331" t="s">
        <v>4736</v>
      </c>
      <c r="J295" s="1" t="s">
        <v>31</v>
      </c>
      <c r="K295" s="332"/>
      <c r="L295" s="331">
        <v>9.19078908E9</v>
      </c>
      <c r="M295" s="331"/>
      <c r="N295" s="333" t="s">
        <v>4737</v>
      </c>
      <c r="O295" s="331"/>
      <c r="P295" s="331"/>
      <c r="Q295" s="331"/>
      <c r="R295" s="331"/>
      <c r="S295" s="331"/>
    </row>
    <row r="296">
      <c r="A296" s="331" t="s">
        <v>1538</v>
      </c>
      <c r="B296" s="331" t="s">
        <v>4800</v>
      </c>
      <c r="C296" s="330" t="b">
        <v>0</v>
      </c>
      <c r="D296" s="331"/>
      <c r="E296" s="14"/>
      <c r="F296" s="14" t="s">
        <v>4801</v>
      </c>
      <c r="G296" s="1" t="s">
        <v>31</v>
      </c>
      <c r="H296" s="1" t="s">
        <v>31</v>
      </c>
      <c r="I296" s="331" t="s">
        <v>4736</v>
      </c>
      <c r="J296" s="1" t="s">
        <v>31</v>
      </c>
      <c r="K296" s="332"/>
      <c r="L296" s="331">
        <v>9.664056691E9</v>
      </c>
      <c r="M296" s="331"/>
      <c r="N296" s="333" t="s">
        <v>4737</v>
      </c>
      <c r="O296" s="331"/>
      <c r="P296" s="331"/>
      <c r="Q296" s="331"/>
      <c r="R296" s="331"/>
      <c r="S296" s="331"/>
    </row>
    <row r="297">
      <c r="A297" s="331" t="s">
        <v>1541</v>
      </c>
      <c r="B297" s="331" t="s">
        <v>4802</v>
      </c>
      <c r="C297" s="330" t="b">
        <v>0</v>
      </c>
      <c r="D297" s="331"/>
      <c r="E297" s="14"/>
      <c r="F297" s="14" t="s">
        <v>4803</v>
      </c>
      <c r="G297" s="1" t="s">
        <v>31</v>
      </c>
      <c r="H297" s="1" t="s">
        <v>31</v>
      </c>
      <c r="I297" s="331" t="s">
        <v>4677</v>
      </c>
      <c r="J297" s="1" t="s">
        <v>31</v>
      </c>
      <c r="K297" s="332"/>
      <c r="L297" s="331">
        <v>9.7605221E9</v>
      </c>
      <c r="M297" s="331"/>
      <c r="N297" s="333" t="s">
        <v>4737</v>
      </c>
      <c r="O297" s="331"/>
      <c r="P297" s="331"/>
      <c r="Q297" s="331"/>
      <c r="R297" s="331"/>
      <c r="S297" s="331"/>
    </row>
    <row r="298">
      <c r="A298" s="14" t="s">
        <v>1551</v>
      </c>
      <c r="B298" s="331" t="s">
        <v>4804</v>
      </c>
      <c r="C298" s="330" t="b">
        <v>0</v>
      </c>
      <c r="D298" s="331"/>
      <c r="E298" s="14"/>
      <c r="F298" s="14" t="s">
        <v>4805</v>
      </c>
      <c r="G298" s="1" t="s">
        <v>31</v>
      </c>
      <c r="H298" s="1" t="s">
        <v>31</v>
      </c>
      <c r="I298" s="331" t="s">
        <v>4437</v>
      </c>
      <c r="J298" s="1" t="s">
        <v>31</v>
      </c>
      <c r="K298" s="332"/>
      <c r="L298" s="331">
        <v>9.178418651E9</v>
      </c>
      <c r="M298" s="331"/>
      <c r="N298" s="333" t="s">
        <v>1387</v>
      </c>
      <c r="O298" s="331"/>
      <c r="P298" s="331"/>
      <c r="Q298" s="331"/>
      <c r="R298" s="331"/>
      <c r="S298" s="331"/>
    </row>
    <row r="299">
      <c r="A299" s="331" t="s">
        <v>1553</v>
      </c>
      <c r="B299" s="331" t="s">
        <v>4806</v>
      </c>
      <c r="C299" s="330" t="b">
        <v>0</v>
      </c>
      <c r="D299" s="331"/>
      <c r="E299" s="14"/>
      <c r="F299" s="14" t="s">
        <v>4807</v>
      </c>
      <c r="G299" s="1" t="s">
        <v>31</v>
      </c>
      <c r="H299" s="1" t="s">
        <v>31</v>
      </c>
      <c r="I299" s="331" t="s">
        <v>4808</v>
      </c>
      <c r="J299" s="1" t="s">
        <v>31</v>
      </c>
      <c r="K299" s="332"/>
      <c r="L299" s="331">
        <v>9.39308871E9</v>
      </c>
      <c r="M299" s="331"/>
      <c r="N299" s="333" t="s">
        <v>1387</v>
      </c>
      <c r="O299" s="331"/>
      <c r="P299" s="331"/>
      <c r="Q299" s="331"/>
      <c r="R299" s="331"/>
      <c r="S299" s="331"/>
    </row>
    <row r="300">
      <c r="A300" s="331" t="s">
        <v>1558</v>
      </c>
      <c r="B300" s="331"/>
      <c r="C300" s="330" t="b">
        <v>0</v>
      </c>
      <c r="D300" s="331"/>
      <c r="E300" s="14"/>
      <c r="F300" s="337" t="s">
        <v>4809</v>
      </c>
      <c r="G300" s="1" t="s">
        <v>31</v>
      </c>
      <c r="H300" s="1" t="s">
        <v>31</v>
      </c>
      <c r="I300" s="331" t="s">
        <v>4395</v>
      </c>
      <c r="J300" s="1" t="s">
        <v>31</v>
      </c>
      <c r="K300" s="332"/>
      <c r="L300" s="331">
        <v>9.389383081E9</v>
      </c>
      <c r="M300" s="331"/>
      <c r="N300" s="333" t="s">
        <v>177</v>
      </c>
      <c r="O300" s="331"/>
      <c r="P300" s="331"/>
      <c r="Q300" s="331"/>
      <c r="R300" s="331"/>
      <c r="S300" s="331"/>
    </row>
    <row r="301">
      <c r="A301" s="331" t="s">
        <v>1567</v>
      </c>
      <c r="B301" s="331"/>
      <c r="C301" s="330" t="b">
        <v>0</v>
      </c>
      <c r="D301" s="331"/>
      <c r="E301" s="14"/>
      <c r="F301" s="14" t="s">
        <v>4810</v>
      </c>
      <c r="G301" s="1" t="s">
        <v>31</v>
      </c>
      <c r="H301" s="1" t="s">
        <v>31</v>
      </c>
      <c r="I301" s="331" t="s">
        <v>4417</v>
      </c>
      <c r="J301" s="1" t="s">
        <v>31</v>
      </c>
      <c r="K301" s="332"/>
      <c r="L301" s="331">
        <v>9.454532809E9</v>
      </c>
      <c r="M301" s="331"/>
      <c r="N301" s="333" t="s">
        <v>744</v>
      </c>
      <c r="O301" s="331"/>
      <c r="P301" s="331"/>
      <c r="Q301" s="331"/>
      <c r="R301" s="331"/>
      <c r="S301" s="331"/>
    </row>
    <row r="302">
      <c r="A302" s="331" t="s">
        <v>1579</v>
      </c>
      <c r="B302" s="331" t="s">
        <v>4811</v>
      </c>
      <c r="C302" s="330" t="b">
        <v>0</v>
      </c>
      <c r="D302" s="331"/>
      <c r="E302" s="14"/>
      <c r="F302" s="14" t="s">
        <v>4812</v>
      </c>
      <c r="G302" s="1" t="s">
        <v>31</v>
      </c>
      <c r="H302" s="1" t="s">
        <v>31</v>
      </c>
      <c r="I302" s="331" t="s">
        <v>4391</v>
      </c>
      <c r="J302" s="1" t="s">
        <v>31</v>
      </c>
      <c r="K302" s="332"/>
      <c r="L302" s="331"/>
      <c r="M302" s="331"/>
      <c r="N302" s="333" t="s">
        <v>715</v>
      </c>
      <c r="O302" s="331"/>
      <c r="P302" s="331"/>
      <c r="Q302" s="331"/>
      <c r="R302" s="331"/>
      <c r="S302" s="331"/>
    </row>
    <row r="303">
      <c r="A303" s="331" t="s">
        <v>1581</v>
      </c>
      <c r="B303" s="331" t="s">
        <v>4813</v>
      </c>
      <c r="C303" s="330" t="b">
        <v>0</v>
      </c>
      <c r="D303" s="331"/>
      <c r="E303" s="14"/>
      <c r="F303" s="14" t="s">
        <v>4814</v>
      </c>
      <c r="G303" s="1" t="s">
        <v>31</v>
      </c>
      <c r="H303" s="1" t="s">
        <v>31</v>
      </c>
      <c r="I303" s="331" t="s">
        <v>4794</v>
      </c>
      <c r="J303" s="1" t="s">
        <v>31</v>
      </c>
      <c r="K303" s="332"/>
      <c r="L303" s="331">
        <v>9.319371954E9</v>
      </c>
      <c r="M303" s="331"/>
      <c r="N303" s="333" t="s">
        <v>715</v>
      </c>
      <c r="O303" s="331"/>
      <c r="P303" s="331"/>
      <c r="Q303" s="331"/>
      <c r="R303" s="331"/>
      <c r="S303" s="331"/>
    </row>
    <row r="304">
      <c r="A304" s="331" t="s">
        <v>1775</v>
      </c>
      <c r="B304" s="331" t="s">
        <v>4815</v>
      </c>
      <c r="C304" s="330" t="b">
        <v>0</v>
      </c>
      <c r="D304" s="331"/>
      <c r="E304" s="14"/>
      <c r="F304" s="14" t="s">
        <v>4816</v>
      </c>
      <c r="G304" s="1" t="s">
        <v>31</v>
      </c>
      <c r="H304" s="1" t="s">
        <v>31</v>
      </c>
      <c r="I304" s="331" t="s">
        <v>4391</v>
      </c>
      <c r="J304" s="1" t="s">
        <v>31</v>
      </c>
      <c r="K304" s="332"/>
      <c r="L304" s="331">
        <v>9.952122388E9</v>
      </c>
      <c r="M304" s="331"/>
      <c r="N304" s="333" t="s">
        <v>715</v>
      </c>
      <c r="O304" s="331"/>
      <c r="P304" s="331"/>
      <c r="Q304" s="331"/>
      <c r="R304" s="331"/>
      <c r="S304" s="331"/>
    </row>
    <row r="305">
      <c r="A305" s="331" t="s">
        <v>1780</v>
      </c>
      <c r="B305" s="331"/>
      <c r="C305" s="330" t="b">
        <v>0</v>
      </c>
      <c r="D305" s="331"/>
      <c r="E305" s="14"/>
      <c r="F305" s="14" t="s">
        <v>4817</v>
      </c>
      <c r="G305" s="1" t="s">
        <v>31</v>
      </c>
      <c r="H305" s="1" t="s">
        <v>31</v>
      </c>
      <c r="I305" s="331" t="s">
        <v>4358</v>
      </c>
      <c r="J305" s="1" t="s">
        <v>31</v>
      </c>
      <c r="K305" s="332"/>
      <c r="L305" s="331">
        <v>9.489245933E9</v>
      </c>
      <c r="M305" s="331"/>
      <c r="N305" s="333" t="s">
        <v>715</v>
      </c>
      <c r="O305" s="331"/>
      <c r="P305" s="331"/>
      <c r="Q305" s="331"/>
      <c r="R305" s="331"/>
      <c r="S305" s="331"/>
    </row>
    <row r="306">
      <c r="A306" s="331" t="s">
        <v>1783</v>
      </c>
      <c r="B306" s="331"/>
      <c r="C306" s="330" t="b">
        <v>0</v>
      </c>
      <c r="D306" s="331"/>
      <c r="E306" s="14"/>
      <c r="F306" s="14" t="s">
        <v>4818</v>
      </c>
      <c r="G306" s="1" t="s">
        <v>31</v>
      </c>
      <c r="H306" s="1" t="s">
        <v>31</v>
      </c>
      <c r="I306" s="330" t="s">
        <v>4391</v>
      </c>
      <c r="J306" s="1" t="s">
        <v>31</v>
      </c>
      <c r="K306" s="332"/>
      <c r="L306" s="331">
        <v>9.075638947E9</v>
      </c>
      <c r="M306" s="331"/>
      <c r="N306" s="333" t="s">
        <v>715</v>
      </c>
      <c r="O306" s="331"/>
      <c r="P306" s="331"/>
      <c r="Q306" s="331"/>
      <c r="R306" s="331"/>
      <c r="S306" s="331"/>
    </row>
    <row r="307">
      <c r="A307" s="331" t="s">
        <v>1785</v>
      </c>
      <c r="B307" s="331"/>
      <c r="C307" s="330" t="b">
        <v>0</v>
      </c>
      <c r="D307" s="331"/>
      <c r="E307" s="14"/>
      <c r="F307" s="14" t="s">
        <v>4819</v>
      </c>
      <c r="G307" s="1" t="s">
        <v>31</v>
      </c>
      <c r="H307" s="1" t="s">
        <v>31</v>
      </c>
      <c r="I307" s="331" t="s">
        <v>4395</v>
      </c>
      <c r="J307" s="1" t="s">
        <v>31</v>
      </c>
      <c r="K307" s="332"/>
      <c r="L307" s="331"/>
      <c r="M307" s="331"/>
      <c r="N307" s="333" t="s">
        <v>4737</v>
      </c>
      <c r="O307" s="331"/>
      <c r="P307" s="331"/>
      <c r="Q307" s="331"/>
      <c r="R307" s="331"/>
      <c r="S307" s="331"/>
    </row>
    <row r="308">
      <c r="A308" s="331" t="s">
        <v>1788</v>
      </c>
      <c r="B308" s="331"/>
      <c r="C308" s="330" t="b">
        <v>0</v>
      </c>
      <c r="D308" s="331"/>
      <c r="E308" s="14"/>
      <c r="F308" s="14" t="s">
        <v>4820</v>
      </c>
      <c r="G308" s="1" t="s">
        <v>31</v>
      </c>
      <c r="H308" s="1" t="s">
        <v>31</v>
      </c>
      <c r="I308" s="331" t="s">
        <v>4742</v>
      </c>
      <c r="J308" s="1" t="s">
        <v>31</v>
      </c>
      <c r="K308" s="332"/>
      <c r="L308" s="331"/>
      <c r="M308" s="331"/>
      <c r="N308" s="333" t="s">
        <v>4737</v>
      </c>
      <c r="O308" s="331"/>
      <c r="P308" s="331"/>
      <c r="Q308" s="331"/>
      <c r="R308" s="331"/>
      <c r="S308" s="331"/>
    </row>
    <row r="309">
      <c r="A309" s="331" t="s">
        <v>1790</v>
      </c>
      <c r="B309" s="331"/>
      <c r="C309" s="330" t="b">
        <v>0</v>
      </c>
      <c r="D309" s="331"/>
      <c r="E309" s="14"/>
      <c r="F309" s="14" t="s">
        <v>4821</v>
      </c>
      <c r="G309" s="1" t="s">
        <v>31</v>
      </c>
      <c r="H309" s="1" t="s">
        <v>31</v>
      </c>
      <c r="I309" s="331" t="s">
        <v>4395</v>
      </c>
      <c r="J309" s="1" t="s">
        <v>31</v>
      </c>
      <c r="K309" s="332"/>
      <c r="L309" s="331">
        <v>9.257110639E9</v>
      </c>
      <c r="M309" s="331"/>
      <c r="N309" s="333" t="s">
        <v>4737</v>
      </c>
      <c r="O309" s="331"/>
      <c r="P309" s="331"/>
      <c r="Q309" s="331"/>
      <c r="R309" s="331"/>
      <c r="S309" s="331"/>
    </row>
    <row r="310">
      <c r="A310" s="331" t="s">
        <v>1793</v>
      </c>
      <c r="B310" s="331"/>
      <c r="C310" s="330" t="b">
        <v>0</v>
      </c>
      <c r="D310" s="331"/>
      <c r="E310" s="14"/>
      <c r="F310" s="14" t="s">
        <v>4822</v>
      </c>
      <c r="G310" s="1" t="s">
        <v>31</v>
      </c>
      <c r="H310" s="1" t="s">
        <v>31</v>
      </c>
      <c r="I310" s="331" t="s">
        <v>4395</v>
      </c>
      <c r="J310" s="1" t="s">
        <v>31</v>
      </c>
      <c r="K310" s="332"/>
      <c r="L310" s="331"/>
      <c r="M310" s="331"/>
      <c r="N310" s="333" t="s">
        <v>1376</v>
      </c>
      <c r="O310" s="331"/>
      <c r="P310" s="331"/>
      <c r="Q310" s="331"/>
      <c r="R310" s="331"/>
      <c r="S310" s="331"/>
    </row>
    <row r="311">
      <c r="A311" s="331" t="s">
        <v>1795</v>
      </c>
      <c r="B311" s="331"/>
      <c r="C311" s="330" t="b">
        <v>0</v>
      </c>
      <c r="D311" s="331"/>
      <c r="E311" s="14"/>
      <c r="F311" s="14" t="s">
        <v>4823</v>
      </c>
      <c r="G311" s="1" t="s">
        <v>31</v>
      </c>
      <c r="H311" s="1" t="s">
        <v>31</v>
      </c>
      <c r="I311" s="331" t="s">
        <v>4395</v>
      </c>
      <c r="J311" s="1" t="s">
        <v>31</v>
      </c>
      <c r="K311" s="332"/>
      <c r="L311" s="331"/>
      <c r="M311" s="331"/>
      <c r="N311" s="333" t="s">
        <v>4737</v>
      </c>
      <c r="O311" s="331"/>
      <c r="P311" s="331"/>
      <c r="Q311" s="331"/>
      <c r="R311" s="331"/>
      <c r="S311" s="331"/>
    </row>
    <row r="312">
      <c r="A312" s="331" t="s">
        <v>1647</v>
      </c>
      <c r="B312" s="331"/>
      <c r="C312" s="330" t="b">
        <v>0</v>
      </c>
      <c r="D312" s="331"/>
      <c r="E312" s="14"/>
      <c r="F312" s="14" t="s">
        <v>4824</v>
      </c>
      <c r="G312" s="1" t="s">
        <v>31</v>
      </c>
      <c r="H312" s="1" t="s">
        <v>31</v>
      </c>
      <c r="I312" s="331" t="s">
        <v>4412</v>
      </c>
      <c r="J312" s="1" t="s">
        <v>31</v>
      </c>
      <c r="K312" s="332"/>
      <c r="L312" s="331"/>
      <c r="M312" s="331"/>
      <c r="N312" s="333" t="s">
        <v>1387</v>
      </c>
      <c r="O312" s="331"/>
      <c r="P312" s="331"/>
      <c r="Q312" s="331"/>
      <c r="R312" s="331"/>
      <c r="S312" s="331"/>
    </row>
    <row r="313">
      <c r="A313" s="331" t="s">
        <v>1799</v>
      </c>
      <c r="B313" s="331"/>
      <c r="C313" s="330" t="b">
        <v>0</v>
      </c>
      <c r="D313" s="331"/>
      <c r="E313" s="14"/>
      <c r="F313" s="14" t="s">
        <v>4825</v>
      </c>
      <c r="G313" s="1" t="s">
        <v>31</v>
      </c>
      <c r="H313" s="1" t="s">
        <v>31</v>
      </c>
      <c r="I313" s="331" t="s">
        <v>4742</v>
      </c>
      <c r="J313" s="1" t="s">
        <v>31</v>
      </c>
      <c r="K313" s="332"/>
      <c r="L313" s="331"/>
      <c r="M313" s="331"/>
      <c r="N313" s="333" t="s">
        <v>4737</v>
      </c>
      <c r="O313" s="331"/>
      <c r="P313" s="331"/>
      <c r="Q313" s="331"/>
      <c r="R313" s="331"/>
      <c r="S313" s="331"/>
    </row>
    <row r="314">
      <c r="A314" s="331" t="s">
        <v>1801</v>
      </c>
      <c r="B314" s="331"/>
      <c r="C314" s="330" t="b">
        <v>0</v>
      </c>
      <c r="D314" s="331"/>
      <c r="E314" s="14"/>
      <c r="F314" s="14" t="s">
        <v>4826</v>
      </c>
      <c r="G314" s="1" t="s">
        <v>31</v>
      </c>
      <c r="H314" s="1" t="s">
        <v>31</v>
      </c>
      <c r="I314" s="331" t="s">
        <v>4742</v>
      </c>
      <c r="J314" s="1" t="s">
        <v>31</v>
      </c>
      <c r="K314" s="332"/>
      <c r="L314" s="331"/>
      <c r="M314" s="331"/>
      <c r="N314" s="333" t="s">
        <v>4737</v>
      </c>
      <c r="O314" s="331"/>
      <c r="P314" s="331"/>
      <c r="Q314" s="331"/>
      <c r="R314" s="331"/>
      <c r="S314" s="331"/>
    </row>
    <row r="315">
      <c r="A315" s="331" t="s">
        <v>1803</v>
      </c>
      <c r="B315" s="331"/>
      <c r="C315" s="330" t="b">
        <v>0</v>
      </c>
      <c r="D315" s="331"/>
      <c r="E315" s="14"/>
      <c r="F315" s="14" t="s">
        <v>4827</v>
      </c>
      <c r="G315" s="1" t="s">
        <v>31</v>
      </c>
      <c r="H315" s="1" t="s">
        <v>31</v>
      </c>
      <c r="I315" s="331" t="s">
        <v>4736</v>
      </c>
      <c r="J315" s="1" t="s">
        <v>31</v>
      </c>
      <c r="K315" s="332"/>
      <c r="L315" s="331"/>
      <c r="M315" s="331"/>
      <c r="N315" s="333" t="s">
        <v>4737</v>
      </c>
      <c r="O315" s="331"/>
      <c r="P315" s="331"/>
      <c r="Q315" s="331"/>
      <c r="R315" s="331"/>
      <c r="S315" s="331"/>
    </row>
    <row r="316">
      <c r="A316" s="331" t="s">
        <v>1808</v>
      </c>
      <c r="B316" s="331"/>
      <c r="C316" s="330" t="b">
        <v>0</v>
      </c>
      <c r="D316" s="331"/>
      <c r="E316" s="14"/>
      <c r="F316" s="14" t="s">
        <v>4828</v>
      </c>
      <c r="G316" s="1" t="s">
        <v>31</v>
      </c>
      <c r="H316" s="1" t="s">
        <v>31</v>
      </c>
      <c r="I316" s="331" t="s">
        <v>4363</v>
      </c>
      <c r="J316" s="1" t="s">
        <v>31</v>
      </c>
      <c r="K316" s="332"/>
      <c r="L316" s="331"/>
      <c r="M316" s="331"/>
      <c r="N316" s="333" t="s">
        <v>177</v>
      </c>
      <c r="O316" s="331"/>
      <c r="P316" s="331"/>
      <c r="Q316" s="331"/>
      <c r="R316" s="331"/>
      <c r="S316" s="331"/>
    </row>
    <row r="317">
      <c r="A317" s="331" t="s">
        <v>1820</v>
      </c>
      <c r="B317" s="331"/>
      <c r="C317" s="330" t="b">
        <v>0</v>
      </c>
      <c r="D317" s="331"/>
      <c r="E317" s="14"/>
      <c r="F317" s="14" t="s">
        <v>4829</v>
      </c>
      <c r="G317" s="1" t="s">
        <v>31</v>
      </c>
      <c r="H317" s="1" t="s">
        <v>31</v>
      </c>
      <c r="I317" s="331" t="s">
        <v>4391</v>
      </c>
      <c r="J317" s="1" t="s">
        <v>31</v>
      </c>
      <c r="K317" s="332"/>
      <c r="L317" s="331">
        <v>9.777770047E9</v>
      </c>
      <c r="M317" s="331"/>
      <c r="N317" s="333" t="s">
        <v>715</v>
      </c>
      <c r="O317" s="331"/>
      <c r="P317" s="331"/>
      <c r="Q317" s="331"/>
      <c r="R317" s="331"/>
      <c r="S317" s="331"/>
    </row>
    <row r="318">
      <c r="A318" s="331" t="s">
        <v>1824</v>
      </c>
      <c r="B318" s="331"/>
      <c r="C318" s="330" t="b">
        <v>0</v>
      </c>
      <c r="D318" s="331"/>
      <c r="E318" s="14"/>
      <c r="F318" s="14" t="s">
        <v>4830</v>
      </c>
      <c r="G318" s="1" t="s">
        <v>31</v>
      </c>
      <c r="H318" s="1" t="s">
        <v>31</v>
      </c>
      <c r="I318" s="331" t="s">
        <v>4391</v>
      </c>
      <c r="J318" s="1" t="s">
        <v>31</v>
      </c>
      <c r="K318" s="332"/>
      <c r="L318" s="331"/>
      <c r="M318" s="331"/>
      <c r="N318" s="333" t="s">
        <v>715</v>
      </c>
      <c r="O318" s="331"/>
      <c r="P318" s="331"/>
      <c r="Q318" s="331"/>
      <c r="R318" s="331"/>
      <c r="S318" s="331"/>
    </row>
    <row r="319">
      <c r="A319" s="331" t="s">
        <v>1826</v>
      </c>
      <c r="B319" s="331"/>
      <c r="C319" s="330" t="b">
        <v>0</v>
      </c>
      <c r="D319" s="331"/>
      <c r="E319" s="14"/>
      <c r="F319" s="14" t="s">
        <v>4831</v>
      </c>
      <c r="G319" s="1" t="s">
        <v>31</v>
      </c>
      <c r="H319" s="1" t="s">
        <v>31</v>
      </c>
      <c r="I319" s="331" t="s">
        <v>4391</v>
      </c>
      <c r="J319" s="1" t="s">
        <v>31</v>
      </c>
      <c r="K319" s="332"/>
      <c r="L319" s="331"/>
      <c r="M319" s="331"/>
      <c r="N319" s="333" t="s">
        <v>715</v>
      </c>
      <c r="O319" s="331"/>
      <c r="P319" s="331"/>
      <c r="Q319" s="331"/>
      <c r="R319" s="331"/>
      <c r="S319" s="331"/>
    </row>
    <row r="320">
      <c r="A320" s="331" t="s">
        <v>1828</v>
      </c>
      <c r="B320" s="331"/>
      <c r="C320" s="330" t="b">
        <v>0</v>
      </c>
      <c r="D320" s="331"/>
      <c r="E320" s="14"/>
      <c r="F320" s="14" t="s">
        <v>4832</v>
      </c>
      <c r="G320" s="1" t="s">
        <v>31</v>
      </c>
      <c r="H320" s="1" t="s">
        <v>31</v>
      </c>
      <c r="I320" s="331" t="s">
        <v>4391</v>
      </c>
      <c r="J320" s="1" t="s">
        <v>31</v>
      </c>
      <c r="K320" s="332"/>
      <c r="L320" s="331">
        <v>9.064436452E9</v>
      </c>
      <c r="M320" s="331"/>
      <c r="N320" s="333" t="s">
        <v>715</v>
      </c>
      <c r="O320" s="331"/>
      <c r="P320" s="331"/>
      <c r="Q320" s="331"/>
      <c r="R320" s="331"/>
      <c r="S320" s="331"/>
    </row>
    <row r="321">
      <c r="A321" s="331" t="s">
        <v>1863</v>
      </c>
      <c r="B321" s="331"/>
      <c r="C321" s="330" t="b">
        <v>0</v>
      </c>
      <c r="D321" s="331"/>
      <c r="E321" s="14"/>
      <c r="F321" s="14" t="s">
        <v>4833</v>
      </c>
      <c r="G321" s="1" t="s">
        <v>31</v>
      </c>
      <c r="H321" s="1" t="s">
        <v>31</v>
      </c>
      <c r="I321" s="331" t="s">
        <v>4677</v>
      </c>
      <c r="J321" s="1" t="s">
        <v>31</v>
      </c>
      <c r="K321" s="332"/>
      <c r="L321" s="331">
        <v>9.153135193E9</v>
      </c>
      <c r="M321" s="331"/>
      <c r="N321" s="333" t="s">
        <v>4737</v>
      </c>
      <c r="O321" s="331"/>
      <c r="P321" s="331"/>
      <c r="Q321" s="331"/>
      <c r="R321" s="331"/>
      <c r="S321" s="331"/>
    </row>
    <row r="322">
      <c r="A322" s="331" t="s">
        <v>1865</v>
      </c>
      <c r="B322" s="331"/>
      <c r="C322" s="330" t="b">
        <v>0</v>
      </c>
      <c r="D322" s="331"/>
      <c r="E322" s="14"/>
      <c r="F322" s="14" t="s">
        <v>4834</v>
      </c>
      <c r="G322" s="1" t="s">
        <v>31</v>
      </c>
      <c r="H322" s="1" t="s">
        <v>31</v>
      </c>
      <c r="I322" s="331" t="s">
        <v>4677</v>
      </c>
      <c r="J322" s="1" t="s">
        <v>31</v>
      </c>
      <c r="K322" s="332"/>
      <c r="L322" s="331"/>
      <c r="M322" s="331"/>
      <c r="N322" s="333" t="s">
        <v>4737</v>
      </c>
      <c r="O322" s="331"/>
      <c r="P322" s="331"/>
      <c r="Q322" s="331"/>
      <c r="R322" s="331"/>
      <c r="S322" s="331"/>
    </row>
    <row r="323">
      <c r="A323" s="331" t="s">
        <v>1670</v>
      </c>
      <c r="B323" s="331" t="s">
        <v>4524</v>
      </c>
      <c r="C323" s="330" t="b">
        <v>0</v>
      </c>
      <c r="D323" s="331"/>
      <c r="E323" s="14"/>
      <c r="F323" s="14" t="s">
        <v>4835</v>
      </c>
      <c r="G323" s="1" t="s">
        <v>31</v>
      </c>
      <c r="H323" s="1" t="s">
        <v>31</v>
      </c>
      <c r="I323" s="331" t="s">
        <v>4363</v>
      </c>
      <c r="J323" s="1" t="s">
        <v>31</v>
      </c>
      <c r="K323" s="332"/>
      <c r="L323" s="331">
        <v>9.673340913E9</v>
      </c>
      <c r="M323" s="331"/>
      <c r="N323" s="333" t="s">
        <v>177</v>
      </c>
      <c r="O323" s="331"/>
      <c r="P323" s="331"/>
      <c r="Q323" s="331"/>
      <c r="R323" s="331"/>
      <c r="S323" s="331"/>
    </row>
    <row r="324">
      <c r="A324" s="331" t="s">
        <v>1882</v>
      </c>
      <c r="B324" s="331"/>
      <c r="C324" s="330" t="b">
        <v>0</v>
      </c>
      <c r="D324" s="331"/>
      <c r="E324" s="14"/>
      <c r="F324" s="14" t="s">
        <v>4836</v>
      </c>
      <c r="G324" s="1" t="s">
        <v>31</v>
      </c>
      <c r="H324" s="1" t="s">
        <v>31</v>
      </c>
      <c r="I324" s="331" t="s">
        <v>4742</v>
      </c>
      <c r="J324" s="1" t="s">
        <v>31</v>
      </c>
      <c r="K324" s="332"/>
      <c r="L324" s="331"/>
      <c r="M324" s="331"/>
      <c r="N324" s="333" t="s">
        <v>4737</v>
      </c>
      <c r="O324" s="331"/>
      <c r="P324" s="331"/>
      <c r="Q324" s="331"/>
      <c r="R324" s="331"/>
      <c r="S324" s="331"/>
    </row>
    <row r="325">
      <c r="A325" s="14" t="s">
        <v>1589</v>
      </c>
      <c r="B325" s="331"/>
      <c r="C325" s="330" t="b">
        <v>0</v>
      </c>
      <c r="D325" s="331"/>
      <c r="E325" s="14"/>
      <c r="F325" s="14" t="s">
        <v>4837</v>
      </c>
      <c r="G325" s="1" t="s">
        <v>31</v>
      </c>
      <c r="H325" s="1" t="s">
        <v>31</v>
      </c>
      <c r="I325" s="331" t="s">
        <v>4742</v>
      </c>
      <c r="J325" s="1" t="s">
        <v>31</v>
      </c>
      <c r="K325" s="332"/>
      <c r="L325" s="331"/>
      <c r="M325" s="331"/>
      <c r="N325" s="333" t="s">
        <v>4737</v>
      </c>
      <c r="O325" s="331"/>
      <c r="P325" s="331"/>
      <c r="Q325" s="331"/>
      <c r="R325" s="331"/>
      <c r="S325" s="331"/>
    </row>
    <row r="326">
      <c r="A326" s="14" t="s">
        <v>2043</v>
      </c>
      <c r="B326" s="331"/>
      <c r="C326" s="330" t="b">
        <v>0</v>
      </c>
      <c r="D326" s="331"/>
      <c r="E326" s="14"/>
      <c r="F326" s="14" t="s">
        <v>4838</v>
      </c>
      <c r="G326" s="1" t="s">
        <v>31</v>
      </c>
      <c r="H326" s="1" t="s">
        <v>31</v>
      </c>
      <c r="I326" s="331" t="s">
        <v>4794</v>
      </c>
      <c r="J326" s="1" t="s">
        <v>31</v>
      </c>
      <c r="K326" s="332"/>
      <c r="L326" s="331">
        <v>9.087711464E9</v>
      </c>
      <c r="M326" s="331"/>
      <c r="N326" s="333" t="s">
        <v>1847</v>
      </c>
      <c r="O326" s="331"/>
      <c r="P326" s="331"/>
      <c r="Q326" s="331"/>
      <c r="R326" s="331"/>
      <c r="S326" s="331"/>
    </row>
    <row r="327">
      <c r="A327" s="14" t="s">
        <v>2045</v>
      </c>
      <c r="B327" s="331"/>
      <c r="C327" s="330" t="b">
        <v>0</v>
      </c>
      <c r="D327" s="331"/>
      <c r="E327" s="14"/>
      <c r="F327" s="14" t="s">
        <v>4839</v>
      </c>
      <c r="G327" s="1" t="s">
        <v>31</v>
      </c>
      <c r="H327" s="1" t="s">
        <v>31</v>
      </c>
      <c r="I327" s="331" t="s">
        <v>4794</v>
      </c>
      <c r="J327" s="1" t="s">
        <v>31</v>
      </c>
      <c r="K327" s="332"/>
      <c r="L327" s="331">
        <v>9.173269021E9</v>
      </c>
      <c r="M327" s="331"/>
      <c r="N327" s="333" t="s">
        <v>1847</v>
      </c>
      <c r="O327" s="331"/>
      <c r="P327" s="331"/>
      <c r="Q327" s="331"/>
      <c r="R327" s="331"/>
      <c r="S327" s="331"/>
    </row>
    <row r="328">
      <c r="A328" s="14" t="s">
        <v>2047</v>
      </c>
      <c r="B328" s="331"/>
      <c r="C328" s="330" t="b">
        <v>0</v>
      </c>
      <c r="D328" s="331"/>
      <c r="E328" s="14"/>
      <c r="F328" s="14" t="s">
        <v>4840</v>
      </c>
      <c r="G328" s="1" t="s">
        <v>31</v>
      </c>
      <c r="H328" s="1" t="s">
        <v>31</v>
      </c>
      <c r="I328" s="331" t="s">
        <v>4391</v>
      </c>
      <c r="J328" s="1" t="s">
        <v>31</v>
      </c>
      <c r="K328" s="332"/>
      <c r="L328" s="331">
        <v>9.162423766E9</v>
      </c>
      <c r="M328" s="331"/>
      <c r="N328" s="333" t="s">
        <v>1847</v>
      </c>
      <c r="O328" s="331"/>
      <c r="P328" s="331"/>
      <c r="Q328" s="331"/>
      <c r="R328" s="331"/>
      <c r="S328" s="331"/>
    </row>
    <row r="329">
      <c r="A329" s="14" t="s">
        <v>2049</v>
      </c>
      <c r="B329" s="331"/>
      <c r="C329" s="330" t="b">
        <v>0</v>
      </c>
      <c r="D329" s="331"/>
      <c r="E329" s="14"/>
      <c r="F329" s="14" t="s">
        <v>4841</v>
      </c>
      <c r="G329" s="1" t="s">
        <v>31</v>
      </c>
      <c r="H329" s="1" t="s">
        <v>31</v>
      </c>
      <c r="I329" s="331" t="s">
        <v>4842</v>
      </c>
      <c r="J329" s="1" t="s">
        <v>31</v>
      </c>
      <c r="K329" s="332"/>
      <c r="L329" s="331">
        <v>9.177284392E9</v>
      </c>
      <c r="M329" s="331"/>
      <c r="N329" s="333" t="s">
        <v>1724</v>
      </c>
      <c r="O329" s="331"/>
      <c r="P329" s="331"/>
      <c r="Q329" s="331"/>
      <c r="R329" s="331"/>
      <c r="S329" s="331"/>
    </row>
    <row r="330">
      <c r="A330" s="14" t="s">
        <v>2060</v>
      </c>
      <c r="B330" s="331"/>
      <c r="C330" s="330" t="b">
        <v>0</v>
      </c>
      <c r="D330" s="331"/>
      <c r="E330" s="14"/>
      <c r="F330" s="14" t="s">
        <v>4843</v>
      </c>
      <c r="G330" s="1" t="s">
        <v>31</v>
      </c>
      <c r="H330" s="1" t="s">
        <v>31</v>
      </c>
      <c r="I330" s="331" t="s">
        <v>4842</v>
      </c>
      <c r="J330" s="1" t="s">
        <v>31</v>
      </c>
      <c r="K330" s="332"/>
      <c r="L330" s="331">
        <v>9.088980421E9</v>
      </c>
      <c r="M330" s="331"/>
      <c r="N330" s="333" t="s">
        <v>1724</v>
      </c>
      <c r="O330" s="331"/>
      <c r="P330" s="331"/>
      <c r="Q330" s="331"/>
      <c r="R330" s="331"/>
      <c r="S330" s="331"/>
    </row>
    <row r="331">
      <c r="A331" s="14" t="s">
        <v>2062</v>
      </c>
      <c r="B331" s="331"/>
      <c r="C331" s="330" t="b">
        <v>0</v>
      </c>
      <c r="D331" s="331"/>
      <c r="E331" s="14"/>
      <c r="F331" s="14" t="s">
        <v>4843</v>
      </c>
      <c r="G331" s="1" t="s">
        <v>31</v>
      </c>
      <c r="H331" s="1" t="s">
        <v>31</v>
      </c>
      <c r="I331" s="331" t="s">
        <v>4842</v>
      </c>
      <c r="J331" s="1" t="s">
        <v>31</v>
      </c>
      <c r="K331" s="332"/>
      <c r="L331" s="331">
        <v>9.19073112E9</v>
      </c>
      <c r="M331" s="331"/>
      <c r="N331" s="333" t="s">
        <v>1724</v>
      </c>
      <c r="O331" s="331"/>
      <c r="P331" s="331"/>
      <c r="Q331" s="331"/>
      <c r="R331" s="331"/>
      <c r="S331" s="331"/>
    </row>
    <row r="332">
      <c r="A332" s="14" t="s">
        <v>2064</v>
      </c>
      <c r="B332" s="331"/>
      <c r="C332" s="330" t="b">
        <v>0</v>
      </c>
      <c r="D332" s="331"/>
      <c r="E332" s="14"/>
      <c r="F332" s="14" t="s">
        <v>4844</v>
      </c>
      <c r="G332" s="1" t="s">
        <v>31</v>
      </c>
      <c r="H332" s="1" t="s">
        <v>31</v>
      </c>
      <c r="I332" s="331" t="s">
        <v>4842</v>
      </c>
      <c r="J332" s="1" t="s">
        <v>31</v>
      </c>
      <c r="K332" s="332"/>
      <c r="L332" s="331">
        <v>9.54997696E9</v>
      </c>
      <c r="M332" s="331"/>
      <c r="N332" s="333" t="s">
        <v>1724</v>
      </c>
      <c r="O332" s="331"/>
      <c r="P332" s="331"/>
      <c r="Q332" s="331"/>
      <c r="R332" s="331"/>
      <c r="S332" s="331"/>
    </row>
    <row r="333">
      <c r="A333" s="14" t="s">
        <v>2066</v>
      </c>
      <c r="B333" s="331"/>
      <c r="C333" s="330" t="b">
        <v>0</v>
      </c>
      <c r="D333" s="331"/>
      <c r="E333" s="14"/>
      <c r="F333" s="14" t="s">
        <v>4844</v>
      </c>
      <c r="G333" s="1" t="s">
        <v>31</v>
      </c>
      <c r="H333" s="1" t="s">
        <v>31</v>
      </c>
      <c r="I333" s="331" t="s">
        <v>4842</v>
      </c>
      <c r="J333" s="1" t="s">
        <v>31</v>
      </c>
      <c r="K333" s="332"/>
      <c r="L333" s="331">
        <v>9.481680524E9</v>
      </c>
      <c r="M333" s="331"/>
      <c r="N333" s="333" t="s">
        <v>1724</v>
      </c>
      <c r="O333" s="331"/>
      <c r="P333" s="331"/>
      <c r="Q333" s="331"/>
      <c r="R333" s="331"/>
      <c r="S333" s="331"/>
    </row>
    <row r="334">
      <c r="A334" s="14" t="s">
        <v>2068</v>
      </c>
      <c r="B334" s="331"/>
      <c r="C334" s="330" t="b">
        <v>0</v>
      </c>
      <c r="D334" s="331"/>
      <c r="E334" s="14"/>
      <c r="F334" s="14" t="s">
        <v>4845</v>
      </c>
      <c r="G334" s="1" t="s">
        <v>31</v>
      </c>
      <c r="H334" s="1" t="s">
        <v>31</v>
      </c>
      <c r="I334" s="331" t="s">
        <v>4794</v>
      </c>
      <c r="J334" s="1" t="s">
        <v>31</v>
      </c>
      <c r="K334" s="332"/>
      <c r="L334" s="331">
        <v>9.258765641E9</v>
      </c>
      <c r="M334" s="331"/>
      <c r="N334" s="333" t="s">
        <v>1724</v>
      </c>
      <c r="O334" s="331"/>
      <c r="P334" s="331"/>
      <c r="Q334" s="331"/>
      <c r="R334" s="331"/>
      <c r="S334" s="331"/>
    </row>
    <row r="335">
      <c r="A335" s="14" t="s">
        <v>2070</v>
      </c>
      <c r="B335" s="331"/>
      <c r="C335" s="330" t="b">
        <v>0</v>
      </c>
      <c r="D335" s="331"/>
      <c r="E335" s="14"/>
      <c r="F335" s="14" t="s">
        <v>4846</v>
      </c>
      <c r="G335" s="1" t="s">
        <v>31</v>
      </c>
      <c r="H335" s="1" t="s">
        <v>31</v>
      </c>
      <c r="I335" s="331" t="s">
        <v>4794</v>
      </c>
      <c r="J335" s="1" t="s">
        <v>31</v>
      </c>
      <c r="K335" s="332"/>
      <c r="L335" s="331"/>
      <c r="M335" s="331"/>
      <c r="N335" s="333" t="s">
        <v>1724</v>
      </c>
      <c r="O335" s="331"/>
      <c r="P335" s="331"/>
      <c r="Q335" s="331"/>
      <c r="R335" s="331"/>
      <c r="S335" s="331"/>
    </row>
    <row r="336">
      <c r="A336" s="14" t="s">
        <v>2054</v>
      </c>
      <c r="B336" s="331"/>
      <c r="C336" s="330" t="b">
        <v>0</v>
      </c>
      <c r="D336" s="331"/>
      <c r="E336" s="14"/>
      <c r="F336" s="14" t="s">
        <v>4847</v>
      </c>
      <c r="G336" s="1" t="s">
        <v>31</v>
      </c>
      <c r="H336" s="1" t="s">
        <v>31</v>
      </c>
      <c r="I336" s="331" t="s">
        <v>4391</v>
      </c>
      <c r="J336" s="1" t="s">
        <v>31</v>
      </c>
      <c r="K336" s="332"/>
      <c r="L336" s="331">
        <v>9.557200376E9</v>
      </c>
      <c r="M336" s="331"/>
      <c r="N336" s="333" t="s">
        <v>715</v>
      </c>
      <c r="O336" s="331"/>
      <c r="P336" s="331"/>
      <c r="Q336" s="331"/>
      <c r="R336" s="331"/>
      <c r="S336" s="331"/>
    </row>
    <row r="337">
      <c r="A337" s="14" t="s">
        <v>2058</v>
      </c>
      <c r="B337" s="331"/>
      <c r="C337" s="330" t="b">
        <v>0</v>
      </c>
      <c r="D337" s="331"/>
      <c r="E337" s="14"/>
      <c r="F337" s="14" t="s">
        <v>4848</v>
      </c>
      <c r="G337" s="1" t="s">
        <v>31</v>
      </c>
      <c r="H337" s="1" t="s">
        <v>31</v>
      </c>
      <c r="I337" s="331" t="s">
        <v>4391</v>
      </c>
      <c r="J337" s="1" t="s">
        <v>31</v>
      </c>
      <c r="K337" s="332"/>
      <c r="L337" s="331">
        <v>9.178439996E9</v>
      </c>
      <c r="M337" s="331"/>
      <c r="N337" s="333" t="s">
        <v>715</v>
      </c>
      <c r="O337" s="331"/>
      <c r="P337" s="331"/>
      <c r="Q337" s="331"/>
      <c r="R337" s="331"/>
      <c r="S337" s="331"/>
    </row>
    <row r="338">
      <c r="A338" s="14" t="s">
        <v>2072</v>
      </c>
      <c r="B338" s="331"/>
      <c r="C338" s="330" t="b">
        <v>0</v>
      </c>
      <c r="D338" s="331"/>
      <c r="E338" s="14"/>
      <c r="F338" s="14" t="s">
        <v>4849</v>
      </c>
      <c r="G338" s="1" t="s">
        <v>31</v>
      </c>
      <c r="H338" s="1" t="s">
        <v>31</v>
      </c>
      <c r="I338" s="331" t="s">
        <v>4736</v>
      </c>
      <c r="J338" s="1" t="s">
        <v>31</v>
      </c>
      <c r="K338" s="332"/>
      <c r="L338" s="331"/>
      <c r="M338" s="331"/>
      <c r="N338" s="333" t="s">
        <v>4737</v>
      </c>
      <c r="O338" s="331"/>
      <c r="P338" s="331"/>
      <c r="Q338" s="331"/>
      <c r="R338" s="331"/>
      <c r="S338" s="331"/>
    </row>
    <row r="339">
      <c r="A339" s="339" t="s">
        <v>1651</v>
      </c>
      <c r="B339" s="330"/>
      <c r="C339" s="330" t="b">
        <v>0</v>
      </c>
      <c r="D339" s="330"/>
      <c r="E339" s="14"/>
      <c r="F339" s="339" t="s">
        <v>4850</v>
      </c>
      <c r="G339" s="1" t="s">
        <v>31</v>
      </c>
      <c r="H339" s="1" t="s">
        <v>31</v>
      </c>
      <c r="I339" s="330" t="s">
        <v>4742</v>
      </c>
      <c r="J339" s="1" t="s">
        <v>31</v>
      </c>
      <c r="K339" s="332"/>
      <c r="L339" s="330">
        <v>9.192755361E9</v>
      </c>
      <c r="M339" s="330"/>
      <c r="N339" s="333" t="s">
        <v>1376</v>
      </c>
      <c r="O339" s="330"/>
      <c r="P339" s="330"/>
      <c r="Q339" s="330"/>
      <c r="R339" s="330"/>
      <c r="S339" s="330"/>
    </row>
    <row r="340">
      <c r="A340" s="339" t="s">
        <v>2025</v>
      </c>
      <c r="B340" s="330"/>
      <c r="C340" s="330" t="b">
        <v>0</v>
      </c>
      <c r="D340" s="330"/>
      <c r="E340" s="14"/>
      <c r="F340" s="339" t="s">
        <v>4851</v>
      </c>
      <c r="G340" s="1" t="s">
        <v>31</v>
      </c>
      <c r="H340" s="1" t="s">
        <v>31</v>
      </c>
      <c r="I340" s="330" t="s">
        <v>4742</v>
      </c>
      <c r="J340" s="1" t="s">
        <v>31</v>
      </c>
      <c r="K340" s="332"/>
      <c r="L340" s="330">
        <v>9.39939984E9</v>
      </c>
      <c r="M340" s="330"/>
      <c r="N340" s="333" t="s">
        <v>4737</v>
      </c>
      <c r="O340" s="330"/>
      <c r="P340" s="330"/>
      <c r="Q340" s="330"/>
      <c r="R340" s="330"/>
      <c r="S340" s="330"/>
    </row>
    <row r="341">
      <c r="A341" s="339" t="s">
        <v>2029</v>
      </c>
      <c r="B341" s="330"/>
      <c r="C341" s="330" t="b">
        <v>0</v>
      </c>
      <c r="D341" s="330"/>
      <c r="E341" s="14"/>
      <c r="F341" s="339" t="s">
        <v>4852</v>
      </c>
      <c r="G341" s="1" t="s">
        <v>31</v>
      </c>
      <c r="H341" s="1" t="s">
        <v>31</v>
      </c>
      <c r="I341" s="330" t="s">
        <v>4794</v>
      </c>
      <c r="J341" s="1" t="s">
        <v>31</v>
      </c>
      <c r="K341" s="332"/>
      <c r="L341" s="330"/>
      <c r="M341" s="330"/>
      <c r="N341" s="333" t="s">
        <v>1847</v>
      </c>
      <c r="O341" s="330"/>
      <c r="P341" s="330"/>
      <c r="Q341" s="330"/>
      <c r="R341" s="330"/>
      <c r="S341" s="330"/>
    </row>
    <row r="342">
      <c r="A342" s="339" t="s">
        <v>2031</v>
      </c>
      <c r="B342" s="330"/>
      <c r="C342" s="330" t="b">
        <v>0</v>
      </c>
      <c r="D342" s="330"/>
      <c r="E342" s="14"/>
      <c r="F342" s="339" t="s">
        <v>4853</v>
      </c>
      <c r="G342" s="1" t="s">
        <v>31</v>
      </c>
      <c r="H342" s="1" t="s">
        <v>31</v>
      </c>
      <c r="I342" s="330" t="s">
        <v>4395</v>
      </c>
      <c r="J342" s="1" t="s">
        <v>31</v>
      </c>
      <c r="K342" s="332"/>
      <c r="L342" s="330">
        <v>9.62784707E8</v>
      </c>
      <c r="M342" s="330"/>
      <c r="N342" s="333" t="s">
        <v>177</v>
      </c>
      <c r="O342" s="330"/>
      <c r="P342" s="330"/>
      <c r="Q342" s="330"/>
      <c r="R342" s="330"/>
      <c r="S342" s="330"/>
    </row>
    <row r="343">
      <c r="A343" s="339" t="s">
        <v>2036</v>
      </c>
      <c r="B343" s="330"/>
      <c r="C343" s="330" t="b">
        <v>0</v>
      </c>
      <c r="D343" s="330"/>
      <c r="E343" s="14"/>
      <c r="F343" s="339" t="s">
        <v>4854</v>
      </c>
      <c r="G343" s="1" t="s">
        <v>31</v>
      </c>
      <c r="H343" s="1" t="s">
        <v>31</v>
      </c>
      <c r="I343" s="330" t="s">
        <v>4363</v>
      </c>
      <c r="J343" s="1" t="s">
        <v>31</v>
      </c>
      <c r="K343" s="332"/>
      <c r="L343" s="330">
        <v>9.175264527E9</v>
      </c>
      <c r="M343" s="330"/>
      <c r="N343" s="333" t="s">
        <v>177</v>
      </c>
      <c r="O343" s="330"/>
      <c r="P343" s="330"/>
      <c r="Q343" s="330"/>
      <c r="R343" s="330"/>
      <c r="S343" s="330"/>
    </row>
    <row r="344">
      <c r="A344" s="339" t="s">
        <v>799</v>
      </c>
      <c r="B344" s="330"/>
      <c r="C344" s="330" t="b">
        <v>0</v>
      </c>
      <c r="D344" s="330"/>
      <c r="E344" s="14"/>
      <c r="F344" s="339" t="s">
        <v>4855</v>
      </c>
      <c r="G344" s="1" t="s">
        <v>31</v>
      </c>
      <c r="H344" s="1" t="s">
        <v>31</v>
      </c>
      <c r="I344" s="330" t="s">
        <v>4358</v>
      </c>
      <c r="J344" s="1" t="s">
        <v>31</v>
      </c>
      <c r="K344" s="332"/>
      <c r="L344" s="330">
        <v>9.175427899E9</v>
      </c>
      <c r="M344" s="330"/>
      <c r="N344" s="333" t="s">
        <v>177</v>
      </c>
      <c r="O344" s="330"/>
      <c r="P344" s="330"/>
      <c r="Q344" s="330"/>
      <c r="R344" s="330"/>
      <c r="S344" s="330"/>
    </row>
    <row r="345">
      <c r="A345" s="339" t="s">
        <v>2000</v>
      </c>
      <c r="B345" s="330"/>
      <c r="C345" s="330" t="b">
        <v>0</v>
      </c>
      <c r="D345" s="330"/>
      <c r="E345" s="14"/>
      <c r="F345" s="339" t="s">
        <v>4856</v>
      </c>
      <c r="G345" s="1" t="s">
        <v>31</v>
      </c>
      <c r="H345" s="1" t="s">
        <v>31</v>
      </c>
      <c r="I345" s="330" t="s">
        <v>4716</v>
      </c>
      <c r="J345" s="1" t="s">
        <v>31</v>
      </c>
      <c r="K345" s="332"/>
      <c r="L345" s="330"/>
      <c r="M345" s="330"/>
      <c r="N345" s="333" t="s">
        <v>1182</v>
      </c>
      <c r="O345" s="330"/>
      <c r="P345" s="330"/>
      <c r="Q345" s="330"/>
      <c r="R345" s="330"/>
      <c r="S345" s="330"/>
    </row>
    <row r="346">
      <c r="A346" s="339" t="s">
        <v>2077</v>
      </c>
      <c r="B346" s="330"/>
      <c r="C346" s="330" t="b">
        <v>0</v>
      </c>
      <c r="D346" s="330"/>
      <c r="E346" s="14"/>
      <c r="F346" s="339" t="s">
        <v>4857</v>
      </c>
      <c r="G346" s="1" t="s">
        <v>31</v>
      </c>
      <c r="H346" s="1" t="s">
        <v>31</v>
      </c>
      <c r="I346" s="330" t="s">
        <v>4395</v>
      </c>
      <c r="J346" s="1" t="s">
        <v>31</v>
      </c>
      <c r="K346" s="332"/>
      <c r="L346" s="330"/>
      <c r="M346" s="330"/>
      <c r="N346" s="333" t="s">
        <v>177</v>
      </c>
      <c r="O346" s="330"/>
      <c r="P346" s="330"/>
      <c r="Q346" s="330"/>
      <c r="R346" s="330"/>
      <c r="S346" s="330"/>
    </row>
    <row r="347">
      <c r="A347" s="330" t="s">
        <v>1923</v>
      </c>
      <c r="B347" s="330"/>
      <c r="C347" s="330" t="b">
        <v>0</v>
      </c>
      <c r="D347" s="330"/>
      <c r="E347" s="14"/>
      <c r="F347" s="330" t="s">
        <v>4858</v>
      </c>
      <c r="G347" s="1" t="s">
        <v>31</v>
      </c>
      <c r="H347" s="1" t="s">
        <v>31</v>
      </c>
      <c r="I347" s="330" t="s">
        <v>4391</v>
      </c>
      <c r="J347" s="1" t="s">
        <v>31</v>
      </c>
      <c r="K347" s="332"/>
      <c r="L347" s="330"/>
      <c r="M347" s="330"/>
      <c r="N347" s="333" t="s">
        <v>1847</v>
      </c>
      <c r="O347" s="330"/>
      <c r="P347" s="330"/>
      <c r="Q347" s="330"/>
      <c r="R347" s="330"/>
      <c r="S347" s="330"/>
    </row>
    <row r="348">
      <c r="A348" s="339" t="s">
        <v>1875</v>
      </c>
      <c r="B348" s="330" t="s">
        <v>4859</v>
      </c>
      <c r="C348" s="330" t="b">
        <v>0</v>
      </c>
      <c r="D348" s="330"/>
      <c r="E348" s="14"/>
      <c r="F348" s="339" t="s">
        <v>4860</v>
      </c>
      <c r="G348" s="1" t="s">
        <v>31</v>
      </c>
      <c r="H348" s="1" t="s">
        <v>31</v>
      </c>
      <c r="I348" s="330" t="s">
        <v>4742</v>
      </c>
      <c r="J348" s="1" t="s">
        <v>31</v>
      </c>
      <c r="K348" s="332"/>
      <c r="L348" s="330">
        <v>9.954660418E9</v>
      </c>
      <c r="M348" s="330"/>
      <c r="N348" s="333" t="s">
        <v>1376</v>
      </c>
      <c r="O348" s="330"/>
      <c r="P348" s="330"/>
      <c r="Q348" s="330"/>
      <c r="R348" s="330"/>
      <c r="S348" s="330"/>
    </row>
    <row r="349">
      <c r="A349" s="339" t="s">
        <v>1812</v>
      </c>
      <c r="B349" s="330"/>
      <c r="C349" s="330" t="b">
        <v>0</v>
      </c>
      <c r="D349" s="330"/>
      <c r="E349" s="14"/>
      <c r="F349" s="339" t="s">
        <v>4861</v>
      </c>
      <c r="G349" s="1" t="s">
        <v>31</v>
      </c>
      <c r="H349" s="1" t="s">
        <v>31</v>
      </c>
      <c r="I349" s="330" t="s">
        <v>4351</v>
      </c>
      <c r="J349" s="1" t="s">
        <v>31</v>
      </c>
      <c r="K349" s="332"/>
      <c r="L349" s="330">
        <v>9.773300892E9</v>
      </c>
      <c r="M349" s="330"/>
      <c r="N349" s="333" t="s">
        <v>1387</v>
      </c>
      <c r="O349" s="330"/>
      <c r="P349" s="330"/>
      <c r="Q349" s="330"/>
      <c r="R349" s="330"/>
      <c r="S349" s="330"/>
    </row>
    <row r="350">
      <c r="A350" s="339" t="s">
        <v>1595</v>
      </c>
      <c r="B350" s="330"/>
      <c r="C350" s="330" t="b">
        <v>0</v>
      </c>
      <c r="D350" s="330"/>
      <c r="E350" s="14"/>
      <c r="F350" s="339" t="s">
        <v>4862</v>
      </c>
      <c r="G350" s="1" t="s">
        <v>31</v>
      </c>
      <c r="H350" s="1" t="s">
        <v>31</v>
      </c>
      <c r="I350" s="330" t="s">
        <v>4677</v>
      </c>
      <c r="J350" s="1" t="s">
        <v>31</v>
      </c>
      <c r="K350" s="332"/>
      <c r="L350" s="330"/>
      <c r="M350" s="330"/>
      <c r="N350" s="333" t="s">
        <v>1376</v>
      </c>
      <c r="O350" s="330"/>
      <c r="P350" s="330"/>
      <c r="Q350" s="330"/>
      <c r="R350" s="330"/>
      <c r="S350" s="330"/>
    </row>
    <row r="351">
      <c r="A351" s="339" t="s">
        <v>685</v>
      </c>
      <c r="B351" s="330"/>
      <c r="C351" s="330" t="b">
        <v>0</v>
      </c>
      <c r="D351" s="330"/>
      <c r="E351" s="14"/>
      <c r="F351" s="339" t="s">
        <v>4863</v>
      </c>
      <c r="G351" s="1" t="s">
        <v>31</v>
      </c>
      <c r="H351" s="1" t="s">
        <v>31</v>
      </c>
      <c r="I351" s="330" t="s">
        <v>4363</v>
      </c>
      <c r="J351" s="1" t="s">
        <v>31</v>
      </c>
      <c r="K351" s="332"/>
      <c r="L351" s="330" t="s">
        <v>4864</v>
      </c>
      <c r="M351" s="330"/>
      <c r="N351" s="333" t="s">
        <v>22</v>
      </c>
      <c r="O351" s="330"/>
      <c r="P351" s="330"/>
      <c r="Q351" s="330"/>
      <c r="R351" s="330"/>
      <c r="S351" s="330"/>
    </row>
    <row r="352">
      <c r="A352" s="339" t="s">
        <v>1612</v>
      </c>
      <c r="B352" s="330"/>
      <c r="C352" s="330" t="b">
        <v>0</v>
      </c>
      <c r="D352" s="330"/>
      <c r="E352" s="14"/>
      <c r="F352" s="339" t="s">
        <v>4865</v>
      </c>
      <c r="G352" s="1" t="s">
        <v>31</v>
      </c>
      <c r="H352" s="1" t="s">
        <v>31</v>
      </c>
      <c r="I352" s="330" t="s">
        <v>4395</v>
      </c>
      <c r="J352" s="1" t="s">
        <v>31</v>
      </c>
      <c r="K352" s="332"/>
      <c r="L352" s="330" t="s">
        <v>4866</v>
      </c>
      <c r="M352" s="330"/>
      <c r="N352" s="333" t="s">
        <v>744</v>
      </c>
      <c r="O352" s="330"/>
      <c r="P352" s="330"/>
      <c r="Q352" s="330"/>
      <c r="R352" s="330"/>
      <c r="S352" s="330"/>
    </row>
    <row r="353">
      <c r="A353" s="339" t="s">
        <v>1614</v>
      </c>
      <c r="B353" s="330"/>
      <c r="C353" s="330" t="b">
        <v>0</v>
      </c>
      <c r="D353" s="330"/>
      <c r="E353" s="14"/>
      <c r="F353" s="339" t="s">
        <v>4867</v>
      </c>
      <c r="G353" s="1" t="s">
        <v>31</v>
      </c>
      <c r="H353" s="1" t="s">
        <v>31</v>
      </c>
      <c r="I353" s="330" t="s">
        <v>4351</v>
      </c>
      <c r="J353" s="1" t="s">
        <v>31</v>
      </c>
      <c r="K353" s="332"/>
      <c r="L353" s="330"/>
      <c r="M353" s="330"/>
      <c r="N353" s="333" t="s">
        <v>744</v>
      </c>
      <c r="O353" s="330"/>
      <c r="P353" s="330"/>
      <c r="Q353" s="330"/>
      <c r="R353" s="330"/>
      <c r="S353" s="330"/>
    </row>
    <row r="354">
      <c r="A354" s="339" t="s">
        <v>327</v>
      </c>
      <c r="B354" s="330"/>
      <c r="C354" s="330" t="b">
        <v>0</v>
      </c>
      <c r="D354" s="330"/>
      <c r="E354" s="14"/>
      <c r="F354" s="339" t="s">
        <v>4868</v>
      </c>
      <c r="G354" s="1" t="s">
        <v>31</v>
      </c>
      <c r="H354" s="1" t="s">
        <v>31</v>
      </c>
      <c r="I354" s="330" t="s">
        <v>4412</v>
      </c>
      <c r="J354" s="1" t="s">
        <v>31</v>
      </c>
      <c r="K354" s="332"/>
      <c r="L354" s="330" t="s">
        <v>4869</v>
      </c>
      <c r="M354" s="330"/>
      <c r="N354" s="333" t="s">
        <v>1387</v>
      </c>
      <c r="O354" s="330"/>
      <c r="P354" s="330"/>
      <c r="Q354" s="330"/>
      <c r="R354" s="330"/>
      <c r="S354" s="330"/>
    </row>
    <row r="355">
      <c r="A355" s="339" t="s">
        <v>1624</v>
      </c>
      <c r="B355" s="330"/>
      <c r="C355" s="330" t="b">
        <v>0</v>
      </c>
      <c r="D355" s="330"/>
      <c r="E355" s="14"/>
      <c r="F355" s="339" t="s">
        <v>4870</v>
      </c>
      <c r="G355" s="1" t="s">
        <v>31</v>
      </c>
      <c r="H355" s="1" t="s">
        <v>31</v>
      </c>
      <c r="I355" s="330" t="s">
        <v>4742</v>
      </c>
      <c r="J355" s="1" t="s">
        <v>31</v>
      </c>
      <c r="K355" s="332"/>
      <c r="L355" s="330" t="s">
        <v>4871</v>
      </c>
      <c r="M355" s="330"/>
      <c r="N355" s="333" t="s">
        <v>1376</v>
      </c>
      <c r="O355" s="330"/>
      <c r="P355" s="330"/>
      <c r="Q355" s="330"/>
      <c r="R355" s="330"/>
      <c r="S355" s="330"/>
    </row>
    <row r="356">
      <c r="A356" s="339" t="s">
        <v>1593</v>
      </c>
      <c r="B356" s="330"/>
      <c r="C356" s="330" t="b">
        <v>0</v>
      </c>
      <c r="D356" s="330"/>
      <c r="E356" s="14"/>
      <c r="F356" s="339" t="s">
        <v>4872</v>
      </c>
      <c r="G356" s="1" t="s">
        <v>31</v>
      </c>
      <c r="H356" s="1" t="s">
        <v>31</v>
      </c>
      <c r="I356" s="330" t="s">
        <v>4736</v>
      </c>
      <c r="J356" s="1" t="s">
        <v>31</v>
      </c>
      <c r="K356" s="332"/>
      <c r="L356" s="330" t="s">
        <v>4873</v>
      </c>
      <c r="M356" s="330"/>
      <c r="N356" s="333" t="s">
        <v>1376</v>
      </c>
      <c r="O356" s="330"/>
      <c r="P356" s="330"/>
      <c r="Q356" s="330"/>
      <c r="R356" s="330"/>
      <c r="S356" s="330"/>
    </row>
    <row r="357">
      <c r="A357" s="339" t="s">
        <v>1637</v>
      </c>
      <c r="B357" s="330"/>
      <c r="C357" s="330" t="b">
        <v>0</v>
      </c>
      <c r="D357" s="330"/>
      <c r="E357" s="14"/>
      <c r="F357" s="339" t="s">
        <v>4874</v>
      </c>
      <c r="G357" s="1" t="s">
        <v>31</v>
      </c>
      <c r="H357" s="1" t="s">
        <v>31</v>
      </c>
      <c r="I357" s="330" t="s">
        <v>4391</v>
      </c>
      <c r="J357" s="1" t="s">
        <v>31</v>
      </c>
      <c r="K357" s="332"/>
      <c r="L357" s="330">
        <v>9.279651308E9</v>
      </c>
      <c r="M357" s="330"/>
      <c r="N357" s="333" t="s">
        <v>715</v>
      </c>
      <c r="O357" s="330"/>
      <c r="P357" s="330"/>
      <c r="Q357" s="330"/>
      <c r="R357" s="330"/>
      <c r="S357" s="330"/>
    </row>
    <row r="358">
      <c r="A358" s="339" t="s">
        <v>1641</v>
      </c>
      <c r="B358" s="330"/>
      <c r="C358" s="330" t="b">
        <v>0</v>
      </c>
      <c r="D358" s="330"/>
      <c r="E358" s="14"/>
      <c r="F358" s="339" t="s">
        <v>4875</v>
      </c>
      <c r="G358" s="1" t="s">
        <v>31</v>
      </c>
      <c r="H358" s="1" t="s">
        <v>31</v>
      </c>
      <c r="I358" s="330" t="s">
        <v>4464</v>
      </c>
      <c r="J358" s="1" t="s">
        <v>31</v>
      </c>
      <c r="K358" s="332"/>
      <c r="L358" s="330">
        <v>9.957883415E9</v>
      </c>
      <c r="M358" s="330"/>
      <c r="N358" s="333" t="s">
        <v>744</v>
      </c>
      <c r="O358" s="330"/>
      <c r="P358" s="330"/>
      <c r="Q358" s="330"/>
      <c r="R358" s="330"/>
      <c r="S358" s="330"/>
    </row>
    <row r="359">
      <c r="A359" s="339" t="s">
        <v>1649</v>
      </c>
      <c r="B359" s="330"/>
      <c r="C359" s="330" t="b">
        <v>0</v>
      </c>
      <c r="D359" s="330"/>
      <c r="E359" s="14"/>
      <c r="F359" s="339" t="s">
        <v>4876</v>
      </c>
      <c r="G359" s="1" t="s">
        <v>31</v>
      </c>
      <c r="H359" s="1" t="s">
        <v>31</v>
      </c>
      <c r="I359" s="330" t="s">
        <v>4808</v>
      </c>
      <c r="J359" s="1" t="s">
        <v>31</v>
      </c>
      <c r="K359" s="332"/>
      <c r="L359" s="330">
        <v>9.54778412E8</v>
      </c>
      <c r="M359" s="330"/>
      <c r="N359" s="333" t="s">
        <v>1376</v>
      </c>
      <c r="O359" s="330"/>
      <c r="P359" s="330"/>
      <c r="Q359" s="330"/>
      <c r="R359" s="330"/>
      <c r="S359" s="330"/>
    </row>
    <row r="360">
      <c r="A360" s="339" t="s">
        <v>1662</v>
      </c>
      <c r="B360" s="330"/>
      <c r="C360" s="330" t="b">
        <v>0</v>
      </c>
      <c r="D360" s="330"/>
      <c r="E360" s="14"/>
      <c r="F360" s="339" t="s">
        <v>4877</v>
      </c>
      <c r="G360" s="1" t="s">
        <v>31</v>
      </c>
      <c r="H360" s="1" t="s">
        <v>31</v>
      </c>
      <c r="I360" s="330" t="s">
        <v>4391</v>
      </c>
      <c r="J360" s="1" t="s">
        <v>31</v>
      </c>
      <c r="K360" s="332"/>
      <c r="L360" s="330">
        <v>9.661767098E9</v>
      </c>
      <c r="M360" s="330"/>
      <c r="N360" s="333" t="s">
        <v>715</v>
      </c>
      <c r="O360" s="330"/>
      <c r="P360" s="330"/>
      <c r="Q360" s="330"/>
      <c r="R360" s="330"/>
      <c r="S360" s="330"/>
    </row>
    <row r="361">
      <c r="A361" s="339" t="s">
        <v>726</v>
      </c>
      <c r="B361" s="330"/>
      <c r="C361" s="330" t="b">
        <v>0</v>
      </c>
      <c r="D361" s="330"/>
      <c r="E361" s="14"/>
      <c r="F361" s="339" t="s">
        <v>4878</v>
      </c>
      <c r="G361" s="1" t="s">
        <v>31</v>
      </c>
      <c r="H361" s="1" t="s">
        <v>31</v>
      </c>
      <c r="I361" s="330" t="s">
        <v>4363</v>
      </c>
      <c r="J361" s="1" t="s">
        <v>31</v>
      </c>
      <c r="K361" s="332"/>
      <c r="L361" s="330">
        <v>9.0644498E9</v>
      </c>
      <c r="M361" s="330"/>
      <c r="N361" s="333" t="s">
        <v>177</v>
      </c>
      <c r="O361" s="330"/>
      <c r="P361" s="330"/>
      <c r="Q361" s="330"/>
      <c r="R361" s="330"/>
      <c r="S361" s="330"/>
    </row>
    <row r="362">
      <c r="A362" s="339" t="s">
        <v>1677</v>
      </c>
      <c r="B362" s="330"/>
      <c r="C362" s="330" t="b">
        <v>0</v>
      </c>
      <c r="D362" s="330"/>
      <c r="E362" s="14"/>
      <c r="F362" s="339" t="s">
        <v>4879</v>
      </c>
      <c r="G362" s="1" t="s">
        <v>31</v>
      </c>
      <c r="H362" s="1" t="s">
        <v>31</v>
      </c>
      <c r="I362" s="330" t="s">
        <v>4351</v>
      </c>
      <c r="J362" s="1" t="s">
        <v>31</v>
      </c>
      <c r="K362" s="332"/>
      <c r="L362" s="330" t="s">
        <v>4880</v>
      </c>
      <c r="M362" s="330"/>
      <c r="N362" s="333" t="s">
        <v>1387</v>
      </c>
      <c r="O362" s="330"/>
      <c r="P362" s="330"/>
      <c r="Q362" s="330"/>
      <c r="R362" s="330"/>
      <c r="S362" s="330"/>
    </row>
    <row r="363">
      <c r="A363" s="339" t="s">
        <v>4881</v>
      </c>
      <c r="B363" s="330"/>
      <c r="C363" s="330" t="b">
        <v>0</v>
      </c>
      <c r="D363" s="330"/>
      <c r="E363" s="14"/>
      <c r="F363" s="339" t="s">
        <v>4882</v>
      </c>
      <c r="G363" s="1" t="s">
        <v>31</v>
      </c>
      <c r="H363" s="1" t="s">
        <v>31</v>
      </c>
      <c r="I363" s="330" t="s">
        <v>4351</v>
      </c>
      <c r="J363" s="1" t="s">
        <v>31</v>
      </c>
      <c r="K363" s="332"/>
      <c r="L363" s="330">
        <v>9.6693315E9</v>
      </c>
      <c r="M363" s="330"/>
      <c r="N363" s="333" t="s">
        <v>1387</v>
      </c>
      <c r="O363" s="330"/>
      <c r="P363" s="330"/>
      <c r="Q363" s="330"/>
      <c r="R363" s="330"/>
      <c r="S363" s="330"/>
    </row>
    <row r="364">
      <c r="A364" s="339" t="s">
        <v>1680</v>
      </c>
      <c r="B364" s="330"/>
      <c r="C364" s="330" t="b">
        <v>0</v>
      </c>
      <c r="D364" s="330"/>
      <c r="E364" s="14"/>
      <c r="F364" s="330"/>
      <c r="G364" s="1" t="s">
        <v>31</v>
      </c>
      <c r="H364" s="1" t="s">
        <v>31</v>
      </c>
      <c r="I364" s="330"/>
      <c r="J364" s="1" t="s">
        <v>31</v>
      </c>
      <c r="K364" s="332"/>
      <c r="L364" s="330"/>
      <c r="M364" s="330"/>
      <c r="N364" s="333" t="s">
        <v>1387</v>
      </c>
      <c r="O364" s="330"/>
      <c r="P364" s="330"/>
      <c r="Q364" s="330"/>
      <c r="R364" s="330"/>
      <c r="S364" s="330"/>
    </row>
    <row r="365">
      <c r="A365" s="339" t="s">
        <v>1683</v>
      </c>
      <c r="B365" s="330"/>
      <c r="C365" s="330" t="b">
        <v>0</v>
      </c>
      <c r="D365" s="330"/>
      <c r="E365" s="14"/>
      <c r="F365" s="339" t="s">
        <v>4883</v>
      </c>
      <c r="G365" s="1" t="s">
        <v>31</v>
      </c>
      <c r="H365" s="1" t="s">
        <v>31</v>
      </c>
      <c r="I365" s="330" t="s">
        <v>4437</v>
      </c>
      <c r="J365" s="1" t="s">
        <v>31</v>
      </c>
      <c r="K365" s="332"/>
      <c r="L365" s="330"/>
      <c r="M365" s="330"/>
      <c r="N365" s="333" t="s">
        <v>1387</v>
      </c>
      <c r="O365" s="330"/>
      <c r="P365" s="330"/>
      <c r="Q365" s="330"/>
      <c r="R365" s="330"/>
      <c r="S365" s="330"/>
    </row>
    <row r="366">
      <c r="A366" s="339" t="s">
        <v>1686</v>
      </c>
      <c r="B366" s="330"/>
      <c r="C366" s="330" t="b">
        <v>0</v>
      </c>
      <c r="D366" s="330"/>
      <c r="E366" s="14"/>
      <c r="F366" s="339" t="s">
        <v>4884</v>
      </c>
      <c r="G366" s="1" t="s">
        <v>31</v>
      </c>
      <c r="H366" s="1" t="s">
        <v>31</v>
      </c>
      <c r="I366" s="330" t="s">
        <v>4437</v>
      </c>
      <c r="J366" s="1" t="s">
        <v>31</v>
      </c>
      <c r="K366" s="332"/>
      <c r="L366" s="330"/>
      <c r="M366" s="330"/>
      <c r="N366" s="333" t="s">
        <v>1387</v>
      </c>
      <c r="O366" s="330"/>
      <c r="P366" s="330"/>
      <c r="Q366" s="330"/>
      <c r="R366" s="330"/>
      <c r="S366" s="330"/>
    </row>
    <row r="367">
      <c r="A367" s="339" t="s">
        <v>1689</v>
      </c>
      <c r="B367" s="330"/>
      <c r="C367" s="330" t="b">
        <v>0</v>
      </c>
      <c r="D367" s="330"/>
      <c r="E367" s="14"/>
      <c r="F367" s="339" t="s">
        <v>4885</v>
      </c>
      <c r="G367" s="1" t="s">
        <v>31</v>
      </c>
      <c r="H367" s="1" t="s">
        <v>31</v>
      </c>
      <c r="I367" s="330" t="s">
        <v>4742</v>
      </c>
      <c r="J367" s="1" t="s">
        <v>31</v>
      </c>
      <c r="K367" s="332"/>
      <c r="L367" s="330">
        <v>9.257778748E9</v>
      </c>
      <c r="M367" s="330"/>
      <c r="N367" s="333" t="s">
        <v>1376</v>
      </c>
      <c r="O367" s="330"/>
      <c r="P367" s="330"/>
      <c r="Q367" s="330"/>
      <c r="R367" s="330"/>
      <c r="S367" s="330"/>
    </row>
    <row r="368">
      <c r="A368" s="339" t="s">
        <v>1692</v>
      </c>
      <c r="B368" s="330"/>
      <c r="C368" s="330" t="b">
        <v>0</v>
      </c>
      <c r="D368" s="330"/>
      <c r="E368" s="14"/>
      <c r="F368" s="330"/>
      <c r="G368" s="1" t="s">
        <v>31</v>
      </c>
      <c r="H368" s="1" t="s">
        <v>31</v>
      </c>
      <c r="I368" s="330"/>
      <c r="J368" s="1" t="s">
        <v>31</v>
      </c>
      <c r="K368" s="332"/>
      <c r="L368" s="330"/>
      <c r="M368" s="330"/>
      <c r="N368" s="333" t="s">
        <v>1376</v>
      </c>
      <c r="O368" s="330"/>
      <c r="P368" s="330"/>
      <c r="Q368" s="330"/>
      <c r="R368" s="330"/>
      <c r="S368" s="330"/>
    </row>
    <row r="369">
      <c r="A369" s="339" t="s">
        <v>1556</v>
      </c>
      <c r="B369" s="330"/>
      <c r="C369" s="330" t="b">
        <v>0</v>
      </c>
      <c r="D369" s="330"/>
      <c r="E369" s="14"/>
      <c r="F369" s="330"/>
      <c r="G369" s="1" t="s">
        <v>31</v>
      </c>
      <c r="H369" s="1" t="s">
        <v>31</v>
      </c>
      <c r="I369" s="330"/>
      <c r="J369" s="1" t="s">
        <v>31</v>
      </c>
      <c r="K369" s="332"/>
      <c r="L369" s="330"/>
      <c r="M369" s="330"/>
      <c r="N369" s="333" t="s">
        <v>22</v>
      </c>
      <c r="O369" s="330"/>
      <c r="P369" s="330"/>
      <c r="Q369" s="330"/>
      <c r="R369" s="330"/>
      <c r="S369" s="330"/>
    </row>
    <row r="370">
      <c r="A370" s="339" t="s">
        <v>1704</v>
      </c>
      <c r="B370" s="330"/>
      <c r="C370" s="330" t="b">
        <v>0</v>
      </c>
      <c r="D370" s="330"/>
      <c r="E370" s="14"/>
      <c r="F370" s="339" t="s">
        <v>4886</v>
      </c>
      <c r="G370" s="1" t="s">
        <v>31</v>
      </c>
      <c r="H370" s="1" t="s">
        <v>31</v>
      </c>
      <c r="I370" s="330" t="s">
        <v>4395</v>
      </c>
      <c r="J370" s="1" t="s">
        <v>31</v>
      </c>
      <c r="K370" s="332"/>
      <c r="L370" s="330"/>
      <c r="M370" s="330"/>
      <c r="N370" s="333" t="s">
        <v>1376</v>
      </c>
      <c r="O370" s="330"/>
      <c r="P370" s="330"/>
      <c r="Q370" s="330"/>
      <c r="R370" s="330"/>
      <c r="S370" s="330"/>
    </row>
    <row r="371">
      <c r="A371" s="339" t="s">
        <v>1708</v>
      </c>
      <c r="B371" s="330"/>
      <c r="C371" s="330" t="b">
        <v>0</v>
      </c>
      <c r="D371" s="330"/>
      <c r="E371" s="14"/>
      <c r="F371" s="339" t="s">
        <v>4887</v>
      </c>
      <c r="G371" s="1" t="s">
        <v>31</v>
      </c>
      <c r="H371" s="1" t="s">
        <v>31</v>
      </c>
      <c r="I371" s="330" t="s">
        <v>4363</v>
      </c>
      <c r="J371" s="1" t="s">
        <v>31</v>
      </c>
      <c r="K371" s="332"/>
      <c r="L371" s="330"/>
      <c r="M371" s="330"/>
      <c r="N371" s="333" t="s">
        <v>177</v>
      </c>
      <c r="O371" s="330"/>
      <c r="P371" s="330"/>
      <c r="Q371" s="330"/>
      <c r="R371" s="330"/>
      <c r="S371" s="330"/>
    </row>
    <row r="372">
      <c r="A372" s="339" t="s">
        <v>1710</v>
      </c>
      <c r="B372" s="330"/>
      <c r="C372" s="330" t="b">
        <v>0</v>
      </c>
      <c r="D372" s="330"/>
      <c r="E372" s="14"/>
      <c r="F372" s="330"/>
      <c r="G372" s="1" t="s">
        <v>31</v>
      </c>
      <c r="H372" s="1" t="s">
        <v>31</v>
      </c>
      <c r="I372" s="330"/>
      <c r="J372" s="1" t="s">
        <v>31</v>
      </c>
      <c r="K372" s="332"/>
      <c r="L372" s="330"/>
      <c r="M372" s="330"/>
      <c r="N372" s="333" t="s">
        <v>744</v>
      </c>
      <c r="O372" s="330"/>
      <c r="P372" s="330"/>
      <c r="Q372" s="330"/>
      <c r="R372" s="330"/>
      <c r="S372" s="330"/>
    </row>
    <row r="373">
      <c r="A373" s="339" t="s">
        <v>1711</v>
      </c>
      <c r="B373" s="330"/>
      <c r="C373" s="330" t="b">
        <v>0</v>
      </c>
      <c r="D373" s="330"/>
      <c r="E373" s="14"/>
      <c r="F373" s="339" t="s">
        <v>4888</v>
      </c>
      <c r="G373" s="1" t="s">
        <v>31</v>
      </c>
      <c r="H373" s="1" t="s">
        <v>31</v>
      </c>
      <c r="I373" s="330" t="s">
        <v>4889</v>
      </c>
      <c r="J373" s="1" t="s">
        <v>31</v>
      </c>
      <c r="K373" s="332"/>
      <c r="L373" s="330"/>
      <c r="M373" s="330"/>
      <c r="N373" s="333" t="s">
        <v>744</v>
      </c>
      <c r="O373" s="330"/>
      <c r="P373" s="330"/>
      <c r="Q373" s="330"/>
      <c r="R373" s="330"/>
      <c r="S373" s="330"/>
    </row>
    <row r="374">
      <c r="A374" s="339" t="s">
        <v>1716</v>
      </c>
      <c r="B374" s="330"/>
      <c r="C374" s="330" t="b">
        <v>0</v>
      </c>
      <c r="D374" s="330"/>
      <c r="E374" s="14"/>
      <c r="F374" s="339" t="s">
        <v>376</v>
      </c>
      <c r="G374" s="1" t="s">
        <v>31</v>
      </c>
      <c r="H374" s="1" t="s">
        <v>31</v>
      </c>
      <c r="I374" s="330" t="s">
        <v>4742</v>
      </c>
      <c r="J374" s="1" t="s">
        <v>31</v>
      </c>
      <c r="K374" s="332"/>
      <c r="L374" s="330"/>
      <c r="M374" s="330"/>
      <c r="N374" s="333" t="s">
        <v>1376</v>
      </c>
      <c r="O374" s="330"/>
      <c r="P374" s="330"/>
      <c r="Q374" s="330"/>
      <c r="R374" s="330"/>
      <c r="S374" s="330"/>
    </row>
    <row r="375">
      <c r="A375" s="339" t="s">
        <v>1718</v>
      </c>
      <c r="B375" s="330"/>
      <c r="C375" s="330" t="b">
        <v>0</v>
      </c>
      <c r="D375" s="330"/>
      <c r="E375" s="14"/>
      <c r="F375" s="330"/>
      <c r="G375" s="1" t="s">
        <v>31</v>
      </c>
      <c r="H375" s="1" t="s">
        <v>31</v>
      </c>
      <c r="I375" s="330" t="s">
        <v>4433</v>
      </c>
      <c r="J375" s="1" t="s">
        <v>31</v>
      </c>
      <c r="K375" s="332"/>
      <c r="L375" s="330">
        <v>9.649918507E9</v>
      </c>
      <c r="M375" s="330"/>
      <c r="N375" s="333" t="s">
        <v>177</v>
      </c>
      <c r="O375" s="330"/>
      <c r="P375" s="330"/>
      <c r="Q375" s="330"/>
      <c r="R375" s="330"/>
      <c r="S375" s="330"/>
    </row>
    <row r="376">
      <c r="A376" s="339" t="s">
        <v>1721</v>
      </c>
      <c r="B376" s="330"/>
      <c r="C376" s="330" t="b">
        <v>0</v>
      </c>
      <c r="D376" s="330"/>
      <c r="E376" s="14"/>
      <c r="F376" s="339" t="s">
        <v>4890</v>
      </c>
      <c r="G376" s="1" t="s">
        <v>31</v>
      </c>
      <c r="H376" s="1" t="s">
        <v>31</v>
      </c>
      <c r="I376" s="330" t="s">
        <v>4351</v>
      </c>
      <c r="J376" s="1" t="s">
        <v>31</v>
      </c>
      <c r="K376" s="332"/>
      <c r="L376" s="330">
        <v>9.481543652E9</v>
      </c>
      <c r="M376" s="330"/>
      <c r="N376" s="333" t="s">
        <v>22</v>
      </c>
      <c r="O376" s="330"/>
      <c r="P376" s="330"/>
      <c r="Q376" s="330"/>
      <c r="R376" s="330"/>
      <c r="S376" s="330"/>
    </row>
    <row r="377">
      <c r="A377" s="339" t="s">
        <v>1735</v>
      </c>
      <c r="B377" s="330"/>
      <c r="C377" s="330" t="b">
        <v>0</v>
      </c>
      <c r="D377" s="330"/>
      <c r="E377" s="14"/>
      <c r="F377" s="339" t="s">
        <v>4891</v>
      </c>
      <c r="G377" s="1" t="s">
        <v>31</v>
      </c>
      <c r="H377" s="1" t="s">
        <v>31</v>
      </c>
      <c r="I377" s="330" t="s">
        <v>4412</v>
      </c>
      <c r="J377" s="1" t="s">
        <v>31</v>
      </c>
      <c r="K377" s="332"/>
      <c r="L377" s="330">
        <v>9.182569E9</v>
      </c>
      <c r="M377" s="330"/>
      <c r="N377" s="333" t="s">
        <v>1387</v>
      </c>
      <c r="O377" s="330"/>
      <c r="P377" s="330"/>
      <c r="Q377" s="330"/>
      <c r="R377" s="330"/>
      <c r="S377" s="330"/>
    </row>
    <row r="378">
      <c r="A378" s="339" t="s">
        <v>1738</v>
      </c>
      <c r="B378" s="330"/>
      <c r="C378" s="330" t="b">
        <v>0</v>
      </c>
      <c r="D378" s="330"/>
      <c r="E378" s="14"/>
      <c r="F378" s="339" t="s">
        <v>4892</v>
      </c>
      <c r="G378" s="1" t="s">
        <v>31</v>
      </c>
      <c r="H378" s="1" t="s">
        <v>31</v>
      </c>
      <c r="I378" s="330" t="s">
        <v>4395</v>
      </c>
      <c r="J378" s="1" t="s">
        <v>31</v>
      </c>
      <c r="K378" s="332"/>
      <c r="L378" s="330" t="s">
        <v>4893</v>
      </c>
      <c r="M378" s="330"/>
      <c r="N378" s="333" t="s">
        <v>1376</v>
      </c>
      <c r="O378" s="330"/>
      <c r="P378" s="330"/>
      <c r="Q378" s="330"/>
      <c r="R378" s="330"/>
      <c r="S378" s="330"/>
    </row>
    <row r="379">
      <c r="A379" s="339" t="s">
        <v>1742</v>
      </c>
      <c r="B379" s="330"/>
      <c r="C379" s="330" t="b">
        <v>0</v>
      </c>
      <c r="D379" s="330"/>
      <c r="E379" s="14"/>
      <c r="F379" s="339" t="s">
        <v>1742</v>
      </c>
      <c r="G379" s="1" t="s">
        <v>31</v>
      </c>
      <c r="H379" s="1" t="s">
        <v>31</v>
      </c>
      <c r="I379" s="330" t="s">
        <v>4363</v>
      </c>
      <c r="J379" s="1" t="s">
        <v>31</v>
      </c>
      <c r="K379" s="332"/>
      <c r="L379" s="330">
        <v>9.682440289E9</v>
      </c>
      <c r="M379" s="330"/>
      <c r="N379" s="333" t="s">
        <v>177</v>
      </c>
      <c r="O379" s="330"/>
      <c r="P379" s="330"/>
      <c r="Q379" s="330"/>
      <c r="R379" s="330"/>
      <c r="S379" s="330"/>
    </row>
    <row r="380">
      <c r="A380" s="339" t="s">
        <v>1746</v>
      </c>
      <c r="B380" s="330"/>
      <c r="C380" s="330" t="b">
        <v>0</v>
      </c>
      <c r="D380" s="330"/>
      <c r="E380" s="14"/>
      <c r="F380" s="339" t="s">
        <v>4894</v>
      </c>
      <c r="G380" s="1" t="s">
        <v>31</v>
      </c>
      <c r="H380" s="1" t="s">
        <v>31</v>
      </c>
      <c r="I380" s="330" t="s">
        <v>4395</v>
      </c>
      <c r="J380" s="1" t="s">
        <v>31</v>
      </c>
      <c r="K380" s="332"/>
      <c r="L380" s="330" t="s">
        <v>4895</v>
      </c>
      <c r="M380" s="330"/>
      <c r="N380" s="333" t="s">
        <v>177</v>
      </c>
      <c r="O380" s="330"/>
      <c r="P380" s="330"/>
      <c r="Q380" s="330"/>
      <c r="R380" s="330"/>
      <c r="S380" s="330"/>
    </row>
    <row r="381">
      <c r="A381" s="339" t="s">
        <v>1748</v>
      </c>
      <c r="B381" s="330"/>
      <c r="C381" s="330" t="b">
        <v>0</v>
      </c>
      <c r="D381" s="330"/>
      <c r="E381" s="14"/>
      <c r="F381" s="339" t="s">
        <v>4896</v>
      </c>
      <c r="G381" s="1" t="s">
        <v>31</v>
      </c>
      <c r="H381" s="1" t="s">
        <v>31</v>
      </c>
      <c r="I381" s="330" t="s">
        <v>4677</v>
      </c>
      <c r="J381" s="1" t="s">
        <v>31</v>
      </c>
      <c r="K381" s="332"/>
      <c r="L381" s="330"/>
      <c r="M381" s="330"/>
      <c r="N381" s="333" t="s">
        <v>1376</v>
      </c>
      <c r="O381" s="330"/>
      <c r="P381" s="330"/>
      <c r="Q381" s="330"/>
      <c r="R381" s="330"/>
      <c r="S381" s="330"/>
    </row>
    <row r="382">
      <c r="A382" s="339" t="s">
        <v>1750</v>
      </c>
      <c r="B382" s="330"/>
      <c r="C382" s="330" t="b">
        <v>0</v>
      </c>
      <c r="D382" s="330"/>
      <c r="E382" s="14"/>
      <c r="F382" s="339" t="s">
        <v>4897</v>
      </c>
      <c r="G382" s="1" t="s">
        <v>31</v>
      </c>
      <c r="H382" s="1" t="s">
        <v>31</v>
      </c>
      <c r="I382" s="330" t="s">
        <v>4363</v>
      </c>
      <c r="J382" s="1" t="s">
        <v>31</v>
      </c>
      <c r="K382" s="332"/>
      <c r="L382" s="330"/>
      <c r="M382" s="330"/>
      <c r="N382" s="333" t="s">
        <v>177</v>
      </c>
      <c r="O382" s="330"/>
      <c r="P382" s="330"/>
      <c r="Q382" s="330"/>
      <c r="R382" s="330"/>
      <c r="S382" s="330"/>
    </row>
    <row r="383">
      <c r="A383" s="339" t="s">
        <v>1753</v>
      </c>
      <c r="B383" s="330"/>
      <c r="C383" s="330" t="b">
        <v>0</v>
      </c>
      <c r="D383" s="330"/>
      <c r="E383" s="14"/>
      <c r="F383" s="339" t="s">
        <v>4898</v>
      </c>
      <c r="G383" s="1" t="s">
        <v>31</v>
      </c>
      <c r="H383" s="1" t="s">
        <v>31</v>
      </c>
      <c r="I383" s="330" t="s">
        <v>4433</v>
      </c>
      <c r="J383" s="1" t="s">
        <v>31</v>
      </c>
      <c r="K383" s="332"/>
      <c r="L383" s="330" t="s">
        <v>4899</v>
      </c>
      <c r="M383" s="330"/>
      <c r="N383" s="333" t="s">
        <v>177</v>
      </c>
      <c r="O383" s="330"/>
      <c r="P383" s="330"/>
      <c r="Q383" s="330"/>
      <c r="R383" s="330"/>
      <c r="S383" s="330"/>
    </row>
    <row r="384">
      <c r="A384" s="339" t="s">
        <v>1756</v>
      </c>
      <c r="B384" s="330"/>
      <c r="C384" s="330" t="b">
        <v>0</v>
      </c>
      <c r="D384" s="330"/>
      <c r="E384" s="14"/>
      <c r="F384" s="339" t="s">
        <v>4900</v>
      </c>
      <c r="G384" s="1" t="s">
        <v>31</v>
      </c>
      <c r="H384" s="1" t="s">
        <v>31</v>
      </c>
      <c r="I384" s="330" t="s">
        <v>4433</v>
      </c>
      <c r="J384" s="1" t="s">
        <v>31</v>
      </c>
      <c r="K384" s="332"/>
      <c r="L384" s="330">
        <v>9.173795706E9</v>
      </c>
      <c r="M384" s="330"/>
      <c r="N384" s="333" t="s">
        <v>177</v>
      </c>
      <c r="O384" s="330"/>
      <c r="P384" s="330"/>
      <c r="Q384" s="330"/>
      <c r="R384" s="330"/>
      <c r="S384" s="330"/>
    </row>
    <row r="385">
      <c r="A385" s="339" t="s">
        <v>1761</v>
      </c>
      <c r="B385" s="330"/>
      <c r="C385" s="330" t="b">
        <v>0</v>
      </c>
      <c r="D385" s="330"/>
      <c r="E385" s="14"/>
      <c r="F385" s="339" t="s">
        <v>4901</v>
      </c>
      <c r="G385" s="1" t="s">
        <v>31</v>
      </c>
      <c r="H385" s="1" t="s">
        <v>31</v>
      </c>
      <c r="I385" s="330" t="s">
        <v>4437</v>
      </c>
      <c r="J385" s="1" t="s">
        <v>31</v>
      </c>
      <c r="K385" s="332"/>
      <c r="L385" s="330">
        <v>9.26016334E9</v>
      </c>
      <c r="M385" s="330"/>
      <c r="N385" s="333" t="s">
        <v>1387</v>
      </c>
      <c r="O385" s="330"/>
      <c r="P385" s="330"/>
      <c r="Q385" s="330"/>
      <c r="R385" s="330"/>
      <c r="S385" s="330"/>
    </row>
    <row r="386">
      <c r="A386" s="339" t="s">
        <v>1764</v>
      </c>
      <c r="B386" s="330"/>
      <c r="C386" s="330" t="b">
        <v>0</v>
      </c>
      <c r="D386" s="330"/>
      <c r="E386" s="14"/>
      <c r="F386" s="339" t="s">
        <v>4902</v>
      </c>
      <c r="G386" s="1" t="s">
        <v>31</v>
      </c>
      <c r="H386" s="1" t="s">
        <v>31</v>
      </c>
      <c r="I386" s="330" t="s">
        <v>4903</v>
      </c>
      <c r="J386" s="1" t="s">
        <v>31</v>
      </c>
      <c r="K386" s="332"/>
      <c r="L386" s="330"/>
      <c r="M386" s="330"/>
      <c r="N386" s="333" t="s">
        <v>1724</v>
      </c>
      <c r="O386" s="330"/>
      <c r="P386" s="330"/>
      <c r="Q386" s="330"/>
      <c r="R386" s="330"/>
      <c r="S386" s="330"/>
    </row>
    <row r="387">
      <c r="A387" s="339" t="s">
        <v>1839</v>
      </c>
      <c r="B387" s="330"/>
      <c r="C387" s="330" t="b">
        <v>0</v>
      </c>
      <c r="D387" s="330"/>
      <c r="E387" s="14"/>
      <c r="F387" s="339" t="s">
        <v>4904</v>
      </c>
      <c r="G387" s="1" t="s">
        <v>31</v>
      </c>
      <c r="H387" s="1" t="s">
        <v>31</v>
      </c>
      <c r="I387" s="330" t="s">
        <v>4391</v>
      </c>
      <c r="J387" s="1" t="s">
        <v>31</v>
      </c>
      <c r="K387" s="332"/>
      <c r="L387" s="330">
        <v>9.22831571E9</v>
      </c>
      <c r="M387" s="330"/>
      <c r="N387" s="333" t="s">
        <v>715</v>
      </c>
      <c r="O387" s="330"/>
      <c r="P387" s="330"/>
      <c r="Q387" s="330"/>
      <c r="R387" s="330"/>
      <c r="S387" s="330"/>
    </row>
    <row r="388">
      <c r="A388" s="339" t="s">
        <v>1841</v>
      </c>
      <c r="B388" s="330"/>
      <c r="C388" s="330" t="b">
        <v>0</v>
      </c>
      <c r="D388" s="330"/>
      <c r="E388" s="14"/>
      <c r="F388" s="339" t="s">
        <v>4905</v>
      </c>
      <c r="G388" s="1" t="s">
        <v>31</v>
      </c>
      <c r="H388" s="1" t="s">
        <v>31</v>
      </c>
      <c r="I388" s="330" t="s">
        <v>4391</v>
      </c>
      <c r="J388" s="1" t="s">
        <v>31</v>
      </c>
      <c r="K388" s="332"/>
      <c r="L388" s="330"/>
      <c r="M388" s="330"/>
      <c r="N388" s="333" t="s">
        <v>715</v>
      </c>
      <c r="O388" s="330"/>
      <c r="P388" s="330"/>
      <c r="Q388" s="330"/>
      <c r="R388" s="330"/>
      <c r="S388" s="330"/>
    </row>
    <row r="389">
      <c r="A389" s="339" t="s">
        <v>1844</v>
      </c>
      <c r="B389" s="330"/>
      <c r="C389" s="330" t="b">
        <v>0</v>
      </c>
      <c r="D389" s="330"/>
      <c r="E389" s="14"/>
      <c r="F389" s="339" t="s">
        <v>4906</v>
      </c>
      <c r="G389" s="1" t="s">
        <v>31</v>
      </c>
      <c r="H389" s="1" t="s">
        <v>31</v>
      </c>
      <c r="I389" s="330" t="s">
        <v>4391</v>
      </c>
      <c r="J389" s="1" t="s">
        <v>31</v>
      </c>
      <c r="K389" s="332"/>
      <c r="L389" s="330">
        <v>9.279651308E9</v>
      </c>
      <c r="M389" s="330"/>
      <c r="N389" s="333" t="s">
        <v>715</v>
      </c>
      <c r="O389" s="330"/>
      <c r="P389" s="330"/>
      <c r="Q389" s="330"/>
      <c r="R389" s="330"/>
      <c r="S389" s="330"/>
    </row>
    <row r="390">
      <c r="A390" s="339" t="s">
        <v>1846</v>
      </c>
      <c r="B390" s="330"/>
      <c r="C390" s="330" t="b">
        <v>0</v>
      </c>
      <c r="D390" s="330"/>
      <c r="E390" s="14"/>
      <c r="F390" s="339" t="s">
        <v>4907</v>
      </c>
      <c r="G390" s="1" t="s">
        <v>31</v>
      </c>
      <c r="H390" s="1" t="s">
        <v>31</v>
      </c>
      <c r="I390" s="330" t="s">
        <v>4391</v>
      </c>
      <c r="J390" s="1" t="s">
        <v>31</v>
      </c>
      <c r="K390" s="332"/>
      <c r="L390" s="330"/>
      <c r="M390" s="330"/>
      <c r="N390" s="333" t="s">
        <v>1847</v>
      </c>
      <c r="O390" s="330"/>
      <c r="P390" s="330"/>
      <c r="Q390" s="330"/>
      <c r="R390" s="330"/>
      <c r="S390" s="330"/>
    </row>
    <row r="391">
      <c r="A391" s="339" t="s">
        <v>1850</v>
      </c>
      <c r="B391" s="330"/>
      <c r="C391" s="330" t="b">
        <v>0</v>
      </c>
      <c r="D391" s="330"/>
      <c r="E391" s="14"/>
      <c r="F391" s="339" t="s">
        <v>4908</v>
      </c>
      <c r="G391" s="1" t="s">
        <v>31</v>
      </c>
      <c r="H391" s="1" t="s">
        <v>31</v>
      </c>
      <c r="I391" s="330" t="s">
        <v>4794</v>
      </c>
      <c r="J391" s="1" t="s">
        <v>31</v>
      </c>
      <c r="K391" s="332"/>
      <c r="L391" s="330"/>
      <c r="M391" s="330"/>
      <c r="N391" s="333" t="s">
        <v>1847</v>
      </c>
      <c r="O391" s="330"/>
      <c r="P391" s="330"/>
      <c r="Q391" s="330"/>
      <c r="R391" s="330"/>
      <c r="S391" s="330"/>
    </row>
    <row r="392">
      <c r="A392" s="339" t="s">
        <v>1852</v>
      </c>
      <c r="B392" s="330"/>
      <c r="C392" s="330" t="b">
        <v>0</v>
      </c>
      <c r="D392" s="330"/>
      <c r="E392" s="14"/>
      <c r="F392" s="339" t="s">
        <v>4909</v>
      </c>
      <c r="G392" s="1" t="s">
        <v>31</v>
      </c>
      <c r="H392" s="1" t="s">
        <v>31</v>
      </c>
      <c r="I392" s="330" t="s">
        <v>4391</v>
      </c>
      <c r="J392" s="1" t="s">
        <v>31</v>
      </c>
      <c r="K392" s="332"/>
      <c r="L392" s="330"/>
      <c r="M392" s="330"/>
      <c r="N392" s="333" t="s">
        <v>1847</v>
      </c>
      <c r="O392" s="330"/>
      <c r="P392" s="330"/>
      <c r="Q392" s="330"/>
      <c r="R392" s="330"/>
      <c r="S392" s="330"/>
    </row>
    <row r="393">
      <c r="A393" s="339" t="s">
        <v>1854</v>
      </c>
      <c r="B393" s="330"/>
      <c r="C393" s="330" t="b">
        <v>0</v>
      </c>
      <c r="D393" s="330"/>
      <c r="E393" s="14"/>
      <c r="F393" s="339" t="s">
        <v>4910</v>
      </c>
      <c r="G393" s="1" t="s">
        <v>31</v>
      </c>
      <c r="H393" s="1" t="s">
        <v>31</v>
      </c>
      <c r="I393" s="330" t="s">
        <v>4391</v>
      </c>
      <c r="J393" s="1" t="s">
        <v>31</v>
      </c>
      <c r="K393" s="332"/>
      <c r="L393" s="330">
        <v>9.352243698E9</v>
      </c>
      <c r="M393" s="330"/>
      <c r="N393" s="333" t="s">
        <v>715</v>
      </c>
      <c r="O393" s="330"/>
      <c r="P393" s="330"/>
      <c r="Q393" s="330"/>
      <c r="R393" s="330"/>
      <c r="S393" s="330"/>
    </row>
    <row r="394">
      <c r="A394" s="339" t="s">
        <v>1870</v>
      </c>
      <c r="B394" s="330"/>
      <c r="C394" s="330" t="b">
        <v>0</v>
      </c>
      <c r="D394" s="330"/>
      <c r="E394" s="14"/>
      <c r="F394" s="339" t="s">
        <v>4911</v>
      </c>
      <c r="G394" s="1" t="s">
        <v>31</v>
      </c>
      <c r="H394" s="1" t="s">
        <v>31</v>
      </c>
      <c r="I394" s="330" t="s">
        <v>4742</v>
      </c>
      <c r="J394" s="1" t="s">
        <v>31</v>
      </c>
      <c r="K394" s="332"/>
      <c r="L394" s="330"/>
      <c r="M394" s="330"/>
      <c r="N394" s="333" t="s">
        <v>177</v>
      </c>
      <c r="O394" s="330"/>
      <c r="P394" s="330"/>
      <c r="Q394" s="330"/>
      <c r="R394" s="330"/>
      <c r="S394" s="330"/>
    </row>
    <row r="395">
      <c r="A395" s="339" t="s">
        <v>1889</v>
      </c>
      <c r="B395" s="330"/>
      <c r="C395" s="330" t="b">
        <v>0</v>
      </c>
      <c r="D395" s="330"/>
      <c r="E395" s="14"/>
      <c r="F395" s="339" t="s">
        <v>4912</v>
      </c>
      <c r="G395" s="1" t="s">
        <v>31</v>
      </c>
      <c r="H395" s="1" t="s">
        <v>31</v>
      </c>
      <c r="I395" s="330" t="s">
        <v>4391</v>
      </c>
      <c r="J395" s="1" t="s">
        <v>31</v>
      </c>
      <c r="K395" s="332"/>
      <c r="L395" s="330"/>
      <c r="M395" s="330"/>
      <c r="N395" s="333" t="s">
        <v>177</v>
      </c>
      <c r="O395" s="330"/>
      <c r="P395" s="330"/>
      <c r="Q395" s="330"/>
      <c r="R395" s="330"/>
      <c r="S395" s="330"/>
    </row>
    <row r="396">
      <c r="A396" s="339" t="s">
        <v>1895</v>
      </c>
      <c r="B396" s="330"/>
      <c r="C396" s="330" t="b">
        <v>0</v>
      </c>
      <c r="D396" s="330"/>
      <c r="E396" s="14"/>
      <c r="F396" s="339" t="s">
        <v>4913</v>
      </c>
      <c r="G396" s="1" t="s">
        <v>31</v>
      </c>
      <c r="H396" s="1" t="s">
        <v>31</v>
      </c>
      <c r="I396" s="330" t="s">
        <v>4464</v>
      </c>
      <c r="J396" s="1" t="s">
        <v>31</v>
      </c>
      <c r="K396" s="332"/>
      <c r="L396" s="330"/>
      <c r="M396" s="330"/>
      <c r="N396" s="333" t="s">
        <v>1376</v>
      </c>
      <c r="O396" s="330"/>
      <c r="P396" s="330"/>
      <c r="Q396" s="330"/>
      <c r="R396" s="330"/>
      <c r="S396" s="330"/>
    </row>
    <row r="397">
      <c r="A397" s="339" t="s">
        <v>1898</v>
      </c>
      <c r="B397" s="330"/>
      <c r="C397" s="330" t="b">
        <v>0</v>
      </c>
      <c r="D397" s="330"/>
      <c r="E397" s="14"/>
      <c r="F397" s="339" t="s">
        <v>4914</v>
      </c>
      <c r="G397" s="1" t="s">
        <v>31</v>
      </c>
      <c r="H397" s="1" t="s">
        <v>31</v>
      </c>
      <c r="I397" s="330" t="s">
        <v>4742</v>
      </c>
      <c r="J397" s="1" t="s">
        <v>31</v>
      </c>
      <c r="K397" s="332"/>
      <c r="L397" s="330" t="s">
        <v>4915</v>
      </c>
      <c r="M397" s="330"/>
      <c r="N397" s="333" t="s">
        <v>1376</v>
      </c>
      <c r="O397" s="330"/>
      <c r="P397" s="330"/>
      <c r="Q397" s="330"/>
      <c r="R397" s="330"/>
      <c r="S397" s="330"/>
    </row>
    <row r="398">
      <c r="A398" s="339" t="s">
        <v>1901</v>
      </c>
      <c r="B398" s="330"/>
      <c r="C398" s="330" t="b">
        <v>0</v>
      </c>
      <c r="D398" s="330"/>
      <c r="E398" s="14"/>
      <c r="F398" s="339" t="s">
        <v>4916</v>
      </c>
      <c r="G398" s="1" t="s">
        <v>31</v>
      </c>
      <c r="H398" s="1" t="s">
        <v>31</v>
      </c>
      <c r="I398" s="330" t="s">
        <v>4437</v>
      </c>
      <c r="J398" s="1" t="s">
        <v>31</v>
      </c>
      <c r="K398" s="332"/>
      <c r="L398" s="330" t="s">
        <v>4917</v>
      </c>
      <c r="M398" s="330"/>
      <c r="N398" s="333" t="s">
        <v>1387</v>
      </c>
      <c r="O398" s="330"/>
      <c r="P398" s="330"/>
      <c r="Q398" s="330"/>
      <c r="R398" s="330"/>
      <c r="S398" s="330"/>
    </row>
    <row r="399">
      <c r="A399" s="339" t="s">
        <v>1905</v>
      </c>
      <c r="B399" s="330"/>
      <c r="C399" s="330" t="b">
        <v>0</v>
      </c>
      <c r="D399" s="330"/>
      <c r="E399" s="14"/>
      <c r="F399" s="339" t="s">
        <v>4918</v>
      </c>
      <c r="G399" s="1" t="s">
        <v>31</v>
      </c>
      <c r="H399" s="1" t="s">
        <v>31</v>
      </c>
      <c r="I399" s="330" t="s">
        <v>4391</v>
      </c>
      <c r="J399" s="1" t="s">
        <v>31</v>
      </c>
      <c r="K399" s="332"/>
      <c r="L399" s="330">
        <v>9.770887265E9</v>
      </c>
      <c r="M399" s="330"/>
      <c r="N399" s="333" t="s">
        <v>1847</v>
      </c>
      <c r="O399" s="330"/>
      <c r="P399" s="330"/>
      <c r="Q399" s="330"/>
      <c r="R399" s="330"/>
      <c r="S399" s="330"/>
    </row>
    <row r="400">
      <c r="A400" s="339" t="s">
        <v>1908</v>
      </c>
      <c r="B400" s="330"/>
      <c r="C400" s="330" t="b">
        <v>0</v>
      </c>
      <c r="D400" s="330"/>
      <c r="E400" s="14"/>
      <c r="F400" s="339" t="s">
        <v>4919</v>
      </c>
      <c r="G400" s="1" t="s">
        <v>31</v>
      </c>
      <c r="H400" s="1" t="s">
        <v>31</v>
      </c>
      <c r="I400" s="330" t="s">
        <v>4391</v>
      </c>
      <c r="J400" s="1" t="s">
        <v>31</v>
      </c>
      <c r="K400" s="332"/>
      <c r="L400" s="330"/>
      <c r="M400" s="330"/>
      <c r="N400" s="333" t="s">
        <v>1847</v>
      </c>
      <c r="O400" s="330"/>
      <c r="P400" s="330"/>
      <c r="Q400" s="330"/>
      <c r="R400" s="330"/>
      <c r="S400" s="330"/>
    </row>
    <row r="401">
      <c r="A401" s="339" t="s">
        <v>1910</v>
      </c>
      <c r="B401" s="330"/>
      <c r="C401" s="330" t="b">
        <v>0</v>
      </c>
      <c r="D401" s="330"/>
      <c r="E401" s="14"/>
      <c r="F401" s="330"/>
      <c r="G401" s="1" t="s">
        <v>31</v>
      </c>
      <c r="H401" s="1" t="s">
        <v>31</v>
      </c>
      <c r="I401" s="330"/>
      <c r="J401" s="1" t="s">
        <v>31</v>
      </c>
      <c r="K401" s="332"/>
      <c r="L401" s="330"/>
      <c r="M401" s="330"/>
      <c r="N401" s="333" t="s">
        <v>1847</v>
      </c>
      <c r="O401" s="330"/>
      <c r="P401" s="330"/>
      <c r="Q401" s="330"/>
      <c r="R401" s="330"/>
      <c r="S401" s="330"/>
    </row>
    <row r="402">
      <c r="A402" s="339" t="s">
        <v>1912</v>
      </c>
      <c r="B402" s="330"/>
      <c r="C402" s="330" t="b">
        <v>0</v>
      </c>
      <c r="D402" s="330"/>
      <c r="E402" s="14"/>
      <c r="F402" s="339" t="s">
        <v>4920</v>
      </c>
      <c r="G402" s="1" t="s">
        <v>31</v>
      </c>
      <c r="H402" s="1" t="s">
        <v>31</v>
      </c>
      <c r="I402" s="330" t="s">
        <v>4921</v>
      </c>
      <c r="J402" s="1" t="s">
        <v>31</v>
      </c>
      <c r="K402" s="332"/>
      <c r="L402" s="330"/>
      <c r="M402" s="330"/>
      <c r="N402" s="333" t="s">
        <v>1724</v>
      </c>
      <c r="O402" s="330"/>
      <c r="P402" s="330"/>
      <c r="Q402" s="330"/>
      <c r="R402" s="330"/>
      <c r="S402" s="330"/>
    </row>
    <row r="403">
      <c r="A403" s="339" t="s">
        <v>1914</v>
      </c>
      <c r="B403" s="330"/>
      <c r="C403" s="330" t="b">
        <v>0</v>
      </c>
      <c r="D403" s="330"/>
      <c r="E403" s="14"/>
      <c r="F403" s="339" t="s">
        <v>4922</v>
      </c>
      <c r="G403" s="1" t="s">
        <v>31</v>
      </c>
      <c r="H403" s="1" t="s">
        <v>31</v>
      </c>
      <c r="I403" s="330" t="s">
        <v>4842</v>
      </c>
      <c r="J403" s="1" t="s">
        <v>31</v>
      </c>
      <c r="K403" s="332"/>
      <c r="L403" s="330"/>
      <c r="M403" s="330"/>
      <c r="N403" s="333" t="s">
        <v>1847</v>
      </c>
      <c r="O403" s="330"/>
      <c r="P403" s="330"/>
      <c r="Q403" s="330"/>
      <c r="R403" s="330"/>
      <c r="S403" s="330"/>
    </row>
    <row r="404">
      <c r="A404" s="339" t="s">
        <v>1917</v>
      </c>
      <c r="B404" s="330"/>
      <c r="C404" s="330" t="b">
        <v>0</v>
      </c>
      <c r="D404" s="330"/>
      <c r="E404" s="14"/>
      <c r="F404" s="339" t="s">
        <v>4918</v>
      </c>
      <c r="G404" s="1" t="s">
        <v>31</v>
      </c>
      <c r="H404" s="1" t="s">
        <v>31</v>
      </c>
      <c r="I404" s="330" t="s">
        <v>4391</v>
      </c>
      <c r="J404" s="1" t="s">
        <v>31</v>
      </c>
      <c r="K404" s="332"/>
      <c r="L404" s="330"/>
      <c r="M404" s="330"/>
      <c r="N404" s="333" t="s">
        <v>1847</v>
      </c>
      <c r="O404" s="330"/>
      <c r="P404" s="330"/>
      <c r="Q404" s="330"/>
      <c r="R404" s="330"/>
      <c r="S404" s="330"/>
    </row>
    <row r="405">
      <c r="A405" s="339" t="s">
        <v>1921</v>
      </c>
      <c r="B405" s="330"/>
      <c r="C405" s="330" t="b">
        <v>0</v>
      </c>
      <c r="D405" s="330"/>
      <c r="E405" s="14"/>
      <c r="F405" s="339" t="s">
        <v>4923</v>
      </c>
      <c r="G405" s="1" t="s">
        <v>31</v>
      </c>
      <c r="H405" s="1" t="s">
        <v>31</v>
      </c>
      <c r="I405" s="330" t="s">
        <v>4794</v>
      </c>
      <c r="J405" s="1" t="s">
        <v>31</v>
      </c>
      <c r="K405" s="332"/>
      <c r="L405" s="330">
        <v>9.975194338E9</v>
      </c>
      <c r="M405" s="330"/>
      <c r="N405" s="333" t="s">
        <v>1847</v>
      </c>
      <c r="O405" s="330"/>
      <c r="P405" s="330"/>
      <c r="Q405" s="330"/>
      <c r="R405" s="330"/>
      <c r="S405" s="330"/>
    </row>
    <row r="406">
      <c r="A406" s="339" t="s">
        <v>1925</v>
      </c>
      <c r="B406" s="330"/>
      <c r="C406" s="330" t="b">
        <v>0</v>
      </c>
      <c r="D406" s="330"/>
      <c r="E406" s="14"/>
      <c r="F406" s="339" t="s">
        <v>4924</v>
      </c>
      <c r="G406" s="1" t="s">
        <v>31</v>
      </c>
      <c r="H406" s="1" t="s">
        <v>31</v>
      </c>
      <c r="I406" s="330" t="s">
        <v>4794</v>
      </c>
      <c r="J406" s="1" t="s">
        <v>31</v>
      </c>
      <c r="K406" s="332"/>
      <c r="L406" s="330"/>
      <c r="M406" s="330"/>
      <c r="N406" s="333" t="s">
        <v>1847</v>
      </c>
      <c r="O406" s="330"/>
      <c r="P406" s="330"/>
      <c r="Q406" s="330"/>
      <c r="R406" s="330"/>
      <c r="S406" s="330"/>
    </row>
    <row r="407">
      <c r="A407" s="339" t="s">
        <v>1927</v>
      </c>
      <c r="B407" s="330"/>
      <c r="C407" s="330" t="b">
        <v>0</v>
      </c>
      <c r="D407" s="330"/>
      <c r="E407" s="14"/>
      <c r="F407" s="339" t="s">
        <v>4925</v>
      </c>
      <c r="G407" s="1" t="s">
        <v>31</v>
      </c>
      <c r="H407" s="1" t="s">
        <v>31</v>
      </c>
      <c r="I407" s="330" t="s">
        <v>4794</v>
      </c>
      <c r="J407" s="1" t="s">
        <v>31</v>
      </c>
      <c r="K407" s="332"/>
      <c r="L407" s="330"/>
      <c r="M407" s="330"/>
      <c r="N407" s="333" t="s">
        <v>1847</v>
      </c>
      <c r="O407" s="330"/>
      <c r="P407" s="330"/>
      <c r="Q407" s="330"/>
      <c r="R407" s="330"/>
      <c r="S407" s="330"/>
    </row>
    <row r="408">
      <c r="A408" s="339" t="s">
        <v>1929</v>
      </c>
      <c r="B408" s="330"/>
      <c r="C408" s="330" t="b">
        <v>0</v>
      </c>
      <c r="D408" s="330"/>
      <c r="E408" s="14"/>
      <c r="F408" s="339" t="s">
        <v>4926</v>
      </c>
      <c r="G408" s="1" t="s">
        <v>31</v>
      </c>
      <c r="H408" s="1" t="s">
        <v>31</v>
      </c>
      <c r="I408" s="330" t="s">
        <v>4794</v>
      </c>
      <c r="J408" s="1" t="s">
        <v>31</v>
      </c>
      <c r="K408" s="332"/>
      <c r="L408" s="330"/>
      <c r="M408" s="330"/>
      <c r="N408" s="333" t="s">
        <v>1847</v>
      </c>
      <c r="O408" s="330"/>
      <c r="P408" s="330"/>
      <c r="Q408" s="330"/>
      <c r="R408" s="330"/>
      <c r="S408" s="330"/>
    </row>
    <row r="409">
      <c r="A409" s="339" t="s">
        <v>1931</v>
      </c>
      <c r="B409" s="330"/>
      <c r="C409" s="330" t="b">
        <v>0</v>
      </c>
      <c r="D409" s="330"/>
      <c r="E409" s="14"/>
      <c r="F409" s="339" t="s">
        <v>4927</v>
      </c>
      <c r="G409" s="1" t="s">
        <v>31</v>
      </c>
      <c r="H409" s="1" t="s">
        <v>31</v>
      </c>
      <c r="I409" s="330" t="s">
        <v>4794</v>
      </c>
      <c r="J409" s="1" t="s">
        <v>31</v>
      </c>
      <c r="K409" s="332"/>
      <c r="L409" s="330"/>
      <c r="M409" s="330"/>
      <c r="N409" s="333" t="s">
        <v>1847</v>
      </c>
      <c r="O409" s="330"/>
      <c r="P409" s="330"/>
      <c r="Q409" s="330"/>
      <c r="R409" s="330"/>
      <c r="S409" s="330"/>
    </row>
    <row r="410">
      <c r="A410" s="339" t="s">
        <v>1933</v>
      </c>
      <c r="B410" s="330"/>
      <c r="C410" s="330" t="b">
        <v>0</v>
      </c>
      <c r="D410" s="330"/>
      <c r="E410" s="14"/>
      <c r="F410" s="339" t="s">
        <v>4843</v>
      </c>
      <c r="G410" s="1" t="s">
        <v>31</v>
      </c>
      <c r="H410" s="1" t="s">
        <v>31</v>
      </c>
      <c r="I410" s="330" t="s">
        <v>4842</v>
      </c>
      <c r="J410" s="1" t="s">
        <v>31</v>
      </c>
      <c r="K410" s="332"/>
      <c r="L410" s="330">
        <v>9.56445641E9</v>
      </c>
      <c r="M410" s="330"/>
      <c r="N410" s="333" t="s">
        <v>1724</v>
      </c>
      <c r="O410" s="330"/>
      <c r="P410" s="330"/>
      <c r="Q410" s="330"/>
      <c r="R410" s="330"/>
      <c r="S410" s="330"/>
    </row>
    <row r="411">
      <c r="A411" s="339" t="s">
        <v>1936</v>
      </c>
      <c r="B411" s="330"/>
      <c r="C411" s="330" t="b">
        <v>0</v>
      </c>
      <c r="D411" s="330"/>
      <c r="E411" s="14"/>
      <c r="F411" s="339" t="s">
        <v>4928</v>
      </c>
      <c r="G411" s="1" t="s">
        <v>31</v>
      </c>
      <c r="H411" s="1" t="s">
        <v>31</v>
      </c>
      <c r="I411" s="330" t="s">
        <v>4842</v>
      </c>
      <c r="J411" s="1" t="s">
        <v>31</v>
      </c>
      <c r="K411" s="332"/>
      <c r="L411" s="330"/>
      <c r="M411" s="330"/>
      <c r="N411" s="333" t="s">
        <v>1724</v>
      </c>
      <c r="O411" s="330"/>
      <c r="P411" s="330"/>
      <c r="Q411" s="330"/>
      <c r="R411" s="330"/>
      <c r="S411" s="330"/>
    </row>
    <row r="412">
      <c r="A412" s="339" t="s">
        <v>4929</v>
      </c>
      <c r="B412" s="330"/>
      <c r="C412" s="330" t="b">
        <v>0</v>
      </c>
      <c r="D412" s="330"/>
      <c r="E412" s="14"/>
      <c r="F412" s="339" t="s">
        <v>4930</v>
      </c>
      <c r="G412" s="1" t="s">
        <v>31</v>
      </c>
      <c r="H412" s="1" t="s">
        <v>31</v>
      </c>
      <c r="I412" s="330" t="s">
        <v>4842</v>
      </c>
      <c r="J412" s="1" t="s">
        <v>31</v>
      </c>
      <c r="K412" s="332"/>
      <c r="L412" s="330">
        <v>9.33821182E9</v>
      </c>
      <c r="M412" s="330"/>
      <c r="N412" s="333" t="s">
        <v>1724</v>
      </c>
      <c r="O412" s="330"/>
      <c r="P412" s="330"/>
      <c r="Q412" s="330"/>
      <c r="R412" s="330"/>
      <c r="S412" s="330"/>
    </row>
    <row r="413">
      <c r="A413" s="339" t="s">
        <v>1943</v>
      </c>
      <c r="B413" s="330"/>
      <c r="C413" s="330" t="b">
        <v>0</v>
      </c>
      <c r="D413" s="330"/>
      <c r="E413" s="14"/>
      <c r="F413" s="339" t="s">
        <v>4931</v>
      </c>
      <c r="G413" s="1" t="s">
        <v>31</v>
      </c>
      <c r="H413" s="1" t="s">
        <v>31</v>
      </c>
      <c r="I413" s="330" t="s">
        <v>4932</v>
      </c>
      <c r="J413" s="1" t="s">
        <v>31</v>
      </c>
      <c r="K413" s="332"/>
      <c r="L413" s="330"/>
      <c r="M413" s="330"/>
      <c r="N413" s="333" t="s">
        <v>1847</v>
      </c>
      <c r="O413" s="330"/>
      <c r="P413" s="330"/>
      <c r="Q413" s="330"/>
      <c r="R413" s="330"/>
      <c r="S413" s="330"/>
    </row>
    <row r="414">
      <c r="A414" s="339" t="s">
        <v>1945</v>
      </c>
      <c r="B414" s="330"/>
      <c r="C414" s="330" t="b">
        <v>0</v>
      </c>
      <c r="D414" s="330"/>
      <c r="E414" s="14"/>
      <c r="F414" s="339" t="s">
        <v>4933</v>
      </c>
      <c r="G414" s="1" t="s">
        <v>31</v>
      </c>
      <c r="H414" s="1" t="s">
        <v>31</v>
      </c>
      <c r="I414" s="330" t="s">
        <v>4932</v>
      </c>
      <c r="J414" s="1" t="s">
        <v>31</v>
      </c>
      <c r="K414" s="332"/>
      <c r="L414" s="330">
        <v>9.270040167E9</v>
      </c>
      <c r="M414" s="330"/>
      <c r="N414" s="333" t="s">
        <v>1724</v>
      </c>
      <c r="O414" s="330"/>
      <c r="P414" s="330"/>
      <c r="Q414" s="330"/>
      <c r="R414" s="330"/>
      <c r="S414" s="330"/>
    </row>
    <row r="415">
      <c r="A415" s="339" t="s">
        <v>1951</v>
      </c>
      <c r="B415" s="330"/>
      <c r="C415" s="330" t="b">
        <v>0</v>
      </c>
      <c r="D415" s="330"/>
      <c r="E415" s="14"/>
      <c r="F415" s="339" t="s">
        <v>4934</v>
      </c>
      <c r="G415" s="1" t="s">
        <v>31</v>
      </c>
      <c r="H415" s="1" t="s">
        <v>31</v>
      </c>
      <c r="I415" s="330" t="s">
        <v>4363</v>
      </c>
      <c r="J415" s="1" t="s">
        <v>31</v>
      </c>
      <c r="K415" s="332"/>
      <c r="L415" s="330">
        <v>9.998890614E9</v>
      </c>
      <c r="M415" s="330"/>
      <c r="N415" s="333" t="s">
        <v>715</v>
      </c>
      <c r="O415" s="330"/>
      <c r="P415" s="330"/>
      <c r="Q415" s="330"/>
      <c r="R415" s="330"/>
      <c r="S415" s="330"/>
    </row>
    <row r="416">
      <c r="A416" s="339" t="s">
        <v>1955</v>
      </c>
      <c r="B416" s="330"/>
      <c r="C416" s="330" t="b">
        <v>0</v>
      </c>
      <c r="D416" s="330"/>
      <c r="E416" s="14"/>
      <c r="F416" s="339" t="s">
        <v>4935</v>
      </c>
      <c r="G416" s="1" t="s">
        <v>31</v>
      </c>
      <c r="H416" s="1" t="s">
        <v>31</v>
      </c>
      <c r="I416" s="330" t="s">
        <v>4742</v>
      </c>
      <c r="J416" s="1" t="s">
        <v>31</v>
      </c>
      <c r="K416" s="332"/>
      <c r="L416" s="330"/>
      <c r="M416" s="330"/>
      <c r="N416" s="333" t="s">
        <v>1376</v>
      </c>
      <c r="O416" s="330"/>
      <c r="P416" s="330"/>
      <c r="Q416" s="330"/>
      <c r="R416" s="330"/>
      <c r="S416" s="330"/>
    </row>
    <row r="417">
      <c r="A417" s="339" t="s">
        <v>1968</v>
      </c>
      <c r="B417" s="330"/>
      <c r="C417" s="330" t="b">
        <v>0</v>
      </c>
      <c r="D417" s="330"/>
      <c r="E417" s="14"/>
      <c r="F417" s="339" t="s">
        <v>4936</v>
      </c>
      <c r="G417" s="1" t="s">
        <v>31</v>
      </c>
      <c r="H417" s="1" t="s">
        <v>31</v>
      </c>
      <c r="I417" s="330" t="s">
        <v>4391</v>
      </c>
      <c r="J417" s="1" t="s">
        <v>31</v>
      </c>
      <c r="K417" s="332"/>
      <c r="L417" s="330" t="s">
        <v>4937</v>
      </c>
      <c r="M417" s="330"/>
      <c r="N417" s="333" t="s">
        <v>1724</v>
      </c>
      <c r="O417" s="330"/>
      <c r="P417" s="330"/>
      <c r="Q417" s="330"/>
      <c r="R417" s="330"/>
      <c r="S417" s="330"/>
    </row>
    <row r="418">
      <c r="A418" s="339" t="s">
        <v>1970</v>
      </c>
      <c r="B418" s="330"/>
      <c r="C418" s="330" t="b">
        <v>0</v>
      </c>
      <c r="D418" s="330"/>
      <c r="E418" s="14"/>
      <c r="F418" s="339" t="s">
        <v>4938</v>
      </c>
      <c r="G418" s="1" t="s">
        <v>31</v>
      </c>
      <c r="H418" s="1" t="s">
        <v>31</v>
      </c>
      <c r="I418" s="330" t="s">
        <v>4921</v>
      </c>
      <c r="J418" s="1" t="s">
        <v>31</v>
      </c>
      <c r="K418" s="332"/>
      <c r="L418" s="330"/>
      <c r="M418" s="330"/>
      <c r="N418" s="333" t="s">
        <v>1724</v>
      </c>
      <c r="O418" s="330"/>
      <c r="P418" s="330"/>
      <c r="Q418" s="330"/>
      <c r="R418" s="330"/>
      <c r="S418" s="330"/>
    </row>
    <row r="419">
      <c r="A419" s="339" t="s">
        <v>1972</v>
      </c>
      <c r="B419" s="330"/>
      <c r="C419" s="330" t="b">
        <v>0</v>
      </c>
      <c r="D419" s="330"/>
      <c r="E419" s="14"/>
      <c r="F419" s="339" t="s">
        <v>4938</v>
      </c>
      <c r="G419" s="1" t="s">
        <v>31</v>
      </c>
      <c r="H419" s="1" t="s">
        <v>31</v>
      </c>
      <c r="I419" s="330" t="s">
        <v>4921</v>
      </c>
      <c r="J419" s="1" t="s">
        <v>31</v>
      </c>
      <c r="K419" s="332"/>
      <c r="L419" s="330">
        <v>9.175313577E9</v>
      </c>
      <c r="M419" s="330"/>
      <c r="N419" s="333" t="s">
        <v>1724</v>
      </c>
      <c r="O419" s="330"/>
      <c r="P419" s="330"/>
      <c r="Q419" s="330"/>
      <c r="R419" s="330"/>
      <c r="S419" s="330"/>
    </row>
    <row r="420">
      <c r="A420" s="339" t="s">
        <v>1976</v>
      </c>
      <c r="B420" s="330"/>
      <c r="C420" s="330" t="b">
        <v>0</v>
      </c>
      <c r="D420" s="330"/>
      <c r="E420" s="14"/>
      <c r="F420" s="339" t="s">
        <v>4939</v>
      </c>
      <c r="G420" s="1" t="s">
        <v>31</v>
      </c>
      <c r="H420" s="1" t="s">
        <v>31</v>
      </c>
      <c r="I420" s="330" t="s">
        <v>4391</v>
      </c>
      <c r="J420" s="1" t="s">
        <v>31</v>
      </c>
      <c r="K420" s="332"/>
      <c r="L420" s="330"/>
      <c r="M420" s="330"/>
      <c r="N420" s="333" t="s">
        <v>1847</v>
      </c>
      <c r="O420" s="330"/>
      <c r="P420" s="330"/>
      <c r="Q420" s="330"/>
      <c r="R420" s="330"/>
      <c r="S420" s="330"/>
    </row>
    <row r="421">
      <c r="A421" s="339" t="s">
        <v>1979</v>
      </c>
      <c r="B421" s="330"/>
      <c r="C421" s="330" t="b">
        <v>0</v>
      </c>
      <c r="D421" s="330"/>
      <c r="E421" s="14"/>
      <c r="F421" s="339" t="s">
        <v>4940</v>
      </c>
      <c r="G421" s="1" t="s">
        <v>31</v>
      </c>
      <c r="H421" s="1" t="s">
        <v>31</v>
      </c>
      <c r="I421" s="330" t="s">
        <v>4794</v>
      </c>
      <c r="J421" s="1" t="s">
        <v>31</v>
      </c>
      <c r="K421" s="332"/>
      <c r="L421" s="330">
        <v>9.16752E9</v>
      </c>
      <c r="M421" s="330"/>
      <c r="N421" s="333" t="s">
        <v>1724</v>
      </c>
      <c r="O421" s="330"/>
      <c r="P421" s="330"/>
      <c r="Q421" s="330"/>
      <c r="R421" s="330"/>
      <c r="S421" s="330"/>
    </row>
    <row r="422">
      <c r="A422" s="339" t="s">
        <v>1982</v>
      </c>
      <c r="B422" s="330"/>
      <c r="C422" s="330" t="b">
        <v>0</v>
      </c>
      <c r="D422" s="330"/>
      <c r="E422" s="14"/>
      <c r="F422" s="339" t="s">
        <v>4908</v>
      </c>
      <c r="G422" s="1" t="s">
        <v>31</v>
      </c>
      <c r="H422" s="1" t="s">
        <v>31</v>
      </c>
      <c r="I422" s="330" t="s">
        <v>4794</v>
      </c>
      <c r="J422" s="1" t="s">
        <v>31</v>
      </c>
      <c r="K422" s="332"/>
      <c r="L422" s="330">
        <v>9.676910873E9</v>
      </c>
      <c r="M422" s="330"/>
      <c r="N422" s="333" t="s">
        <v>715</v>
      </c>
      <c r="O422" s="330"/>
      <c r="P422" s="330"/>
      <c r="Q422" s="330"/>
      <c r="R422" s="330"/>
      <c r="S422" s="330"/>
    </row>
    <row r="423">
      <c r="A423" s="339" t="s">
        <v>1984</v>
      </c>
      <c r="B423" s="330"/>
      <c r="C423" s="330" t="b">
        <v>0</v>
      </c>
      <c r="D423" s="330"/>
      <c r="E423" s="14"/>
      <c r="F423" s="339" t="s">
        <v>4941</v>
      </c>
      <c r="G423" s="1" t="s">
        <v>31</v>
      </c>
      <c r="H423" s="1" t="s">
        <v>31</v>
      </c>
      <c r="I423" s="330" t="s">
        <v>4932</v>
      </c>
      <c r="J423" s="1" t="s">
        <v>31</v>
      </c>
      <c r="K423" s="332"/>
      <c r="L423" s="330"/>
      <c r="M423" s="330"/>
      <c r="N423" s="333" t="s">
        <v>1724</v>
      </c>
      <c r="O423" s="330"/>
      <c r="P423" s="330"/>
      <c r="Q423" s="330"/>
      <c r="R423" s="330"/>
      <c r="S423" s="330"/>
    </row>
    <row r="424">
      <c r="A424" s="339" t="s">
        <v>1986</v>
      </c>
      <c r="B424" s="330"/>
      <c r="C424" s="330" t="b">
        <v>0</v>
      </c>
      <c r="D424" s="330"/>
      <c r="E424" s="14"/>
      <c r="F424" s="339" t="s">
        <v>4942</v>
      </c>
      <c r="G424" s="1" t="s">
        <v>31</v>
      </c>
      <c r="H424" s="1" t="s">
        <v>31</v>
      </c>
      <c r="I424" s="330" t="s">
        <v>4485</v>
      </c>
      <c r="J424" s="1" t="s">
        <v>31</v>
      </c>
      <c r="K424" s="332"/>
      <c r="L424" s="330"/>
      <c r="M424" s="330"/>
      <c r="N424" s="333" t="s">
        <v>177</v>
      </c>
      <c r="O424" s="330"/>
      <c r="P424" s="330"/>
      <c r="Q424" s="330"/>
      <c r="R424" s="330"/>
      <c r="S424" s="330"/>
    </row>
    <row r="425">
      <c r="A425" s="339" t="s">
        <v>1993</v>
      </c>
      <c r="B425" s="330"/>
      <c r="C425" s="330" t="b">
        <v>0</v>
      </c>
      <c r="D425" s="330"/>
      <c r="E425" s="14"/>
      <c r="F425" s="339" t="s">
        <v>4943</v>
      </c>
      <c r="G425" s="1" t="s">
        <v>31</v>
      </c>
      <c r="H425" s="1" t="s">
        <v>31</v>
      </c>
      <c r="I425" s="330" t="s">
        <v>4363</v>
      </c>
      <c r="J425" s="1" t="s">
        <v>31</v>
      </c>
      <c r="K425" s="332"/>
      <c r="L425" s="330">
        <v>8.3767486E7</v>
      </c>
      <c r="M425" s="330"/>
      <c r="N425" s="333" t="s">
        <v>177</v>
      </c>
      <c r="O425" s="330"/>
      <c r="P425" s="330"/>
      <c r="Q425" s="330"/>
      <c r="R425" s="330"/>
      <c r="S425" s="330"/>
    </row>
    <row r="426">
      <c r="A426" s="339" t="s">
        <v>1997</v>
      </c>
      <c r="B426" s="330"/>
      <c r="C426" s="330" t="b">
        <v>0</v>
      </c>
      <c r="D426" s="330"/>
      <c r="E426" s="14"/>
      <c r="F426" s="339" t="s">
        <v>4944</v>
      </c>
      <c r="G426" s="1" t="s">
        <v>31</v>
      </c>
      <c r="H426" s="1" t="s">
        <v>31</v>
      </c>
      <c r="I426" s="330" t="s">
        <v>4358</v>
      </c>
      <c r="J426" s="1" t="s">
        <v>31</v>
      </c>
      <c r="K426" s="332"/>
      <c r="L426" s="330" t="s">
        <v>4945</v>
      </c>
      <c r="M426" s="330"/>
      <c r="N426" s="333" t="s">
        <v>177</v>
      </c>
      <c r="O426" s="330"/>
      <c r="P426" s="330"/>
      <c r="Q426" s="330"/>
      <c r="R426" s="330"/>
      <c r="S426" s="330"/>
    </row>
    <row r="427">
      <c r="A427" s="339" t="s">
        <v>2009</v>
      </c>
      <c r="B427" s="330"/>
      <c r="C427" s="330" t="b">
        <v>0</v>
      </c>
      <c r="D427" s="330"/>
      <c r="E427" s="14"/>
      <c r="F427" s="339" t="s">
        <v>4946</v>
      </c>
      <c r="G427" s="1" t="s">
        <v>31</v>
      </c>
      <c r="H427" s="1" t="s">
        <v>31</v>
      </c>
      <c r="I427" s="330" t="s">
        <v>4363</v>
      </c>
      <c r="J427" s="1" t="s">
        <v>31</v>
      </c>
      <c r="K427" s="332"/>
      <c r="L427" s="330"/>
      <c r="M427" s="330"/>
      <c r="N427" s="333" t="s">
        <v>177</v>
      </c>
      <c r="O427" s="330"/>
      <c r="P427" s="330"/>
      <c r="Q427" s="330"/>
      <c r="R427" s="330"/>
      <c r="S427" s="330"/>
    </row>
    <row r="428">
      <c r="A428" s="339" t="s">
        <v>2011</v>
      </c>
      <c r="B428" s="330"/>
      <c r="C428" s="330" t="b">
        <v>0</v>
      </c>
      <c r="D428" s="330"/>
      <c r="E428" s="14"/>
      <c r="F428" s="339" t="s">
        <v>4947</v>
      </c>
      <c r="G428" s="1" t="s">
        <v>31</v>
      </c>
      <c r="H428" s="1" t="s">
        <v>31</v>
      </c>
      <c r="I428" s="330" t="s">
        <v>4395</v>
      </c>
      <c r="J428" s="1" t="s">
        <v>31</v>
      </c>
      <c r="K428" s="332"/>
      <c r="L428" s="330"/>
      <c r="M428" s="330"/>
      <c r="N428" s="333" t="s">
        <v>177</v>
      </c>
      <c r="O428" s="330"/>
      <c r="P428" s="330"/>
      <c r="Q428" s="330"/>
      <c r="R428" s="330"/>
      <c r="S428" s="330"/>
    </row>
    <row r="429">
      <c r="A429" s="339" t="s">
        <v>1643</v>
      </c>
      <c r="B429" s="330"/>
      <c r="C429" s="330" t="b">
        <v>0</v>
      </c>
      <c r="D429" s="330"/>
      <c r="E429" s="14"/>
      <c r="F429" s="339" t="s">
        <v>4948</v>
      </c>
      <c r="G429" s="1" t="s">
        <v>31</v>
      </c>
      <c r="H429" s="1" t="s">
        <v>31</v>
      </c>
      <c r="I429" s="330" t="s">
        <v>4419</v>
      </c>
      <c r="J429" s="1" t="s">
        <v>31</v>
      </c>
      <c r="K429" s="332"/>
      <c r="L429" s="330">
        <v>9.974526356E9</v>
      </c>
      <c r="M429" s="330"/>
      <c r="N429" s="333" t="s">
        <v>744</v>
      </c>
      <c r="O429" s="330"/>
      <c r="P429" s="330"/>
      <c r="Q429" s="330"/>
      <c r="R429" s="330"/>
      <c r="S429" s="330"/>
    </row>
    <row r="430">
      <c r="A430" s="1" t="s">
        <v>38</v>
      </c>
      <c r="C430" s="330" t="b">
        <v>0</v>
      </c>
      <c r="E430" s="14"/>
      <c r="F430" s="1" t="s">
        <v>31</v>
      </c>
      <c r="G430" s="1" t="s">
        <v>31</v>
      </c>
      <c r="H430" s="1" t="s">
        <v>31</v>
      </c>
      <c r="I430" s="1" t="s">
        <v>31</v>
      </c>
      <c r="J430" s="1" t="s">
        <v>31</v>
      </c>
      <c r="N430" s="1" t="s">
        <v>31</v>
      </c>
    </row>
    <row r="431">
      <c r="A431" s="1" t="s">
        <v>1830</v>
      </c>
      <c r="C431" s="330" t="b">
        <v>0</v>
      </c>
      <c r="E431" s="14"/>
      <c r="F431" s="1" t="s">
        <v>31</v>
      </c>
      <c r="G431" s="1" t="s">
        <v>31</v>
      </c>
      <c r="H431" s="1" t="s">
        <v>31</v>
      </c>
      <c r="I431" s="1" t="s">
        <v>31</v>
      </c>
      <c r="J431" s="1" t="s">
        <v>31</v>
      </c>
      <c r="N431" s="1" t="s">
        <v>31</v>
      </c>
    </row>
    <row r="432">
      <c r="A432" s="330" t="s">
        <v>714</v>
      </c>
      <c r="C432" s="330" t="b">
        <v>0</v>
      </c>
      <c r="E432" s="14"/>
      <c r="F432" s="1" t="s">
        <v>31</v>
      </c>
      <c r="G432" s="1" t="s">
        <v>31</v>
      </c>
      <c r="H432" s="1" t="s">
        <v>31</v>
      </c>
      <c r="I432" s="1" t="s">
        <v>31</v>
      </c>
      <c r="J432" s="1" t="s">
        <v>31</v>
      </c>
      <c r="N432" s="1" t="s">
        <v>31</v>
      </c>
    </row>
    <row r="433">
      <c r="A433" s="330" t="s">
        <v>789</v>
      </c>
      <c r="C433" s="330" t="b">
        <v>0</v>
      </c>
      <c r="E433" s="14"/>
      <c r="F433" s="1" t="s">
        <v>31</v>
      </c>
      <c r="G433" s="1" t="s">
        <v>31</v>
      </c>
      <c r="H433" s="1" t="s">
        <v>31</v>
      </c>
      <c r="I433" s="1" t="s">
        <v>31</v>
      </c>
      <c r="J433" s="1" t="s">
        <v>31</v>
      </c>
      <c r="N433" s="1" t="s">
        <v>31</v>
      </c>
    </row>
    <row r="434">
      <c r="A434" s="134" t="s">
        <v>222</v>
      </c>
      <c r="C434" s="330" t="b">
        <v>0</v>
      </c>
      <c r="E434" s="14"/>
      <c r="F434" s="1" t="s">
        <v>31</v>
      </c>
      <c r="G434" s="1" t="s">
        <v>31</v>
      </c>
      <c r="H434" s="1" t="s">
        <v>31</v>
      </c>
      <c r="I434" s="1" t="s">
        <v>31</v>
      </c>
      <c r="J434" s="1" t="s">
        <v>31</v>
      </c>
      <c r="N434" s="1" t="s">
        <v>31</v>
      </c>
    </row>
    <row r="435">
      <c r="A435" s="134" t="s">
        <v>1181</v>
      </c>
      <c r="C435" s="330" t="b">
        <v>0</v>
      </c>
      <c r="E435" s="14"/>
      <c r="F435" s="1" t="s">
        <v>31</v>
      </c>
      <c r="G435" s="1" t="s">
        <v>31</v>
      </c>
      <c r="H435" s="1" t="s">
        <v>31</v>
      </c>
      <c r="I435" s="1" t="s">
        <v>31</v>
      </c>
      <c r="J435" s="1" t="s">
        <v>31</v>
      </c>
      <c r="N435" s="1" t="s">
        <v>31</v>
      </c>
    </row>
    <row r="436">
      <c r="A436" s="134" t="s">
        <v>1675</v>
      </c>
      <c r="C436" s="330" t="b">
        <v>0</v>
      </c>
      <c r="E436" s="14"/>
      <c r="F436" s="1" t="s">
        <v>31</v>
      </c>
      <c r="G436" s="1" t="s">
        <v>31</v>
      </c>
      <c r="H436" s="1" t="s">
        <v>31</v>
      </c>
      <c r="I436" s="1" t="s">
        <v>31</v>
      </c>
      <c r="J436" s="1" t="s">
        <v>31</v>
      </c>
      <c r="N436" s="1" t="s">
        <v>31</v>
      </c>
    </row>
    <row r="437">
      <c r="A437" s="134" t="s">
        <v>1695</v>
      </c>
      <c r="C437" s="330" t="b">
        <v>0</v>
      </c>
      <c r="E437" s="14"/>
      <c r="F437" s="1" t="s">
        <v>31</v>
      </c>
      <c r="G437" s="1" t="s">
        <v>31</v>
      </c>
      <c r="H437" s="1" t="s">
        <v>31</v>
      </c>
      <c r="I437" s="1" t="s">
        <v>31</v>
      </c>
      <c r="J437" s="1" t="s">
        <v>31</v>
      </c>
      <c r="N437" s="1" t="s">
        <v>31</v>
      </c>
    </row>
    <row r="438">
      <c r="A438" s="134" t="s">
        <v>1723</v>
      </c>
      <c r="C438" s="330" t="b">
        <v>0</v>
      </c>
      <c r="E438" s="14"/>
      <c r="F438" s="1" t="s">
        <v>31</v>
      </c>
      <c r="G438" s="1" t="s">
        <v>31</v>
      </c>
      <c r="H438" s="1" t="s">
        <v>31</v>
      </c>
      <c r="I438" s="1" t="s">
        <v>31</v>
      </c>
      <c r="J438" s="1" t="s">
        <v>31</v>
      </c>
      <c r="N438" s="1" t="s">
        <v>31</v>
      </c>
    </row>
    <row r="439">
      <c r="A439" s="1" t="s">
        <v>117</v>
      </c>
      <c r="C439" s="330" t="b">
        <v>0</v>
      </c>
      <c r="E439" s="14"/>
      <c r="F439" s="1" t="s">
        <v>31</v>
      </c>
      <c r="G439" s="1" t="s">
        <v>31</v>
      </c>
      <c r="H439" s="1" t="s">
        <v>31</v>
      </c>
      <c r="I439" s="1" t="s">
        <v>31</v>
      </c>
      <c r="J439" s="1" t="s">
        <v>31</v>
      </c>
      <c r="N439" s="1" t="s">
        <v>31</v>
      </c>
    </row>
    <row r="440">
      <c r="A440" s="1" t="s">
        <v>40</v>
      </c>
      <c r="C440" s="330" t="b">
        <v>0</v>
      </c>
      <c r="E440" s="14"/>
      <c r="F440" s="1" t="s">
        <v>31</v>
      </c>
      <c r="G440" s="1" t="s">
        <v>31</v>
      </c>
      <c r="H440" s="1" t="s">
        <v>31</v>
      </c>
      <c r="I440" s="1" t="s">
        <v>31</v>
      </c>
      <c r="J440" s="1" t="s">
        <v>31</v>
      </c>
      <c r="N440" s="1" t="s">
        <v>31</v>
      </c>
    </row>
    <row r="441">
      <c r="A441" s="1" t="s">
        <v>42</v>
      </c>
      <c r="C441" s="330" t="b">
        <v>0</v>
      </c>
      <c r="E441" s="14"/>
      <c r="F441" s="1" t="s">
        <v>31</v>
      </c>
      <c r="G441" s="1" t="s">
        <v>31</v>
      </c>
      <c r="H441" s="1" t="s">
        <v>31</v>
      </c>
      <c r="I441" s="1" t="s">
        <v>31</v>
      </c>
      <c r="J441" s="1" t="s">
        <v>31</v>
      </c>
      <c r="N441" s="1" t="s">
        <v>31</v>
      </c>
    </row>
    <row r="442">
      <c r="A442" s="1" t="s">
        <v>47</v>
      </c>
      <c r="C442" s="330" t="b">
        <v>0</v>
      </c>
      <c r="E442" s="14"/>
      <c r="F442" s="1" t="s">
        <v>31</v>
      </c>
      <c r="G442" s="1" t="s">
        <v>31</v>
      </c>
      <c r="H442" s="1" t="s">
        <v>31</v>
      </c>
      <c r="I442" s="1" t="s">
        <v>31</v>
      </c>
      <c r="J442" s="1" t="s">
        <v>31</v>
      </c>
      <c r="N442" s="1" t="s">
        <v>31</v>
      </c>
    </row>
    <row r="443">
      <c r="A443" s="1" t="s">
        <v>56</v>
      </c>
      <c r="C443" s="330" t="b">
        <v>0</v>
      </c>
      <c r="E443" s="14"/>
      <c r="F443" s="1" t="s">
        <v>31</v>
      </c>
      <c r="G443" s="1" t="s">
        <v>31</v>
      </c>
      <c r="H443" s="1" t="s">
        <v>31</v>
      </c>
      <c r="I443" s="1" t="s">
        <v>31</v>
      </c>
      <c r="J443" s="1" t="s">
        <v>31</v>
      </c>
      <c r="N443" s="1" t="s">
        <v>31</v>
      </c>
    </row>
    <row r="444">
      <c r="A444" s="1" t="s">
        <v>58</v>
      </c>
      <c r="C444" s="330" t="b">
        <v>0</v>
      </c>
      <c r="E444" s="14"/>
      <c r="F444" s="1" t="s">
        <v>31</v>
      </c>
      <c r="G444" s="1" t="s">
        <v>31</v>
      </c>
      <c r="H444" s="1" t="s">
        <v>31</v>
      </c>
      <c r="I444" s="1" t="s">
        <v>31</v>
      </c>
      <c r="J444" s="1" t="s">
        <v>31</v>
      </c>
      <c r="N444" s="1" t="s">
        <v>31</v>
      </c>
    </row>
    <row r="445">
      <c r="A445" s="1" t="s">
        <v>60</v>
      </c>
      <c r="C445" s="330" t="b">
        <v>0</v>
      </c>
      <c r="E445" s="14"/>
      <c r="F445" s="1" t="s">
        <v>31</v>
      </c>
      <c r="G445" s="1" t="s">
        <v>31</v>
      </c>
      <c r="H445" s="1" t="s">
        <v>31</v>
      </c>
      <c r="I445" s="1" t="s">
        <v>31</v>
      </c>
      <c r="J445" s="1" t="s">
        <v>31</v>
      </c>
      <c r="N445" s="1" t="s">
        <v>31</v>
      </c>
    </row>
    <row r="446">
      <c r="A446" s="1" t="s">
        <v>62</v>
      </c>
      <c r="C446" s="330" t="b">
        <v>0</v>
      </c>
      <c r="E446" s="14"/>
      <c r="F446" s="1" t="s">
        <v>31</v>
      </c>
      <c r="G446" s="1" t="s">
        <v>31</v>
      </c>
      <c r="H446" s="1" t="s">
        <v>31</v>
      </c>
      <c r="I446" s="1" t="s">
        <v>31</v>
      </c>
      <c r="J446" s="1" t="s">
        <v>31</v>
      </c>
      <c r="N446" s="1" t="s">
        <v>31</v>
      </c>
    </row>
    <row r="447">
      <c r="A447" s="1" t="s">
        <v>100</v>
      </c>
      <c r="C447" s="330" t="b">
        <v>0</v>
      </c>
      <c r="E447" s="14"/>
      <c r="F447" s="1" t="s">
        <v>31</v>
      </c>
      <c r="G447" s="1" t="s">
        <v>31</v>
      </c>
      <c r="H447" s="1" t="s">
        <v>31</v>
      </c>
      <c r="I447" s="1" t="s">
        <v>31</v>
      </c>
      <c r="J447" s="1" t="s">
        <v>31</v>
      </c>
      <c r="N447" s="1" t="s">
        <v>31</v>
      </c>
    </row>
    <row r="448">
      <c r="A448" s="1" t="s">
        <v>53</v>
      </c>
      <c r="C448" s="330" t="b">
        <v>0</v>
      </c>
      <c r="E448" s="14"/>
      <c r="F448" s="1" t="s">
        <v>31</v>
      </c>
      <c r="G448" s="1" t="s">
        <v>31</v>
      </c>
      <c r="H448" s="1" t="s">
        <v>31</v>
      </c>
      <c r="I448" s="1" t="s">
        <v>31</v>
      </c>
      <c r="J448" s="1" t="s">
        <v>31</v>
      </c>
      <c r="N448" s="1" t="s">
        <v>31</v>
      </c>
    </row>
    <row r="449">
      <c r="A449" s="1" t="s">
        <v>66</v>
      </c>
      <c r="C449" s="330" t="b">
        <v>0</v>
      </c>
      <c r="E449" s="14"/>
      <c r="F449" s="1" t="s">
        <v>31</v>
      </c>
      <c r="G449" s="1" t="s">
        <v>31</v>
      </c>
      <c r="H449" s="1" t="s">
        <v>31</v>
      </c>
      <c r="I449" s="1" t="s">
        <v>31</v>
      </c>
      <c r="J449" s="1" t="s">
        <v>31</v>
      </c>
      <c r="N449" s="1" t="s">
        <v>31</v>
      </c>
    </row>
    <row r="450">
      <c r="A450" s="1" t="s">
        <v>91</v>
      </c>
      <c r="C450" s="330" t="b">
        <v>0</v>
      </c>
      <c r="E450" s="14"/>
      <c r="F450" s="1" t="s">
        <v>31</v>
      </c>
      <c r="G450" s="1" t="s">
        <v>31</v>
      </c>
      <c r="H450" s="1" t="s">
        <v>31</v>
      </c>
      <c r="I450" s="1" t="s">
        <v>31</v>
      </c>
      <c r="J450" s="1" t="s">
        <v>31</v>
      </c>
      <c r="N450" s="1" t="s">
        <v>31</v>
      </c>
    </row>
    <row r="451">
      <c r="A451" s="1" t="s">
        <v>148</v>
      </c>
      <c r="C451" s="330" t="b">
        <v>0</v>
      </c>
      <c r="E451" s="14"/>
      <c r="F451" s="1" t="s">
        <v>31</v>
      </c>
      <c r="G451" s="1" t="s">
        <v>31</v>
      </c>
      <c r="H451" s="1" t="s">
        <v>31</v>
      </c>
      <c r="I451" s="1" t="s">
        <v>31</v>
      </c>
      <c r="J451" s="1" t="s">
        <v>31</v>
      </c>
      <c r="N451" s="1" t="s">
        <v>31</v>
      </c>
    </row>
    <row r="452">
      <c r="A452" s="1" t="s">
        <v>144</v>
      </c>
      <c r="C452" s="330" t="b">
        <v>0</v>
      </c>
      <c r="E452" s="14"/>
      <c r="F452" s="1" t="s">
        <v>31</v>
      </c>
      <c r="G452" s="1" t="s">
        <v>31</v>
      </c>
      <c r="H452" s="1" t="s">
        <v>31</v>
      </c>
      <c r="I452" s="1" t="s">
        <v>31</v>
      </c>
      <c r="J452" s="1" t="s">
        <v>31</v>
      </c>
      <c r="N452" s="1" t="s">
        <v>31</v>
      </c>
    </row>
    <row r="453">
      <c r="A453" s="1" t="s">
        <v>165</v>
      </c>
      <c r="C453" s="330" t="b">
        <v>0</v>
      </c>
      <c r="E453" s="14"/>
      <c r="F453" s="1" t="s">
        <v>31</v>
      </c>
      <c r="G453" s="1" t="s">
        <v>31</v>
      </c>
      <c r="H453" s="1" t="s">
        <v>31</v>
      </c>
      <c r="I453" s="1" t="s">
        <v>31</v>
      </c>
      <c r="J453" s="1" t="s">
        <v>31</v>
      </c>
      <c r="N453" s="1" t="s">
        <v>31</v>
      </c>
    </row>
    <row r="454">
      <c r="A454" s="1" t="s">
        <v>219</v>
      </c>
      <c r="C454" s="330" t="b">
        <v>0</v>
      </c>
      <c r="E454" s="14"/>
      <c r="F454" s="1" t="s">
        <v>31</v>
      </c>
      <c r="G454" s="1" t="s">
        <v>31</v>
      </c>
      <c r="H454" s="1" t="s">
        <v>31</v>
      </c>
      <c r="I454" s="1" t="s">
        <v>31</v>
      </c>
      <c r="J454" s="1" t="s">
        <v>31</v>
      </c>
      <c r="N454" s="1" t="s">
        <v>31</v>
      </c>
    </row>
    <row r="455">
      <c r="A455" s="1" t="s">
        <v>419</v>
      </c>
      <c r="C455" s="330" t="b">
        <v>0</v>
      </c>
      <c r="E455" s="14"/>
      <c r="F455" s="1" t="s">
        <v>31</v>
      </c>
      <c r="G455" s="1" t="s">
        <v>31</v>
      </c>
      <c r="H455" s="1" t="s">
        <v>31</v>
      </c>
      <c r="I455" s="1" t="s">
        <v>31</v>
      </c>
      <c r="J455" s="1" t="s">
        <v>31</v>
      </c>
      <c r="N455" s="1" t="s">
        <v>31</v>
      </c>
    </row>
    <row r="456">
      <c r="A456" s="15" t="s">
        <v>455</v>
      </c>
      <c r="C456" s="330" t="b">
        <v>0</v>
      </c>
      <c r="E456" s="14"/>
      <c r="F456" s="1" t="s">
        <v>31</v>
      </c>
      <c r="G456" s="1" t="s">
        <v>31</v>
      </c>
      <c r="H456" s="1" t="s">
        <v>31</v>
      </c>
      <c r="I456" s="1" t="s">
        <v>31</v>
      </c>
      <c r="J456" s="1" t="s">
        <v>31</v>
      </c>
      <c r="N456" s="1" t="s">
        <v>31</v>
      </c>
    </row>
    <row r="457">
      <c r="A457" s="1" t="s">
        <v>577</v>
      </c>
      <c r="C457" s="330" t="b">
        <v>0</v>
      </c>
      <c r="E457" s="14"/>
      <c r="F457" s="1" t="s">
        <v>31</v>
      </c>
      <c r="G457" s="1" t="s">
        <v>31</v>
      </c>
      <c r="H457" s="1" t="s">
        <v>31</v>
      </c>
      <c r="I457" s="1" t="s">
        <v>31</v>
      </c>
      <c r="J457" s="1" t="s">
        <v>31</v>
      </c>
      <c r="N457" s="1" t="s">
        <v>31</v>
      </c>
    </row>
    <row r="458">
      <c r="A458" s="1" t="s">
        <v>848</v>
      </c>
      <c r="C458" s="330" t="b">
        <v>0</v>
      </c>
      <c r="E458" s="14"/>
      <c r="F458" s="1" t="s">
        <v>31</v>
      </c>
      <c r="G458" s="1" t="s">
        <v>31</v>
      </c>
      <c r="H458" s="1" t="s">
        <v>31</v>
      </c>
      <c r="I458" s="1" t="s">
        <v>31</v>
      </c>
      <c r="J458" s="1" t="s">
        <v>31</v>
      </c>
      <c r="N458" s="1" t="s">
        <v>31</v>
      </c>
    </row>
    <row r="459">
      <c r="A459" s="1" t="s">
        <v>1027</v>
      </c>
      <c r="C459" s="330" t="b">
        <v>0</v>
      </c>
      <c r="E459" s="14"/>
      <c r="F459" s="1" t="s">
        <v>31</v>
      </c>
      <c r="G459" s="1" t="s">
        <v>31</v>
      </c>
      <c r="H459" s="1" t="s">
        <v>31</v>
      </c>
      <c r="I459" s="1" t="s">
        <v>31</v>
      </c>
      <c r="J459" s="1" t="s">
        <v>31</v>
      </c>
      <c r="N459" s="1" t="s">
        <v>31</v>
      </c>
    </row>
    <row r="460">
      <c r="A460" s="1" t="s">
        <v>1054</v>
      </c>
      <c r="C460" s="330" t="b">
        <v>0</v>
      </c>
      <c r="E460" s="14"/>
      <c r="F460" s="1" t="s">
        <v>31</v>
      </c>
      <c r="G460" s="1" t="s">
        <v>31</v>
      </c>
      <c r="H460" s="1" t="s">
        <v>31</v>
      </c>
      <c r="I460" s="1" t="s">
        <v>31</v>
      </c>
      <c r="J460" s="1" t="s">
        <v>31</v>
      </c>
      <c r="N460" s="1" t="s">
        <v>31</v>
      </c>
    </row>
    <row r="461">
      <c r="A461" s="1" t="s">
        <v>1097</v>
      </c>
      <c r="C461" s="330" t="b">
        <v>0</v>
      </c>
      <c r="E461" s="14"/>
      <c r="F461" s="1" t="s">
        <v>31</v>
      </c>
      <c r="G461" s="1" t="s">
        <v>31</v>
      </c>
      <c r="H461" s="1" t="s">
        <v>31</v>
      </c>
      <c r="I461" s="1" t="s">
        <v>31</v>
      </c>
      <c r="J461" s="1" t="s">
        <v>31</v>
      </c>
      <c r="N461" s="1" t="s">
        <v>31</v>
      </c>
    </row>
    <row r="462">
      <c r="A462" s="1" t="s">
        <v>1164</v>
      </c>
      <c r="C462" s="330" t="b">
        <v>0</v>
      </c>
      <c r="E462" s="14"/>
      <c r="F462" s="1" t="s">
        <v>31</v>
      </c>
      <c r="G462" s="1" t="s">
        <v>31</v>
      </c>
      <c r="H462" s="1" t="s">
        <v>31</v>
      </c>
      <c r="I462" s="1" t="s">
        <v>31</v>
      </c>
      <c r="J462" s="1" t="s">
        <v>31</v>
      </c>
      <c r="N462" s="1" t="s">
        <v>31</v>
      </c>
    </row>
    <row r="463">
      <c r="A463" s="1" t="s">
        <v>1242</v>
      </c>
      <c r="C463" s="330" t="b">
        <v>0</v>
      </c>
      <c r="E463" s="14"/>
      <c r="F463" s="1" t="s">
        <v>31</v>
      </c>
      <c r="G463" s="1" t="s">
        <v>31</v>
      </c>
      <c r="H463" s="1" t="s">
        <v>31</v>
      </c>
      <c r="I463" s="1" t="s">
        <v>31</v>
      </c>
      <c r="J463" s="1" t="s">
        <v>31</v>
      </c>
      <c r="N463" s="1" t="s">
        <v>31</v>
      </c>
    </row>
    <row r="464">
      <c r="A464" s="1" t="s">
        <v>1311</v>
      </c>
      <c r="C464" s="330" t="b">
        <v>0</v>
      </c>
      <c r="E464" s="14"/>
      <c r="F464" s="1" t="s">
        <v>31</v>
      </c>
      <c r="G464" s="1" t="s">
        <v>31</v>
      </c>
      <c r="H464" s="1" t="s">
        <v>31</v>
      </c>
      <c r="I464" s="1" t="s">
        <v>31</v>
      </c>
      <c r="J464" s="1" t="s">
        <v>31</v>
      </c>
      <c r="N464" s="1" t="s">
        <v>31</v>
      </c>
    </row>
    <row r="465">
      <c r="A465" s="1" t="s">
        <v>1316</v>
      </c>
      <c r="C465" s="330" t="b">
        <v>0</v>
      </c>
      <c r="E465" s="14"/>
      <c r="F465" s="1" t="s">
        <v>31</v>
      </c>
      <c r="G465" s="1" t="s">
        <v>31</v>
      </c>
      <c r="H465" s="1" t="s">
        <v>31</v>
      </c>
      <c r="I465" s="1" t="s">
        <v>31</v>
      </c>
      <c r="J465" s="1" t="s">
        <v>31</v>
      </c>
      <c r="N465" s="1" t="s">
        <v>31</v>
      </c>
    </row>
    <row r="466">
      <c r="A466" s="1" t="s">
        <v>1574</v>
      </c>
      <c r="C466" s="330" t="b">
        <v>0</v>
      </c>
      <c r="E466" s="14"/>
      <c r="F466" s="1" t="s">
        <v>31</v>
      </c>
      <c r="G466" s="1" t="s">
        <v>31</v>
      </c>
      <c r="H466" s="1" t="s">
        <v>31</v>
      </c>
      <c r="I466" s="1" t="s">
        <v>31</v>
      </c>
      <c r="J466" s="1" t="s">
        <v>31</v>
      </c>
      <c r="N466" s="1" t="s">
        <v>31</v>
      </c>
    </row>
    <row r="467">
      <c r="A467" s="1" t="s">
        <v>1586</v>
      </c>
      <c r="C467" s="330" t="b">
        <v>0</v>
      </c>
      <c r="E467" s="14"/>
      <c r="F467" s="1" t="s">
        <v>31</v>
      </c>
      <c r="G467" s="1" t="s">
        <v>31</v>
      </c>
      <c r="H467" s="1" t="s">
        <v>31</v>
      </c>
      <c r="I467" s="1" t="s">
        <v>31</v>
      </c>
      <c r="J467" s="1" t="s">
        <v>31</v>
      </c>
      <c r="N467" s="1" t="s">
        <v>31</v>
      </c>
    </row>
    <row r="468">
      <c r="A468" s="1" t="s">
        <v>1654</v>
      </c>
      <c r="C468" s="330" t="b">
        <v>0</v>
      </c>
      <c r="E468" s="14"/>
      <c r="F468" s="1" t="s">
        <v>31</v>
      </c>
      <c r="G468" s="1" t="s">
        <v>31</v>
      </c>
      <c r="H468" s="1" t="s">
        <v>31</v>
      </c>
      <c r="I468" s="1" t="s">
        <v>31</v>
      </c>
      <c r="J468" s="1" t="s">
        <v>31</v>
      </c>
      <c r="N468" s="1" t="s">
        <v>31</v>
      </c>
    </row>
    <row r="469">
      <c r="A469" s="1" t="s">
        <v>1766</v>
      </c>
      <c r="C469" s="330" t="b">
        <v>0</v>
      </c>
      <c r="E469" s="14"/>
      <c r="F469" s="1" t="s">
        <v>31</v>
      </c>
      <c r="G469" s="1" t="s">
        <v>31</v>
      </c>
      <c r="H469" s="1" t="s">
        <v>31</v>
      </c>
      <c r="I469" s="1" t="s">
        <v>31</v>
      </c>
      <c r="J469" s="1" t="s">
        <v>31</v>
      </c>
      <c r="N469" s="1" t="s">
        <v>31</v>
      </c>
    </row>
    <row r="470">
      <c r="A470" s="1" t="s">
        <v>1769</v>
      </c>
      <c r="C470" s="330" t="b">
        <v>0</v>
      </c>
      <c r="E470" s="14"/>
      <c r="F470" s="1" t="s">
        <v>31</v>
      </c>
      <c r="G470" s="1" t="s">
        <v>31</v>
      </c>
      <c r="H470" s="1" t="s">
        <v>31</v>
      </c>
      <c r="I470" s="1" t="s">
        <v>31</v>
      </c>
      <c r="J470" s="1" t="s">
        <v>31</v>
      </c>
      <c r="N470" s="1" t="s">
        <v>31</v>
      </c>
    </row>
    <row r="471">
      <c r="A471" s="1" t="s">
        <v>1778</v>
      </c>
      <c r="C471" s="330" t="b">
        <v>0</v>
      </c>
      <c r="E471" s="14"/>
      <c r="F471" s="1" t="s">
        <v>31</v>
      </c>
      <c r="G471" s="1" t="s">
        <v>31</v>
      </c>
      <c r="H471" s="1" t="s">
        <v>31</v>
      </c>
      <c r="I471" s="1" t="s">
        <v>31</v>
      </c>
      <c r="J471" s="1" t="s">
        <v>31</v>
      </c>
      <c r="N471" s="1" t="s">
        <v>31</v>
      </c>
    </row>
    <row r="472">
      <c r="A472" s="1" t="s">
        <v>1835</v>
      </c>
      <c r="C472" s="330" t="b">
        <v>0</v>
      </c>
      <c r="E472" s="14"/>
      <c r="F472" s="1" t="s">
        <v>31</v>
      </c>
      <c r="G472" s="1" t="s">
        <v>31</v>
      </c>
      <c r="H472" s="1" t="s">
        <v>31</v>
      </c>
      <c r="I472" s="1" t="s">
        <v>31</v>
      </c>
      <c r="J472" s="1" t="s">
        <v>31</v>
      </c>
      <c r="N472" s="1" t="s">
        <v>31</v>
      </c>
    </row>
    <row r="473">
      <c r="A473" s="1" t="s">
        <v>1837</v>
      </c>
      <c r="C473" s="330" t="b">
        <v>0</v>
      </c>
      <c r="E473" s="14"/>
      <c r="F473" s="1" t="s">
        <v>31</v>
      </c>
      <c r="G473" s="1" t="s">
        <v>31</v>
      </c>
      <c r="H473" s="1" t="s">
        <v>31</v>
      </c>
      <c r="I473" s="1" t="s">
        <v>31</v>
      </c>
      <c r="J473" s="1" t="s">
        <v>31</v>
      </c>
      <c r="N473" s="1" t="s">
        <v>31</v>
      </c>
    </row>
    <row r="474">
      <c r="A474" s="1" t="s">
        <v>1878</v>
      </c>
      <c r="C474" s="330" t="b">
        <v>0</v>
      </c>
      <c r="E474" s="14"/>
      <c r="F474" s="1" t="s">
        <v>31</v>
      </c>
      <c r="G474" s="1" t="s">
        <v>31</v>
      </c>
      <c r="H474" s="1" t="s">
        <v>31</v>
      </c>
      <c r="I474" s="1" t="s">
        <v>31</v>
      </c>
      <c r="J474" s="1" t="s">
        <v>31</v>
      </c>
      <c r="N474" s="1" t="s">
        <v>31</v>
      </c>
    </row>
    <row r="475">
      <c r="A475" s="1" t="s">
        <v>1941</v>
      </c>
      <c r="C475" s="330" t="b">
        <v>0</v>
      </c>
      <c r="E475" s="14"/>
      <c r="F475" s="1" t="s">
        <v>31</v>
      </c>
      <c r="G475" s="1" t="s">
        <v>31</v>
      </c>
      <c r="H475" s="1" t="s">
        <v>31</v>
      </c>
      <c r="I475" s="1" t="s">
        <v>31</v>
      </c>
      <c r="J475" s="1" t="s">
        <v>31</v>
      </c>
      <c r="N475" s="1" t="s">
        <v>31</v>
      </c>
    </row>
    <row r="476">
      <c r="A476" s="1" t="s">
        <v>2014</v>
      </c>
      <c r="C476" s="330" t="b">
        <v>0</v>
      </c>
      <c r="E476" s="14"/>
      <c r="F476" s="1" t="s">
        <v>31</v>
      </c>
      <c r="G476" s="1" t="s">
        <v>31</v>
      </c>
      <c r="H476" s="1" t="s">
        <v>31</v>
      </c>
      <c r="I476" s="1" t="s">
        <v>31</v>
      </c>
      <c r="J476" s="1" t="s">
        <v>31</v>
      </c>
      <c r="N476" s="1" t="s">
        <v>31</v>
      </c>
    </row>
    <row r="477">
      <c r="A477" s="1" t="s">
        <v>94</v>
      </c>
      <c r="B477" s="340"/>
      <c r="C477" s="330" t="b">
        <v>0</v>
      </c>
      <c r="E477" s="14"/>
      <c r="F477" s="1" t="s">
        <v>31</v>
      </c>
      <c r="G477" s="1" t="s">
        <v>31</v>
      </c>
      <c r="H477" s="1" t="s">
        <v>31</v>
      </c>
      <c r="I477" s="1" t="s">
        <v>31</v>
      </c>
      <c r="J477" s="1" t="s">
        <v>31</v>
      </c>
      <c r="N477" s="1" t="s">
        <v>31</v>
      </c>
    </row>
    <row r="478">
      <c r="A478" s="1" t="s">
        <v>123</v>
      </c>
      <c r="B478" s="340"/>
      <c r="C478" s="330" t="b">
        <v>0</v>
      </c>
      <c r="E478" s="14"/>
      <c r="F478" s="1" t="s">
        <v>31</v>
      </c>
      <c r="G478" s="1" t="s">
        <v>31</v>
      </c>
      <c r="H478" s="1" t="s">
        <v>31</v>
      </c>
      <c r="I478" s="1" t="s">
        <v>31</v>
      </c>
      <c r="J478" s="1" t="s">
        <v>31</v>
      </c>
      <c r="N478" s="1" t="s">
        <v>31</v>
      </c>
    </row>
    <row r="479">
      <c r="A479" s="1" t="s">
        <v>127</v>
      </c>
      <c r="B479" s="340"/>
      <c r="C479" s="330" t="b">
        <v>0</v>
      </c>
      <c r="E479" s="14"/>
      <c r="F479" s="1" t="s">
        <v>31</v>
      </c>
      <c r="G479" s="1" t="s">
        <v>31</v>
      </c>
      <c r="H479" s="1" t="s">
        <v>31</v>
      </c>
      <c r="I479" s="1" t="s">
        <v>31</v>
      </c>
      <c r="J479" s="1" t="s">
        <v>31</v>
      </c>
      <c r="N479" s="1" t="s">
        <v>31</v>
      </c>
    </row>
    <row r="480">
      <c r="A480" s="1" t="s">
        <v>136</v>
      </c>
      <c r="B480" s="340"/>
      <c r="C480" s="330" t="b">
        <v>0</v>
      </c>
      <c r="E480" s="14"/>
      <c r="F480" s="1" t="s">
        <v>31</v>
      </c>
      <c r="G480" s="1" t="s">
        <v>31</v>
      </c>
      <c r="H480" s="1" t="s">
        <v>31</v>
      </c>
      <c r="I480" s="1" t="s">
        <v>31</v>
      </c>
      <c r="J480" s="1" t="s">
        <v>31</v>
      </c>
      <c r="N480" s="1" t="s">
        <v>31</v>
      </c>
    </row>
    <row r="481">
      <c r="A481" s="1" t="s">
        <v>141</v>
      </c>
      <c r="B481" s="340"/>
      <c r="C481" s="330" t="b">
        <v>0</v>
      </c>
      <c r="E481" s="14"/>
      <c r="F481" s="1" t="s">
        <v>31</v>
      </c>
      <c r="G481" s="1" t="s">
        <v>31</v>
      </c>
      <c r="H481" s="1" t="s">
        <v>31</v>
      </c>
      <c r="I481" s="1" t="s">
        <v>31</v>
      </c>
      <c r="J481" s="1" t="s">
        <v>31</v>
      </c>
      <c r="N481" s="1" t="s">
        <v>31</v>
      </c>
    </row>
    <row r="482">
      <c r="A482" s="1" t="s">
        <v>499</v>
      </c>
      <c r="B482" s="340"/>
      <c r="C482" s="330" t="b">
        <v>0</v>
      </c>
      <c r="E482" s="14"/>
      <c r="F482" s="1" t="s">
        <v>31</v>
      </c>
      <c r="G482" s="1" t="s">
        <v>31</v>
      </c>
      <c r="H482" s="1" t="s">
        <v>31</v>
      </c>
      <c r="I482" s="1" t="s">
        <v>31</v>
      </c>
      <c r="J482" s="1" t="s">
        <v>31</v>
      </c>
      <c r="N482" s="1" t="s">
        <v>31</v>
      </c>
    </row>
    <row r="483">
      <c r="A483" s="1" t="s">
        <v>756</v>
      </c>
      <c r="B483" s="340"/>
      <c r="C483" s="330" t="b">
        <v>0</v>
      </c>
      <c r="E483" s="14"/>
      <c r="F483" s="1" t="s">
        <v>31</v>
      </c>
      <c r="G483" s="1" t="s">
        <v>31</v>
      </c>
      <c r="H483" s="1" t="s">
        <v>31</v>
      </c>
      <c r="I483" s="1" t="s">
        <v>31</v>
      </c>
      <c r="J483" s="1" t="s">
        <v>31</v>
      </c>
      <c r="N483" s="1" t="s">
        <v>31</v>
      </c>
    </row>
    <row r="484">
      <c r="C484" s="330"/>
      <c r="E484" s="14"/>
    </row>
    <row r="485">
      <c r="E485" s="14"/>
    </row>
    <row r="486">
      <c r="E486" s="14"/>
    </row>
    <row r="487">
      <c r="E487" s="14"/>
    </row>
    <row r="488">
      <c r="E488" s="14"/>
    </row>
    <row r="489">
      <c r="E489" s="14"/>
    </row>
    <row r="490">
      <c r="E490" s="14"/>
    </row>
    <row r="491">
      <c r="E491" s="14"/>
    </row>
    <row r="492">
      <c r="E492" s="14"/>
    </row>
    <row r="493">
      <c r="E493" s="14"/>
    </row>
    <row r="494">
      <c r="E494" s="14"/>
    </row>
    <row r="495">
      <c r="E495" s="14"/>
    </row>
    <row r="496">
      <c r="E496" s="14"/>
    </row>
    <row r="497">
      <c r="E497" s="14"/>
    </row>
    <row r="498">
      <c r="E498" s="14"/>
    </row>
    <row r="499">
      <c r="E499" s="14"/>
    </row>
    <row r="500">
      <c r="E500" s="14"/>
    </row>
    <row r="501">
      <c r="E501" s="14"/>
    </row>
    <row r="502">
      <c r="E502" s="14"/>
    </row>
    <row r="503">
      <c r="E503" s="14"/>
    </row>
    <row r="504">
      <c r="E504" s="14"/>
    </row>
    <row r="505">
      <c r="E505" s="14"/>
    </row>
    <row r="506">
      <c r="E506" s="14"/>
    </row>
    <row r="507">
      <c r="E507" s="14"/>
    </row>
    <row r="508">
      <c r="E508" s="14"/>
    </row>
    <row r="509">
      <c r="E509" s="14"/>
    </row>
    <row r="510">
      <c r="E510" s="14"/>
    </row>
    <row r="511">
      <c r="E511" s="14"/>
    </row>
    <row r="512">
      <c r="E512" s="14"/>
    </row>
    <row r="513">
      <c r="E513" s="14"/>
    </row>
    <row r="514">
      <c r="E514" s="14"/>
    </row>
    <row r="515">
      <c r="E515" s="14"/>
    </row>
    <row r="516">
      <c r="E516" s="14"/>
    </row>
    <row r="517">
      <c r="E517" s="14"/>
    </row>
    <row r="518">
      <c r="E518" s="14"/>
    </row>
    <row r="519">
      <c r="E519" s="14"/>
    </row>
    <row r="520">
      <c r="E520" s="14"/>
    </row>
    <row r="521">
      <c r="E521" s="14"/>
    </row>
    <row r="522">
      <c r="E522" s="14"/>
    </row>
    <row r="523">
      <c r="E523" s="14"/>
    </row>
    <row r="524">
      <c r="E524" s="14"/>
    </row>
    <row r="525">
      <c r="E525" s="14"/>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25"/>
    <col customWidth="1" min="2" max="2" width="49.25"/>
    <col customWidth="1" min="3" max="3" width="36.75"/>
    <col customWidth="1" min="4" max="4" width="23.88"/>
    <col customWidth="1" min="5" max="5" width="18.88"/>
    <col customWidth="1" min="6" max="6" width="22.5"/>
  </cols>
  <sheetData>
    <row r="1" ht="15.75" customHeight="1">
      <c r="A1" s="341" t="s">
        <v>4949</v>
      </c>
      <c r="B1" s="341" t="s">
        <v>4950</v>
      </c>
      <c r="C1" s="341"/>
      <c r="D1" s="341"/>
      <c r="E1" s="341"/>
      <c r="F1" s="341"/>
      <c r="G1" s="341"/>
      <c r="H1" s="341"/>
      <c r="I1" s="341"/>
      <c r="J1" s="341"/>
      <c r="K1" s="341"/>
      <c r="L1" s="341"/>
      <c r="M1" s="341"/>
      <c r="N1" s="341"/>
      <c r="O1" s="341"/>
      <c r="P1" s="341"/>
      <c r="Q1" s="341"/>
      <c r="R1" s="341"/>
      <c r="S1" s="341"/>
      <c r="T1" s="341"/>
      <c r="U1" s="341"/>
      <c r="V1" s="341"/>
      <c r="W1" s="341"/>
      <c r="X1" s="341"/>
      <c r="Y1" s="341"/>
      <c r="Z1" s="341"/>
    </row>
    <row r="2" ht="15.75" customHeight="1">
      <c r="A2" s="341"/>
      <c r="B2" s="341"/>
      <c r="C2" s="341"/>
      <c r="D2" s="341"/>
      <c r="E2" s="341"/>
      <c r="F2" s="341"/>
      <c r="G2" s="341"/>
      <c r="H2" s="341"/>
      <c r="I2" s="341"/>
      <c r="J2" s="341"/>
      <c r="K2" s="341"/>
      <c r="L2" s="341"/>
      <c r="M2" s="341"/>
      <c r="N2" s="341"/>
      <c r="O2" s="341"/>
      <c r="P2" s="341"/>
      <c r="Q2" s="341"/>
      <c r="R2" s="341"/>
      <c r="S2" s="341"/>
      <c r="T2" s="341"/>
      <c r="U2" s="341"/>
      <c r="V2" s="341"/>
      <c r="W2" s="341"/>
      <c r="X2" s="341"/>
      <c r="Y2" s="341"/>
      <c r="Z2" s="341"/>
    </row>
    <row r="3" ht="15.75" customHeight="1">
      <c r="A3" s="319" t="s">
        <v>4013</v>
      </c>
      <c r="B3" s="319" t="s">
        <v>4014</v>
      </c>
      <c r="C3" s="319" t="s">
        <v>4259</v>
      </c>
      <c r="D3" s="319" t="s">
        <v>4260</v>
      </c>
      <c r="E3" s="319" t="s">
        <v>4015</v>
      </c>
      <c r="F3" s="319" t="s">
        <v>4016</v>
      </c>
      <c r="G3" s="341"/>
      <c r="H3" s="341"/>
      <c r="I3" s="341"/>
      <c r="J3" s="341"/>
      <c r="K3" s="341"/>
      <c r="L3" s="341"/>
      <c r="M3" s="341"/>
      <c r="N3" s="341"/>
      <c r="O3" s="341"/>
      <c r="P3" s="341"/>
      <c r="Q3" s="341"/>
      <c r="R3" s="341"/>
      <c r="S3" s="341"/>
      <c r="T3" s="341"/>
      <c r="U3" s="341"/>
      <c r="V3" s="341"/>
      <c r="W3" s="341"/>
      <c r="X3" s="341"/>
      <c r="Y3" s="341"/>
      <c r="Z3" s="341"/>
    </row>
    <row r="4" ht="15.75" customHeight="1">
      <c r="A4" s="320" t="s">
        <v>4951</v>
      </c>
      <c r="B4" s="320" t="s">
        <v>4952</v>
      </c>
      <c r="C4" s="342" t="s">
        <v>4953</v>
      </c>
      <c r="D4" s="341"/>
      <c r="E4" s="341" t="s">
        <v>4954</v>
      </c>
      <c r="F4" s="341"/>
      <c r="G4" s="341"/>
      <c r="H4" s="341"/>
      <c r="I4" s="341"/>
      <c r="J4" s="341"/>
      <c r="K4" s="341"/>
      <c r="L4" s="341"/>
      <c r="M4" s="341"/>
      <c r="N4" s="341"/>
      <c r="O4" s="341"/>
      <c r="P4" s="341"/>
      <c r="Q4" s="341"/>
      <c r="R4" s="341"/>
      <c r="S4" s="341"/>
      <c r="T4" s="341"/>
      <c r="U4" s="341"/>
      <c r="V4" s="341"/>
      <c r="W4" s="341"/>
      <c r="X4" s="341"/>
      <c r="Y4" s="341"/>
      <c r="Z4" s="341"/>
    </row>
    <row r="5" ht="15.75" customHeight="1">
      <c r="A5" s="320" t="s">
        <v>4955</v>
      </c>
      <c r="B5" s="320" t="s">
        <v>4956</v>
      </c>
      <c r="C5" s="342" t="s">
        <v>4957</v>
      </c>
      <c r="D5" s="341"/>
      <c r="E5" s="341" t="s">
        <v>4958</v>
      </c>
      <c r="F5" s="341"/>
      <c r="G5" s="341"/>
      <c r="H5" s="341"/>
      <c r="I5" s="341"/>
      <c r="J5" s="341"/>
      <c r="K5" s="341"/>
      <c r="L5" s="341"/>
      <c r="M5" s="341"/>
      <c r="N5" s="341"/>
      <c r="O5" s="341"/>
      <c r="P5" s="341"/>
      <c r="Q5" s="341"/>
      <c r="R5" s="341"/>
      <c r="S5" s="341"/>
      <c r="T5" s="341"/>
      <c r="U5" s="341"/>
      <c r="V5" s="341"/>
      <c r="W5" s="341"/>
      <c r="X5" s="341"/>
      <c r="Y5" s="341"/>
      <c r="Z5" s="341"/>
    </row>
    <row r="6" ht="15.75" customHeight="1">
      <c r="A6" s="320" t="s">
        <v>4959</v>
      </c>
      <c r="B6" s="320" t="s">
        <v>4960</v>
      </c>
      <c r="C6" s="342" t="s">
        <v>4961</v>
      </c>
      <c r="D6" s="341"/>
      <c r="E6" s="341" t="s">
        <v>4962</v>
      </c>
      <c r="F6" s="341"/>
      <c r="G6" s="341"/>
      <c r="H6" s="341"/>
      <c r="I6" s="341"/>
      <c r="J6" s="341"/>
      <c r="K6" s="341"/>
      <c r="L6" s="341"/>
      <c r="M6" s="341"/>
      <c r="N6" s="341"/>
      <c r="O6" s="341"/>
      <c r="P6" s="341"/>
      <c r="Q6" s="341"/>
      <c r="R6" s="341"/>
      <c r="S6" s="341"/>
      <c r="T6" s="341"/>
      <c r="U6" s="341"/>
      <c r="V6" s="341"/>
      <c r="W6" s="341"/>
      <c r="X6" s="341"/>
      <c r="Y6" s="341"/>
      <c r="Z6" s="341"/>
    </row>
    <row r="7" ht="15.75" customHeight="1">
      <c r="A7" s="320" t="s">
        <v>4963</v>
      </c>
      <c r="B7" s="320" t="s">
        <v>4964</v>
      </c>
      <c r="C7" s="342" t="s">
        <v>4965</v>
      </c>
      <c r="D7" s="341"/>
      <c r="E7" s="341" t="s">
        <v>4966</v>
      </c>
      <c r="F7" s="341"/>
      <c r="G7" s="341"/>
      <c r="H7" s="341"/>
      <c r="I7" s="341"/>
      <c r="J7" s="341"/>
      <c r="K7" s="341"/>
      <c r="L7" s="341"/>
      <c r="M7" s="341"/>
      <c r="N7" s="341"/>
      <c r="O7" s="341"/>
      <c r="P7" s="341"/>
      <c r="Q7" s="341"/>
      <c r="R7" s="341"/>
      <c r="S7" s="341"/>
      <c r="T7" s="341"/>
      <c r="U7" s="341"/>
      <c r="V7" s="341"/>
      <c r="W7" s="341"/>
      <c r="X7" s="341"/>
      <c r="Y7" s="341"/>
      <c r="Z7" s="341"/>
    </row>
    <row r="8" ht="15.75" customHeight="1">
      <c r="A8" s="320" t="s">
        <v>4967</v>
      </c>
      <c r="B8" s="320" t="s">
        <v>4968</v>
      </c>
      <c r="C8" s="342" t="s">
        <v>4969</v>
      </c>
      <c r="D8" s="341"/>
      <c r="E8" s="341" t="s">
        <v>4160</v>
      </c>
      <c r="F8" s="341"/>
      <c r="G8" s="341"/>
      <c r="H8" s="341"/>
      <c r="I8" s="341"/>
      <c r="J8" s="341"/>
      <c r="K8" s="341"/>
      <c r="L8" s="341"/>
      <c r="M8" s="341"/>
      <c r="N8" s="341"/>
      <c r="O8" s="341"/>
      <c r="P8" s="341"/>
      <c r="Q8" s="341"/>
      <c r="R8" s="341"/>
      <c r="S8" s="341"/>
      <c r="T8" s="341"/>
      <c r="U8" s="341"/>
      <c r="V8" s="341"/>
      <c r="W8" s="341"/>
      <c r="X8" s="341"/>
      <c r="Y8" s="341"/>
      <c r="Z8" s="341"/>
    </row>
    <row r="9" ht="15.75" customHeight="1">
      <c r="A9" s="320" t="s">
        <v>4970</v>
      </c>
      <c r="B9" s="320" t="s">
        <v>4971</v>
      </c>
      <c r="C9" s="342" t="s">
        <v>4972</v>
      </c>
      <c r="D9" s="341"/>
      <c r="E9" s="341" t="s">
        <v>4973</v>
      </c>
      <c r="F9" s="341"/>
      <c r="G9" s="341"/>
      <c r="H9" s="341"/>
      <c r="I9" s="341"/>
      <c r="J9" s="341"/>
      <c r="K9" s="341"/>
      <c r="L9" s="341"/>
      <c r="M9" s="341"/>
      <c r="N9" s="341"/>
      <c r="O9" s="341"/>
      <c r="P9" s="341"/>
      <c r="Q9" s="341"/>
      <c r="R9" s="341"/>
      <c r="S9" s="341"/>
      <c r="T9" s="341"/>
      <c r="U9" s="341"/>
      <c r="V9" s="341"/>
      <c r="W9" s="341"/>
      <c r="X9" s="341"/>
      <c r="Y9" s="341"/>
      <c r="Z9" s="341"/>
    </row>
    <row r="10" ht="15.75" customHeight="1">
      <c r="A10" s="320" t="s">
        <v>4974</v>
      </c>
      <c r="B10" s="320" t="s">
        <v>4975</v>
      </c>
      <c r="C10" s="342" t="s">
        <v>4976</v>
      </c>
      <c r="D10" s="341"/>
      <c r="E10" s="341" t="s">
        <v>4215</v>
      </c>
      <c r="F10" s="341"/>
      <c r="G10" s="341"/>
      <c r="H10" s="341"/>
      <c r="I10" s="341"/>
      <c r="J10" s="341"/>
      <c r="K10" s="341"/>
      <c r="L10" s="341"/>
      <c r="M10" s="341"/>
      <c r="N10" s="341"/>
      <c r="O10" s="341"/>
      <c r="P10" s="341"/>
      <c r="Q10" s="341"/>
      <c r="R10" s="341"/>
      <c r="S10" s="341"/>
      <c r="T10" s="341"/>
      <c r="U10" s="341"/>
      <c r="V10" s="341"/>
      <c r="W10" s="341"/>
      <c r="X10" s="341"/>
      <c r="Y10" s="341"/>
      <c r="Z10" s="341"/>
    </row>
    <row r="11" ht="15.75" customHeight="1">
      <c r="A11" s="320" t="s">
        <v>4977</v>
      </c>
      <c r="B11" s="320" t="s">
        <v>4978</v>
      </c>
      <c r="C11" s="342" t="s">
        <v>4979</v>
      </c>
      <c r="D11" s="341"/>
      <c r="E11" s="341" t="s">
        <v>4212</v>
      </c>
      <c r="F11" s="341"/>
      <c r="G11" s="341"/>
      <c r="H11" s="341"/>
      <c r="I11" s="341"/>
      <c r="J11" s="341"/>
      <c r="K11" s="341"/>
      <c r="L11" s="341"/>
      <c r="M11" s="341"/>
      <c r="N11" s="341"/>
      <c r="O11" s="341"/>
      <c r="P11" s="341"/>
      <c r="Q11" s="341"/>
      <c r="R11" s="341"/>
      <c r="S11" s="341"/>
      <c r="T11" s="341"/>
      <c r="U11" s="341"/>
      <c r="V11" s="341"/>
      <c r="W11" s="341"/>
      <c r="X11" s="341"/>
      <c r="Y11" s="341"/>
      <c r="Z11" s="341"/>
    </row>
    <row r="12" ht="15.75" customHeight="1">
      <c r="A12" s="320" t="s">
        <v>4980</v>
      </c>
      <c r="B12" s="320" t="s">
        <v>4981</v>
      </c>
      <c r="C12" s="342" t="s">
        <v>4982</v>
      </c>
      <c r="D12" s="341"/>
      <c r="E12" s="341" t="s">
        <v>4197</v>
      </c>
      <c r="F12" s="341"/>
      <c r="G12" s="341"/>
      <c r="H12" s="341"/>
      <c r="I12" s="341"/>
      <c r="J12" s="341"/>
      <c r="K12" s="341"/>
      <c r="L12" s="341"/>
      <c r="M12" s="341"/>
      <c r="N12" s="341"/>
      <c r="O12" s="341"/>
      <c r="P12" s="341"/>
      <c r="Q12" s="341"/>
      <c r="R12" s="341"/>
      <c r="S12" s="341"/>
      <c r="T12" s="341"/>
      <c r="U12" s="341"/>
      <c r="V12" s="341"/>
      <c r="W12" s="341"/>
      <c r="X12" s="341"/>
      <c r="Y12" s="341"/>
      <c r="Z12" s="341"/>
    </row>
    <row r="13" ht="15.75" customHeight="1">
      <c r="A13" s="320" t="s">
        <v>4983</v>
      </c>
      <c r="B13" s="320" t="s">
        <v>4984</v>
      </c>
      <c r="C13" s="342" t="s">
        <v>4985</v>
      </c>
      <c r="D13" s="341"/>
      <c r="E13" s="341" t="s">
        <v>4986</v>
      </c>
      <c r="F13" s="341"/>
      <c r="G13" s="341"/>
      <c r="H13" s="341"/>
      <c r="I13" s="341"/>
      <c r="J13" s="341"/>
      <c r="K13" s="341"/>
      <c r="L13" s="341"/>
      <c r="M13" s="341"/>
      <c r="N13" s="341"/>
      <c r="O13" s="341"/>
      <c r="P13" s="341"/>
      <c r="Q13" s="341"/>
      <c r="R13" s="341"/>
      <c r="S13" s="341"/>
      <c r="T13" s="341"/>
      <c r="U13" s="341"/>
      <c r="V13" s="341"/>
      <c r="W13" s="341"/>
      <c r="X13" s="341"/>
      <c r="Y13" s="341"/>
      <c r="Z13" s="341"/>
    </row>
    <row r="14" ht="15.75" customHeight="1">
      <c r="A14" s="320" t="s">
        <v>4987</v>
      </c>
      <c r="B14" s="320" t="s">
        <v>4988</v>
      </c>
      <c r="C14" s="342" t="s">
        <v>4989</v>
      </c>
      <c r="D14" s="341"/>
      <c r="E14" s="341" t="s">
        <v>4990</v>
      </c>
      <c r="F14" s="341"/>
      <c r="G14" s="341"/>
      <c r="H14" s="341"/>
      <c r="I14" s="341"/>
      <c r="J14" s="341"/>
      <c r="K14" s="341"/>
      <c r="L14" s="341"/>
      <c r="M14" s="341"/>
      <c r="N14" s="341"/>
      <c r="O14" s="341"/>
      <c r="P14" s="341"/>
      <c r="Q14" s="341"/>
      <c r="R14" s="341"/>
      <c r="S14" s="341"/>
      <c r="T14" s="341"/>
      <c r="U14" s="341"/>
      <c r="V14" s="341"/>
      <c r="W14" s="341"/>
      <c r="X14" s="341"/>
      <c r="Y14" s="341"/>
      <c r="Z14" s="341"/>
    </row>
    <row r="15" ht="15.75" customHeight="1">
      <c r="A15" s="320" t="s">
        <v>4991</v>
      </c>
      <c r="B15" s="320" t="s">
        <v>4992</v>
      </c>
      <c r="C15" s="341"/>
      <c r="D15" s="341"/>
      <c r="E15" s="341" t="s">
        <v>4993</v>
      </c>
      <c r="F15" s="341"/>
      <c r="G15" s="341"/>
      <c r="H15" s="341"/>
      <c r="I15" s="341"/>
      <c r="J15" s="341"/>
      <c r="K15" s="341"/>
      <c r="L15" s="341"/>
      <c r="M15" s="341"/>
      <c r="N15" s="341"/>
      <c r="O15" s="341"/>
      <c r="P15" s="341"/>
      <c r="Q15" s="341"/>
      <c r="R15" s="341"/>
      <c r="S15" s="341"/>
      <c r="T15" s="341"/>
      <c r="U15" s="341"/>
      <c r="V15" s="341"/>
      <c r="W15" s="341"/>
      <c r="X15" s="341"/>
      <c r="Y15" s="341"/>
      <c r="Z15" s="341"/>
    </row>
    <row r="16" ht="15.75" customHeight="1">
      <c r="A16" s="320" t="s">
        <v>4994</v>
      </c>
      <c r="B16" s="320" t="s">
        <v>4995</v>
      </c>
      <c r="C16" s="341"/>
      <c r="D16" s="341"/>
      <c r="E16" s="341" t="s">
        <v>4996</v>
      </c>
      <c r="F16" s="341"/>
      <c r="G16" s="341"/>
      <c r="H16" s="341"/>
      <c r="I16" s="341"/>
      <c r="J16" s="341"/>
      <c r="K16" s="341"/>
      <c r="L16" s="341"/>
      <c r="M16" s="341"/>
      <c r="N16" s="341"/>
      <c r="O16" s="341"/>
      <c r="P16" s="341"/>
      <c r="Q16" s="341"/>
      <c r="R16" s="341"/>
      <c r="S16" s="341"/>
      <c r="T16" s="341"/>
      <c r="U16" s="341"/>
      <c r="V16" s="341"/>
      <c r="W16" s="341"/>
      <c r="X16" s="341"/>
      <c r="Y16" s="341"/>
      <c r="Z16" s="341"/>
    </row>
    <row r="17" ht="15.75" customHeight="1">
      <c r="A17" s="320" t="s">
        <v>4997</v>
      </c>
      <c r="B17" s="320" t="s">
        <v>4998</v>
      </c>
      <c r="C17" s="341"/>
      <c r="D17" s="341" t="s">
        <v>4999</v>
      </c>
      <c r="E17" s="341" t="s">
        <v>5000</v>
      </c>
      <c r="F17" s="341"/>
      <c r="G17" s="341"/>
      <c r="H17" s="341"/>
      <c r="I17" s="341"/>
      <c r="J17" s="341"/>
      <c r="K17" s="341"/>
      <c r="L17" s="341"/>
      <c r="M17" s="341"/>
      <c r="N17" s="341"/>
      <c r="O17" s="341"/>
      <c r="P17" s="341"/>
      <c r="Q17" s="341"/>
      <c r="R17" s="341"/>
      <c r="S17" s="341"/>
      <c r="T17" s="341"/>
      <c r="U17" s="341"/>
      <c r="V17" s="341"/>
      <c r="W17" s="341"/>
      <c r="X17" s="341"/>
      <c r="Y17" s="341"/>
      <c r="Z17" s="341"/>
    </row>
    <row r="18" ht="15.75" customHeight="1">
      <c r="A18" s="320" t="s">
        <v>5001</v>
      </c>
      <c r="B18" s="320" t="s">
        <v>5002</v>
      </c>
      <c r="C18" s="341"/>
      <c r="D18" s="341"/>
      <c r="E18" s="341" t="s">
        <v>5003</v>
      </c>
      <c r="F18" s="341"/>
      <c r="G18" s="341"/>
      <c r="H18" s="341"/>
      <c r="I18" s="341"/>
      <c r="J18" s="341"/>
      <c r="K18" s="341"/>
      <c r="L18" s="341"/>
      <c r="M18" s="341"/>
      <c r="N18" s="341"/>
      <c r="O18" s="341"/>
      <c r="P18" s="341"/>
      <c r="Q18" s="341"/>
      <c r="R18" s="341"/>
      <c r="S18" s="341"/>
      <c r="T18" s="341"/>
      <c r="U18" s="341"/>
      <c r="V18" s="341"/>
      <c r="W18" s="341"/>
      <c r="X18" s="341"/>
      <c r="Y18" s="341"/>
      <c r="Z18" s="341"/>
    </row>
    <row r="19" ht="15.75" customHeight="1">
      <c r="A19" s="320" t="s">
        <v>5004</v>
      </c>
      <c r="B19" s="320" t="s">
        <v>5005</v>
      </c>
      <c r="C19" s="341"/>
      <c r="D19" s="341"/>
      <c r="E19" s="341" t="s">
        <v>5006</v>
      </c>
      <c r="F19" s="341"/>
      <c r="G19" s="341"/>
      <c r="H19" s="341"/>
      <c r="I19" s="341"/>
      <c r="J19" s="341"/>
      <c r="K19" s="341"/>
      <c r="L19" s="341"/>
      <c r="M19" s="341"/>
      <c r="N19" s="341"/>
      <c r="O19" s="341"/>
      <c r="P19" s="341"/>
      <c r="Q19" s="341"/>
      <c r="R19" s="341"/>
      <c r="S19" s="341"/>
      <c r="T19" s="341"/>
      <c r="U19" s="341"/>
      <c r="V19" s="341"/>
      <c r="W19" s="341"/>
      <c r="X19" s="341"/>
      <c r="Y19" s="341"/>
      <c r="Z19" s="341"/>
    </row>
    <row r="20" ht="15.75" customHeight="1">
      <c r="A20" s="320" t="s">
        <v>5007</v>
      </c>
      <c r="B20" s="320" t="s">
        <v>5008</v>
      </c>
      <c r="C20" s="341"/>
      <c r="D20" s="341"/>
      <c r="E20" s="341" t="s">
        <v>4224</v>
      </c>
      <c r="F20" s="341"/>
      <c r="G20" s="341"/>
      <c r="H20" s="341"/>
      <c r="I20" s="341"/>
      <c r="J20" s="341"/>
      <c r="K20" s="341"/>
      <c r="L20" s="341"/>
      <c r="M20" s="341"/>
      <c r="N20" s="341"/>
      <c r="O20" s="341"/>
      <c r="P20" s="341"/>
      <c r="Q20" s="341"/>
      <c r="R20" s="341"/>
      <c r="S20" s="341"/>
      <c r="T20" s="341"/>
      <c r="U20" s="341"/>
      <c r="V20" s="341"/>
      <c r="W20" s="341"/>
      <c r="X20" s="341"/>
      <c r="Y20" s="341"/>
      <c r="Z20" s="341"/>
    </row>
    <row r="21" ht="15.75" customHeight="1">
      <c r="A21" s="320" t="s">
        <v>5009</v>
      </c>
      <c r="B21" s="320" t="s">
        <v>5010</v>
      </c>
      <c r="C21" s="342" t="s">
        <v>5011</v>
      </c>
      <c r="D21" s="341"/>
      <c r="E21" s="341" t="s">
        <v>4218</v>
      </c>
      <c r="F21" s="341"/>
      <c r="G21" s="341"/>
      <c r="H21" s="341"/>
      <c r="I21" s="341"/>
      <c r="J21" s="341"/>
      <c r="K21" s="341"/>
      <c r="L21" s="341"/>
      <c r="M21" s="341"/>
      <c r="N21" s="341"/>
      <c r="O21" s="341"/>
      <c r="P21" s="341"/>
      <c r="Q21" s="341"/>
      <c r="R21" s="341"/>
      <c r="S21" s="341"/>
      <c r="T21" s="341"/>
      <c r="U21" s="341"/>
      <c r="V21" s="341"/>
      <c r="W21" s="341"/>
      <c r="X21" s="341"/>
      <c r="Y21" s="341"/>
      <c r="Z21" s="341"/>
    </row>
    <row r="22" ht="15.75" customHeight="1">
      <c r="A22" s="320" t="s">
        <v>5012</v>
      </c>
      <c r="B22" s="320" t="s">
        <v>5013</v>
      </c>
      <c r="C22" s="342" t="s">
        <v>5014</v>
      </c>
      <c r="D22" s="341"/>
      <c r="E22" s="341" t="s">
        <v>5015</v>
      </c>
      <c r="F22" s="341"/>
      <c r="G22" s="341"/>
      <c r="H22" s="341"/>
      <c r="I22" s="341"/>
      <c r="J22" s="341"/>
      <c r="K22" s="341"/>
      <c r="L22" s="341"/>
      <c r="M22" s="341"/>
      <c r="N22" s="341"/>
      <c r="O22" s="341"/>
      <c r="P22" s="341"/>
      <c r="Q22" s="341"/>
      <c r="R22" s="341"/>
      <c r="S22" s="341"/>
      <c r="T22" s="341"/>
      <c r="U22" s="341"/>
      <c r="V22" s="341"/>
      <c r="W22" s="341"/>
      <c r="X22" s="341"/>
      <c r="Y22" s="341"/>
      <c r="Z22" s="341"/>
    </row>
    <row r="23" ht="15.75" customHeight="1">
      <c r="A23" s="320" t="s">
        <v>5016</v>
      </c>
      <c r="B23" s="320" t="s">
        <v>5017</v>
      </c>
      <c r="C23" s="341"/>
      <c r="D23" s="341"/>
      <c r="E23" s="341" t="s">
        <v>4206</v>
      </c>
      <c r="F23" s="341"/>
      <c r="G23" s="341"/>
      <c r="H23" s="341"/>
      <c r="I23" s="341"/>
      <c r="J23" s="341"/>
      <c r="K23" s="341"/>
      <c r="L23" s="341"/>
      <c r="M23" s="341"/>
      <c r="N23" s="341"/>
      <c r="O23" s="341"/>
      <c r="P23" s="341"/>
      <c r="Q23" s="341"/>
      <c r="R23" s="341"/>
      <c r="S23" s="341"/>
      <c r="T23" s="341"/>
      <c r="U23" s="341"/>
      <c r="V23" s="341"/>
      <c r="W23" s="341"/>
      <c r="X23" s="341"/>
      <c r="Y23" s="341"/>
      <c r="Z23" s="341"/>
    </row>
    <row r="24" ht="15.75" customHeight="1">
      <c r="A24" s="320" t="s">
        <v>5018</v>
      </c>
      <c r="B24" s="320" t="s">
        <v>5019</v>
      </c>
      <c r="C24" s="341"/>
      <c r="D24" s="341"/>
      <c r="E24" s="341" t="s">
        <v>4221</v>
      </c>
      <c r="F24" s="341"/>
      <c r="G24" s="341"/>
      <c r="H24" s="341"/>
      <c r="I24" s="341"/>
      <c r="J24" s="341"/>
      <c r="K24" s="341"/>
      <c r="L24" s="341"/>
      <c r="M24" s="341"/>
      <c r="N24" s="341"/>
      <c r="O24" s="341"/>
      <c r="P24" s="341"/>
      <c r="Q24" s="341"/>
      <c r="R24" s="341"/>
      <c r="S24" s="341"/>
      <c r="T24" s="341"/>
      <c r="U24" s="341"/>
      <c r="V24" s="341"/>
      <c r="W24" s="341"/>
      <c r="X24" s="341"/>
      <c r="Y24" s="341"/>
      <c r="Z24" s="341"/>
    </row>
    <row r="25" ht="15.75" customHeight="1">
      <c r="A25" s="320" t="s">
        <v>5020</v>
      </c>
      <c r="B25" s="320" t="s">
        <v>5021</v>
      </c>
      <c r="C25" s="341"/>
      <c r="D25" s="341"/>
      <c r="E25" s="341" t="s">
        <v>4209</v>
      </c>
      <c r="F25" s="341"/>
      <c r="G25" s="341"/>
      <c r="H25" s="341"/>
      <c r="I25" s="341"/>
      <c r="J25" s="341"/>
      <c r="K25" s="341"/>
      <c r="L25" s="341"/>
      <c r="M25" s="341"/>
      <c r="N25" s="341"/>
      <c r="O25" s="341"/>
      <c r="P25" s="341"/>
      <c r="Q25" s="341"/>
      <c r="R25" s="341"/>
      <c r="S25" s="341"/>
      <c r="T25" s="341"/>
      <c r="U25" s="341"/>
      <c r="V25" s="341"/>
      <c r="W25" s="341"/>
      <c r="X25" s="341"/>
      <c r="Y25" s="341"/>
      <c r="Z25" s="341"/>
    </row>
    <row r="26" ht="15.75" customHeight="1">
      <c r="A26" s="320" t="s">
        <v>5022</v>
      </c>
      <c r="B26" s="320" t="s">
        <v>5023</v>
      </c>
      <c r="C26" s="342" t="s">
        <v>5024</v>
      </c>
      <c r="D26" s="341"/>
      <c r="E26" s="341" t="s">
        <v>4236</v>
      </c>
      <c r="F26" s="341"/>
      <c r="G26" s="341"/>
      <c r="H26" s="341"/>
      <c r="I26" s="341"/>
      <c r="J26" s="341"/>
      <c r="K26" s="341"/>
      <c r="L26" s="341"/>
      <c r="M26" s="341"/>
      <c r="N26" s="341"/>
      <c r="O26" s="341"/>
      <c r="P26" s="341"/>
      <c r="Q26" s="341"/>
      <c r="R26" s="341"/>
      <c r="S26" s="341"/>
      <c r="T26" s="341"/>
      <c r="U26" s="341"/>
      <c r="V26" s="341"/>
      <c r="W26" s="341"/>
      <c r="X26" s="341"/>
      <c r="Y26" s="341"/>
      <c r="Z26" s="341"/>
    </row>
    <row r="27" ht="15.75" customHeight="1">
      <c r="A27" s="343" t="s">
        <v>5025</v>
      </c>
      <c r="B27" s="343" t="s">
        <v>5026</v>
      </c>
      <c r="C27" s="342" t="s">
        <v>5027</v>
      </c>
      <c r="D27" s="341"/>
      <c r="E27" s="341"/>
      <c r="F27" s="341"/>
      <c r="G27" s="341"/>
      <c r="H27" s="341"/>
      <c r="I27" s="341"/>
      <c r="J27" s="341"/>
      <c r="K27" s="341"/>
      <c r="L27" s="341"/>
      <c r="M27" s="341"/>
      <c r="N27" s="341"/>
      <c r="O27" s="341"/>
      <c r="P27" s="341"/>
      <c r="Q27" s="341"/>
      <c r="R27" s="341"/>
      <c r="S27" s="341"/>
      <c r="T27" s="341"/>
      <c r="U27" s="341"/>
      <c r="V27" s="341"/>
      <c r="W27" s="341"/>
      <c r="X27" s="341"/>
      <c r="Y27" s="341"/>
      <c r="Z27" s="341"/>
    </row>
    <row r="28" ht="15.75" customHeight="1">
      <c r="A28" s="343" t="s">
        <v>5028</v>
      </c>
      <c r="B28" s="343" t="s">
        <v>5029</v>
      </c>
      <c r="C28" s="342" t="s">
        <v>5030</v>
      </c>
      <c r="D28" s="341"/>
      <c r="E28" s="341"/>
      <c r="F28" s="341"/>
      <c r="G28" s="341"/>
      <c r="H28" s="341"/>
      <c r="I28" s="341"/>
      <c r="J28" s="341"/>
      <c r="K28" s="341"/>
      <c r="L28" s="341"/>
      <c r="M28" s="341"/>
      <c r="N28" s="341"/>
      <c r="O28" s="341"/>
      <c r="P28" s="341"/>
      <c r="Q28" s="341"/>
      <c r="R28" s="341"/>
      <c r="S28" s="341"/>
      <c r="T28" s="341"/>
      <c r="U28" s="341"/>
      <c r="V28" s="341"/>
      <c r="W28" s="341"/>
      <c r="X28" s="341"/>
      <c r="Y28" s="341"/>
      <c r="Z28" s="341"/>
    </row>
    <row r="29" ht="15.75" customHeight="1">
      <c r="A29" s="344" t="s">
        <v>5031</v>
      </c>
      <c r="B29" s="341"/>
      <c r="C29" s="341"/>
      <c r="D29" s="341"/>
      <c r="E29" s="341"/>
      <c r="F29" s="341"/>
      <c r="G29" s="341"/>
      <c r="H29" s="341"/>
      <c r="I29" s="341"/>
      <c r="J29" s="341"/>
      <c r="K29" s="341"/>
      <c r="L29" s="341"/>
      <c r="M29" s="341"/>
      <c r="N29" s="341"/>
      <c r="O29" s="341"/>
      <c r="P29" s="341"/>
      <c r="Q29" s="341"/>
      <c r="R29" s="341"/>
      <c r="S29" s="341"/>
      <c r="T29" s="341"/>
      <c r="U29" s="341"/>
      <c r="V29" s="341"/>
      <c r="W29" s="341"/>
      <c r="X29" s="341"/>
      <c r="Y29" s="341"/>
      <c r="Z29" s="341"/>
    </row>
    <row r="30" ht="15.75" customHeight="1">
      <c r="A30" s="344" t="s">
        <v>5032</v>
      </c>
      <c r="B30" s="345"/>
      <c r="C30" s="341"/>
      <c r="D30" s="341"/>
      <c r="E30" s="345"/>
      <c r="F30" s="341"/>
      <c r="G30" s="341"/>
      <c r="H30" s="341"/>
      <c r="I30" s="341"/>
      <c r="J30" s="341"/>
      <c r="K30" s="341"/>
      <c r="L30" s="341"/>
      <c r="M30" s="341"/>
      <c r="N30" s="341"/>
      <c r="O30" s="341"/>
      <c r="P30" s="341"/>
      <c r="Q30" s="341"/>
      <c r="R30" s="341"/>
      <c r="S30" s="341"/>
      <c r="T30" s="341"/>
      <c r="U30" s="341"/>
      <c r="V30" s="341"/>
      <c r="W30" s="341"/>
      <c r="X30" s="341"/>
      <c r="Y30" s="341"/>
      <c r="Z30" s="341"/>
    </row>
    <row r="31" ht="15.75" customHeight="1">
      <c r="A31" s="344" t="s">
        <v>5033</v>
      </c>
      <c r="B31" s="341"/>
      <c r="C31" s="341"/>
      <c r="D31" s="341"/>
      <c r="E31" s="341"/>
      <c r="F31" s="341"/>
      <c r="G31" s="341"/>
      <c r="H31" s="341"/>
      <c r="I31" s="341"/>
      <c r="J31" s="341"/>
      <c r="K31" s="341"/>
      <c r="L31" s="341"/>
      <c r="M31" s="341"/>
      <c r="N31" s="341"/>
      <c r="O31" s="341"/>
      <c r="P31" s="341"/>
      <c r="Q31" s="341"/>
      <c r="R31" s="341"/>
      <c r="S31" s="341"/>
      <c r="T31" s="341"/>
      <c r="U31" s="341"/>
      <c r="V31" s="341"/>
      <c r="W31" s="341"/>
      <c r="X31" s="341"/>
      <c r="Y31" s="341"/>
      <c r="Z31" s="341"/>
    </row>
    <row r="32" ht="15.75" customHeight="1">
      <c r="A32" s="344" t="s">
        <v>5034</v>
      </c>
      <c r="B32" s="341"/>
      <c r="C32" s="341"/>
      <c r="D32" s="341"/>
      <c r="E32" s="341"/>
      <c r="F32" s="341"/>
      <c r="G32" s="341"/>
      <c r="H32" s="341"/>
      <c r="I32" s="341"/>
      <c r="J32" s="341"/>
      <c r="K32" s="341"/>
      <c r="L32" s="341"/>
      <c r="M32" s="341"/>
      <c r="N32" s="341"/>
      <c r="O32" s="341"/>
      <c r="P32" s="341"/>
      <c r="Q32" s="341"/>
      <c r="R32" s="341"/>
      <c r="S32" s="341"/>
      <c r="T32" s="341"/>
      <c r="U32" s="341"/>
      <c r="V32" s="341"/>
      <c r="W32" s="341"/>
      <c r="X32" s="341"/>
      <c r="Y32" s="341"/>
      <c r="Z32" s="341"/>
    </row>
    <row r="33" ht="15.75" customHeight="1">
      <c r="A33" s="344" t="s">
        <v>5035</v>
      </c>
      <c r="B33" s="341"/>
      <c r="C33" s="341"/>
      <c r="D33" s="341"/>
      <c r="E33" s="341"/>
      <c r="F33" s="341"/>
      <c r="G33" s="341"/>
      <c r="H33" s="341"/>
      <c r="I33" s="341"/>
      <c r="J33" s="341"/>
      <c r="K33" s="341"/>
      <c r="L33" s="341"/>
      <c r="M33" s="341"/>
      <c r="N33" s="341"/>
      <c r="O33" s="341"/>
      <c r="P33" s="341"/>
      <c r="Q33" s="341"/>
      <c r="R33" s="341"/>
      <c r="S33" s="341"/>
      <c r="T33" s="341"/>
      <c r="U33" s="341"/>
      <c r="V33" s="341"/>
      <c r="W33" s="341"/>
      <c r="X33" s="341"/>
      <c r="Y33" s="341"/>
      <c r="Z33" s="341"/>
    </row>
    <row r="34" ht="15.75" customHeight="1">
      <c r="A34" s="344" t="s">
        <v>5036</v>
      </c>
      <c r="B34" s="345"/>
      <c r="C34" s="341"/>
      <c r="D34" s="341"/>
      <c r="E34" s="345"/>
      <c r="F34" s="341"/>
      <c r="G34" s="341"/>
      <c r="H34" s="341"/>
      <c r="I34" s="341"/>
      <c r="J34" s="341"/>
      <c r="K34" s="341"/>
      <c r="L34" s="341"/>
      <c r="M34" s="341"/>
      <c r="N34" s="341"/>
      <c r="O34" s="341"/>
      <c r="P34" s="341"/>
      <c r="Q34" s="341"/>
      <c r="R34" s="341"/>
      <c r="S34" s="341"/>
      <c r="T34" s="341"/>
      <c r="U34" s="341"/>
      <c r="V34" s="341"/>
      <c r="W34" s="341"/>
      <c r="X34" s="341"/>
      <c r="Y34" s="341"/>
      <c r="Z34" s="341"/>
    </row>
    <row r="35" ht="15.75" customHeight="1">
      <c r="A35" s="344" t="s">
        <v>4234</v>
      </c>
      <c r="B35" s="341"/>
      <c r="C35" s="341"/>
      <c r="D35" s="341"/>
      <c r="E35" s="341"/>
      <c r="F35" s="341"/>
      <c r="G35" s="341"/>
      <c r="H35" s="341"/>
      <c r="I35" s="341"/>
      <c r="J35" s="341"/>
      <c r="K35" s="341"/>
      <c r="L35" s="341"/>
      <c r="M35" s="341"/>
      <c r="N35" s="341"/>
      <c r="O35" s="341"/>
      <c r="P35" s="341"/>
      <c r="Q35" s="341"/>
      <c r="R35" s="341"/>
      <c r="S35" s="341"/>
      <c r="T35" s="341"/>
      <c r="U35" s="341"/>
      <c r="V35" s="341"/>
      <c r="W35" s="341"/>
      <c r="X35" s="341"/>
      <c r="Y35" s="341"/>
      <c r="Z35" s="341"/>
    </row>
    <row r="36" ht="15.75" customHeight="1">
      <c r="A36" s="344" t="s">
        <v>5037</v>
      </c>
      <c r="B36" s="341"/>
      <c r="C36" s="341"/>
      <c r="D36" s="341"/>
      <c r="E36" s="341"/>
      <c r="F36" s="341"/>
      <c r="G36" s="341"/>
      <c r="H36" s="341"/>
      <c r="I36" s="341"/>
      <c r="J36" s="341"/>
      <c r="K36" s="341"/>
      <c r="L36" s="341"/>
      <c r="M36" s="341"/>
      <c r="N36" s="341"/>
      <c r="O36" s="341"/>
      <c r="P36" s="341"/>
      <c r="Q36" s="341"/>
      <c r="R36" s="341"/>
      <c r="S36" s="341"/>
      <c r="T36" s="341"/>
      <c r="U36" s="341"/>
      <c r="V36" s="341"/>
      <c r="W36" s="341"/>
      <c r="X36" s="341"/>
      <c r="Y36" s="341"/>
      <c r="Z36" s="341"/>
    </row>
    <row r="37" ht="15.75" customHeight="1">
      <c r="A37" s="344" t="s">
        <v>5038</v>
      </c>
      <c r="B37" s="341"/>
      <c r="C37" s="341"/>
      <c r="D37" s="341"/>
      <c r="E37" s="341"/>
      <c r="F37" s="341"/>
      <c r="G37" s="341"/>
      <c r="H37" s="341"/>
      <c r="I37" s="345"/>
      <c r="J37" s="345"/>
      <c r="K37" s="341"/>
      <c r="L37" s="341"/>
      <c r="M37" s="341"/>
      <c r="N37" s="341"/>
      <c r="O37" s="341"/>
      <c r="P37" s="341"/>
      <c r="Q37" s="341"/>
      <c r="R37" s="341"/>
      <c r="S37" s="341"/>
      <c r="T37" s="341"/>
      <c r="U37" s="341"/>
      <c r="V37" s="341"/>
      <c r="W37" s="341"/>
      <c r="X37" s="341"/>
      <c r="Y37" s="341"/>
      <c r="Z37" s="341"/>
    </row>
    <row r="38" ht="15.75" customHeight="1">
      <c r="A38" s="344" t="s">
        <v>5039</v>
      </c>
      <c r="B38" s="341"/>
      <c r="C38" s="341"/>
      <c r="D38" s="341"/>
      <c r="E38" s="341"/>
      <c r="F38" s="341"/>
      <c r="G38" s="341"/>
      <c r="H38" s="341"/>
      <c r="I38" s="345"/>
      <c r="J38" s="345"/>
      <c r="K38" s="341"/>
      <c r="L38" s="341"/>
      <c r="M38" s="341"/>
      <c r="N38" s="341"/>
      <c r="O38" s="341"/>
      <c r="P38" s="341"/>
      <c r="Q38" s="341"/>
      <c r="R38" s="341"/>
      <c r="S38" s="341"/>
      <c r="T38" s="341"/>
      <c r="U38" s="341"/>
      <c r="V38" s="341"/>
      <c r="W38" s="341"/>
      <c r="X38" s="341"/>
      <c r="Y38" s="341"/>
      <c r="Z38" s="341"/>
    </row>
    <row r="39" ht="15.75" customHeight="1">
      <c r="A39" s="344" t="s">
        <v>5040</v>
      </c>
      <c r="B39" s="341"/>
      <c r="C39" s="341"/>
      <c r="D39" s="341"/>
      <c r="E39" s="341"/>
      <c r="F39" s="341"/>
      <c r="G39" s="341"/>
      <c r="H39" s="341"/>
      <c r="I39" s="345"/>
      <c r="J39" s="345"/>
      <c r="K39" s="341"/>
      <c r="L39" s="341"/>
      <c r="M39" s="341"/>
      <c r="N39" s="341"/>
      <c r="O39" s="341"/>
      <c r="P39" s="341"/>
      <c r="Q39" s="341"/>
      <c r="R39" s="341"/>
      <c r="S39" s="341"/>
      <c r="T39" s="341"/>
      <c r="U39" s="341"/>
      <c r="V39" s="341"/>
      <c r="W39" s="341"/>
      <c r="X39" s="341"/>
      <c r="Y39" s="341"/>
      <c r="Z39" s="341"/>
    </row>
    <row r="40" ht="15.75" customHeight="1">
      <c r="A40" s="344" t="s">
        <v>5041</v>
      </c>
      <c r="B40" s="341"/>
      <c r="C40" s="341"/>
      <c r="D40" s="341"/>
      <c r="E40" s="341"/>
      <c r="F40" s="341"/>
      <c r="G40" s="341"/>
      <c r="H40" s="341"/>
      <c r="I40" s="345"/>
      <c r="J40" s="345"/>
      <c r="K40" s="341"/>
      <c r="L40" s="341"/>
      <c r="M40" s="341"/>
      <c r="N40" s="341"/>
      <c r="O40" s="341"/>
      <c r="P40" s="341"/>
      <c r="Q40" s="341"/>
      <c r="R40" s="341"/>
      <c r="S40" s="341"/>
      <c r="T40" s="341"/>
      <c r="U40" s="341"/>
      <c r="V40" s="341"/>
      <c r="W40" s="341"/>
      <c r="X40" s="341"/>
      <c r="Y40" s="341"/>
      <c r="Z40" s="341"/>
    </row>
    <row r="41" ht="15.75" customHeight="1">
      <c r="A41" s="344" t="s">
        <v>5042</v>
      </c>
      <c r="B41" s="341"/>
      <c r="C41" s="341"/>
      <c r="D41" s="341"/>
      <c r="E41" s="341"/>
      <c r="F41" s="341"/>
      <c r="G41" s="341"/>
      <c r="H41" s="341"/>
      <c r="I41" s="345"/>
      <c r="J41" s="345"/>
      <c r="K41" s="341"/>
      <c r="L41" s="341"/>
      <c r="M41" s="341"/>
      <c r="N41" s="341"/>
      <c r="O41" s="341"/>
      <c r="P41" s="341"/>
      <c r="Q41" s="341"/>
      <c r="R41" s="341"/>
      <c r="S41" s="341"/>
      <c r="T41" s="341"/>
      <c r="U41" s="341"/>
      <c r="V41" s="341"/>
      <c r="W41" s="341"/>
      <c r="X41" s="341"/>
      <c r="Y41" s="341"/>
      <c r="Z41" s="341"/>
    </row>
    <row r="42" ht="15.75" customHeight="1">
      <c r="A42" s="344" t="s">
        <v>5043</v>
      </c>
      <c r="B42" s="341"/>
      <c r="C42" s="341"/>
      <c r="D42" s="341"/>
      <c r="E42" s="341"/>
      <c r="F42" s="341"/>
      <c r="G42" s="341"/>
      <c r="H42" s="341"/>
      <c r="I42" s="345"/>
      <c r="J42" s="345"/>
      <c r="K42" s="341"/>
      <c r="L42" s="341"/>
      <c r="M42" s="341"/>
      <c r="N42" s="341"/>
      <c r="O42" s="341"/>
      <c r="P42" s="341"/>
      <c r="Q42" s="341"/>
      <c r="R42" s="341"/>
      <c r="S42" s="341"/>
      <c r="T42" s="341"/>
      <c r="U42" s="341"/>
      <c r="V42" s="341"/>
      <c r="W42" s="341"/>
      <c r="X42" s="341"/>
      <c r="Y42" s="341"/>
      <c r="Z42" s="341"/>
    </row>
    <row r="43" ht="15.75" customHeight="1">
      <c r="A43" s="344" t="s">
        <v>5044</v>
      </c>
      <c r="B43" s="341"/>
      <c r="C43" s="341"/>
      <c r="D43" s="341" t="s">
        <v>5045</v>
      </c>
      <c r="E43" s="341" t="s">
        <v>5046</v>
      </c>
      <c r="F43" s="341"/>
      <c r="G43" s="341"/>
      <c r="H43" s="341"/>
      <c r="I43" s="345"/>
      <c r="J43" s="345"/>
      <c r="K43" s="341"/>
      <c r="L43" s="341"/>
      <c r="M43" s="341"/>
      <c r="N43" s="341"/>
      <c r="O43" s="341"/>
      <c r="P43" s="341"/>
      <c r="Q43" s="341"/>
      <c r="R43" s="341"/>
      <c r="S43" s="341"/>
      <c r="T43" s="341"/>
      <c r="U43" s="341"/>
      <c r="V43" s="341"/>
      <c r="W43" s="341"/>
      <c r="X43" s="341"/>
      <c r="Y43" s="341"/>
      <c r="Z43" s="341"/>
    </row>
    <row r="44" ht="15.75" customHeight="1">
      <c r="A44" s="344" t="s">
        <v>5047</v>
      </c>
      <c r="B44" s="341"/>
      <c r="C44" s="341"/>
      <c r="D44" s="341"/>
      <c r="E44" s="341"/>
      <c r="F44" s="341"/>
      <c r="G44" s="341"/>
      <c r="H44" s="341"/>
      <c r="I44" s="345"/>
      <c r="J44" s="345"/>
      <c r="K44" s="341"/>
      <c r="L44" s="341"/>
      <c r="M44" s="341"/>
      <c r="N44" s="341"/>
      <c r="O44" s="341"/>
      <c r="P44" s="341"/>
      <c r="Q44" s="341"/>
      <c r="R44" s="341"/>
      <c r="S44" s="341"/>
      <c r="T44" s="341"/>
      <c r="U44" s="341"/>
      <c r="V44" s="341"/>
      <c r="W44" s="341"/>
      <c r="X44" s="341"/>
      <c r="Y44" s="341"/>
      <c r="Z44" s="341"/>
    </row>
    <row r="45" ht="15.75" customHeight="1">
      <c r="A45" s="344" t="s">
        <v>5048</v>
      </c>
      <c r="B45" s="341"/>
      <c r="C45" s="341"/>
      <c r="D45" s="341"/>
      <c r="E45" s="341"/>
      <c r="F45" s="345"/>
      <c r="G45" s="341"/>
      <c r="H45" s="341"/>
      <c r="I45" s="345"/>
      <c r="J45" s="345"/>
      <c r="K45" s="341"/>
      <c r="L45" s="341"/>
      <c r="M45" s="341"/>
      <c r="N45" s="341"/>
      <c r="O45" s="341"/>
      <c r="P45" s="341"/>
      <c r="Q45" s="341"/>
      <c r="R45" s="341"/>
      <c r="S45" s="341"/>
      <c r="T45" s="341"/>
      <c r="U45" s="341"/>
      <c r="V45" s="341"/>
      <c r="W45" s="341"/>
      <c r="X45" s="341"/>
      <c r="Y45" s="341"/>
      <c r="Z45" s="341"/>
    </row>
    <row r="46" ht="15.75" customHeight="1">
      <c r="A46" s="341" t="s">
        <v>5049</v>
      </c>
      <c r="B46" s="341"/>
      <c r="C46" s="341"/>
      <c r="D46" s="341"/>
      <c r="E46" s="341"/>
      <c r="F46" s="341"/>
      <c r="G46" s="341"/>
      <c r="H46" s="341"/>
      <c r="I46" s="341"/>
      <c r="J46" s="341"/>
      <c r="K46" s="341"/>
      <c r="L46" s="341"/>
      <c r="M46" s="341"/>
      <c r="N46" s="341"/>
      <c r="O46" s="341"/>
      <c r="P46" s="341"/>
      <c r="Q46" s="341"/>
      <c r="R46" s="341"/>
      <c r="S46" s="341"/>
      <c r="T46" s="341"/>
      <c r="U46" s="341"/>
      <c r="V46" s="341"/>
      <c r="W46" s="341"/>
      <c r="X46" s="341"/>
      <c r="Y46" s="341"/>
      <c r="Z46" s="341"/>
    </row>
    <row r="47" ht="15.75" customHeight="1">
      <c r="A47" s="341" t="s">
        <v>5050</v>
      </c>
      <c r="B47" s="341"/>
      <c r="C47" s="341"/>
      <c r="D47" s="341"/>
      <c r="E47" s="341"/>
      <c r="F47" s="341"/>
      <c r="G47" s="341"/>
      <c r="H47" s="341"/>
      <c r="I47" s="341"/>
      <c r="J47" s="341"/>
      <c r="K47" s="341"/>
      <c r="L47" s="341"/>
      <c r="M47" s="341"/>
      <c r="N47" s="341"/>
      <c r="O47" s="341"/>
      <c r="P47" s="341"/>
      <c r="Q47" s="341"/>
      <c r="R47" s="341"/>
      <c r="S47" s="341"/>
      <c r="T47" s="341"/>
      <c r="U47" s="341"/>
      <c r="V47" s="341"/>
      <c r="W47" s="341"/>
      <c r="X47" s="341"/>
      <c r="Y47" s="341"/>
      <c r="Z47" s="341"/>
    </row>
    <row r="48" ht="15.75" customHeight="1">
      <c r="A48" s="341" t="s">
        <v>5051</v>
      </c>
      <c r="B48" s="341"/>
      <c r="C48" s="341"/>
      <c r="D48" s="341"/>
      <c r="E48" s="341"/>
      <c r="F48" s="341"/>
      <c r="G48" s="341"/>
      <c r="H48" s="341"/>
      <c r="I48" s="341"/>
      <c r="J48" s="341"/>
      <c r="K48" s="341"/>
      <c r="L48" s="341"/>
      <c r="M48" s="341"/>
      <c r="N48" s="341"/>
      <c r="O48" s="341"/>
      <c r="P48" s="341"/>
      <c r="Q48" s="341"/>
      <c r="R48" s="341"/>
      <c r="S48" s="341"/>
      <c r="T48" s="341"/>
      <c r="U48" s="341"/>
      <c r="V48" s="341"/>
      <c r="W48" s="341"/>
      <c r="X48" s="341"/>
      <c r="Y48" s="341"/>
      <c r="Z48" s="341"/>
    </row>
    <row r="49" ht="15.75" customHeight="1">
      <c r="A49" s="341" t="s">
        <v>5052</v>
      </c>
      <c r="B49" s="341"/>
      <c r="C49" s="341"/>
      <c r="D49" s="341"/>
      <c r="E49" s="341"/>
      <c r="F49" s="341"/>
      <c r="G49" s="341"/>
      <c r="H49" s="341"/>
      <c r="I49" s="341"/>
      <c r="J49" s="341"/>
      <c r="K49" s="341"/>
      <c r="L49" s="341"/>
      <c r="M49" s="341"/>
      <c r="N49" s="341"/>
      <c r="O49" s="341"/>
      <c r="P49" s="341"/>
      <c r="Q49" s="341"/>
      <c r="R49" s="341"/>
      <c r="S49" s="341"/>
      <c r="T49" s="341"/>
      <c r="U49" s="341"/>
      <c r="V49" s="341"/>
      <c r="W49" s="341"/>
      <c r="X49" s="341"/>
      <c r="Y49" s="341"/>
      <c r="Z49" s="341"/>
    </row>
    <row r="50" ht="15.75" customHeight="1">
      <c r="A50" s="341" t="s">
        <v>5053</v>
      </c>
      <c r="B50" s="341"/>
      <c r="C50" s="341"/>
      <c r="D50" s="341"/>
      <c r="E50" s="341"/>
      <c r="F50" s="341"/>
      <c r="G50" s="341"/>
      <c r="H50" s="341"/>
      <c r="I50" s="341"/>
      <c r="J50" s="341"/>
      <c r="K50" s="341"/>
      <c r="L50" s="341"/>
      <c r="M50" s="341"/>
      <c r="N50" s="341"/>
      <c r="O50" s="341"/>
      <c r="P50" s="341"/>
      <c r="Q50" s="341"/>
      <c r="R50" s="341"/>
      <c r="S50" s="341"/>
      <c r="T50" s="341"/>
      <c r="U50" s="341"/>
      <c r="V50" s="341"/>
      <c r="W50" s="341"/>
      <c r="X50" s="341"/>
      <c r="Y50" s="341"/>
      <c r="Z50" s="341"/>
    </row>
    <row r="51" ht="15.75" customHeight="1">
      <c r="A51" s="341" t="s">
        <v>5054</v>
      </c>
      <c r="B51" s="341"/>
      <c r="C51" s="341"/>
      <c r="D51" s="341"/>
      <c r="E51" s="341"/>
      <c r="F51" s="341"/>
      <c r="G51" s="341"/>
      <c r="H51" s="341"/>
      <c r="I51" s="341"/>
      <c r="J51" s="341"/>
      <c r="K51" s="341"/>
      <c r="L51" s="341"/>
      <c r="M51" s="341"/>
      <c r="N51" s="341"/>
      <c r="O51" s="341"/>
      <c r="P51" s="341"/>
      <c r="Q51" s="341"/>
      <c r="R51" s="341"/>
      <c r="S51" s="341"/>
      <c r="T51" s="341"/>
      <c r="U51" s="341"/>
      <c r="V51" s="341"/>
      <c r="W51" s="341"/>
      <c r="X51" s="341"/>
      <c r="Y51" s="341"/>
      <c r="Z51" s="341"/>
    </row>
    <row r="52" ht="15.75" customHeight="1">
      <c r="A52" s="341" t="s">
        <v>5055</v>
      </c>
      <c r="B52" s="341"/>
      <c r="C52" s="341"/>
      <c r="D52" s="341"/>
      <c r="E52" s="341"/>
      <c r="F52" s="341"/>
      <c r="G52" s="341"/>
      <c r="H52" s="341"/>
      <c r="I52" s="341"/>
      <c r="J52" s="341"/>
      <c r="K52" s="341"/>
      <c r="L52" s="341"/>
      <c r="M52" s="341"/>
      <c r="N52" s="341"/>
      <c r="O52" s="341"/>
      <c r="P52" s="341"/>
      <c r="Q52" s="341"/>
      <c r="R52" s="341"/>
      <c r="S52" s="341"/>
      <c r="T52" s="341"/>
      <c r="U52" s="341"/>
      <c r="V52" s="341"/>
      <c r="W52" s="341"/>
      <c r="X52" s="341"/>
      <c r="Y52" s="341"/>
      <c r="Z52" s="341"/>
    </row>
    <row r="53" ht="15.75" customHeight="1">
      <c r="A53" s="341" t="s">
        <v>5056</v>
      </c>
      <c r="B53" s="341"/>
      <c r="C53" s="341"/>
      <c r="D53" s="341"/>
      <c r="E53" s="341"/>
      <c r="F53" s="341"/>
      <c r="G53" s="341"/>
      <c r="H53" s="341"/>
      <c r="I53" s="341"/>
      <c r="J53" s="341"/>
      <c r="K53" s="341"/>
      <c r="L53" s="341"/>
      <c r="M53" s="341"/>
      <c r="N53" s="341"/>
      <c r="O53" s="341"/>
      <c r="P53" s="341"/>
      <c r="Q53" s="341"/>
      <c r="R53" s="341"/>
      <c r="S53" s="341"/>
      <c r="T53" s="341"/>
      <c r="U53" s="341"/>
      <c r="V53" s="341"/>
      <c r="W53" s="341"/>
      <c r="X53" s="341"/>
      <c r="Y53" s="341"/>
      <c r="Z53" s="341"/>
    </row>
    <row r="54" ht="15.75" customHeight="1">
      <c r="A54" s="341" t="s">
        <v>5057</v>
      </c>
      <c r="B54" s="341"/>
      <c r="C54" s="341"/>
      <c r="D54" s="341"/>
      <c r="E54" s="341"/>
      <c r="F54" s="341"/>
      <c r="G54" s="341"/>
      <c r="H54" s="341"/>
      <c r="I54" s="341"/>
      <c r="J54" s="341"/>
      <c r="K54" s="341"/>
      <c r="L54" s="341"/>
      <c r="M54" s="341"/>
      <c r="N54" s="341"/>
      <c r="O54" s="341"/>
      <c r="P54" s="341"/>
      <c r="Q54" s="341"/>
      <c r="R54" s="341"/>
      <c r="S54" s="341"/>
      <c r="T54" s="341"/>
      <c r="U54" s="341"/>
      <c r="V54" s="341"/>
      <c r="W54" s="341"/>
      <c r="X54" s="341"/>
      <c r="Y54" s="341"/>
      <c r="Z54" s="341"/>
    </row>
    <row r="55" ht="15.75" customHeight="1">
      <c r="A55" s="341" t="s">
        <v>5058</v>
      </c>
      <c r="B55" s="341"/>
      <c r="C55" s="341"/>
      <c r="D55" s="341"/>
      <c r="E55" s="341"/>
      <c r="F55" s="341"/>
      <c r="G55" s="341"/>
      <c r="H55" s="341"/>
      <c r="I55" s="341"/>
      <c r="J55" s="341"/>
      <c r="K55" s="341"/>
      <c r="L55" s="341"/>
      <c r="M55" s="341"/>
      <c r="N55" s="341"/>
      <c r="O55" s="341"/>
      <c r="P55" s="341"/>
      <c r="Q55" s="341"/>
      <c r="R55" s="341"/>
      <c r="S55" s="341"/>
      <c r="T55" s="341"/>
      <c r="U55" s="341"/>
      <c r="V55" s="341"/>
      <c r="W55" s="341"/>
      <c r="X55" s="341"/>
      <c r="Y55" s="341"/>
      <c r="Z55" s="341"/>
    </row>
    <row r="56" ht="15.75" customHeight="1">
      <c r="A56" s="341" t="s">
        <v>5059</v>
      </c>
      <c r="B56" s="341"/>
      <c r="C56" s="341"/>
      <c r="D56" s="341"/>
      <c r="E56" s="341"/>
      <c r="F56" s="341"/>
      <c r="G56" s="341"/>
      <c r="H56" s="341"/>
      <c r="I56" s="341"/>
      <c r="J56" s="341"/>
      <c r="K56" s="341"/>
      <c r="L56" s="341"/>
      <c r="M56" s="341"/>
      <c r="N56" s="341"/>
      <c r="O56" s="341"/>
      <c r="P56" s="341"/>
      <c r="Q56" s="341"/>
      <c r="R56" s="341"/>
      <c r="S56" s="341"/>
      <c r="T56" s="341"/>
      <c r="U56" s="341"/>
      <c r="V56" s="341"/>
      <c r="W56" s="341"/>
      <c r="X56" s="341"/>
      <c r="Y56" s="341"/>
      <c r="Z56" s="341"/>
    </row>
    <row r="57" ht="15.75" customHeight="1">
      <c r="A57" s="341" t="s">
        <v>5060</v>
      </c>
      <c r="B57" s="341"/>
      <c r="C57" s="341"/>
      <c r="D57" s="341"/>
      <c r="E57" s="341"/>
      <c r="F57" s="341"/>
      <c r="G57" s="341"/>
      <c r="H57" s="341"/>
      <c r="I57" s="341"/>
      <c r="J57" s="341"/>
      <c r="K57" s="341"/>
      <c r="L57" s="341"/>
      <c r="M57" s="341"/>
      <c r="N57" s="341"/>
      <c r="O57" s="341"/>
      <c r="P57" s="341"/>
      <c r="Q57" s="341"/>
      <c r="R57" s="341"/>
      <c r="S57" s="341"/>
      <c r="T57" s="341"/>
      <c r="U57" s="341"/>
      <c r="V57" s="341"/>
      <c r="W57" s="341"/>
      <c r="X57" s="341"/>
      <c r="Y57" s="341"/>
      <c r="Z57" s="341"/>
    </row>
    <row r="58" ht="15.75" customHeight="1">
      <c r="A58" s="341" t="s">
        <v>5061</v>
      </c>
      <c r="B58" s="341"/>
      <c r="C58" s="341"/>
      <c r="D58" s="341"/>
      <c r="E58" s="341"/>
      <c r="F58" s="341"/>
      <c r="G58" s="341"/>
      <c r="H58" s="341"/>
      <c r="I58" s="341"/>
      <c r="J58" s="341"/>
      <c r="K58" s="341"/>
      <c r="L58" s="341"/>
      <c r="M58" s="341"/>
      <c r="N58" s="341"/>
      <c r="O58" s="341"/>
      <c r="P58" s="341"/>
      <c r="Q58" s="341"/>
      <c r="R58" s="341"/>
      <c r="S58" s="341"/>
      <c r="T58" s="341"/>
      <c r="U58" s="341"/>
      <c r="V58" s="341"/>
      <c r="W58" s="341"/>
      <c r="X58" s="341"/>
      <c r="Y58" s="341"/>
      <c r="Z58" s="341"/>
    </row>
    <row r="59" ht="15.75" customHeight="1">
      <c r="A59" s="341" t="s">
        <v>5062</v>
      </c>
      <c r="B59" s="341"/>
      <c r="C59" s="341"/>
      <c r="D59" s="341"/>
      <c r="E59" s="341"/>
      <c r="F59" s="341"/>
      <c r="G59" s="341"/>
      <c r="H59" s="341"/>
      <c r="I59" s="341"/>
      <c r="J59" s="341"/>
      <c r="K59" s="341"/>
      <c r="L59" s="341"/>
      <c r="M59" s="341"/>
      <c r="N59" s="341"/>
      <c r="O59" s="341"/>
      <c r="P59" s="341"/>
      <c r="Q59" s="341"/>
      <c r="R59" s="341"/>
      <c r="S59" s="341"/>
      <c r="T59" s="341"/>
      <c r="U59" s="341"/>
      <c r="V59" s="341"/>
      <c r="W59" s="341"/>
      <c r="X59" s="341"/>
      <c r="Y59" s="341"/>
      <c r="Z59" s="341"/>
    </row>
    <row r="60" ht="15.75" customHeight="1">
      <c r="A60" s="341" t="s">
        <v>5063</v>
      </c>
      <c r="B60" s="341"/>
      <c r="C60" s="341"/>
      <c r="D60" s="341"/>
      <c r="E60" s="341"/>
      <c r="F60" s="341"/>
      <c r="G60" s="341"/>
      <c r="H60" s="341"/>
      <c r="I60" s="341"/>
      <c r="J60" s="341"/>
      <c r="K60" s="341"/>
      <c r="L60" s="341"/>
      <c r="M60" s="341"/>
      <c r="N60" s="341"/>
      <c r="O60" s="341"/>
      <c r="P60" s="341"/>
      <c r="Q60" s="341"/>
      <c r="R60" s="341"/>
      <c r="S60" s="341"/>
      <c r="T60" s="341"/>
      <c r="U60" s="341"/>
      <c r="V60" s="341"/>
      <c r="W60" s="341"/>
      <c r="X60" s="341"/>
      <c r="Y60" s="341"/>
      <c r="Z60" s="341"/>
    </row>
    <row r="61" ht="15.75" customHeight="1">
      <c r="A61" s="341" t="s">
        <v>5064</v>
      </c>
      <c r="B61" s="341"/>
      <c r="C61" s="341"/>
      <c r="D61" s="341"/>
      <c r="E61" s="341"/>
      <c r="F61" s="341"/>
      <c r="G61" s="341"/>
      <c r="H61" s="341"/>
      <c r="I61" s="341"/>
      <c r="J61" s="341"/>
      <c r="K61" s="341"/>
      <c r="L61" s="341"/>
      <c r="M61" s="341"/>
      <c r="N61" s="341"/>
      <c r="O61" s="341"/>
      <c r="P61" s="341"/>
      <c r="Q61" s="341"/>
      <c r="R61" s="341"/>
      <c r="S61" s="341"/>
      <c r="T61" s="341"/>
      <c r="U61" s="341"/>
      <c r="V61" s="341"/>
      <c r="W61" s="341"/>
      <c r="X61" s="341"/>
      <c r="Y61" s="341"/>
      <c r="Z61" s="341"/>
    </row>
    <row r="62" ht="15.75" customHeight="1">
      <c r="A62" s="341" t="s">
        <v>5065</v>
      </c>
      <c r="B62" s="341"/>
      <c r="C62" s="341"/>
      <c r="D62" s="341"/>
      <c r="E62" s="341"/>
      <c r="F62" s="341"/>
      <c r="G62" s="341"/>
      <c r="H62" s="341"/>
      <c r="I62" s="341"/>
      <c r="J62" s="341"/>
      <c r="K62" s="341"/>
      <c r="L62" s="341"/>
      <c r="M62" s="341"/>
      <c r="N62" s="341"/>
      <c r="O62" s="341"/>
      <c r="P62" s="341"/>
      <c r="Q62" s="341"/>
      <c r="R62" s="341"/>
      <c r="S62" s="341"/>
      <c r="T62" s="341"/>
      <c r="U62" s="341"/>
      <c r="V62" s="341"/>
      <c r="W62" s="341"/>
      <c r="X62" s="341"/>
      <c r="Y62" s="341"/>
      <c r="Z62" s="341"/>
    </row>
    <row r="63" ht="15.75" customHeight="1">
      <c r="A63" s="341" t="s">
        <v>5066</v>
      </c>
      <c r="B63" s="341"/>
      <c r="C63" s="341"/>
      <c r="D63" s="341"/>
      <c r="E63" s="341"/>
      <c r="F63" s="341"/>
      <c r="G63" s="341"/>
      <c r="H63" s="341"/>
      <c r="I63" s="341"/>
      <c r="J63" s="341"/>
      <c r="K63" s="341"/>
      <c r="L63" s="341"/>
      <c r="M63" s="341"/>
      <c r="N63" s="341"/>
      <c r="O63" s="341"/>
      <c r="P63" s="341"/>
      <c r="Q63" s="341"/>
      <c r="R63" s="341"/>
      <c r="S63" s="341"/>
      <c r="T63" s="341"/>
      <c r="U63" s="341"/>
      <c r="V63" s="341"/>
      <c r="W63" s="341"/>
      <c r="X63" s="341"/>
      <c r="Y63" s="341"/>
      <c r="Z63" s="341"/>
    </row>
    <row r="64" ht="15.75" customHeight="1">
      <c r="A64" s="341" t="s">
        <v>5067</v>
      </c>
      <c r="B64" s="341"/>
      <c r="C64" s="341"/>
      <c r="D64" s="341"/>
      <c r="E64" s="341"/>
      <c r="F64" s="341"/>
      <c r="G64" s="341"/>
      <c r="H64" s="341"/>
      <c r="I64" s="341"/>
      <c r="J64" s="341"/>
      <c r="K64" s="341"/>
      <c r="L64" s="341"/>
      <c r="M64" s="341"/>
      <c r="N64" s="341"/>
      <c r="O64" s="341"/>
      <c r="P64" s="341"/>
      <c r="Q64" s="341"/>
      <c r="R64" s="341"/>
      <c r="S64" s="341"/>
      <c r="T64" s="341"/>
      <c r="U64" s="341"/>
      <c r="V64" s="341"/>
      <c r="W64" s="341"/>
      <c r="X64" s="341"/>
      <c r="Y64" s="341"/>
      <c r="Z64" s="341"/>
    </row>
    <row r="65" ht="15.75" customHeight="1">
      <c r="A65" s="341" t="s">
        <v>5068</v>
      </c>
      <c r="B65" s="341"/>
      <c r="C65" s="341"/>
      <c r="D65" s="341"/>
      <c r="E65" s="341"/>
      <c r="F65" s="341"/>
      <c r="G65" s="341"/>
      <c r="H65" s="341"/>
      <c r="I65" s="341"/>
      <c r="J65" s="341"/>
      <c r="K65" s="341"/>
      <c r="L65" s="341"/>
      <c r="M65" s="341"/>
      <c r="N65" s="341"/>
      <c r="O65" s="341"/>
      <c r="P65" s="341"/>
      <c r="Q65" s="341"/>
      <c r="R65" s="341"/>
      <c r="S65" s="341"/>
      <c r="T65" s="341"/>
      <c r="U65" s="341"/>
      <c r="V65" s="341"/>
      <c r="W65" s="341"/>
      <c r="X65" s="341"/>
      <c r="Y65" s="341"/>
      <c r="Z65" s="341"/>
    </row>
    <row r="66" ht="15.75" customHeight="1">
      <c r="A66" s="341" t="s">
        <v>5069</v>
      </c>
      <c r="B66" s="341"/>
      <c r="C66" s="341"/>
      <c r="D66" s="341"/>
      <c r="E66" s="341"/>
      <c r="F66" s="341"/>
      <c r="G66" s="341"/>
      <c r="H66" s="341"/>
      <c r="I66" s="341"/>
      <c r="J66" s="341"/>
      <c r="K66" s="341"/>
      <c r="L66" s="341"/>
      <c r="M66" s="341"/>
      <c r="N66" s="341"/>
      <c r="O66" s="341"/>
      <c r="P66" s="341"/>
      <c r="Q66" s="341"/>
      <c r="R66" s="341"/>
      <c r="S66" s="341"/>
      <c r="T66" s="341"/>
      <c r="U66" s="341"/>
      <c r="V66" s="341"/>
      <c r="W66" s="341"/>
      <c r="X66" s="341"/>
      <c r="Y66" s="341"/>
      <c r="Z66" s="341"/>
    </row>
    <row r="67" ht="15.75" customHeight="1">
      <c r="A67" s="341" t="s">
        <v>5070</v>
      </c>
      <c r="B67" s="341"/>
      <c r="C67" s="341"/>
      <c r="D67" s="341"/>
      <c r="E67" s="341"/>
      <c r="F67" s="341"/>
      <c r="G67" s="341"/>
      <c r="H67" s="341"/>
      <c r="I67" s="341"/>
      <c r="J67" s="341"/>
      <c r="K67" s="341"/>
      <c r="L67" s="341"/>
      <c r="M67" s="341"/>
      <c r="N67" s="341"/>
      <c r="O67" s="341"/>
      <c r="P67" s="341"/>
      <c r="Q67" s="341"/>
      <c r="R67" s="341"/>
      <c r="S67" s="341"/>
      <c r="T67" s="341"/>
      <c r="U67" s="341"/>
      <c r="V67" s="341"/>
      <c r="W67" s="341"/>
      <c r="X67" s="341"/>
      <c r="Y67" s="341"/>
      <c r="Z67" s="341"/>
    </row>
    <row r="68" ht="15.75" customHeight="1">
      <c r="A68" s="341" t="s">
        <v>5071</v>
      </c>
      <c r="B68" s="341"/>
      <c r="C68" s="341"/>
      <c r="D68" s="341"/>
      <c r="E68" s="341"/>
      <c r="F68" s="341"/>
      <c r="G68" s="341"/>
      <c r="H68" s="341"/>
      <c r="I68" s="341"/>
      <c r="J68" s="341"/>
      <c r="K68" s="341"/>
      <c r="L68" s="341"/>
      <c r="M68" s="341"/>
      <c r="N68" s="341"/>
      <c r="O68" s="341"/>
      <c r="P68" s="341"/>
      <c r="Q68" s="341"/>
      <c r="R68" s="341"/>
      <c r="S68" s="341"/>
      <c r="T68" s="341"/>
      <c r="U68" s="341"/>
      <c r="V68" s="341"/>
      <c r="W68" s="341"/>
      <c r="X68" s="341"/>
      <c r="Y68" s="341"/>
      <c r="Z68" s="341"/>
    </row>
    <row r="69" ht="15.75" customHeight="1">
      <c r="A69" s="341" t="s">
        <v>5072</v>
      </c>
      <c r="B69" s="341"/>
      <c r="C69" s="341"/>
      <c r="D69" s="341"/>
      <c r="E69" s="341"/>
      <c r="F69" s="341"/>
      <c r="G69" s="341"/>
      <c r="H69" s="341"/>
      <c r="I69" s="341"/>
      <c r="J69" s="341"/>
      <c r="K69" s="341"/>
      <c r="L69" s="341"/>
      <c r="M69" s="341"/>
      <c r="N69" s="341"/>
      <c r="O69" s="341"/>
      <c r="P69" s="341"/>
      <c r="Q69" s="341"/>
      <c r="R69" s="341"/>
      <c r="S69" s="341"/>
      <c r="T69" s="341"/>
      <c r="U69" s="341"/>
      <c r="V69" s="341"/>
      <c r="W69" s="341"/>
      <c r="X69" s="341"/>
      <c r="Y69" s="341"/>
      <c r="Z69" s="341"/>
    </row>
    <row r="70" ht="15.75" customHeight="1">
      <c r="A70" s="341" t="s">
        <v>5073</v>
      </c>
      <c r="B70" s="341"/>
      <c r="C70" s="341"/>
      <c r="D70" s="341"/>
      <c r="E70" s="341"/>
      <c r="F70" s="341"/>
      <c r="G70" s="341"/>
      <c r="H70" s="341"/>
      <c r="I70" s="341"/>
      <c r="J70" s="341"/>
      <c r="K70" s="341"/>
      <c r="L70" s="341"/>
      <c r="M70" s="341"/>
      <c r="N70" s="341"/>
      <c r="O70" s="341"/>
      <c r="P70" s="341"/>
      <c r="Q70" s="341"/>
      <c r="R70" s="341"/>
      <c r="S70" s="341"/>
      <c r="T70" s="341"/>
      <c r="U70" s="341"/>
      <c r="V70" s="341"/>
      <c r="W70" s="341"/>
      <c r="X70" s="341"/>
      <c r="Y70" s="341"/>
      <c r="Z70" s="341"/>
    </row>
    <row r="71" ht="15.75" customHeight="1">
      <c r="A71" s="341" t="s">
        <v>5074</v>
      </c>
      <c r="B71" s="341"/>
      <c r="C71" s="341"/>
      <c r="D71" s="341"/>
      <c r="E71" s="341"/>
      <c r="F71" s="341"/>
      <c r="G71" s="341"/>
      <c r="H71" s="341"/>
      <c r="I71" s="341"/>
      <c r="J71" s="341"/>
      <c r="K71" s="341"/>
      <c r="L71" s="341"/>
      <c r="M71" s="341"/>
      <c r="N71" s="341"/>
      <c r="O71" s="341"/>
      <c r="P71" s="341"/>
      <c r="Q71" s="341"/>
      <c r="R71" s="341"/>
      <c r="S71" s="341"/>
      <c r="T71" s="341"/>
      <c r="U71" s="341"/>
      <c r="V71" s="341"/>
      <c r="W71" s="341"/>
      <c r="X71" s="341"/>
      <c r="Y71" s="341"/>
      <c r="Z71" s="341"/>
    </row>
    <row r="72" ht="15.75" customHeight="1">
      <c r="A72" s="341" t="s">
        <v>5075</v>
      </c>
      <c r="B72" s="341"/>
      <c r="C72" s="341"/>
      <c r="D72" s="341" t="s">
        <v>5076</v>
      </c>
      <c r="E72" s="341" t="s">
        <v>5077</v>
      </c>
      <c r="F72" s="341"/>
      <c r="G72" s="341"/>
      <c r="H72" s="341"/>
      <c r="I72" s="341"/>
      <c r="J72" s="341"/>
      <c r="K72" s="341"/>
      <c r="L72" s="341"/>
      <c r="M72" s="341"/>
      <c r="N72" s="341"/>
      <c r="O72" s="341"/>
      <c r="P72" s="341"/>
      <c r="Q72" s="341"/>
      <c r="R72" s="341"/>
      <c r="S72" s="341"/>
      <c r="T72" s="341"/>
      <c r="U72" s="341"/>
      <c r="V72" s="341"/>
      <c r="W72" s="341"/>
      <c r="X72" s="341"/>
      <c r="Y72" s="341"/>
      <c r="Z72" s="341"/>
    </row>
    <row r="73" ht="15.75" customHeight="1">
      <c r="A73" s="341" t="s">
        <v>5078</v>
      </c>
      <c r="B73" s="341"/>
      <c r="C73" s="341"/>
      <c r="D73" s="341"/>
      <c r="E73" s="341"/>
      <c r="F73" s="341"/>
      <c r="G73" s="341"/>
      <c r="H73" s="341"/>
      <c r="I73" s="341"/>
      <c r="J73" s="341"/>
      <c r="K73" s="341"/>
      <c r="L73" s="341"/>
      <c r="M73" s="341"/>
      <c r="N73" s="341"/>
      <c r="O73" s="341"/>
      <c r="P73" s="341"/>
      <c r="Q73" s="341"/>
      <c r="R73" s="341"/>
      <c r="S73" s="341"/>
      <c r="T73" s="341"/>
      <c r="U73" s="341"/>
      <c r="V73" s="341"/>
      <c r="W73" s="341"/>
      <c r="X73" s="341"/>
      <c r="Y73" s="341"/>
      <c r="Z73" s="341"/>
    </row>
    <row r="74" ht="15.75" customHeight="1">
      <c r="A74" s="341" t="s">
        <v>5079</v>
      </c>
      <c r="B74" s="341"/>
      <c r="C74" s="341"/>
      <c r="D74" s="341"/>
      <c r="E74" s="341"/>
      <c r="F74" s="341"/>
      <c r="G74" s="341"/>
      <c r="H74" s="341"/>
      <c r="I74" s="341"/>
      <c r="J74" s="341"/>
      <c r="K74" s="341"/>
      <c r="L74" s="341"/>
      <c r="M74" s="341"/>
      <c r="N74" s="341"/>
      <c r="O74" s="341"/>
      <c r="P74" s="341"/>
      <c r="Q74" s="341"/>
      <c r="R74" s="341"/>
      <c r="S74" s="341"/>
      <c r="T74" s="341"/>
      <c r="U74" s="341"/>
      <c r="V74" s="341"/>
      <c r="W74" s="341"/>
      <c r="X74" s="341"/>
      <c r="Y74" s="341"/>
      <c r="Z74" s="341"/>
    </row>
    <row r="75" ht="15.75" customHeight="1">
      <c r="A75" s="341" t="s">
        <v>5080</v>
      </c>
      <c r="B75" s="341"/>
      <c r="C75" s="341"/>
      <c r="D75" s="341"/>
      <c r="E75" s="341"/>
      <c r="F75" s="341"/>
      <c r="G75" s="341"/>
      <c r="H75" s="341"/>
      <c r="I75" s="341"/>
      <c r="J75" s="341"/>
      <c r="K75" s="341"/>
      <c r="L75" s="341"/>
      <c r="M75" s="341"/>
      <c r="N75" s="341"/>
      <c r="O75" s="341"/>
      <c r="P75" s="341"/>
      <c r="Q75" s="341"/>
      <c r="R75" s="341"/>
      <c r="S75" s="341"/>
      <c r="T75" s="341"/>
      <c r="U75" s="341"/>
      <c r="V75" s="341"/>
      <c r="W75" s="341"/>
      <c r="X75" s="341"/>
      <c r="Y75" s="341"/>
      <c r="Z75" s="341"/>
    </row>
    <row r="76" ht="15.75" customHeight="1">
      <c r="A76" s="341" t="s">
        <v>5081</v>
      </c>
      <c r="B76" s="341"/>
      <c r="C76" s="341"/>
      <c r="D76" s="341"/>
      <c r="E76" s="341"/>
      <c r="F76" s="341"/>
      <c r="G76" s="341"/>
      <c r="H76" s="341"/>
      <c r="I76" s="341"/>
      <c r="J76" s="341"/>
      <c r="K76" s="341"/>
      <c r="L76" s="341"/>
      <c r="M76" s="341"/>
      <c r="N76" s="341"/>
      <c r="O76" s="341"/>
      <c r="P76" s="341"/>
      <c r="Q76" s="341"/>
      <c r="R76" s="341"/>
      <c r="S76" s="341"/>
      <c r="T76" s="341"/>
      <c r="U76" s="341"/>
      <c r="V76" s="341"/>
      <c r="W76" s="341"/>
      <c r="X76" s="341"/>
      <c r="Y76" s="341"/>
      <c r="Z76" s="341"/>
    </row>
    <row r="77" ht="15.75" customHeight="1">
      <c r="A77" s="341" t="s">
        <v>5082</v>
      </c>
      <c r="B77" s="341"/>
      <c r="C77" s="341"/>
      <c r="D77" s="341"/>
      <c r="E77" s="341"/>
      <c r="F77" s="341"/>
      <c r="G77" s="341"/>
      <c r="H77" s="341"/>
      <c r="I77" s="341"/>
      <c r="J77" s="341"/>
      <c r="K77" s="341"/>
      <c r="L77" s="341"/>
      <c r="M77" s="341"/>
      <c r="N77" s="341"/>
      <c r="O77" s="341"/>
      <c r="P77" s="341"/>
      <c r="Q77" s="341"/>
      <c r="R77" s="341"/>
      <c r="S77" s="341"/>
      <c r="T77" s="341"/>
      <c r="U77" s="341"/>
      <c r="V77" s="341"/>
      <c r="W77" s="341"/>
      <c r="X77" s="341"/>
      <c r="Y77" s="341"/>
      <c r="Z77" s="341"/>
    </row>
    <row r="78" ht="15.75" customHeight="1">
      <c r="A78" s="341" t="s">
        <v>5083</v>
      </c>
      <c r="B78" s="341"/>
      <c r="C78" s="341"/>
      <c r="D78" s="341"/>
      <c r="E78" s="341"/>
      <c r="F78" s="341"/>
      <c r="G78" s="341"/>
      <c r="H78" s="341"/>
      <c r="I78" s="341"/>
      <c r="J78" s="341"/>
      <c r="K78" s="341"/>
      <c r="L78" s="341"/>
      <c r="M78" s="341"/>
      <c r="N78" s="341"/>
      <c r="O78" s="341"/>
      <c r="P78" s="341"/>
      <c r="Q78" s="341"/>
      <c r="R78" s="341"/>
      <c r="S78" s="341"/>
      <c r="T78" s="341"/>
      <c r="U78" s="341"/>
      <c r="V78" s="341"/>
      <c r="W78" s="341"/>
      <c r="X78" s="341"/>
      <c r="Y78" s="341"/>
      <c r="Z78" s="341"/>
    </row>
    <row r="79" ht="15.75" customHeight="1">
      <c r="A79" s="341" t="s">
        <v>5084</v>
      </c>
      <c r="B79" s="341"/>
      <c r="C79" s="341"/>
      <c r="D79" s="341"/>
      <c r="E79" s="341"/>
      <c r="F79" s="341"/>
      <c r="G79" s="341"/>
      <c r="H79" s="341"/>
      <c r="I79" s="341"/>
      <c r="J79" s="341"/>
      <c r="K79" s="341"/>
      <c r="L79" s="341"/>
      <c r="M79" s="341"/>
      <c r="N79" s="341"/>
      <c r="O79" s="341"/>
      <c r="P79" s="341"/>
      <c r="Q79" s="341"/>
      <c r="R79" s="341"/>
      <c r="S79" s="341"/>
      <c r="T79" s="341"/>
      <c r="U79" s="341"/>
      <c r="V79" s="341"/>
      <c r="W79" s="341"/>
      <c r="X79" s="341"/>
      <c r="Y79" s="341"/>
      <c r="Z79" s="341"/>
    </row>
    <row r="80" ht="15.75" customHeight="1">
      <c r="A80" s="341" t="s">
        <v>5085</v>
      </c>
      <c r="B80" s="341"/>
      <c r="C80" s="341"/>
      <c r="D80" s="341"/>
      <c r="E80" s="341"/>
      <c r="F80" s="341"/>
      <c r="G80" s="341"/>
      <c r="H80" s="341"/>
      <c r="I80" s="341"/>
      <c r="J80" s="341"/>
      <c r="K80" s="341"/>
      <c r="L80" s="341"/>
      <c r="M80" s="341"/>
      <c r="N80" s="341"/>
      <c r="O80" s="341"/>
      <c r="P80" s="341"/>
      <c r="Q80" s="341"/>
      <c r="R80" s="341"/>
      <c r="S80" s="341"/>
      <c r="T80" s="341"/>
      <c r="U80" s="341"/>
      <c r="V80" s="341"/>
      <c r="W80" s="341"/>
      <c r="X80" s="341"/>
      <c r="Y80" s="341"/>
      <c r="Z80" s="341"/>
    </row>
    <row r="81" ht="15.75" customHeight="1">
      <c r="A81" s="341" t="s">
        <v>5086</v>
      </c>
      <c r="B81" s="341"/>
      <c r="C81" s="341"/>
      <c r="D81" s="341" t="s">
        <v>5087</v>
      </c>
      <c r="E81" s="341" t="s">
        <v>5088</v>
      </c>
      <c r="F81" s="341"/>
      <c r="G81" s="341"/>
      <c r="H81" s="341"/>
      <c r="I81" s="341"/>
      <c r="J81" s="341"/>
      <c r="K81" s="341"/>
      <c r="L81" s="341"/>
      <c r="M81" s="341"/>
      <c r="N81" s="341"/>
      <c r="O81" s="341"/>
      <c r="P81" s="341"/>
      <c r="Q81" s="341"/>
      <c r="R81" s="341"/>
      <c r="S81" s="341"/>
      <c r="T81" s="341"/>
      <c r="U81" s="341"/>
      <c r="V81" s="341"/>
      <c r="W81" s="341"/>
      <c r="X81" s="341"/>
      <c r="Y81" s="341"/>
      <c r="Z81" s="341"/>
    </row>
    <row r="82" ht="15.75" customHeight="1">
      <c r="A82" s="341" t="s">
        <v>5089</v>
      </c>
      <c r="B82" s="341"/>
      <c r="C82" s="341"/>
      <c r="D82" s="341"/>
      <c r="E82" s="341"/>
      <c r="F82" s="341"/>
      <c r="G82" s="341"/>
      <c r="H82" s="341"/>
      <c r="I82" s="341"/>
      <c r="J82" s="341"/>
      <c r="K82" s="341"/>
      <c r="L82" s="341"/>
      <c r="M82" s="341"/>
      <c r="N82" s="341"/>
      <c r="O82" s="341"/>
      <c r="P82" s="341"/>
      <c r="Q82" s="341"/>
      <c r="R82" s="341"/>
      <c r="S82" s="341"/>
      <c r="T82" s="341"/>
      <c r="U82" s="341"/>
      <c r="V82" s="341"/>
      <c r="W82" s="341"/>
      <c r="X82" s="341"/>
      <c r="Y82" s="341"/>
      <c r="Z82" s="341"/>
    </row>
    <row r="83" ht="15.75" customHeight="1">
      <c r="A83" s="341" t="s">
        <v>5090</v>
      </c>
      <c r="B83" s="341"/>
      <c r="C83" s="341"/>
      <c r="D83" s="341"/>
      <c r="E83" s="341"/>
      <c r="F83" s="341"/>
      <c r="G83" s="341"/>
      <c r="H83" s="341"/>
      <c r="I83" s="341"/>
      <c r="J83" s="341"/>
      <c r="K83" s="341"/>
      <c r="L83" s="341"/>
      <c r="M83" s="341"/>
      <c r="N83" s="341"/>
      <c r="O83" s="341"/>
      <c r="P83" s="341"/>
      <c r="Q83" s="341"/>
      <c r="R83" s="341"/>
      <c r="S83" s="341"/>
      <c r="T83" s="341"/>
      <c r="U83" s="341"/>
      <c r="V83" s="341"/>
      <c r="W83" s="341"/>
      <c r="X83" s="341"/>
      <c r="Y83" s="341"/>
      <c r="Z83" s="341"/>
    </row>
    <row r="84" ht="15.75" customHeight="1">
      <c r="A84" s="341" t="s">
        <v>5091</v>
      </c>
      <c r="B84" s="341"/>
      <c r="C84" s="341"/>
      <c r="D84" s="341"/>
      <c r="E84" s="341"/>
      <c r="F84" s="341"/>
      <c r="G84" s="341"/>
      <c r="H84" s="341"/>
      <c r="I84" s="341"/>
      <c r="J84" s="341"/>
      <c r="K84" s="341"/>
      <c r="L84" s="341"/>
      <c r="M84" s="341"/>
      <c r="N84" s="341"/>
      <c r="O84" s="341"/>
      <c r="P84" s="341"/>
      <c r="Q84" s="341"/>
      <c r="R84" s="341"/>
      <c r="S84" s="341"/>
      <c r="T84" s="341"/>
      <c r="U84" s="341"/>
      <c r="V84" s="341"/>
      <c r="W84" s="341"/>
      <c r="X84" s="341"/>
      <c r="Y84" s="341"/>
      <c r="Z84" s="341"/>
    </row>
    <row r="85" ht="15.75" customHeight="1">
      <c r="A85" s="341" t="s">
        <v>5092</v>
      </c>
      <c r="B85" s="341"/>
      <c r="C85" s="341"/>
      <c r="D85" s="341"/>
      <c r="E85" s="341"/>
      <c r="F85" s="341"/>
      <c r="G85" s="341"/>
      <c r="H85" s="341"/>
      <c r="I85" s="341"/>
      <c r="J85" s="341"/>
      <c r="K85" s="341"/>
      <c r="L85" s="341"/>
      <c r="M85" s="341"/>
      <c r="N85" s="341"/>
      <c r="O85" s="341"/>
      <c r="P85" s="341"/>
      <c r="Q85" s="341"/>
      <c r="R85" s="341"/>
      <c r="S85" s="341"/>
      <c r="T85" s="341"/>
      <c r="U85" s="341"/>
      <c r="V85" s="341"/>
      <c r="W85" s="341"/>
      <c r="X85" s="341"/>
      <c r="Y85" s="341"/>
      <c r="Z85" s="341"/>
    </row>
    <row r="86" ht="15.75" customHeight="1">
      <c r="A86" s="341" t="s">
        <v>5093</v>
      </c>
      <c r="B86" s="341"/>
      <c r="C86" s="341"/>
      <c r="D86" s="341"/>
      <c r="E86" s="341"/>
      <c r="F86" s="341"/>
      <c r="G86" s="341"/>
      <c r="H86" s="341"/>
      <c r="I86" s="341"/>
      <c r="J86" s="341"/>
      <c r="K86" s="341"/>
      <c r="L86" s="341"/>
      <c r="M86" s="341"/>
      <c r="N86" s="341"/>
      <c r="O86" s="341"/>
      <c r="P86" s="341"/>
      <c r="Q86" s="341"/>
      <c r="R86" s="341"/>
      <c r="S86" s="341"/>
      <c r="T86" s="341"/>
      <c r="U86" s="341"/>
      <c r="V86" s="341"/>
      <c r="W86" s="341"/>
      <c r="X86" s="341"/>
      <c r="Y86" s="341"/>
      <c r="Z86" s="341"/>
    </row>
    <row r="87" ht="15.75" customHeight="1">
      <c r="A87" s="341" t="s">
        <v>5094</v>
      </c>
      <c r="B87" s="341"/>
      <c r="C87" s="341"/>
      <c r="D87" s="341"/>
      <c r="E87" s="341"/>
      <c r="F87" s="341"/>
      <c r="G87" s="341"/>
      <c r="H87" s="341"/>
      <c r="I87" s="341"/>
      <c r="J87" s="341"/>
      <c r="K87" s="341"/>
      <c r="L87" s="341"/>
      <c r="M87" s="341"/>
      <c r="N87" s="341"/>
      <c r="O87" s="341"/>
      <c r="P87" s="341"/>
      <c r="Q87" s="341"/>
      <c r="R87" s="341"/>
      <c r="S87" s="341"/>
      <c r="T87" s="341"/>
      <c r="U87" s="341"/>
      <c r="V87" s="341"/>
      <c r="W87" s="341"/>
      <c r="X87" s="341"/>
      <c r="Y87" s="341"/>
      <c r="Z87" s="341"/>
    </row>
    <row r="88" ht="15.75" customHeight="1">
      <c r="A88" s="341" t="s">
        <v>5095</v>
      </c>
      <c r="B88" s="341"/>
      <c r="C88" s="341"/>
      <c r="D88" s="341"/>
      <c r="E88" s="341"/>
      <c r="F88" s="341"/>
      <c r="G88" s="341"/>
      <c r="H88" s="341"/>
      <c r="I88" s="341"/>
      <c r="J88" s="341"/>
      <c r="K88" s="341"/>
      <c r="L88" s="341"/>
      <c r="M88" s="341"/>
      <c r="N88" s="341"/>
      <c r="O88" s="341"/>
      <c r="P88" s="341"/>
      <c r="Q88" s="341"/>
      <c r="R88" s="341"/>
      <c r="S88" s="341"/>
      <c r="T88" s="341"/>
      <c r="U88" s="341"/>
      <c r="V88" s="341"/>
      <c r="W88" s="341"/>
      <c r="X88" s="341"/>
      <c r="Y88" s="341"/>
      <c r="Z88" s="341"/>
    </row>
    <row r="89" ht="15.75" customHeight="1">
      <c r="A89" s="341" t="s">
        <v>5096</v>
      </c>
      <c r="B89" s="341"/>
      <c r="C89" s="341"/>
      <c r="D89" s="341"/>
      <c r="E89" s="341"/>
      <c r="F89" s="341"/>
      <c r="G89" s="341"/>
      <c r="H89" s="341"/>
      <c r="I89" s="341"/>
      <c r="J89" s="341"/>
      <c r="K89" s="341"/>
      <c r="L89" s="341"/>
      <c r="M89" s="341"/>
      <c r="N89" s="341"/>
      <c r="O89" s="341"/>
      <c r="P89" s="341"/>
      <c r="Q89" s="341"/>
      <c r="R89" s="341"/>
      <c r="S89" s="341"/>
      <c r="T89" s="341"/>
      <c r="U89" s="341"/>
      <c r="V89" s="341"/>
      <c r="W89" s="341"/>
      <c r="X89" s="341"/>
      <c r="Y89" s="341"/>
      <c r="Z89" s="341"/>
    </row>
    <row r="90" ht="15.75" customHeight="1">
      <c r="A90" s="341" t="s">
        <v>5097</v>
      </c>
      <c r="B90" s="341"/>
      <c r="C90" s="341"/>
      <c r="D90" s="341"/>
      <c r="E90" s="341"/>
      <c r="F90" s="341"/>
      <c r="G90" s="341"/>
      <c r="H90" s="341"/>
      <c r="I90" s="341"/>
      <c r="J90" s="341"/>
      <c r="K90" s="341"/>
      <c r="L90" s="341"/>
      <c r="M90" s="341"/>
      <c r="N90" s="341"/>
      <c r="O90" s="341"/>
      <c r="P90" s="341"/>
      <c r="Q90" s="341"/>
      <c r="R90" s="341"/>
      <c r="S90" s="341"/>
      <c r="T90" s="341"/>
      <c r="U90" s="341"/>
      <c r="V90" s="341"/>
      <c r="W90" s="341"/>
      <c r="X90" s="341"/>
      <c r="Y90" s="341"/>
      <c r="Z90" s="341"/>
    </row>
    <row r="91" ht="15.75" customHeight="1">
      <c r="A91" s="341" t="s">
        <v>5098</v>
      </c>
      <c r="B91" s="341"/>
      <c r="C91" s="341"/>
      <c r="D91" s="341"/>
      <c r="E91" s="341"/>
      <c r="F91" s="341"/>
      <c r="G91" s="341"/>
      <c r="H91" s="341"/>
      <c r="I91" s="341"/>
      <c r="J91" s="341"/>
      <c r="K91" s="341"/>
      <c r="L91" s="341"/>
      <c r="M91" s="341"/>
      <c r="N91" s="341"/>
      <c r="O91" s="341"/>
      <c r="P91" s="341"/>
      <c r="Q91" s="341"/>
      <c r="R91" s="341"/>
      <c r="S91" s="341"/>
      <c r="T91" s="341"/>
      <c r="U91" s="341"/>
      <c r="V91" s="341"/>
      <c r="W91" s="341"/>
      <c r="X91" s="341"/>
      <c r="Y91" s="341"/>
      <c r="Z91" s="341"/>
    </row>
    <row r="92" ht="15.75" customHeight="1">
      <c r="A92" s="341" t="s">
        <v>5099</v>
      </c>
      <c r="B92" s="341"/>
      <c r="C92" s="341"/>
      <c r="D92" s="341"/>
      <c r="E92" s="341"/>
      <c r="F92" s="341"/>
      <c r="G92" s="341"/>
      <c r="H92" s="341"/>
      <c r="I92" s="341"/>
      <c r="J92" s="341"/>
      <c r="K92" s="341"/>
      <c r="L92" s="341"/>
      <c r="M92" s="341"/>
      <c r="N92" s="341"/>
      <c r="O92" s="341"/>
      <c r="P92" s="341"/>
      <c r="Q92" s="341"/>
      <c r="R92" s="341"/>
      <c r="S92" s="341"/>
      <c r="T92" s="341"/>
      <c r="U92" s="341"/>
      <c r="V92" s="341"/>
      <c r="W92" s="341"/>
      <c r="X92" s="341"/>
      <c r="Y92" s="341"/>
      <c r="Z92" s="341"/>
    </row>
    <row r="93" ht="15.75" customHeight="1">
      <c r="A93" s="341" t="s">
        <v>5100</v>
      </c>
      <c r="B93" s="341"/>
      <c r="C93" s="341"/>
      <c r="D93" s="341"/>
      <c r="E93" s="341"/>
      <c r="F93" s="341"/>
      <c r="G93" s="341"/>
      <c r="H93" s="341"/>
      <c r="I93" s="341"/>
      <c r="J93" s="341"/>
      <c r="K93" s="341"/>
      <c r="L93" s="341"/>
      <c r="M93" s="341"/>
      <c r="N93" s="341"/>
      <c r="O93" s="341"/>
      <c r="P93" s="341"/>
      <c r="Q93" s="341"/>
      <c r="R93" s="341"/>
      <c r="S93" s="341"/>
      <c r="T93" s="341"/>
      <c r="U93" s="341"/>
      <c r="V93" s="341"/>
      <c r="W93" s="341"/>
      <c r="X93" s="341"/>
      <c r="Y93" s="341"/>
      <c r="Z93" s="341"/>
    </row>
    <row r="94" ht="15.75" customHeight="1">
      <c r="A94" s="341" t="s">
        <v>5101</v>
      </c>
      <c r="B94" s="341"/>
      <c r="C94" s="341"/>
      <c r="D94" s="341"/>
      <c r="E94" s="341"/>
      <c r="F94" s="341"/>
      <c r="G94" s="341"/>
      <c r="H94" s="341"/>
      <c r="I94" s="341"/>
      <c r="J94" s="341"/>
      <c r="K94" s="341"/>
      <c r="L94" s="341"/>
      <c r="M94" s="341"/>
      <c r="N94" s="341"/>
      <c r="O94" s="341"/>
      <c r="P94" s="341"/>
      <c r="Q94" s="341"/>
      <c r="R94" s="341"/>
      <c r="S94" s="341"/>
      <c r="T94" s="341"/>
      <c r="U94" s="341"/>
      <c r="V94" s="341"/>
      <c r="W94" s="341"/>
      <c r="X94" s="341"/>
      <c r="Y94" s="341"/>
      <c r="Z94" s="341"/>
    </row>
    <row r="95" ht="15.75" customHeight="1">
      <c r="A95" s="341" t="s">
        <v>5102</v>
      </c>
      <c r="B95" s="341"/>
      <c r="C95" s="341"/>
      <c r="D95" s="341"/>
      <c r="E95" s="341"/>
      <c r="F95" s="341"/>
      <c r="G95" s="341"/>
      <c r="H95" s="341"/>
      <c r="I95" s="341"/>
      <c r="J95" s="341"/>
      <c r="K95" s="341"/>
      <c r="L95" s="341"/>
      <c r="M95" s="341"/>
      <c r="N95" s="341"/>
      <c r="O95" s="341"/>
      <c r="P95" s="341"/>
      <c r="Q95" s="341"/>
      <c r="R95" s="341"/>
      <c r="S95" s="341"/>
      <c r="T95" s="341"/>
      <c r="U95" s="341"/>
      <c r="V95" s="341"/>
      <c r="W95" s="341"/>
      <c r="X95" s="341"/>
      <c r="Y95" s="341"/>
      <c r="Z95" s="341"/>
    </row>
    <row r="96" ht="15.75" customHeight="1">
      <c r="A96" s="341" t="s">
        <v>4234</v>
      </c>
      <c r="B96" s="341" t="s">
        <v>5103</v>
      </c>
      <c r="C96" s="341"/>
      <c r="D96" s="341" t="s">
        <v>5104</v>
      </c>
      <c r="E96" s="341" t="s">
        <v>5105</v>
      </c>
      <c r="F96" s="341"/>
      <c r="G96" s="341"/>
      <c r="H96" s="341"/>
      <c r="I96" s="341"/>
      <c r="J96" s="341"/>
      <c r="K96" s="341"/>
      <c r="L96" s="341"/>
      <c r="M96" s="341"/>
      <c r="N96" s="341"/>
      <c r="O96" s="341"/>
      <c r="P96" s="341"/>
      <c r="Q96" s="341"/>
      <c r="R96" s="341"/>
      <c r="S96" s="341"/>
      <c r="T96" s="341"/>
      <c r="U96" s="341"/>
      <c r="V96" s="341"/>
      <c r="W96" s="341"/>
      <c r="X96" s="341"/>
      <c r="Y96" s="341"/>
      <c r="Z96" s="341"/>
    </row>
    <row r="97" ht="15.75" customHeight="1">
      <c r="A97" s="341" t="s">
        <v>5106</v>
      </c>
      <c r="B97" s="341" t="s">
        <v>5103</v>
      </c>
      <c r="C97" s="341"/>
      <c r="D97" s="341" t="s">
        <v>5107</v>
      </c>
      <c r="E97" s="341" t="s">
        <v>5108</v>
      </c>
      <c r="F97" s="341"/>
      <c r="G97" s="341"/>
      <c r="H97" s="341"/>
      <c r="I97" s="341"/>
      <c r="J97" s="341"/>
      <c r="K97" s="341"/>
      <c r="L97" s="341"/>
      <c r="M97" s="341"/>
      <c r="N97" s="341"/>
      <c r="O97" s="341"/>
      <c r="P97" s="341"/>
      <c r="Q97" s="341"/>
      <c r="R97" s="341"/>
      <c r="S97" s="341"/>
      <c r="T97" s="341"/>
      <c r="U97" s="341"/>
      <c r="V97" s="341"/>
      <c r="W97" s="341"/>
      <c r="X97" s="341"/>
      <c r="Y97" s="341"/>
      <c r="Z97" s="341"/>
    </row>
    <row r="98" ht="15.75" customHeight="1">
      <c r="A98" s="341" t="s">
        <v>5109</v>
      </c>
      <c r="B98" s="341" t="s">
        <v>5103</v>
      </c>
      <c r="C98" s="341"/>
      <c r="D98" s="341" t="s">
        <v>5110</v>
      </c>
      <c r="E98" s="341" t="s">
        <v>5111</v>
      </c>
      <c r="F98" s="341"/>
      <c r="G98" s="341"/>
      <c r="H98" s="341"/>
      <c r="I98" s="341"/>
      <c r="J98" s="341"/>
      <c r="K98" s="341"/>
      <c r="L98" s="341"/>
      <c r="M98" s="341"/>
      <c r="N98" s="341"/>
      <c r="O98" s="341"/>
      <c r="P98" s="341"/>
      <c r="Q98" s="341"/>
      <c r="R98" s="341"/>
      <c r="S98" s="341"/>
      <c r="T98" s="341"/>
      <c r="U98" s="341"/>
      <c r="V98" s="341"/>
      <c r="W98" s="341"/>
      <c r="X98" s="341"/>
      <c r="Y98" s="341"/>
      <c r="Z98" s="341"/>
    </row>
    <row r="99" ht="15.75" customHeight="1">
      <c r="A99" s="341" t="s">
        <v>5112</v>
      </c>
      <c r="B99" s="341" t="s">
        <v>5103</v>
      </c>
      <c r="C99" s="341"/>
      <c r="D99" s="341" t="s">
        <v>5113</v>
      </c>
      <c r="E99" s="341" t="s">
        <v>5114</v>
      </c>
      <c r="F99" s="341"/>
      <c r="G99" s="341"/>
      <c r="H99" s="341"/>
      <c r="I99" s="341"/>
      <c r="J99" s="341"/>
      <c r="K99" s="341"/>
      <c r="L99" s="341"/>
      <c r="M99" s="341"/>
      <c r="N99" s="341"/>
      <c r="O99" s="341"/>
      <c r="P99" s="341"/>
      <c r="Q99" s="341"/>
      <c r="R99" s="341"/>
      <c r="S99" s="341"/>
      <c r="T99" s="341"/>
      <c r="U99" s="341"/>
      <c r="V99" s="341"/>
      <c r="W99" s="341"/>
      <c r="X99" s="341"/>
      <c r="Y99" s="341"/>
      <c r="Z99" s="341"/>
    </row>
    <row r="100" ht="15.75" customHeight="1">
      <c r="A100" s="341" t="s">
        <v>5115</v>
      </c>
      <c r="B100" s="341" t="s">
        <v>5103</v>
      </c>
      <c r="C100" s="341"/>
      <c r="D100" s="341" t="s">
        <v>5116</v>
      </c>
      <c r="E100" s="341" t="s">
        <v>5117</v>
      </c>
      <c r="F100" s="341"/>
      <c r="G100" s="341"/>
      <c r="H100" s="341"/>
      <c r="I100" s="341"/>
      <c r="J100" s="341"/>
      <c r="K100" s="341"/>
      <c r="L100" s="341"/>
      <c r="M100" s="341"/>
      <c r="N100" s="341"/>
      <c r="O100" s="341"/>
      <c r="P100" s="341"/>
      <c r="Q100" s="341"/>
      <c r="R100" s="341"/>
      <c r="S100" s="341"/>
      <c r="T100" s="341"/>
      <c r="U100" s="341"/>
      <c r="V100" s="341"/>
      <c r="W100" s="341"/>
      <c r="X100" s="341"/>
      <c r="Y100" s="341"/>
      <c r="Z100" s="341"/>
    </row>
    <row r="101" ht="15.75" customHeight="1">
      <c r="A101" s="341" t="s">
        <v>5118</v>
      </c>
      <c r="B101" s="341" t="s">
        <v>5119</v>
      </c>
      <c r="C101" s="341"/>
      <c r="D101" s="341" t="s">
        <v>5120</v>
      </c>
      <c r="E101" s="341" t="s">
        <v>5121</v>
      </c>
      <c r="F101" s="341"/>
      <c r="G101" s="341"/>
      <c r="H101" s="341"/>
      <c r="I101" s="341"/>
      <c r="J101" s="341"/>
      <c r="K101" s="341"/>
      <c r="L101" s="341"/>
      <c r="M101" s="341"/>
      <c r="N101" s="341"/>
      <c r="O101" s="341"/>
      <c r="P101" s="341"/>
      <c r="Q101" s="341"/>
      <c r="R101" s="341"/>
      <c r="S101" s="341"/>
      <c r="T101" s="341"/>
      <c r="U101" s="341"/>
      <c r="V101" s="341"/>
      <c r="W101" s="341"/>
      <c r="X101" s="341"/>
      <c r="Y101" s="341"/>
      <c r="Z101" s="341"/>
    </row>
    <row r="102" ht="15.75" customHeight="1">
      <c r="A102" s="341" t="s">
        <v>5122</v>
      </c>
      <c r="B102" s="341" t="s">
        <v>5119</v>
      </c>
      <c r="C102" s="341"/>
      <c r="D102" s="341" t="s">
        <v>5123</v>
      </c>
      <c r="E102" s="341" t="s">
        <v>4124</v>
      </c>
      <c r="F102" s="341"/>
      <c r="G102" s="341"/>
      <c r="H102" s="341"/>
      <c r="I102" s="341"/>
      <c r="J102" s="341"/>
      <c r="K102" s="341"/>
      <c r="L102" s="341"/>
      <c r="M102" s="341"/>
      <c r="N102" s="341"/>
      <c r="O102" s="341"/>
      <c r="P102" s="341"/>
      <c r="Q102" s="341"/>
      <c r="R102" s="341"/>
      <c r="S102" s="341"/>
      <c r="T102" s="341"/>
      <c r="U102" s="341"/>
      <c r="V102" s="341"/>
      <c r="W102" s="341"/>
      <c r="X102" s="341"/>
      <c r="Y102" s="341"/>
      <c r="Z102" s="341"/>
    </row>
    <row r="103" ht="15.75" customHeight="1">
      <c r="A103" s="181" t="s">
        <v>5124</v>
      </c>
      <c r="B103" s="341" t="s">
        <v>5119</v>
      </c>
      <c r="C103" s="341"/>
      <c r="D103" s="341" t="s">
        <v>5125</v>
      </c>
      <c r="E103" s="341" t="s">
        <v>5126</v>
      </c>
      <c r="F103" s="341"/>
      <c r="G103" s="341"/>
      <c r="H103" s="341"/>
      <c r="I103" s="341"/>
      <c r="J103" s="341"/>
      <c r="K103" s="341"/>
      <c r="L103" s="341"/>
      <c r="M103" s="341"/>
      <c r="N103" s="341"/>
      <c r="O103" s="341"/>
      <c r="P103" s="341"/>
      <c r="Q103" s="341"/>
      <c r="R103" s="341"/>
      <c r="S103" s="341"/>
      <c r="T103" s="341"/>
      <c r="U103" s="341"/>
      <c r="V103" s="341"/>
      <c r="W103" s="341"/>
      <c r="X103" s="341"/>
      <c r="Y103" s="341"/>
      <c r="Z103" s="341"/>
    </row>
    <row r="104" ht="15.75" customHeight="1">
      <c r="A104" s="341" t="s">
        <v>5127</v>
      </c>
      <c r="B104" s="341" t="s">
        <v>5119</v>
      </c>
      <c r="C104" s="341"/>
      <c r="D104" s="341" t="s">
        <v>5128</v>
      </c>
      <c r="E104" s="341" t="s">
        <v>5129</v>
      </c>
      <c r="F104" s="341"/>
      <c r="G104" s="341"/>
      <c r="H104" s="341"/>
      <c r="I104" s="341"/>
      <c r="J104" s="341"/>
      <c r="K104" s="341"/>
      <c r="L104" s="341"/>
      <c r="M104" s="341"/>
      <c r="N104" s="341"/>
      <c r="O104" s="341"/>
      <c r="P104" s="341"/>
      <c r="Q104" s="341"/>
      <c r="R104" s="341"/>
      <c r="S104" s="341"/>
      <c r="T104" s="341"/>
      <c r="U104" s="341"/>
      <c r="V104" s="341"/>
      <c r="W104" s="341"/>
      <c r="X104" s="341"/>
      <c r="Y104" s="341"/>
      <c r="Z104" s="341"/>
    </row>
    <row r="105" ht="15.75" customHeight="1">
      <c r="A105" s="341" t="s">
        <v>5130</v>
      </c>
      <c r="B105" s="341" t="s">
        <v>5103</v>
      </c>
      <c r="C105" s="341"/>
      <c r="D105" s="341" t="s">
        <v>5131</v>
      </c>
      <c r="E105" s="341" t="s">
        <v>5132</v>
      </c>
      <c r="F105" s="341"/>
      <c r="G105" s="341"/>
      <c r="H105" s="341"/>
      <c r="I105" s="341"/>
      <c r="J105" s="341"/>
      <c r="K105" s="341"/>
      <c r="L105" s="341"/>
      <c r="M105" s="341"/>
      <c r="N105" s="341"/>
      <c r="O105" s="341"/>
      <c r="P105" s="341"/>
      <c r="Q105" s="341"/>
      <c r="R105" s="341"/>
      <c r="S105" s="341"/>
      <c r="T105" s="341"/>
      <c r="U105" s="341"/>
      <c r="V105" s="341"/>
      <c r="W105" s="341"/>
      <c r="X105" s="341"/>
      <c r="Y105" s="341"/>
      <c r="Z105" s="341"/>
    </row>
    <row r="106" ht="15.75" customHeight="1">
      <c r="A106" s="341" t="s">
        <v>5133</v>
      </c>
      <c r="B106" s="341" t="s">
        <v>5103</v>
      </c>
      <c r="C106" s="341"/>
      <c r="D106" s="341" t="s">
        <v>5134</v>
      </c>
      <c r="E106" s="341" t="s">
        <v>5135</v>
      </c>
      <c r="F106" s="341"/>
      <c r="G106" s="341"/>
      <c r="H106" s="341"/>
      <c r="I106" s="341"/>
      <c r="J106" s="341"/>
      <c r="K106" s="341"/>
      <c r="L106" s="341"/>
      <c r="M106" s="341"/>
      <c r="N106" s="341"/>
      <c r="O106" s="341"/>
      <c r="P106" s="341"/>
      <c r="Q106" s="341"/>
      <c r="R106" s="341"/>
      <c r="S106" s="341"/>
      <c r="T106" s="341"/>
      <c r="U106" s="341"/>
      <c r="V106" s="341"/>
      <c r="W106" s="341"/>
      <c r="X106" s="341"/>
      <c r="Y106" s="341"/>
      <c r="Z106" s="341"/>
    </row>
    <row r="107" ht="15.75" customHeight="1">
      <c r="A107" s="341" t="s">
        <v>5136</v>
      </c>
      <c r="B107" s="341" t="s">
        <v>5103</v>
      </c>
      <c r="C107" s="341"/>
      <c r="D107" s="341" t="s">
        <v>5137</v>
      </c>
      <c r="E107" s="341" t="s">
        <v>5138</v>
      </c>
      <c r="F107" s="341"/>
      <c r="G107" s="341"/>
      <c r="H107" s="341"/>
      <c r="I107" s="341"/>
      <c r="J107" s="341"/>
      <c r="K107" s="341"/>
      <c r="L107" s="341"/>
      <c r="M107" s="341"/>
      <c r="N107" s="341"/>
      <c r="O107" s="341"/>
      <c r="P107" s="341"/>
      <c r="Q107" s="341"/>
      <c r="R107" s="341"/>
      <c r="S107" s="341"/>
      <c r="T107" s="341"/>
      <c r="U107" s="341"/>
      <c r="V107" s="341"/>
      <c r="W107" s="341"/>
      <c r="X107" s="341"/>
      <c r="Y107" s="341"/>
      <c r="Z107" s="341"/>
    </row>
    <row r="108" ht="15.75" customHeight="1">
      <c r="A108" s="341" t="s">
        <v>4125</v>
      </c>
      <c r="B108" s="341" t="s">
        <v>5103</v>
      </c>
      <c r="C108" s="341"/>
      <c r="D108" s="341" t="s">
        <v>5139</v>
      </c>
      <c r="E108" s="341" t="s">
        <v>5140</v>
      </c>
      <c r="F108" s="341"/>
      <c r="G108" s="341"/>
      <c r="H108" s="341"/>
      <c r="I108" s="341"/>
      <c r="J108" s="341"/>
      <c r="K108" s="341"/>
      <c r="L108" s="341"/>
      <c r="M108" s="341"/>
      <c r="N108" s="341"/>
      <c r="O108" s="341"/>
      <c r="P108" s="341"/>
      <c r="Q108" s="341"/>
      <c r="R108" s="341"/>
      <c r="S108" s="341"/>
      <c r="T108" s="341"/>
      <c r="U108" s="341"/>
      <c r="V108" s="341"/>
      <c r="W108" s="341"/>
      <c r="X108" s="341"/>
      <c r="Y108" s="341"/>
      <c r="Z108" s="341"/>
    </row>
    <row r="109" ht="15.75" customHeight="1">
      <c r="A109" s="341" t="s">
        <v>5141</v>
      </c>
      <c r="B109" s="341" t="s">
        <v>5103</v>
      </c>
      <c r="C109" s="341"/>
      <c r="D109" s="341" t="s">
        <v>5142</v>
      </c>
      <c r="E109" s="341" t="s">
        <v>5143</v>
      </c>
      <c r="F109" s="341"/>
      <c r="G109" s="341"/>
      <c r="H109" s="341"/>
      <c r="I109" s="341"/>
      <c r="J109" s="341"/>
      <c r="K109" s="341"/>
      <c r="L109" s="341"/>
      <c r="M109" s="341"/>
      <c r="N109" s="341"/>
      <c r="O109" s="341"/>
      <c r="P109" s="341"/>
      <c r="Q109" s="341"/>
      <c r="R109" s="341"/>
      <c r="S109" s="341"/>
      <c r="T109" s="341"/>
      <c r="U109" s="341"/>
      <c r="V109" s="341"/>
      <c r="W109" s="341"/>
      <c r="X109" s="341"/>
      <c r="Y109" s="341"/>
      <c r="Z109" s="341"/>
    </row>
    <row r="110" ht="15.75" customHeight="1">
      <c r="A110" s="341" t="s">
        <v>5144</v>
      </c>
      <c r="B110" s="341" t="s">
        <v>5103</v>
      </c>
      <c r="C110" s="341"/>
      <c r="D110" s="181" t="s">
        <v>5145</v>
      </c>
      <c r="E110" s="181" t="s">
        <v>5146</v>
      </c>
      <c r="F110" s="341"/>
      <c r="G110" s="341"/>
      <c r="H110" s="341"/>
      <c r="I110" s="341"/>
      <c r="J110" s="341"/>
      <c r="K110" s="341"/>
      <c r="L110" s="341"/>
      <c r="M110" s="341"/>
      <c r="N110" s="341"/>
      <c r="O110" s="341"/>
      <c r="P110" s="341"/>
      <c r="Q110" s="341"/>
      <c r="R110" s="341"/>
      <c r="S110" s="341"/>
      <c r="T110" s="341"/>
      <c r="U110" s="341"/>
      <c r="V110" s="341"/>
      <c r="W110" s="341"/>
      <c r="X110" s="341"/>
      <c r="Y110" s="341"/>
      <c r="Z110" s="341"/>
    </row>
    <row r="111" ht="15.75" customHeight="1">
      <c r="A111" s="341" t="s">
        <v>5147</v>
      </c>
      <c r="B111" s="341" t="s">
        <v>5103</v>
      </c>
      <c r="C111" s="341"/>
      <c r="D111" s="341" t="s">
        <v>5148</v>
      </c>
      <c r="E111" s="341" t="s">
        <v>5149</v>
      </c>
      <c r="F111" s="341"/>
      <c r="G111" s="341"/>
      <c r="H111" s="341"/>
      <c r="I111" s="341"/>
      <c r="J111" s="341"/>
      <c r="K111" s="341"/>
      <c r="L111" s="341"/>
      <c r="M111" s="341"/>
      <c r="N111" s="341"/>
      <c r="O111" s="341"/>
      <c r="P111" s="341"/>
      <c r="Q111" s="341"/>
      <c r="R111" s="341"/>
      <c r="S111" s="341"/>
      <c r="T111" s="341"/>
      <c r="U111" s="341"/>
      <c r="V111" s="341"/>
      <c r="W111" s="341"/>
      <c r="X111" s="341"/>
      <c r="Y111" s="341"/>
      <c r="Z111" s="341"/>
    </row>
    <row r="112" ht="15.75" customHeight="1">
      <c r="A112" s="341" t="s">
        <v>5150</v>
      </c>
      <c r="B112" s="341" t="s">
        <v>5151</v>
      </c>
      <c r="C112" s="341"/>
      <c r="D112" s="181"/>
      <c r="E112" s="181" t="s">
        <v>5152</v>
      </c>
      <c r="F112" s="341"/>
      <c r="G112" s="341"/>
      <c r="H112" s="341"/>
      <c r="I112" s="341"/>
      <c r="J112" s="341"/>
      <c r="K112" s="341"/>
      <c r="L112" s="341"/>
      <c r="M112" s="341"/>
      <c r="N112" s="341"/>
      <c r="O112" s="341"/>
      <c r="P112" s="341"/>
      <c r="Q112" s="341"/>
      <c r="R112" s="341"/>
      <c r="S112" s="341"/>
      <c r="T112" s="341"/>
      <c r="U112" s="341"/>
      <c r="V112" s="341"/>
      <c r="W112" s="341"/>
      <c r="X112" s="341"/>
      <c r="Y112" s="341"/>
      <c r="Z112" s="341"/>
    </row>
    <row r="113" ht="15.75" customHeight="1">
      <c r="A113" s="341" t="s">
        <v>5153</v>
      </c>
      <c r="B113" s="341" t="s">
        <v>5154</v>
      </c>
      <c r="C113" s="341"/>
      <c r="D113" s="341"/>
      <c r="E113" s="341" t="s">
        <v>5155</v>
      </c>
      <c r="F113" s="341"/>
      <c r="G113" s="341"/>
      <c r="H113" s="341"/>
      <c r="I113" s="341"/>
      <c r="J113" s="341"/>
      <c r="K113" s="341"/>
      <c r="L113" s="341"/>
      <c r="M113" s="341"/>
      <c r="N113" s="341"/>
      <c r="O113" s="341"/>
      <c r="P113" s="341"/>
      <c r="Q113" s="341"/>
      <c r="R113" s="341"/>
      <c r="S113" s="341"/>
      <c r="T113" s="341"/>
      <c r="U113" s="341"/>
      <c r="V113" s="341"/>
      <c r="W113" s="341"/>
      <c r="X113" s="341"/>
      <c r="Y113" s="341"/>
      <c r="Z113" s="341"/>
    </row>
    <row r="114" ht="15.75" customHeight="1">
      <c r="A114" s="341" t="s">
        <v>5156</v>
      </c>
      <c r="B114" s="341" t="s">
        <v>5154</v>
      </c>
      <c r="C114" s="341"/>
      <c r="D114" s="341"/>
      <c r="E114" s="341" t="s">
        <v>5157</v>
      </c>
      <c r="F114" s="341"/>
      <c r="G114" s="341"/>
      <c r="H114" s="341"/>
      <c r="I114" s="341"/>
      <c r="J114" s="341"/>
      <c r="K114" s="341"/>
      <c r="L114" s="341"/>
      <c r="M114" s="341"/>
      <c r="N114" s="341"/>
      <c r="O114" s="341"/>
      <c r="P114" s="341"/>
      <c r="Q114" s="341"/>
      <c r="R114" s="341"/>
      <c r="S114" s="341"/>
      <c r="T114" s="341"/>
      <c r="U114" s="341"/>
      <c r="V114" s="341"/>
      <c r="W114" s="341"/>
      <c r="X114" s="341"/>
      <c r="Y114" s="341"/>
      <c r="Z114" s="341"/>
    </row>
    <row r="115" ht="15.75" customHeight="1">
      <c r="A115" s="341" t="s">
        <v>5158</v>
      </c>
      <c r="B115" s="341" t="s">
        <v>5154</v>
      </c>
      <c r="C115" s="341"/>
      <c r="D115" s="341"/>
      <c r="E115" s="341" t="s">
        <v>5159</v>
      </c>
      <c r="F115" s="341"/>
      <c r="G115" s="341"/>
      <c r="H115" s="341"/>
      <c r="I115" s="341"/>
      <c r="J115" s="341"/>
      <c r="K115" s="341"/>
      <c r="L115" s="341"/>
      <c r="M115" s="341"/>
      <c r="N115" s="341"/>
      <c r="O115" s="341"/>
      <c r="P115" s="341"/>
      <c r="Q115" s="341"/>
      <c r="R115" s="341"/>
      <c r="S115" s="341"/>
      <c r="T115" s="341"/>
      <c r="U115" s="341"/>
      <c r="V115" s="341"/>
      <c r="W115" s="341"/>
      <c r="X115" s="341"/>
      <c r="Y115" s="341"/>
      <c r="Z115" s="341"/>
    </row>
    <row r="116" ht="15.75" customHeight="1">
      <c r="A116" s="341" t="s">
        <v>5160</v>
      </c>
      <c r="B116" s="341" t="s">
        <v>5154</v>
      </c>
      <c r="C116" s="341"/>
      <c r="D116" s="341"/>
      <c r="E116" s="341" t="s">
        <v>5161</v>
      </c>
      <c r="F116" s="341"/>
      <c r="G116" s="341"/>
      <c r="H116" s="341"/>
      <c r="I116" s="341"/>
      <c r="J116" s="341"/>
      <c r="K116" s="341"/>
      <c r="L116" s="341"/>
      <c r="M116" s="341"/>
      <c r="N116" s="341"/>
      <c r="O116" s="341"/>
      <c r="P116" s="341"/>
      <c r="Q116" s="341"/>
      <c r="R116" s="341"/>
      <c r="S116" s="341"/>
      <c r="T116" s="341"/>
      <c r="U116" s="341"/>
      <c r="V116" s="341"/>
      <c r="W116" s="341"/>
      <c r="X116" s="341"/>
      <c r="Y116" s="341"/>
      <c r="Z116" s="341"/>
    </row>
    <row r="117" ht="15.75" customHeight="1">
      <c r="A117" s="341" t="s">
        <v>5162</v>
      </c>
      <c r="B117" s="341" t="s">
        <v>5163</v>
      </c>
      <c r="C117" s="341"/>
      <c r="D117" s="341"/>
      <c r="E117" s="341" t="s">
        <v>5164</v>
      </c>
      <c r="F117" s="341"/>
      <c r="G117" s="341"/>
      <c r="H117" s="341"/>
      <c r="I117" s="341"/>
      <c r="J117" s="341"/>
      <c r="K117" s="341"/>
      <c r="L117" s="341"/>
      <c r="M117" s="341"/>
      <c r="N117" s="341"/>
      <c r="O117" s="341"/>
      <c r="P117" s="341"/>
      <c r="Q117" s="341"/>
      <c r="R117" s="341"/>
      <c r="S117" s="341"/>
      <c r="T117" s="341"/>
      <c r="U117" s="341"/>
      <c r="V117" s="341"/>
      <c r="W117" s="341"/>
      <c r="X117" s="341"/>
      <c r="Y117" s="341"/>
      <c r="Z117" s="341"/>
    </row>
    <row r="118" ht="15.75" customHeight="1">
      <c r="A118" s="341" t="s">
        <v>5165</v>
      </c>
      <c r="B118" s="341" t="s">
        <v>5163</v>
      </c>
      <c r="C118" s="341"/>
      <c r="D118" s="341"/>
      <c r="E118" s="341" t="s">
        <v>5166</v>
      </c>
      <c r="F118" s="341"/>
      <c r="G118" s="341"/>
      <c r="H118" s="341"/>
      <c r="I118" s="341"/>
      <c r="J118" s="341"/>
      <c r="K118" s="341"/>
      <c r="L118" s="341"/>
      <c r="M118" s="341"/>
      <c r="N118" s="341"/>
      <c r="O118" s="341"/>
      <c r="P118" s="341"/>
      <c r="Q118" s="341"/>
      <c r="R118" s="341"/>
      <c r="S118" s="341"/>
      <c r="T118" s="341"/>
      <c r="U118" s="341"/>
      <c r="V118" s="341"/>
      <c r="W118" s="341"/>
      <c r="X118" s="341"/>
      <c r="Y118" s="341"/>
      <c r="Z118" s="341"/>
    </row>
    <row r="119" ht="15.75" customHeight="1">
      <c r="A119" s="341" t="s">
        <v>5167</v>
      </c>
      <c r="B119" s="341" t="s">
        <v>5168</v>
      </c>
      <c r="C119" s="341"/>
      <c r="D119" s="341" t="s">
        <v>5169</v>
      </c>
      <c r="E119" s="341" t="s">
        <v>5170</v>
      </c>
      <c r="F119" s="341"/>
      <c r="G119" s="341"/>
      <c r="H119" s="341"/>
      <c r="I119" s="341"/>
      <c r="J119" s="341"/>
      <c r="K119" s="341"/>
      <c r="L119" s="341"/>
      <c r="M119" s="341"/>
      <c r="N119" s="341"/>
      <c r="O119" s="341"/>
      <c r="P119" s="341"/>
      <c r="Q119" s="341"/>
      <c r="R119" s="341"/>
      <c r="S119" s="341"/>
      <c r="T119" s="341"/>
      <c r="U119" s="341"/>
      <c r="V119" s="341"/>
      <c r="W119" s="341"/>
      <c r="X119" s="341"/>
      <c r="Y119" s="341"/>
      <c r="Z119" s="341"/>
    </row>
    <row r="120" ht="15.75" customHeight="1">
      <c r="A120" s="341" t="s">
        <v>5171</v>
      </c>
      <c r="B120" s="341" t="s">
        <v>5168</v>
      </c>
      <c r="C120" s="341"/>
      <c r="D120" s="341"/>
      <c r="E120" s="341" t="s">
        <v>5172</v>
      </c>
      <c r="F120" s="341"/>
      <c r="G120" s="341"/>
      <c r="H120" s="341"/>
      <c r="I120" s="341"/>
      <c r="J120" s="341"/>
      <c r="K120" s="341"/>
      <c r="L120" s="341"/>
      <c r="M120" s="341"/>
      <c r="N120" s="341"/>
      <c r="O120" s="341"/>
      <c r="P120" s="341"/>
      <c r="Q120" s="341"/>
      <c r="R120" s="341"/>
      <c r="S120" s="341"/>
      <c r="T120" s="341"/>
      <c r="U120" s="341"/>
      <c r="V120" s="341"/>
      <c r="W120" s="341"/>
      <c r="X120" s="341"/>
      <c r="Y120" s="341"/>
      <c r="Z120" s="341"/>
    </row>
    <row r="121" ht="15.75" customHeight="1">
      <c r="A121" s="341" t="s">
        <v>5173</v>
      </c>
      <c r="B121" s="341" t="s">
        <v>5168</v>
      </c>
      <c r="C121" s="341"/>
      <c r="D121" s="341" t="s">
        <v>5174</v>
      </c>
      <c r="E121" s="341" t="s">
        <v>5175</v>
      </c>
      <c r="F121" s="341"/>
      <c r="G121" s="341"/>
      <c r="H121" s="341"/>
      <c r="I121" s="341"/>
      <c r="J121" s="341"/>
      <c r="K121" s="341"/>
      <c r="L121" s="341"/>
      <c r="M121" s="341"/>
      <c r="N121" s="341"/>
      <c r="O121" s="341"/>
      <c r="P121" s="341"/>
      <c r="Q121" s="341"/>
      <c r="R121" s="341"/>
      <c r="S121" s="341"/>
      <c r="T121" s="341"/>
      <c r="U121" s="341"/>
      <c r="V121" s="341"/>
      <c r="W121" s="341"/>
      <c r="X121" s="341"/>
      <c r="Y121" s="341"/>
      <c r="Z121" s="341"/>
    </row>
    <row r="122" ht="15.75" customHeight="1">
      <c r="A122" s="341" t="s">
        <v>5176</v>
      </c>
      <c r="B122" s="341" t="s">
        <v>5177</v>
      </c>
      <c r="C122" s="341"/>
      <c r="D122" s="341" t="s">
        <v>5178</v>
      </c>
      <c r="E122" s="341" t="s">
        <v>5179</v>
      </c>
      <c r="F122" s="341"/>
      <c r="G122" s="341"/>
      <c r="H122" s="341"/>
      <c r="I122" s="341"/>
      <c r="J122" s="341"/>
      <c r="K122" s="341"/>
      <c r="L122" s="341"/>
      <c r="M122" s="341"/>
      <c r="N122" s="341"/>
      <c r="O122" s="341"/>
      <c r="P122" s="341"/>
      <c r="Q122" s="341"/>
      <c r="R122" s="341"/>
      <c r="S122" s="341"/>
      <c r="T122" s="341"/>
      <c r="U122" s="341"/>
      <c r="V122" s="341"/>
      <c r="W122" s="341"/>
      <c r="X122" s="341"/>
      <c r="Y122" s="341"/>
      <c r="Z122" s="341"/>
    </row>
    <row r="123" ht="15.75" customHeight="1">
      <c r="A123" s="341" t="s">
        <v>5180</v>
      </c>
      <c r="B123" s="341" t="s">
        <v>5177</v>
      </c>
      <c r="C123" s="341"/>
      <c r="D123" s="341"/>
      <c r="E123" s="341" t="s">
        <v>5181</v>
      </c>
      <c r="F123" s="341"/>
      <c r="G123" s="341"/>
      <c r="H123" s="341"/>
      <c r="I123" s="341"/>
      <c r="J123" s="341"/>
      <c r="K123" s="341"/>
      <c r="L123" s="341"/>
      <c r="M123" s="341"/>
      <c r="N123" s="341"/>
      <c r="O123" s="341"/>
      <c r="P123" s="341"/>
      <c r="Q123" s="341"/>
      <c r="R123" s="341"/>
      <c r="S123" s="341"/>
      <c r="T123" s="341"/>
      <c r="U123" s="341"/>
      <c r="V123" s="341"/>
      <c r="W123" s="341"/>
      <c r="X123" s="341"/>
      <c r="Y123" s="341"/>
      <c r="Z123" s="341"/>
    </row>
    <row r="124" ht="15.75" customHeight="1">
      <c r="A124" s="341"/>
      <c r="B124" s="341"/>
      <c r="C124" s="341"/>
      <c r="D124" s="341"/>
      <c r="E124" s="341"/>
      <c r="F124" s="341"/>
      <c r="G124" s="341"/>
      <c r="H124" s="341"/>
      <c r="I124" s="341"/>
      <c r="J124" s="341"/>
      <c r="K124" s="341"/>
      <c r="L124" s="341"/>
      <c r="M124" s="341"/>
      <c r="N124" s="341"/>
      <c r="O124" s="341"/>
      <c r="P124" s="341"/>
      <c r="Q124" s="341"/>
      <c r="R124" s="341"/>
      <c r="S124" s="341"/>
      <c r="T124" s="341"/>
      <c r="U124" s="341"/>
      <c r="V124" s="341"/>
      <c r="W124" s="341"/>
      <c r="X124" s="341"/>
      <c r="Y124" s="341"/>
      <c r="Z124" s="341"/>
    </row>
    <row r="125" ht="15.75" customHeight="1">
      <c r="A125" s="341"/>
      <c r="B125" s="341"/>
      <c r="C125" s="341"/>
      <c r="D125" s="341"/>
      <c r="E125" s="341"/>
      <c r="F125" s="341"/>
      <c r="G125" s="341"/>
      <c r="H125" s="341"/>
      <c r="I125" s="341"/>
      <c r="J125" s="341"/>
      <c r="K125" s="341"/>
      <c r="L125" s="341"/>
      <c r="M125" s="341"/>
      <c r="N125" s="341"/>
      <c r="O125" s="341"/>
      <c r="P125" s="341"/>
      <c r="Q125" s="341"/>
      <c r="R125" s="341"/>
      <c r="S125" s="341"/>
      <c r="T125" s="341"/>
      <c r="U125" s="341"/>
      <c r="V125" s="341"/>
      <c r="W125" s="341"/>
      <c r="X125" s="341"/>
      <c r="Y125" s="341"/>
      <c r="Z125" s="341"/>
    </row>
    <row r="126" ht="15.75" customHeight="1">
      <c r="A126" s="341"/>
      <c r="B126" s="341"/>
      <c r="C126" s="341"/>
      <c r="D126" s="341"/>
      <c r="E126" s="341"/>
      <c r="F126" s="341"/>
      <c r="G126" s="341"/>
      <c r="H126" s="341"/>
      <c r="I126" s="341"/>
      <c r="J126" s="341"/>
      <c r="K126" s="341"/>
      <c r="L126" s="341"/>
      <c r="M126" s="341"/>
      <c r="N126" s="341"/>
      <c r="O126" s="341"/>
      <c r="P126" s="341"/>
      <c r="Q126" s="341"/>
      <c r="R126" s="341"/>
      <c r="S126" s="341"/>
      <c r="T126" s="341"/>
      <c r="U126" s="341"/>
      <c r="V126" s="341"/>
      <c r="W126" s="341"/>
      <c r="X126" s="341"/>
      <c r="Y126" s="341"/>
      <c r="Z126" s="341"/>
    </row>
    <row r="127" ht="15.75" customHeight="1">
      <c r="A127" s="341"/>
      <c r="B127" s="341"/>
      <c r="C127" s="341"/>
      <c r="D127" s="341"/>
      <c r="E127" s="341"/>
      <c r="F127" s="341"/>
      <c r="G127" s="341"/>
      <c r="H127" s="341"/>
      <c r="I127" s="341"/>
      <c r="J127" s="341"/>
      <c r="K127" s="341"/>
      <c r="L127" s="341"/>
      <c r="M127" s="341"/>
      <c r="N127" s="341"/>
      <c r="O127" s="341"/>
      <c r="P127" s="341"/>
      <c r="Q127" s="341"/>
      <c r="R127" s="341"/>
      <c r="S127" s="341"/>
      <c r="T127" s="341"/>
      <c r="U127" s="341"/>
      <c r="V127" s="341"/>
      <c r="W127" s="341"/>
      <c r="X127" s="341"/>
      <c r="Y127" s="341"/>
      <c r="Z127" s="341"/>
    </row>
    <row r="128" ht="15.75" customHeight="1">
      <c r="A128" s="341"/>
      <c r="B128" s="341"/>
      <c r="C128" s="341"/>
      <c r="D128" s="341"/>
      <c r="E128" s="341"/>
      <c r="F128" s="341"/>
      <c r="G128" s="341"/>
      <c r="H128" s="341"/>
      <c r="I128" s="341"/>
      <c r="J128" s="341"/>
      <c r="K128" s="341"/>
      <c r="L128" s="341"/>
      <c r="M128" s="341"/>
      <c r="N128" s="341"/>
      <c r="O128" s="341"/>
      <c r="P128" s="341"/>
      <c r="Q128" s="341"/>
      <c r="R128" s="341"/>
      <c r="S128" s="341"/>
      <c r="T128" s="341"/>
      <c r="U128" s="341"/>
      <c r="V128" s="341"/>
      <c r="W128" s="341"/>
      <c r="X128" s="341"/>
      <c r="Y128" s="341"/>
      <c r="Z128" s="341"/>
    </row>
    <row r="129" ht="15.75" customHeight="1">
      <c r="A129" s="341"/>
      <c r="B129" s="341"/>
      <c r="C129" s="341"/>
      <c r="D129" s="341"/>
      <c r="E129" s="341"/>
      <c r="F129" s="341"/>
      <c r="G129" s="341"/>
      <c r="H129" s="341"/>
      <c r="I129" s="341"/>
      <c r="J129" s="341"/>
      <c r="K129" s="341"/>
      <c r="L129" s="341"/>
      <c r="M129" s="341"/>
      <c r="N129" s="341"/>
      <c r="O129" s="341"/>
      <c r="P129" s="341"/>
      <c r="Q129" s="341"/>
      <c r="R129" s="341"/>
      <c r="S129" s="341"/>
      <c r="T129" s="341"/>
      <c r="U129" s="341"/>
      <c r="V129" s="341"/>
      <c r="W129" s="341"/>
      <c r="X129" s="341"/>
      <c r="Y129" s="341"/>
      <c r="Z129" s="341"/>
    </row>
    <row r="130" ht="15.75" customHeight="1">
      <c r="A130" s="341"/>
      <c r="B130" s="341"/>
      <c r="C130" s="341"/>
      <c r="D130" s="341"/>
      <c r="E130" s="341"/>
      <c r="F130" s="341"/>
      <c r="G130" s="341"/>
      <c r="H130" s="341"/>
      <c r="I130" s="341"/>
      <c r="J130" s="341"/>
      <c r="K130" s="341"/>
      <c r="L130" s="341"/>
      <c r="M130" s="341"/>
      <c r="N130" s="341"/>
      <c r="O130" s="341"/>
      <c r="P130" s="341"/>
      <c r="Q130" s="341"/>
      <c r="R130" s="341"/>
      <c r="S130" s="341"/>
      <c r="T130" s="341"/>
      <c r="U130" s="341"/>
      <c r="V130" s="341"/>
      <c r="W130" s="341"/>
      <c r="X130" s="341"/>
      <c r="Y130" s="341"/>
      <c r="Z130" s="341"/>
    </row>
    <row r="131" ht="15.75" customHeight="1">
      <c r="A131" s="341"/>
      <c r="B131" s="341"/>
      <c r="C131" s="341"/>
      <c r="D131" s="341"/>
      <c r="E131" s="341"/>
      <c r="F131" s="341"/>
      <c r="G131" s="341"/>
      <c r="H131" s="341"/>
      <c r="I131" s="341"/>
      <c r="J131" s="341"/>
      <c r="K131" s="341"/>
      <c r="L131" s="341"/>
      <c r="M131" s="341"/>
      <c r="N131" s="341"/>
      <c r="O131" s="341"/>
      <c r="P131" s="341"/>
      <c r="Q131" s="341"/>
      <c r="R131" s="341"/>
      <c r="S131" s="341"/>
      <c r="T131" s="341"/>
      <c r="U131" s="341"/>
      <c r="V131" s="341"/>
      <c r="W131" s="341"/>
      <c r="X131" s="341"/>
      <c r="Y131" s="341"/>
      <c r="Z131" s="341"/>
    </row>
    <row r="132" ht="15.75" customHeight="1">
      <c r="A132" s="341"/>
      <c r="B132" s="341"/>
      <c r="C132" s="341"/>
      <c r="D132" s="341"/>
      <c r="E132" s="341"/>
      <c r="F132" s="341"/>
      <c r="G132" s="341"/>
      <c r="H132" s="341"/>
      <c r="I132" s="341"/>
      <c r="J132" s="341"/>
      <c r="K132" s="341"/>
      <c r="L132" s="341"/>
      <c r="M132" s="341"/>
      <c r="N132" s="341"/>
      <c r="O132" s="341"/>
      <c r="P132" s="341"/>
      <c r="Q132" s="341"/>
      <c r="R132" s="341"/>
      <c r="S132" s="341"/>
      <c r="T132" s="341"/>
      <c r="U132" s="341"/>
      <c r="V132" s="341"/>
      <c r="W132" s="341"/>
      <c r="X132" s="341"/>
      <c r="Y132" s="341"/>
      <c r="Z132" s="341"/>
    </row>
    <row r="133" ht="15.75" customHeight="1">
      <c r="A133" s="341"/>
      <c r="B133" s="341"/>
      <c r="C133" s="341"/>
      <c r="D133" s="341"/>
      <c r="E133" s="341"/>
      <c r="F133" s="341"/>
      <c r="G133" s="341"/>
      <c r="H133" s="341"/>
      <c r="I133" s="341"/>
      <c r="J133" s="341"/>
      <c r="K133" s="341"/>
      <c r="L133" s="341"/>
      <c r="M133" s="341"/>
      <c r="N133" s="341"/>
      <c r="O133" s="341"/>
      <c r="P133" s="341"/>
      <c r="Q133" s="341"/>
      <c r="R133" s="341"/>
      <c r="S133" s="341"/>
      <c r="T133" s="341"/>
      <c r="U133" s="341"/>
      <c r="V133" s="341"/>
      <c r="W133" s="341"/>
      <c r="X133" s="341"/>
      <c r="Y133" s="341"/>
      <c r="Z133" s="341"/>
    </row>
    <row r="134" ht="15.75" customHeight="1">
      <c r="A134" s="341"/>
      <c r="B134" s="341"/>
      <c r="C134" s="341"/>
      <c r="D134" s="341"/>
      <c r="E134" s="341"/>
      <c r="F134" s="341"/>
      <c r="G134" s="341"/>
      <c r="H134" s="341"/>
      <c r="I134" s="341"/>
      <c r="J134" s="341"/>
      <c r="K134" s="341"/>
      <c r="L134" s="341"/>
      <c r="M134" s="341"/>
      <c r="N134" s="341"/>
      <c r="O134" s="341"/>
      <c r="P134" s="341"/>
      <c r="Q134" s="341"/>
      <c r="R134" s="341"/>
      <c r="S134" s="341"/>
      <c r="T134" s="341"/>
      <c r="U134" s="341"/>
      <c r="V134" s="341"/>
      <c r="W134" s="341"/>
      <c r="X134" s="341"/>
      <c r="Y134" s="341"/>
      <c r="Z134" s="341"/>
    </row>
    <row r="135" ht="15.75" customHeight="1">
      <c r="A135" s="341"/>
      <c r="B135" s="341"/>
      <c r="C135" s="341"/>
      <c r="D135" s="341"/>
      <c r="E135" s="341"/>
      <c r="F135" s="341"/>
      <c r="G135" s="341"/>
      <c r="H135" s="341"/>
      <c r="I135" s="341"/>
      <c r="J135" s="341"/>
      <c r="K135" s="341"/>
      <c r="L135" s="341"/>
      <c r="M135" s="341"/>
      <c r="N135" s="341"/>
      <c r="O135" s="341"/>
      <c r="P135" s="341"/>
      <c r="Q135" s="341"/>
      <c r="R135" s="341"/>
      <c r="S135" s="341"/>
      <c r="T135" s="341"/>
      <c r="U135" s="341"/>
      <c r="V135" s="341"/>
      <c r="W135" s="341"/>
      <c r="X135" s="341"/>
      <c r="Y135" s="341"/>
      <c r="Z135" s="341"/>
    </row>
    <row r="136" ht="15.75" customHeight="1">
      <c r="A136" s="341"/>
      <c r="B136" s="341"/>
      <c r="C136" s="341"/>
      <c r="D136" s="341"/>
      <c r="E136" s="341"/>
      <c r="F136" s="341"/>
      <c r="G136" s="341"/>
      <c r="H136" s="341"/>
      <c r="I136" s="341"/>
      <c r="J136" s="341"/>
      <c r="K136" s="341"/>
      <c r="L136" s="341"/>
      <c r="M136" s="341"/>
      <c r="N136" s="341"/>
      <c r="O136" s="341"/>
      <c r="P136" s="341"/>
      <c r="Q136" s="341"/>
      <c r="R136" s="341"/>
      <c r="S136" s="341"/>
      <c r="T136" s="341"/>
      <c r="U136" s="341"/>
      <c r="V136" s="341"/>
      <c r="W136" s="341"/>
      <c r="X136" s="341"/>
      <c r="Y136" s="341"/>
      <c r="Z136" s="341"/>
    </row>
    <row r="137" ht="15.75" customHeight="1">
      <c r="A137" s="341"/>
      <c r="B137" s="341"/>
      <c r="C137" s="341"/>
      <c r="D137" s="341"/>
      <c r="E137" s="341"/>
      <c r="F137" s="341"/>
      <c r="G137" s="341"/>
      <c r="H137" s="341"/>
      <c r="I137" s="341"/>
      <c r="J137" s="341"/>
      <c r="K137" s="341"/>
      <c r="L137" s="341"/>
      <c r="M137" s="341"/>
      <c r="N137" s="341"/>
      <c r="O137" s="341"/>
      <c r="P137" s="341"/>
      <c r="Q137" s="341"/>
      <c r="R137" s="341"/>
      <c r="S137" s="341"/>
      <c r="T137" s="341"/>
      <c r="U137" s="341"/>
      <c r="V137" s="341"/>
      <c r="W137" s="341"/>
      <c r="X137" s="341"/>
      <c r="Y137" s="341"/>
      <c r="Z137" s="341"/>
    </row>
    <row r="138" ht="15.75" customHeight="1">
      <c r="A138" s="341"/>
      <c r="B138" s="341"/>
      <c r="C138" s="341"/>
      <c r="D138" s="341"/>
      <c r="E138" s="341"/>
      <c r="F138" s="341"/>
      <c r="G138" s="341"/>
      <c r="H138" s="341"/>
      <c r="I138" s="341"/>
      <c r="J138" s="341"/>
      <c r="K138" s="341"/>
      <c r="L138" s="341"/>
      <c r="M138" s="341"/>
      <c r="N138" s="341"/>
      <c r="O138" s="341"/>
      <c r="P138" s="341"/>
      <c r="Q138" s="341"/>
      <c r="R138" s="341"/>
      <c r="S138" s="341"/>
      <c r="T138" s="341"/>
      <c r="U138" s="341"/>
      <c r="V138" s="341"/>
      <c r="W138" s="341"/>
      <c r="X138" s="341"/>
      <c r="Y138" s="341"/>
      <c r="Z138" s="341"/>
    </row>
    <row r="139" ht="15.75" customHeight="1">
      <c r="A139" s="341"/>
      <c r="B139" s="341"/>
      <c r="C139" s="341"/>
      <c r="D139" s="341"/>
      <c r="E139" s="341"/>
      <c r="F139" s="341"/>
      <c r="G139" s="341"/>
      <c r="H139" s="341"/>
      <c r="I139" s="341"/>
      <c r="J139" s="341"/>
      <c r="K139" s="341"/>
      <c r="L139" s="341"/>
      <c r="M139" s="341"/>
      <c r="N139" s="341"/>
      <c r="O139" s="341"/>
      <c r="P139" s="341"/>
      <c r="Q139" s="341"/>
      <c r="R139" s="341"/>
      <c r="S139" s="341"/>
      <c r="T139" s="341"/>
      <c r="U139" s="341"/>
      <c r="V139" s="341"/>
      <c r="W139" s="341"/>
      <c r="X139" s="341"/>
      <c r="Y139" s="341"/>
      <c r="Z139" s="341"/>
    </row>
    <row r="140" ht="15.75" customHeight="1">
      <c r="A140" s="341"/>
      <c r="B140" s="341"/>
      <c r="C140" s="341"/>
      <c r="D140" s="341"/>
      <c r="E140" s="341"/>
      <c r="F140" s="341"/>
      <c r="G140" s="341"/>
      <c r="H140" s="341"/>
      <c r="I140" s="341"/>
      <c r="J140" s="341"/>
      <c r="K140" s="341"/>
      <c r="L140" s="341"/>
      <c r="M140" s="341"/>
      <c r="N140" s="341"/>
      <c r="O140" s="341"/>
      <c r="P140" s="341"/>
      <c r="Q140" s="341"/>
      <c r="R140" s="341"/>
      <c r="S140" s="341"/>
      <c r="T140" s="341"/>
      <c r="U140" s="341"/>
      <c r="V140" s="341"/>
      <c r="W140" s="341"/>
      <c r="X140" s="341"/>
      <c r="Y140" s="341"/>
      <c r="Z140" s="341"/>
    </row>
    <row r="141" ht="15.75" customHeight="1">
      <c r="A141" s="341"/>
      <c r="B141" s="341"/>
      <c r="C141" s="341"/>
      <c r="D141" s="341"/>
      <c r="E141" s="341"/>
      <c r="F141" s="341"/>
      <c r="G141" s="341"/>
      <c r="H141" s="341"/>
      <c r="I141" s="341"/>
      <c r="J141" s="341"/>
      <c r="K141" s="341"/>
      <c r="L141" s="341"/>
      <c r="M141" s="341"/>
      <c r="N141" s="341"/>
      <c r="O141" s="341"/>
      <c r="P141" s="341"/>
      <c r="Q141" s="341"/>
      <c r="R141" s="341"/>
      <c r="S141" s="341"/>
      <c r="T141" s="341"/>
      <c r="U141" s="341"/>
      <c r="V141" s="341"/>
      <c r="W141" s="341"/>
      <c r="X141" s="341"/>
      <c r="Y141" s="341"/>
      <c r="Z141" s="341"/>
    </row>
    <row r="142" ht="15.75" customHeight="1">
      <c r="A142" s="341"/>
      <c r="B142" s="341"/>
      <c r="C142" s="341"/>
      <c r="D142" s="341"/>
      <c r="E142" s="341"/>
      <c r="F142" s="341"/>
      <c r="G142" s="341"/>
      <c r="H142" s="341"/>
      <c r="I142" s="341"/>
      <c r="J142" s="341"/>
      <c r="K142" s="341"/>
      <c r="L142" s="341"/>
      <c r="M142" s="341"/>
      <c r="N142" s="341"/>
      <c r="O142" s="341"/>
      <c r="P142" s="341"/>
      <c r="Q142" s="341"/>
      <c r="R142" s="341"/>
      <c r="S142" s="341"/>
      <c r="T142" s="341"/>
      <c r="U142" s="341"/>
      <c r="V142" s="341"/>
      <c r="W142" s="341"/>
      <c r="X142" s="341"/>
      <c r="Y142" s="341"/>
      <c r="Z142" s="341"/>
    </row>
    <row r="143" ht="15.75" customHeight="1">
      <c r="A143" s="341"/>
      <c r="B143" s="341"/>
      <c r="C143" s="341"/>
      <c r="D143" s="341"/>
      <c r="E143" s="341"/>
      <c r="F143" s="341"/>
      <c r="G143" s="341"/>
      <c r="H143" s="341"/>
      <c r="I143" s="341"/>
      <c r="J143" s="341"/>
      <c r="K143" s="341"/>
      <c r="L143" s="341"/>
      <c r="M143" s="341"/>
      <c r="N143" s="341"/>
      <c r="O143" s="341"/>
      <c r="P143" s="341"/>
      <c r="Q143" s="341"/>
      <c r="R143" s="341"/>
      <c r="S143" s="341"/>
      <c r="T143" s="341"/>
      <c r="U143" s="341"/>
      <c r="V143" s="341"/>
      <c r="W143" s="341"/>
      <c r="X143" s="341"/>
      <c r="Y143" s="341"/>
      <c r="Z143" s="341"/>
    </row>
    <row r="144" ht="15.75" customHeight="1">
      <c r="A144" s="341"/>
      <c r="B144" s="341"/>
      <c r="C144" s="341"/>
      <c r="D144" s="341"/>
      <c r="E144" s="341"/>
      <c r="F144" s="341"/>
      <c r="G144" s="341"/>
      <c r="H144" s="341"/>
      <c r="I144" s="341"/>
      <c r="J144" s="341"/>
      <c r="K144" s="341"/>
      <c r="L144" s="341"/>
      <c r="M144" s="341"/>
      <c r="N144" s="341"/>
      <c r="O144" s="341"/>
      <c r="P144" s="341"/>
      <c r="Q144" s="341"/>
      <c r="R144" s="341"/>
      <c r="S144" s="341"/>
      <c r="T144" s="341"/>
      <c r="U144" s="341"/>
      <c r="V144" s="341"/>
      <c r="W144" s="341"/>
      <c r="X144" s="341"/>
      <c r="Y144" s="341"/>
      <c r="Z144" s="341"/>
    </row>
    <row r="145" ht="15.75" customHeight="1">
      <c r="A145" s="341"/>
      <c r="B145" s="341"/>
      <c r="C145" s="341"/>
      <c r="D145" s="341"/>
      <c r="E145" s="341"/>
      <c r="F145" s="341"/>
      <c r="G145" s="341"/>
      <c r="H145" s="341"/>
      <c r="I145" s="341"/>
      <c r="J145" s="341"/>
      <c r="K145" s="341"/>
      <c r="L145" s="341"/>
      <c r="M145" s="341"/>
      <c r="N145" s="341"/>
      <c r="O145" s="341"/>
      <c r="P145" s="341"/>
      <c r="Q145" s="341"/>
      <c r="R145" s="341"/>
      <c r="S145" s="341"/>
      <c r="T145" s="341"/>
      <c r="U145" s="341"/>
      <c r="V145" s="341"/>
      <c r="W145" s="341"/>
      <c r="X145" s="341"/>
      <c r="Y145" s="341"/>
      <c r="Z145" s="341"/>
    </row>
    <row r="146" ht="15.75" customHeight="1">
      <c r="A146" s="341"/>
      <c r="B146" s="341"/>
      <c r="C146" s="341"/>
      <c r="D146" s="341"/>
      <c r="E146" s="341"/>
      <c r="F146" s="341"/>
      <c r="G146" s="341"/>
      <c r="H146" s="341"/>
      <c r="I146" s="341"/>
      <c r="J146" s="341"/>
      <c r="K146" s="341"/>
      <c r="L146" s="341"/>
      <c r="M146" s="341"/>
      <c r="N146" s="341"/>
      <c r="O146" s="341"/>
      <c r="P146" s="341"/>
      <c r="Q146" s="341"/>
      <c r="R146" s="341"/>
      <c r="S146" s="341"/>
      <c r="T146" s="341"/>
      <c r="U146" s="341"/>
      <c r="V146" s="341"/>
      <c r="W146" s="341"/>
      <c r="X146" s="341"/>
      <c r="Y146" s="341"/>
      <c r="Z146" s="341"/>
    </row>
    <row r="147" ht="15.75" customHeight="1">
      <c r="A147" s="341"/>
      <c r="B147" s="341"/>
      <c r="C147" s="341"/>
      <c r="D147" s="341"/>
      <c r="E147" s="341"/>
      <c r="F147" s="341"/>
      <c r="G147" s="341"/>
      <c r="H147" s="341"/>
      <c r="I147" s="341"/>
      <c r="J147" s="341"/>
      <c r="K147" s="341"/>
      <c r="L147" s="341"/>
      <c r="M147" s="341"/>
      <c r="N147" s="341"/>
      <c r="O147" s="341"/>
      <c r="P147" s="341"/>
      <c r="Q147" s="341"/>
      <c r="R147" s="341"/>
      <c r="S147" s="341"/>
      <c r="T147" s="341"/>
      <c r="U147" s="341"/>
      <c r="V147" s="341"/>
      <c r="W147" s="341"/>
      <c r="X147" s="341"/>
      <c r="Y147" s="341"/>
      <c r="Z147" s="341"/>
    </row>
    <row r="148" ht="15.75" customHeight="1">
      <c r="A148" s="341"/>
      <c r="B148" s="341"/>
      <c r="C148" s="341"/>
      <c r="D148" s="341"/>
      <c r="E148" s="341"/>
      <c r="F148" s="341"/>
      <c r="G148" s="341"/>
      <c r="H148" s="341"/>
      <c r="I148" s="341"/>
      <c r="J148" s="341"/>
      <c r="K148" s="341"/>
      <c r="L148" s="341"/>
      <c r="M148" s="341"/>
      <c r="N148" s="341"/>
      <c r="O148" s="341"/>
      <c r="P148" s="341"/>
      <c r="Q148" s="341"/>
      <c r="R148" s="341"/>
      <c r="S148" s="341"/>
      <c r="T148" s="341"/>
      <c r="U148" s="341"/>
      <c r="V148" s="341"/>
      <c r="W148" s="341"/>
      <c r="X148" s="341"/>
      <c r="Y148" s="341"/>
      <c r="Z148" s="341"/>
    </row>
    <row r="149" ht="15.75" customHeight="1">
      <c r="A149" s="341"/>
      <c r="B149" s="341"/>
      <c r="C149" s="341"/>
      <c r="D149" s="341"/>
      <c r="E149" s="341"/>
      <c r="F149" s="341"/>
      <c r="G149" s="341"/>
      <c r="H149" s="341"/>
      <c r="I149" s="341"/>
      <c r="J149" s="341"/>
      <c r="K149" s="341"/>
      <c r="L149" s="341"/>
      <c r="M149" s="341"/>
      <c r="N149" s="341"/>
      <c r="O149" s="341"/>
      <c r="P149" s="341"/>
      <c r="Q149" s="341"/>
      <c r="R149" s="341"/>
      <c r="S149" s="341"/>
      <c r="T149" s="341"/>
      <c r="U149" s="341"/>
      <c r="V149" s="341"/>
      <c r="W149" s="341"/>
      <c r="X149" s="341"/>
      <c r="Y149" s="341"/>
      <c r="Z149" s="341"/>
    </row>
    <row r="150" ht="15.75" customHeight="1">
      <c r="A150" s="341"/>
      <c r="B150" s="341"/>
      <c r="C150" s="341"/>
      <c r="D150" s="341"/>
      <c r="E150" s="341"/>
      <c r="F150" s="341"/>
      <c r="G150" s="341"/>
      <c r="H150" s="341"/>
      <c r="I150" s="341"/>
      <c r="J150" s="341"/>
      <c r="K150" s="341"/>
      <c r="L150" s="341"/>
      <c r="M150" s="341"/>
      <c r="N150" s="341"/>
      <c r="O150" s="341"/>
      <c r="P150" s="341"/>
      <c r="Q150" s="341"/>
      <c r="R150" s="341"/>
      <c r="S150" s="341"/>
      <c r="T150" s="341"/>
      <c r="U150" s="341"/>
      <c r="V150" s="341"/>
      <c r="W150" s="341"/>
      <c r="X150" s="341"/>
      <c r="Y150" s="341"/>
      <c r="Z150" s="341"/>
    </row>
    <row r="151" ht="15.75" customHeight="1">
      <c r="A151" s="341"/>
      <c r="B151" s="341"/>
      <c r="C151" s="341"/>
      <c r="D151" s="341"/>
      <c r="E151" s="341"/>
      <c r="F151" s="341"/>
      <c r="G151" s="341"/>
      <c r="H151" s="341"/>
      <c r="I151" s="341"/>
      <c r="J151" s="341"/>
      <c r="K151" s="341"/>
      <c r="L151" s="341"/>
      <c r="M151" s="341"/>
      <c r="N151" s="341"/>
      <c r="O151" s="341"/>
      <c r="P151" s="341"/>
      <c r="Q151" s="341"/>
      <c r="R151" s="341"/>
      <c r="S151" s="341"/>
      <c r="T151" s="341"/>
      <c r="U151" s="341"/>
      <c r="V151" s="341"/>
      <c r="W151" s="341"/>
      <c r="X151" s="341"/>
      <c r="Y151" s="341"/>
      <c r="Z151" s="341"/>
    </row>
    <row r="152" ht="15.75" customHeight="1">
      <c r="A152" s="341"/>
      <c r="B152" s="341"/>
      <c r="C152" s="341"/>
      <c r="D152" s="341"/>
      <c r="E152" s="341"/>
      <c r="F152" s="341"/>
      <c r="G152" s="341"/>
      <c r="H152" s="341"/>
      <c r="I152" s="341"/>
      <c r="J152" s="341"/>
      <c r="K152" s="341"/>
      <c r="L152" s="341"/>
      <c r="M152" s="341"/>
      <c r="N152" s="341"/>
      <c r="O152" s="341"/>
      <c r="P152" s="341"/>
      <c r="Q152" s="341"/>
      <c r="R152" s="341"/>
      <c r="S152" s="341"/>
      <c r="T152" s="341"/>
      <c r="U152" s="341"/>
      <c r="V152" s="341"/>
      <c r="W152" s="341"/>
      <c r="X152" s="341"/>
      <c r="Y152" s="341"/>
      <c r="Z152" s="341"/>
    </row>
    <row r="153" ht="15.75" customHeight="1">
      <c r="A153" s="341"/>
      <c r="B153" s="341"/>
      <c r="C153" s="341"/>
      <c r="D153" s="341"/>
      <c r="E153" s="341"/>
      <c r="F153" s="341"/>
      <c r="G153" s="341"/>
      <c r="H153" s="341"/>
      <c r="I153" s="341"/>
      <c r="J153" s="341"/>
      <c r="K153" s="341"/>
      <c r="L153" s="341"/>
      <c r="M153" s="341"/>
      <c r="N153" s="341"/>
      <c r="O153" s="341"/>
      <c r="P153" s="341"/>
      <c r="Q153" s="341"/>
      <c r="R153" s="341"/>
      <c r="S153" s="341"/>
      <c r="T153" s="341"/>
      <c r="U153" s="341"/>
      <c r="V153" s="341"/>
      <c r="W153" s="341"/>
      <c r="X153" s="341"/>
      <c r="Y153" s="341"/>
      <c r="Z153" s="341"/>
    </row>
    <row r="154" ht="15.75" customHeight="1">
      <c r="A154" s="341"/>
      <c r="B154" s="341"/>
      <c r="C154" s="341"/>
      <c r="D154" s="341"/>
      <c r="E154" s="341"/>
      <c r="F154" s="341"/>
      <c r="G154" s="341"/>
      <c r="H154" s="341"/>
      <c r="I154" s="341"/>
      <c r="J154" s="341"/>
      <c r="K154" s="341"/>
      <c r="L154" s="341"/>
      <c r="M154" s="341"/>
      <c r="N154" s="341"/>
      <c r="O154" s="341"/>
      <c r="P154" s="341"/>
      <c r="Q154" s="341"/>
      <c r="R154" s="341"/>
      <c r="S154" s="341"/>
      <c r="T154" s="341"/>
      <c r="U154" s="341"/>
      <c r="V154" s="341"/>
      <c r="W154" s="341"/>
      <c r="X154" s="341"/>
      <c r="Y154" s="341"/>
      <c r="Z154" s="341"/>
    </row>
    <row r="155" ht="15.75" customHeight="1">
      <c r="A155" s="341"/>
      <c r="B155" s="341"/>
      <c r="C155" s="341"/>
      <c r="D155" s="341"/>
      <c r="E155" s="341"/>
      <c r="F155" s="341"/>
      <c r="G155" s="341"/>
      <c r="H155" s="341"/>
      <c r="I155" s="341"/>
      <c r="J155" s="341"/>
      <c r="K155" s="341"/>
      <c r="L155" s="341"/>
      <c r="M155" s="341"/>
      <c r="N155" s="341"/>
      <c r="O155" s="341"/>
      <c r="P155" s="341"/>
      <c r="Q155" s="341"/>
      <c r="R155" s="341"/>
      <c r="S155" s="341"/>
      <c r="T155" s="341"/>
      <c r="U155" s="341"/>
      <c r="V155" s="341"/>
      <c r="W155" s="341"/>
      <c r="X155" s="341"/>
      <c r="Y155" s="341"/>
      <c r="Z155" s="341"/>
    </row>
    <row r="156" ht="15.75" customHeight="1">
      <c r="A156" s="341"/>
      <c r="B156" s="341"/>
      <c r="C156" s="341"/>
      <c r="D156" s="341"/>
      <c r="E156" s="341"/>
      <c r="F156" s="341"/>
      <c r="G156" s="341"/>
      <c r="H156" s="341"/>
      <c r="I156" s="341"/>
      <c r="J156" s="341"/>
      <c r="K156" s="341"/>
      <c r="L156" s="341"/>
      <c r="M156" s="341"/>
      <c r="N156" s="341"/>
      <c r="O156" s="341"/>
      <c r="P156" s="341"/>
      <c r="Q156" s="341"/>
      <c r="R156" s="341"/>
      <c r="S156" s="341"/>
      <c r="T156" s="341"/>
      <c r="U156" s="341"/>
      <c r="V156" s="341"/>
      <c r="W156" s="341"/>
      <c r="X156" s="341"/>
      <c r="Y156" s="341"/>
      <c r="Z156" s="341"/>
    </row>
    <row r="157" ht="15.75" customHeight="1">
      <c r="A157" s="341"/>
      <c r="B157" s="341"/>
      <c r="C157" s="341"/>
      <c r="D157" s="341"/>
      <c r="E157" s="341"/>
      <c r="F157" s="341"/>
      <c r="G157" s="341"/>
      <c r="H157" s="341"/>
      <c r="I157" s="341"/>
      <c r="J157" s="341"/>
      <c r="K157" s="341"/>
      <c r="L157" s="341"/>
      <c r="M157" s="341"/>
      <c r="N157" s="341"/>
      <c r="O157" s="341"/>
      <c r="P157" s="341"/>
      <c r="Q157" s="341"/>
      <c r="R157" s="341"/>
      <c r="S157" s="341"/>
      <c r="T157" s="341"/>
      <c r="U157" s="341"/>
      <c r="V157" s="341"/>
      <c r="W157" s="341"/>
      <c r="X157" s="341"/>
      <c r="Y157" s="341"/>
      <c r="Z157" s="341"/>
    </row>
    <row r="158" ht="15.75" customHeight="1">
      <c r="A158" s="341"/>
      <c r="B158" s="341"/>
      <c r="C158" s="341"/>
      <c r="D158" s="341"/>
      <c r="E158" s="341"/>
      <c r="F158" s="341"/>
      <c r="G158" s="341"/>
      <c r="H158" s="341"/>
      <c r="I158" s="341"/>
      <c r="J158" s="341"/>
      <c r="K158" s="341"/>
      <c r="L158" s="341"/>
      <c r="M158" s="341"/>
      <c r="N158" s="341"/>
      <c r="O158" s="341"/>
      <c r="P158" s="341"/>
      <c r="Q158" s="341"/>
      <c r="R158" s="341"/>
      <c r="S158" s="341"/>
      <c r="T158" s="341"/>
      <c r="U158" s="341"/>
      <c r="V158" s="341"/>
      <c r="W158" s="341"/>
      <c r="X158" s="341"/>
      <c r="Y158" s="341"/>
      <c r="Z158" s="341"/>
    </row>
    <row r="159" ht="15.75" customHeight="1">
      <c r="A159" s="341"/>
      <c r="B159" s="341"/>
      <c r="C159" s="341"/>
      <c r="D159" s="341"/>
      <c r="E159" s="341"/>
      <c r="F159" s="341"/>
      <c r="G159" s="341"/>
      <c r="H159" s="341"/>
      <c r="I159" s="341"/>
      <c r="J159" s="341"/>
      <c r="K159" s="341"/>
      <c r="L159" s="341"/>
      <c r="M159" s="341"/>
      <c r="N159" s="341"/>
      <c r="O159" s="341"/>
      <c r="P159" s="341"/>
      <c r="Q159" s="341"/>
      <c r="R159" s="341"/>
      <c r="S159" s="341"/>
      <c r="T159" s="341"/>
      <c r="U159" s="341"/>
      <c r="V159" s="341"/>
      <c r="W159" s="341"/>
      <c r="X159" s="341"/>
      <c r="Y159" s="341"/>
      <c r="Z159" s="341"/>
    </row>
    <row r="160" ht="15.75" customHeight="1">
      <c r="A160" s="341"/>
      <c r="B160" s="341"/>
      <c r="C160" s="341"/>
      <c r="D160" s="341"/>
      <c r="E160" s="341"/>
      <c r="F160" s="341"/>
      <c r="G160" s="341"/>
      <c r="H160" s="341"/>
      <c r="I160" s="341"/>
      <c r="J160" s="341"/>
      <c r="K160" s="341"/>
      <c r="L160" s="341"/>
      <c r="M160" s="341"/>
      <c r="N160" s="341"/>
      <c r="O160" s="341"/>
      <c r="P160" s="341"/>
      <c r="Q160" s="341"/>
      <c r="R160" s="341"/>
      <c r="S160" s="341"/>
      <c r="T160" s="341"/>
      <c r="U160" s="341"/>
      <c r="V160" s="341"/>
      <c r="W160" s="341"/>
      <c r="X160" s="341"/>
      <c r="Y160" s="341"/>
      <c r="Z160" s="341"/>
    </row>
    <row r="161" ht="15.75" customHeight="1">
      <c r="A161" s="341"/>
      <c r="B161" s="341"/>
      <c r="C161" s="341"/>
      <c r="D161" s="341"/>
      <c r="E161" s="341"/>
      <c r="F161" s="341"/>
      <c r="G161" s="341"/>
      <c r="H161" s="341"/>
      <c r="I161" s="341"/>
      <c r="J161" s="341"/>
      <c r="K161" s="341"/>
      <c r="L161" s="341"/>
      <c r="M161" s="341"/>
      <c r="N161" s="341"/>
      <c r="O161" s="341"/>
      <c r="P161" s="341"/>
      <c r="Q161" s="341"/>
      <c r="R161" s="341"/>
      <c r="S161" s="341"/>
      <c r="T161" s="341"/>
      <c r="U161" s="341"/>
      <c r="V161" s="341"/>
      <c r="W161" s="341"/>
      <c r="X161" s="341"/>
      <c r="Y161" s="341"/>
      <c r="Z161" s="341"/>
    </row>
    <row r="162" ht="15.75" customHeight="1">
      <c r="A162" s="341"/>
      <c r="B162" s="341"/>
      <c r="C162" s="341"/>
      <c r="D162" s="341"/>
      <c r="E162" s="341"/>
      <c r="F162" s="341"/>
      <c r="G162" s="341"/>
      <c r="H162" s="341"/>
      <c r="I162" s="341"/>
      <c r="J162" s="341"/>
      <c r="K162" s="341"/>
      <c r="L162" s="341"/>
      <c r="M162" s="341"/>
      <c r="N162" s="341"/>
      <c r="O162" s="341"/>
      <c r="P162" s="341"/>
      <c r="Q162" s="341"/>
      <c r="R162" s="341"/>
      <c r="S162" s="341"/>
      <c r="T162" s="341"/>
      <c r="U162" s="341"/>
      <c r="V162" s="341"/>
      <c r="W162" s="341"/>
      <c r="X162" s="341"/>
      <c r="Y162" s="341"/>
      <c r="Z162" s="341"/>
    </row>
    <row r="163" ht="15.75" customHeight="1">
      <c r="A163" s="341"/>
      <c r="B163" s="341"/>
      <c r="C163" s="341"/>
      <c r="D163" s="341"/>
      <c r="E163" s="341"/>
      <c r="F163" s="341"/>
      <c r="G163" s="341"/>
      <c r="H163" s="341"/>
      <c r="I163" s="341"/>
      <c r="J163" s="341"/>
      <c r="K163" s="341"/>
      <c r="L163" s="341"/>
      <c r="M163" s="341"/>
      <c r="N163" s="341"/>
      <c r="O163" s="341"/>
      <c r="P163" s="341"/>
      <c r="Q163" s="341"/>
      <c r="R163" s="341"/>
      <c r="S163" s="341"/>
      <c r="T163" s="341"/>
      <c r="U163" s="341"/>
      <c r="V163" s="341"/>
      <c r="W163" s="341"/>
      <c r="X163" s="341"/>
      <c r="Y163" s="341"/>
      <c r="Z163" s="341"/>
    </row>
    <row r="164" ht="15.75" customHeight="1">
      <c r="A164" s="341"/>
      <c r="B164" s="341"/>
      <c r="C164" s="341"/>
      <c r="D164" s="341"/>
      <c r="E164" s="341"/>
      <c r="F164" s="341"/>
      <c r="G164" s="341"/>
      <c r="H164" s="341"/>
      <c r="I164" s="341"/>
      <c r="J164" s="341"/>
      <c r="K164" s="341"/>
      <c r="L164" s="341"/>
      <c r="M164" s="341"/>
      <c r="N164" s="341"/>
      <c r="O164" s="341"/>
      <c r="P164" s="341"/>
      <c r="Q164" s="341"/>
      <c r="R164" s="341"/>
      <c r="S164" s="341"/>
      <c r="T164" s="341"/>
      <c r="U164" s="341"/>
      <c r="V164" s="341"/>
      <c r="W164" s="341"/>
      <c r="X164" s="341"/>
      <c r="Y164" s="341"/>
      <c r="Z164" s="341"/>
    </row>
    <row r="165" ht="15.75" customHeight="1">
      <c r="A165" s="341"/>
      <c r="B165" s="341"/>
      <c r="C165" s="341"/>
      <c r="D165" s="341"/>
      <c r="E165" s="341"/>
      <c r="F165" s="341"/>
      <c r="G165" s="341"/>
      <c r="H165" s="341"/>
      <c r="I165" s="341"/>
      <c r="J165" s="341"/>
      <c r="K165" s="341"/>
      <c r="L165" s="341"/>
      <c r="M165" s="341"/>
      <c r="N165" s="341"/>
      <c r="O165" s="341"/>
      <c r="P165" s="341"/>
      <c r="Q165" s="341"/>
      <c r="R165" s="341"/>
      <c r="S165" s="341"/>
      <c r="T165" s="341"/>
      <c r="U165" s="341"/>
      <c r="V165" s="341"/>
      <c r="W165" s="341"/>
      <c r="X165" s="341"/>
      <c r="Y165" s="341"/>
      <c r="Z165" s="341"/>
    </row>
    <row r="166" ht="15.75" customHeight="1">
      <c r="A166" s="341"/>
      <c r="B166" s="341"/>
      <c r="C166" s="341"/>
      <c r="D166" s="341"/>
      <c r="E166" s="341"/>
      <c r="F166" s="341"/>
      <c r="G166" s="341"/>
      <c r="H166" s="341"/>
      <c r="I166" s="341"/>
      <c r="J166" s="341"/>
      <c r="K166" s="341"/>
      <c r="L166" s="341"/>
      <c r="M166" s="341"/>
      <c r="N166" s="341"/>
      <c r="O166" s="341"/>
      <c r="P166" s="341"/>
      <c r="Q166" s="341"/>
      <c r="R166" s="341"/>
      <c r="S166" s="341"/>
      <c r="T166" s="341"/>
      <c r="U166" s="341"/>
      <c r="V166" s="341"/>
      <c r="W166" s="341"/>
      <c r="X166" s="341"/>
      <c r="Y166" s="341"/>
      <c r="Z166" s="341"/>
    </row>
    <row r="167" ht="15.75" customHeight="1">
      <c r="A167" s="341"/>
      <c r="B167" s="341"/>
      <c r="C167" s="341"/>
      <c r="D167" s="341"/>
      <c r="E167" s="341"/>
      <c r="F167" s="341"/>
      <c r="G167" s="341"/>
      <c r="H167" s="341"/>
      <c r="I167" s="341"/>
      <c r="J167" s="341"/>
      <c r="K167" s="341"/>
      <c r="L167" s="341"/>
      <c r="M167" s="341"/>
      <c r="N167" s="341"/>
      <c r="O167" s="341"/>
      <c r="P167" s="341"/>
      <c r="Q167" s="341"/>
      <c r="R167" s="341"/>
      <c r="S167" s="341"/>
      <c r="T167" s="341"/>
      <c r="U167" s="341"/>
      <c r="V167" s="341"/>
      <c r="W167" s="341"/>
      <c r="X167" s="341"/>
      <c r="Y167" s="341"/>
      <c r="Z167" s="341"/>
    </row>
    <row r="168" ht="15.75" customHeight="1">
      <c r="A168" s="341"/>
      <c r="B168" s="341"/>
      <c r="C168" s="341"/>
      <c r="D168" s="341"/>
      <c r="E168" s="341"/>
      <c r="F168" s="341"/>
      <c r="G168" s="341"/>
      <c r="H168" s="341"/>
      <c r="I168" s="341"/>
      <c r="J168" s="341"/>
      <c r="K168" s="341"/>
      <c r="L168" s="341"/>
      <c r="M168" s="341"/>
      <c r="N168" s="341"/>
      <c r="O168" s="341"/>
      <c r="P168" s="341"/>
      <c r="Q168" s="341"/>
      <c r="R168" s="341"/>
      <c r="S168" s="341"/>
      <c r="T168" s="341"/>
      <c r="U168" s="341"/>
      <c r="V168" s="341"/>
      <c r="W168" s="341"/>
      <c r="X168" s="341"/>
      <c r="Y168" s="341"/>
      <c r="Z168" s="341"/>
    </row>
    <row r="169" ht="15.75" customHeight="1">
      <c r="A169" s="341"/>
      <c r="B169" s="341"/>
      <c r="C169" s="341"/>
      <c r="D169" s="341"/>
      <c r="E169" s="341"/>
      <c r="F169" s="341"/>
      <c r="G169" s="341"/>
      <c r="H169" s="341"/>
      <c r="I169" s="341"/>
      <c r="J169" s="341"/>
      <c r="K169" s="341"/>
      <c r="L169" s="341"/>
      <c r="M169" s="341"/>
      <c r="N169" s="341"/>
      <c r="O169" s="341"/>
      <c r="P169" s="341"/>
      <c r="Q169" s="341"/>
      <c r="R169" s="341"/>
      <c r="S169" s="341"/>
      <c r="T169" s="341"/>
      <c r="U169" s="341"/>
      <c r="V169" s="341"/>
      <c r="W169" s="341"/>
      <c r="X169" s="341"/>
      <c r="Y169" s="341"/>
      <c r="Z169" s="341"/>
    </row>
    <row r="170" ht="15.75" customHeight="1">
      <c r="A170" s="341"/>
      <c r="B170" s="341"/>
      <c r="C170" s="341"/>
      <c r="D170" s="341"/>
      <c r="E170" s="341"/>
      <c r="F170" s="341"/>
      <c r="G170" s="341"/>
      <c r="H170" s="341"/>
      <c r="I170" s="341"/>
      <c r="J170" s="341"/>
      <c r="K170" s="341"/>
      <c r="L170" s="341"/>
      <c r="M170" s="341"/>
      <c r="N170" s="341"/>
      <c r="O170" s="341"/>
      <c r="P170" s="341"/>
      <c r="Q170" s="341"/>
      <c r="R170" s="341"/>
      <c r="S170" s="341"/>
      <c r="T170" s="341"/>
      <c r="U170" s="341"/>
      <c r="V170" s="341"/>
      <c r="W170" s="341"/>
      <c r="X170" s="341"/>
      <c r="Y170" s="341"/>
      <c r="Z170" s="341"/>
    </row>
    <row r="171" ht="15.75" customHeight="1">
      <c r="A171" s="341"/>
      <c r="B171" s="341"/>
      <c r="C171" s="341"/>
      <c r="D171" s="341"/>
      <c r="E171" s="341"/>
      <c r="F171" s="341"/>
      <c r="G171" s="341"/>
      <c r="H171" s="341"/>
      <c r="I171" s="341"/>
      <c r="J171" s="341"/>
      <c r="K171" s="341"/>
      <c r="L171" s="341"/>
      <c r="M171" s="341"/>
      <c r="N171" s="341"/>
      <c r="O171" s="341"/>
      <c r="P171" s="341"/>
      <c r="Q171" s="341"/>
      <c r="R171" s="341"/>
      <c r="S171" s="341"/>
      <c r="T171" s="341"/>
      <c r="U171" s="341"/>
      <c r="V171" s="341"/>
      <c r="W171" s="341"/>
      <c r="X171" s="341"/>
      <c r="Y171" s="341"/>
      <c r="Z171" s="341"/>
    </row>
    <row r="172" ht="15.75" customHeight="1">
      <c r="A172" s="341"/>
      <c r="B172" s="341"/>
      <c r="C172" s="341"/>
      <c r="D172" s="341"/>
      <c r="E172" s="341"/>
      <c r="F172" s="341"/>
      <c r="G172" s="341"/>
      <c r="H172" s="341"/>
      <c r="I172" s="341"/>
      <c r="J172" s="341"/>
      <c r="K172" s="341"/>
      <c r="L172" s="341"/>
      <c r="M172" s="341"/>
      <c r="N172" s="341"/>
      <c r="O172" s="341"/>
      <c r="P172" s="341"/>
      <c r="Q172" s="341"/>
      <c r="R172" s="341"/>
      <c r="S172" s="341"/>
      <c r="T172" s="341"/>
      <c r="U172" s="341"/>
      <c r="V172" s="341"/>
      <c r="W172" s="341"/>
      <c r="X172" s="341"/>
      <c r="Y172" s="341"/>
      <c r="Z172" s="341"/>
    </row>
    <row r="173" ht="15.75" customHeight="1">
      <c r="A173" s="341"/>
      <c r="B173" s="341"/>
      <c r="C173" s="341"/>
      <c r="D173" s="341"/>
      <c r="E173" s="341"/>
      <c r="F173" s="341"/>
      <c r="G173" s="341"/>
      <c r="H173" s="341"/>
      <c r="I173" s="341"/>
      <c r="J173" s="341"/>
      <c r="K173" s="341"/>
      <c r="L173" s="341"/>
      <c r="M173" s="341"/>
      <c r="N173" s="341"/>
      <c r="O173" s="341"/>
      <c r="P173" s="341"/>
      <c r="Q173" s="341"/>
      <c r="R173" s="341"/>
      <c r="S173" s="341"/>
      <c r="T173" s="341"/>
      <c r="U173" s="341"/>
      <c r="V173" s="341"/>
      <c r="W173" s="341"/>
      <c r="X173" s="341"/>
      <c r="Y173" s="341"/>
      <c r="Z173" s="341"/>
    </row>
    <row r="174" ht="15.75" customHeight="1">
      <c r="A174" s="341"/>
      <c r="B174" s="341"/>
      <c r="C174" s="341"/>
      <c r="D174" s="341"/>
      <c r="E174" s="341"/>
      <c r="F174" s="341"/>
      <c r="G174" s="341"/>
      <c r="H174" s="341"/>
      <c r="I174" s="341"/>
      <c r="J174" s="341"/>
      <c r="K174" s="341"/>
      <c r="L174" s="341"/>
      <c r="M174" s="341"/>
      <c r="N174" s="341"/>
      <c r="O174" s="341"/>
      <c r="P174" s="341"/>
      <c r="Q174" s="341"/>
      <c r="R174" s="341"/>
      <c r="S174" s="341"/>
      <c r="T174" s="341"/>
      <c r="U174" s="341"/>
      <c r="V174" s="341"/>
      <c r="W174" s="341"/>
      <c r="X174" s="341"/>
      <c r="Y174" s="341"/>
      <c r="Z174" s="341"/>
    </row>
    <row r="175" ht="15.75" customHeight="1">
      <c r="A175" s="341"/>
      <c r="B175" s="341"/>
      <c r="C175" s="341"/>
      <c r="D175" s="341"/>
      <c r="E175" s="341"/>
      <c r="F175" s="341"/>
      <c r="G175" s="341"/>
      <c r="H175" s="341"/>
      <c r="I175" s="341"/>
      <c r="J175" s="341"/>
      <c r="K175" s="341"/>
      <c r="L175" s="341"/>
      <c r="M175" s="341"/>
      <c r="N175" s="341"/>
      <c r="O175" s="341"/>
      <c r="P175" s="341"/>
      <c r="Q175" s="341"/>
      <c r="R175" s="341"/>
      <c r="S175" s="341"/>
      <c r="T175" s="341"/>
      <c r="U175" s="341"/>
      <c r="V175" s="341"/>
      <c r="W175" s="341"/>
      <c r="X175" s="341"/>
      <c r="Y175" s="341"/>
      <c r="Z175" s="341"/>
    </row>
    <row r="176" ht="15.75" customHeight="1">
      <c r="A176" s="341"/>
      <c r="B176" s="341"/>
      <c r="C176" s="341"/>
      <c r="D176" s="341"/>
      <c r="E176" s="341"/>
      <c r="F176" s="341"/>
      <c r="G176" s="341"/>
      <c r="H176" s="341"/>
      <c r="I176" s="341"/>
      <c r="J176" s="341"/>
      <c r="K176" s="341"/>
      <c r="L176" s="341"/>
      <c r="M176" s="341"/>
      <c r="N176" s="341"/>
      <c r="O176" s="341"/>
      <c r="P176" s="341"/>
      <c r="Q176" s="341"/>
      <c r="R176" s="341"/>
      <c r="S176" s="341"/>
      <c r="T176" s="341"/>
      <c r="U176" s="341"/>
      <c r="V176" s="341"/>
      <c r="W176" s="341"/>
      <c r="X176" s="341"/>
      <c r="Y176" s="341"/>
      <c r="Z176" s="341"/>
    </row>
    <row r="177" ht="15.75" customHeight="1">
      <c r="A177" s="341"/>
      <c r="B177" s="341"/>
      <c r="C177" s="341"/>
      <c r="D177" s="341"/>
      <c r="E177" s="341"/>
      <c r="F177" s="341"/>
      <c r="G177" s="341"/>
      <c r="H177" s="341"/>
      <c r="I177" s="341"/>
      <c r="J177" s="341"/>
      <c r="K177" s="341"/>
      <c r="L177" s="341"/>
      <c r="M177" s="341"/>
      <c r="N177" s="341"/>
      <c r="O177" s="341"/>
      <c r="P177" s="341"/>
      <c r="Q177" s="341"/>
      <c r="R177" s="341"/>
      <c r="S177" s="341"/>
      <c r="T177" s="341"/>
      <c r="U177" s="341"/>
      <c r="V177" s="341"/>
      <c r="W177" s="341"/>
      <c r="X177" s="341"/>
      <c r="Y177" s="341"/>
      <c r="Z177" s="341"/>
    </row>
    <row r="178" ht="15.75" customHeight="1">
      <c r="A178" s="341"/>
      <c r="B178" s="341"/>
      <c r="C178" s="341"/>
      <c r="D178" s="341"/>
      <c r="E178" s="341"/>
      <c r="F178" s="341"/>
      <c r="G178" s="341"/>
      <c r="H178" s="341"/>
      <c r="I178" s="341"/>
      <c r="J178" s="341"/>
      <c r="K178" s="341"/>
      <c r="L178" s="341"/>
      <c r="M178" s="341"/>
      <c r="N178" s="341"/>
      <c r="O178" s="341"/>
      <c r="P178" s="341"/>
      <c r="Q178" s="341"/>
      <c r="R178" s="341"/>
      <c r="S178" s="341"/>
      <c r="T178" s="341"/>
      <c r="U178" s="341"/>
      <c r="V178" s="341"/>
      <c r="W178" s="341"/>
      <c r="X178" s="341"/>
      <c r="Y178" s="341"/>
      <c r="Z178" s="341"/>
    </row>
    <row r="179" ht="15.75" customHeight="1">
      <c r="A179" s="341"/>
      <c r="B179" s="341"/>
      <c r="C179" s="341"/>
      <c r="D179" s="341"/>
      <c r="E179" s="341"/>
      <c r="F179" s="341"/>
      <c r="G179" s="341"/>
      <c r="H179" s="341"/>
      <c r="I179" s="341"/>
      <c r="J179" s="341"/>
      <c r="K179" s="341"/>
      <c r="L179" s="341"/>
      <c r="M179" s="341"/>
      <c r="N179" s="341"/>
      <c r="O179" s="341"/>
      <c r="P179" s="341"/>
      <c r="Q179" s="341"/>
      <c r="R179" s="341"/>
      <c r="S179" s="341"/>
      <c r="T179" s="341"/>
      <c r="U179" s="341"/>
      <c r="V179" s="341"/>
      <c r="W179" s="341"/>
      <c r="X179" s="341"/>
      <c r="Y179" s="341"/>
      <c r="Z179" s="341"/>
    </row>
    <row r="180" ht="15.75" customHeight="1">
      <c r="A180" s="341"/>
      <c r="B180" s="341"/>
      <c r="C180" s="341"/>
      <c r="D180" s="341"/>
      <c r="E180" s="341"/>
      <c r="F180" s="341"/>
      <c r="G180" s="341"/>
      <c r="H180" s="341"/>
      <c r="I180" s="341"/>
      <c r="J180" s="341"/>
      <c r="K180" s="341"/>
      <c r="L180" s="341"/>
      <c r="M180" s="341"/>
      <c r="N180" s="341"/>
      <c r="O180" s="341"/>
      <c r="P180" s="341"/>
      <c r="Q180" s="341"/>
      <c r="R180" s="341"/>
      <c r="S180" s="341"/>
      <c r="T180" s="341"/>
      <c r="U180" s="341"/>
      <c r="V180" s="341"/>
      <c r="W180" s="341"/>
      <c r="X180" s="341"/>
      <c r="Y180" s="341"/>
      <c r="Z180" s="341"/>
    </row>
    <row r="181" ht="15.75" customHeight="1">
      <c r="A181" s="341"/>
      <c r="B181" s="341"/>
      <c r="C181" s="341"/>
      <c r="D181" s="341"/>
      <c r="E181" s="341"/>
      <c r="F181" s="341"/>
      <c r="G181" s="341"/>
      <c r="H181" s="341"/>
      <c r="I181" s="341"/>
      <c r="J181" s="341"/>
      <c r="K181" s="341"/>
      <c r="L181" s="341"/>
      <c r="M181" s="341"/>
      <c r="N181" s="341"/>
      <c r="O181" s="341"/>
      <c r="P181" s="341"/>
      <c r="Q181" s="341"/>
      <c r="R181" s="341"/>
      <c r="S181" s="341"/>
      <c r="T181" s="341"/>
      <c r="U181" s="341"/>
      <c r="V181" s="341"/>
      <c r="W181" s="341"/>
      <c r="X181" s="341"/>
      <c r="Y181" s="341"/>
      <c r="Z181" s="341"/>
    </row>
    <row r="182" ht="15.75" customHeight="1">
      <c r="A182" s="341"/>
      <c r="B182" s="341"/>
      <c r="C182" s="341"/>
      <c r="D182" s="341"/>
      <c r="E182" s="341"/>
      <c r="F182" s="341"/>
      <c r="G182" s="341"/>
      <c r="H182" s="341"/>
      <c r="I182" s="341"/>
      <c r="J182" s="341"/>
      <c r="K182" s="341"/>
      <c r="L182" s="341"/>
      <c r="M182" s="341"/>
      <c r="N182" s="341"/>
      <c r="O182" s="341"/>
      <c r="P182" s="341"/>
      <c r="Q182" s="341"/>
      <c r="R182" s="341"/>
      <c r="S182" s="341"/>
      <c r="T182" s="341"/>
      <c r="U182" s="341"/>
      <c r="V182" s="341"/>
      <c r="W182" s="341"/>
      <c r="X182" s="341"/>
      <c r="Y182" s="341"/>
      <c r="Z182" s="341"/>
    </row>
    <row r="183" ht="15.75" customHeight="1">
      <c r="A183" s="341"/>
      <c r="B183" s="341"/>
      <c r="C183" s="341"/>
      <c r="D183" s="341"/>
      <c r="E183" s="341"/>
      <c r="F183" s="341"/>
      <c r="G183" s="341"/>
      <c r="H183" s="341"/>
      <c r="I183" s="341"/>
      <c r="J183" s="341"/>
      <c r="K183" s="341"/>
      <c r="L183" s="341"/>
      <c r="M183" s="341"/>
      <c r="N183" s="341"/>
      <c r="O183" s="341"/>
      <c r="P183" s="341"/>
      <c r="Q183" s="341"/>
      <c r="R183" s="341"/>
      <c r="S183" s="341"/>
      <c r="T183" s="341"/>
      <c r="U183" s="341"/>
      <c r="V183" s="341"/>
      <c r="W183" s="341"/>
      <c r="X183" s="341"/>
      <c r="Y183" s="341"/>
      <c r="Z183" s="341"/>
    </row>
    <row r="184" ht="15.75" customHeight="1">
      <c r="A184" s="341"/>
      <c r="B184" s="341"/>
      <c r="C184" s="341"/>
      <c r="D184" s="341"/>
      <c r="E184" s="341"/>
      <c r="F184" s="341"/>
      <c r="G184" s="341"/>
      <c r="H184" s="341"/>
      <c r="I184" s="341"/>
      <c r="J184" s="341"/>
      <c r="K184" s="341"/>
      <c r="L184" s="341"/>
      <c r="M184" s="341"/>
      <c r="N184" s="341"/>
      <c r="O184" s="341"/>
      <c r="P184" s="341"/>
      <c r="Q184" s="341"/>
      <c r="R184" s="341"/>
      <c r="S184" s="341"/>
      <c r="T184" s="341"/>
      <c r="U184" s="341"/>
      <c r="V184" s="341"/>
      <c r="W184" s="341"/>
      <c r="X184" s="341"/>
      <c r="Y184" s="341"/>
      <c r="Z184" s="341"/>
    </row>
    <row r="185" ht="15.75" customHeight="1">
      <c r="A185" s="341"/>
      <c r="B185" s="341"/>
      <c r="C185" s="341"/>
      <c r="D185" s="341"/>
      <c r="E185" s="341"/>
      <c r="F185" s="341"/>
      <c r="G185" s="341"/>
      <c r="H185" s="341"/>
      <c r="I185" s="341"/>
      <c r="J185" s="341"/>
      <c r="K185" s="341"/>
      <c r="L185" s="341"/>
      <c r="M185" s="341"/>
      <c r="N185" s="341"/>
      <c r="O185" s="341"/>
      <c r="P185" s="341"/>
      <c r="Q185" s="341"/>
      <c r="R185" s="341"/>
      <c r="S185" s="341"/>
      <c r="T185" s="341"/>
      <c r="U185" s="341"/>
      <c r="V185" s="341"/>
      <c r="W185" s="341"/>
      <c r="X185" s="341"/>
      <c r="Y185" s="341"/>
      <c r="Z185" s="341"/>
    </row>
    <row r="186" ht="15.75" customHeight="1">
      <c r="A186" s="341"/>
      <c r="B186" s="341"/>
      <c r="C186" s="341"/>
      <c r="D186" s="341"/>
      <c r="E186" s="341"/>
      <c r="F186" s="341"/>
      <c r="G186" s="341"/>
      <c r="H186" s="341"/>
      <c r="I186" s="341"/>
      <c r="J186" s="341"/>
      <c r="K186" s="341"/>
      <c r="L186" s="341"/>
      <c r="M186" s="341"/>
      <c r="N186" s="341"/>
      <c r="O186" s="341"/>
      <c r="P186" s="341"/>
      <c r="Q186" s="341"/>
      <c r="R186" s="341"/>
      <c r="S186" s="341"/>
      <c r="T186" s="341"/>
      <c r="U186" s="341"/>
      <c r="V186" s="341"/>
      <c r="W186" s="341"/>
      <c r="X186" s="341"/>
      <c r="Y186" s="341"/>
      <c r="Z186" s="341"/>
    </row>
    <row r="187" ht="15.75" customHeight="1">
      <c r="A187" s="341"/>
      <c r="B187" s="341"/>
      <c r="C187" s="341"/>
      <c r="D187" s="341"/>
      <c r="E187" s="341"/>
      <c r="F187" s="341"/>
      <c r="G187" s="341"/>
      <c r="H187" s="341"/>
      <c r="I187" s="341"/>
      <c r="J187" s="341"/>
      <c r="K187" s="341"/>
      <c r="L187" s="341"/>
      <c r="M187" s="341"/>
      <c r="N187" s="341"/>
      <c r="O187" s="341"/>
      <c r="P187" s="341"/>
      <c r="Q187" s="341"/>
      <c r="R187" s="341"/>
      <c r="S187" s="341"/>
      <c r="T187" s="341"/>
      <c r="U187" s="341"/>
      <c r="V187" s="341"/>
      <c r="W187" s="341"/>
      <c r="X187" s="341"/>
      <c r="Y187" s="341"/>
      <c r="Z187" s="341"/>
    </row>
    <row r="188" ht="15.75" customHeight="1">
      <c r="A188" s="341"/>
      <c r="B188" s="341"/>
      <c r="C188" s="341"/>
      <c r="D188" s="341"/>
      <c r="E188" s="341"/>
      <c r="F188" s="341"/>
      <c r="G188" s="341"/>
      <c r="H188" s="341"/>
      <c r="I188" s="341"/>
      <c r="J188" s="341"/>
      <c r="K188" s="341"/>
      <c r="L188" s="341"/>
      <c r="M188" s="341"/>
      <c r="N188" s="341"/>
      <c r="O188" s="341"/>
      <c r="P188" s="341"/>
      <c r="Q188" s="341"/>
      <c r="R188" s="341"/>
      <c r="S188" s="341"/>
      <c r="T188" s="341"/>
      <c r="U188" s="341"/>
      <c r="V188" s="341"/>
      <c r="W188" s="341"/>
      <c r="X188" s="341"/>
      <c r="Y188" s="341"/>
      <c r="Z188" s="341"/>
    </row>
    <row r="189" ht="15.75" customHeight="1">
      <c r="A189" s="341"/>
      <c r="B189" s="341"/>
      <c r="C189" s="341"/>
      <c r="D189" s="341"/>
      <c r="E189" s="341"/>
      <c r="F189" s="341"/>
      <c r="G189" s="341"/>
      <c r="H189" s="341"/>
      <c r="I189" s="341"/>
      <c r="J189" s="341"/>
      <c r="K189" s="341"/>
      <c r="L189" s="341"/>
      <c r="M189" s="341"/>
      <c r="N189" s="341"/>
      <c r="O189" s="341"/>
      <c r="P189" s="341"/>
      <c r="Q189" s="341"/>
      <c r="R189" s="341"/>
      <c r="S189" s="341"/>
      <c r="T189" s="341"/>
      <c r="U189" s="341"/>
      <c r="V189" s="341"/>
      <c r="W189" s="341"/>
      <c r="X189" s="341"/>
      <c r="Y189" s="341"/>
      <c r="Z189" s="341"/>
    </row>
    <row r="190" ht="15.75" customHeight="1">
      <c r="A190" s="341"/>
      <c r="B190" s="341"/>
      <c r="C190" s="341"/>
      <c r="D190" s="341"/>
      <c r="E190" s="341"/>
      <c r="F190" s="341"/>
      <c r="G190" s="341"/>
      <c r="H190" s="341"/>
      <c r="I190" s="341"/>
      <c r="J190" s="341"/>
      <c r="K190" s="341"/>
      <c r="L190" s="341"/>
      <c r="M190" s="341"/>
      <c r="N190" s="341"/>
      <c r="O190" s="341"/>
      <c r="P190" s="341"/>
      <c r="Q190" s="341"/>
      <c r="R190" s="341"/>
      <c r="S190" s="341"/>
      <c r="T190" s="341"/>
      <c r="U190" s="341"/>
      <c r="V190" s="341"/>
      <c r="W190" s="341"/>
      <c r="X190" s="341"/>
      <c r="Y190" s="341"/>
      <c r="Z190" s="341"/>
    </row>
    <row r="191" ht="15.75" customHeight="1">
      <c r="A191" s="341"/>
      <c r="B191" s="341"/>
      <c r="C191" s="341"/>
      <c r="D191" s="341"/>
      <c r="E191" s="341"/>
      <c r="F191" s="341"/>
      <c r="G191" s="341"/>
      <c r="H191" s="341"/>
      <c r="I191" s="341"/>
      <c r="J191" s="341"/>
      <c r="K191" s="341"/>
      <c r="L191" s="341"/>
      <c r="M191" s="341"/>
      <c r="N191" s="341"/>
      <c r="O191" s="341"/>
      <c r="P191" s="341"/>
      <c r="Q191" s="341"/>
      <c r="R191" s="341"/>
      <c r="S191" s="341"/>
      <c r="T191" s="341"/>
      <c r="U191" s="341"/>
      <c r="V191" s="341"/>
      <c r="W191" s="341"/>
      <c r="X191" s="341"/>
      <c r="Y191" s="341"/>
      <c r="Z191" s="341"/>
    </row>
    <row r="192" ht="15.75" customHeight="1">
      <c r="A192" s="341"/>
      <c r="B192" s="341"/>
      <c r="C192" s="341"/>
      <c r="D192" s="341"/>
      <c r="E192" s="341"/>
      <c r="F192" s="341"/>
      <c r="G192" s="341"/>
      <c r="H192" s="341"/>
      <c r="I192" s="341"/>
      <c r="J192" s="341"/>
      <c r="K192" s="341"/>
      <c r="L192" s="341"/>
      <c r="M192" s="341"/>
      <c r="N192" s="341"/>
      <c r="O192" s="341"/>
      <c r="P192" s="341"/>
      <c r="Q192" s="341"/>
      <c r="R192" s="341"/>
      <c r="S192" s="341"/>
      <c r="T192" s="341"/>
      <c r="U192" s="341"/>
      <c r="V192" s="341"/>
      <c r="W192" s="341"/>
      <c r="X192" s="341"/>
      <c r="Y192" s="341"/>
      <c r="Z192" s="341"/>
    </row>
    <row r="193" ht="15.75" customHeight="1">
      <c r="A193" s="341"/>
      <c r="B193" s="341"/>
      <c r="C193" s="341"/>
      <c r="D193" s="341"/>
      <c r="E193" s="341"/>
      <c r="F193" s="341"/>
      <c r="G193" s="341"/>
      <c r="H193" s="341"/>
      <c r="I193" s="341"/>
      <c r="J193" s="341"/>
      <c r="K193" s="341"/>
      <c r="L193" s="341"/>
      <c r="M193" s="341"/>
      <c r="N193" s="341"/>
      <c r="O193" s="341"/>
      <c r="P193" s="341"/>
      <c r="Q193" s="341"/>
      <c r="R193" s="341"/>
      <c r="S193" s="341"/>
      <c r="T193" s="341"/>
      <c r="U193" s="341"/>
      <c r="V193" s="341"/>
      <c r="W193" s="341"/>
      <c r="X193" s="341"/>
      <c r="Y193" s="341"/>
      <c r="Z193" s="341"/>
    </row>
    <row r="194" ht="15.75" customHeight="1">
      <c r="A194" s="341"/>
      <c r="B194" s="341"/>
      <c r="C194" s="341"/>
      <c r="D194" s="341"/>
      <c r="E194" s="341"/>
      <c r="F194" s="341"/>
      <c r="G194" s="341"/>
      <c r="H194" s="341"/>
      <c r="I194" s="341"/>
      <c r="J194" s="341"/>
      <c r="K194" s="341"/>
      <c r="L194" s="341"/>
      <c r="M194" s="341"/>
      <c r="N194" s="341"/>
      <c r="O194" s="341"/>
      <c r="P194" s="341"/>
      <c r="Q194" s="341"/>
      <c r="R194" s="341"/>
      <c r="S194" s="341"/>
      <c r="T194" s="341"/>
      <c r="U194" s="341"/>
      <c r="V194" s="341"/>
      <c r="W194" s="341"/>
      <c r="X194" s="341"/>
      <c r="Y194" s="341"/>
      <c r="Z194" s="341"/>
    </row>
    <row r="195" ht="15.75" customHeight="1">
      <c r="A195" s="341"/>
      <c r="B195" s="341"/>
      <c r="C195" s="341"/>
      <c r="D195" s="341"/>
      <c r="E195" s="341"/>
      <c r="F195" s="341"/>
      <c r="G195" s="341"/>
      <c r="H195" s="341"/>
      <c r="I195" s="341"/>
      <c r="J195" s="341"/>
      <c r="K195" s="341"/>
      <c r="L195" s="341"/>
      <c r="M195" s="341"/>
      <c r="N195" s="341"/>
      <c r="O195" s="341"/>
      <c r="P195" s="341"/>
      <c r="Q195" s="341"/>
      <c r="R195" s="341"/>
      <c r="S195" s="341"/>
      <c r="T195" s="341"/>
      <c r="U195" s="341"/>
      <c r="V195" s="341"/>
      <c r="W195" s="341"/>
      <c r="X195" s="341"/>
      <c r="Y195" s="341"/>
      <c r="Z195" s="341"/>
    </row>
    <row r="196" ht="15.75" customHeight="1">
      <c r="A196" s="341"/>
      <c r="B196" s="341"/>
      <c r="C196" s="341"/>
      <c r="D196" s="341"/>
      <c r="E196" s="341"/>
      <c r="F196" s="341"/>
      <c r="G196" s="341"/>
      <c r="H196" s="341"/>
      <c r="I196" s="341"/>
      <c r="J196" s="341"/>
      <c r="K196" s="341"/>
      <c r="L196" s="341"/>
      <c r="M196" s="341"/>
      <c r="N196" s="341"/>
      <c r="O196" s="341"/>
      <c r="P196" s="341"/>
      <c r="Q196" s="341"/>
      <c r="R196" s="341"/>
      <c r="S196" s="341"/>
      <c r="T196" s="341"/>
      <c r="U196" s="341"/>
      <c r="V196" s="341"/>
      <c r="W196" s="341"/>
      <c r="X196" s="341"/>
      <c r="Y196" s="341"/>
      <c r="Z196" s="341"/>
    </row>
    <row r="197" ht="15.75" customHeight="1">
      <c r="A197" s="341"/>
      <c r="B197" s="341"/>
      <c r="C197" s="341"/>
      <c r="D197" s="341"/>
      <c r="E197" s="341"/>
      <c r="F197" s="341"/>
      <c r="G197" s="341"/>
      <c r="H197" s="341"/>
      <c r="I197" s="341"/>
      <c r="J197" s="341"/>
      <c r="K197" s="341"/>
      <c r="L197" s="341"/>
      <c r="M197" s="341"/>
      <c r="N197" s="341"/>
      <c r="O197" s="341"/>
      <c r="P197" s="341"/>
      <c r="Q197" s="341"/>
      <c r="R197" s="341"/>
      <c r="S197" s="341"/>
      <c r="T197" s="341"/>
      <c r="U197" s="341"/>
      <c r="V197" s="341"/>
      <c r="W197" s="341"/>
      <c r="X197" s="341"/>
      <c r="Y197" s="341"/>
      <c r="Z197" s="341"/>
    </row>
    <row r="198" ht="15.75" customHeight="1">
      <c r="A198" s="341"/>
      <c r="B198" s="341"/>
      <c r="C198" s="341"/>
      <c r="D198" s="341"/>
      <c r="E198" s="341"/>
      <c r="F198" s="341"/>
      <c r="G198" s="341"/>
      <c r="H198" s="341"/>
      <c r="I198" s="341"/>
      <c r="J198" s="341"/>
      <c r="K198" s="341"/>
      <c r="L198" s="341"/>
      <c r="M198" s="341"/>
      <c r="N198" s="341"/>
      <c r="O198" s="341"/>
      <c r="P198" s="341"/>
      <c r="Q198" s="341"/>
      <c r="R198" s="341"/>
      <c r="S198" s="341"/>
      <c r="T198" s="341"/>
      <c r="U198" s="341"/>
      <c r="V198" s="341"/>
      <c r="W198" s="341"/>
      <c r="X198" s="341"/>
      <c r="Y198" s="341"/>
      <c r="Z198" s="341"/>
    </row>
    <row r="199" ht="15.75" customHeight="1">
      <c r="A199" s="341"/>
      <c r="B199" s="341"/>
      <c r="C199" s="341"/>
      <c r="D199" s="341"/>
      <c r="E199" s="341"/>
      <c r="F199" s="341"/>
      <c r="G199" s="341"/>
      <c r="H199" s="341"/>
      <c r="I199" s="341"/>
      <c r="J199" s="341"/>
      <c r="K199" s="341"/>
      <c r="L199" s="341"/>
      <c r="M199" s="341"/>
      <c r="N199" s="341"/>
      <c r="O199" s="341"/>
      <c r="P199" s="341"/>
      <c r="Q199" s="341"/>
      <c r="R199" s="341"/>
      <c r="S199" s="341"/>
      <c r="T199" s="341"/>
      <c r="U199" s="341"/>
      <c r="V199" s="341"/>
      <c r="W199" s="341"/>
      <c r="X199" s="341"/>
      <c r="Y199" s="341"/>
      <c r="Z199" s="341"/>
    </row>
    <row r="200" ht="15.75" customHeight="1">
      <c r="A200" s="341"/>
      <c r="B200" s="341"/>
      <c r="C200" s="341"/>
      <c r="D200" s="341"/>
      <c r="E200" s="341"/>
      <c r="F200" s="341"/>
      <c r="G200" s="341"/>
      <c r="H200" s="341"/>
      <c r="I200" s="341"/>
      <c r="J200" s="341"/>
      <c r="K200" s="341"/>
      <c r="L200" s="341"/>
      <c r="M200" s="341"/>
      <c r="N200" s="341"/>
      <c r="O200" s="341"/>
      <c r="P200" s="341"/>
      <c r="Q200" s="341"/>
      <c r="R200" s="341"/>
      <c r="S200" s="341"/>
      <c r="T200" s="341"/>
      <c r="U200" s="341"/>
      <c r="V200" s="341"/>
      <c r="W200" s="341"/>
      <c r="X200" s="341"/>
      <c r="Y200" s="341"/>
      <c r="Z200" s="341"/>
    </row>
    <row r="201" ht="15.75" customHeight="1">
      <c r="A201" s="341"/>
      <c r="B201" s="341"/>
      <c r="C201" s="341"/>
      <c r="D201" s="341"/>
      <c r="E201" s="341"/>
      <c r="F201" s="341"/>
      <c r="G201" s="341"/>
      <c r="H201" s="341"/>
      <c r="I201" s="341"/>
      <c r="J201" s="341"/>
      <c r="K201" s="341"/>
      <c r="L201" s="341"/>
      <c r="M201" s="341"/>
      <c r="N201" s="341"/>
      <c r="O201" s="341"/>
      <c r="P201" s="341"/>
      <c r="Q201" s="341"/>
      <c r="R201" s="341"/>
      <c r="S201" s="341"/>
      <c r="T201" s="341"/>
      <c r="U201" s="341"/>
      <c r="V201" s="341"/>
      <c r="W201" s="341"/>
      <c r="X201" s="341"/>
      <c r="Y201" s="341"/>
      <c r="Z201" s="341"/>
    </row>
    <row r="202" ht="15.75" customHeight="1">
      <c r="A202" s="341"/>
      <c r="B202" s="341"/>
      <c r="C202" s="341"/>
      <c r="D202" s="341"/>
      <c r="E202" s="341"/>
      <c r="F202" s="341"/>
      <c r="G202" s="341"/>
      <c r="H202" s="341"/>
      <c r="I202" s="341"/>
      <c r="J202" s="341"/>
      <c r="K202" s="341"/>
      <c r="L202" s="341"/>
      <c r="M202" s="341"/>
      <c r="N202" s="341"/>
      <c r="O202" s="341"/>
      <c r="P202" s="341"/>
      <c r="Q202" s="341"/>
      <c r="R202" s="341"/>
      <c r="S202" s="341"/>
      <c r="T202" s="341"/>
      <c r="U202" s="341"/>
      <c r="V202" s="341"/>
      <c r="W202" s="341"/>
      <c r="X202" s="341"/>
      <c r="Y202" s="341"/>
      <c r="Z202" s="341"/>
    </row>
    <row r="203" ht="15.75" customHeight="1">
      <c r="A203" s="341"/>
      <c r="B203" s="341"/>
      <c r="C203" s="341"/>
      <c r="D203" s="341"/>
      <c r="E203" s="341"/>
      <c r="F203" s="341"/>
      <c r="G203" s="341"/>
      <c r="H203" s="341"/>
      <c r="I203" s="341"/>
      <c r="J203" s="341"/>
      <c r="K203" s="341"/>
      <c r="L203" s="341"/>
      <c r="M203" s="341"/>
      <c r="N203" s="341"/>
      <c r="O203" s="341"/>
      <c r="P203" s="341"/>
      <c r="Q203" s="341"/>
      <c r="R203" s="341"/>
      <c r="S203" s="341"/>
      <c r="T203" s="341"/>
      <c r="U203" s="341"/>
      <c r="V203" s="341"/>
      <c r="W203" s="341"/>
      <c r="X203" s="341"/>
      <c r="Y203" s="341"/>
      <c r="Z203" s="341"/>
    </row>
    <row r="204" ht="15.75" customHeight="1">
      <c r="A204" s="341"/>
      <c r="B204" s="341"/>
      <c r="C204" s="341"/>
      <c r="D204" s="341"/>
      <c r="E204" s="341"/>
      <c r="F204" s="341"/>
      <c r="G204" s="341"/>
      <c r="H204" s="341"/>
      <c r="I204" s="341"/>
      <c r="J204" s="341"/>
      <c r="K204" s="341"/>
      <c r="L204" s="341"/>
      <c r="M204" s="341"/>
      <c r="N204" s="341"/>
      <c r="O204" s="341"/>
      <c r="P204" s="341"/>
      <c r="Q204" s="341"/>
      <c r="R204" s="341"/>
      <c r="S204" s="341"/>
      <c r="T204" s="341"/>
      <c r="U204" s="341"/>
      <c r="V204" s="341"/>
      <c r="W204" s="341"/>
      <c r="X204" s="341"/>
      <c r="Y204" s="341"/>
      <c r="Z204" s="341"/>
    </row>
    <row r="205" ht="15.75" customHeight="1">
      <c r="A205" s="341"/>
      <c r="B205" s="341"/>
      <c r="C205" s="341"/>
      <c r="D205" s="341"/>
      <c r="E205" s="341"/>
      <c r="F205" s="341"/>
      <c r="G205" s="341"/>
      <c r="H205" s="341"/>
      <c r="I205" s="341"/>
      <c r="J205" s="341"/>
      <c r="K205" s="341"/>
      <c r="L205" s="341"/>
      <c r="M205" s="341"/>
      <c r="N205" s="341"/>
      <c r="O205" s="341"/>
      <c r="P205" s="341"/>
      <c r="Q205" s="341"/>
      <c r="R205" s="341"/>
      <c r="S205" s="341"/>
      <c r="T205" s="341"/>
      <c r="U205" s="341"/>
      <c r="V205" s="341"/>
      <c r="W205" s="341"/>
      <c r="X205" s="341"/>
      <c r="Y205" s="341"/>
      <c r="Z205" s="341"/>
    </row>
    <row r="206" ht="15.75" customHeight="1">
      <c r="A206" s="341"/>
      <c r="B206" s="341"/>
      <c r="C206" s="341"/>
      <c r="D206" s="341"/>
      <c r="E206" s="341"/>
      <c r="F206" s="341"/>
      <c r="G206" s="341"/>
      <c r="H206" s="341"/>
      <c r="I206" s="341"/>
      <c r="J206" s="341"/>
      <c r="K206" s="341"/>
      <c r="L206" s="341"/>
      <c r="M206" s="341"/>
      <c r="N206" s="341"/>
      <c r="O206" s="341"/>
      <c r="P206" s="341"/>
      <c r="Q206" s="341"/>
      <c r="R206" s="341"/>
      <c r="S206" s="341"/>
      <c r="T206" s="341"/>
      <c r="U206" s="341"/>
      <c r="V206" s="341"/>
      <c r="W206" s="341"/>
      <c r="X206" s="341"/>
      <c r="Y206" s="341"/>
      <c r="Z206" s="341"/>
    </row>
    <row r="207" ht="15.75" customHeight="1">
      <c r="A207" s="341"/>
      <c r="B207" s="341"/>
      <c r="C207" s="341"/>
      <c r="D207" s="341"/>
      <c r="E207" s="341"/>
      <c r="F207" s="341"/>
      <c r="G207" s="341"/>
      <c r="H207" s="341"/>
      <c r="I207" s="341"/>
      <c r="J207" s="341"/>
      <c r="K207" s="341"/>
      <c r="L207" s="341"/>
      <c r="M207" s="341"/>
      <c r="N207" s="341"/>
      <c r="O207" s="341"/>
      <c r="P207" s="341"/>
      <c r="Q207" s="341"/>
      <c r="R207" s="341"/>
      <c r="S207" s="341"/>
      <c r="T207" s="341"/>
      <c r="U207" s="341"/>
      <c r="V207" s="341"/>
      <c r="W207" s="341"/>
      <c r="X207" s="341"/>
      <c r="Y207" s="341"/>
      <c r="Z207" s="341"/>
    </row>
    <row r="208" ht="15.75" customHeight="1">
      <c r="A208" s="341"/>
      <c r="B208" s="341"/>
      <c r="C208" s="341"/>
      <c r="D208" s="341"/>
      <c r="E208" s="341"/>
      <c r="F208" s="341"/>
      <c r="G208" s="341"/>
      <c r="H208" s="341"/>
      <c r="I208" s="341"/>
      <c r="J208" s="341"/>
      <c r="K208" s="341"/>
      <c r="L208" s="341"/>
      <c r="M208" s="341"/>
      <c r="N208" s="341"/>
      <c r="O208" s="341"/>
      <c r="P208" s="341"/>
      <c r="Q208" s="341"/>
      <c r="R208" s="341"/>
      <c r="S208" s="341"/>
      <c r="T208" s="341"/>
      <c r="U208" s="341"/>
      <c r="V208" s="341"/>
      <c r="W208" s="341"/>
      <c r="X208" s="341"/>
      <c r="Y208" s="341"/>
      <c r="Z208" s="341"/>
    </row>
    <row r="209" ht="15.75" customHeight="1">
      <c r="A209" s="341"/>
      <c r="B209" s="341"/>
      <c r="C209" s="341"/>
      <c r="D209" s="341"/>
      <c r="E209" s="341"/>
      <c r="F209" s="341"/>
      <c r="G209" s="341"/>
      <c r="H209" s="341"/>
      <c r="I209" s="341"/>
      <c r="J209" s="341"/>
      <c r="K209" s="341"/>
      <c r="L209" s="341"/>
      <c r="M209" s="341"/>
      <c r="N209" s="341"/>
      <c r="O209" s="341"/>
      <c r="P209" s="341"/>
      <c r="Q209" s="341"/>
      <c r="R209" s="341"/>
      <c r="S209" s="341"/>
      <c r="T209" s="341"/>
      <c r="U209" s="341"/>
      <c r="V209" s="341"/>
      <c r="W209" s="341"/>
      <c r="X209" s="341"/>
      <c r="Y209" s="341"/>
      <c r="Z209" s="341"/>
    </row>
    <row r="210" ht="15.75" customHeight="1">
      <c r="A210" s="341"/>
      <c r="B210" s="341"/>
      <c r="C210" s="341"/>
      <c r="D210" s="341"/>
      <c r="E210" s="341"/>
      <c r="F210" s="341"/>
      <c r="G210" s="341"/>
      <c r="H210" s="341"/>
      <c r="I210" s="341"/>
      <c r="J210" s="341"/>
      <c r="K210" s="341"/>
      <c r="L210" s="341"/>
      <c r="M210" s="341"/>
      <c r="N210" s="341"/>
      <c r="O210" s="341"/>
      <c r="P210" s="341"/>
      <c r="Q210" s="341"/>
      <c r="R210" s="341"/>
      <c r="S210" s="341"/>
      <c r="T210" s="341"/>
      <c r="U210" s="341"/>
      <c r="V210" s="341"/>
      <c r="W210" s="341"/>
      <c r="X210" s="341"/>
      <c r="Y210" s="341"/>
      <c r="Z210" s="341"/>
    </row>
    <row r="211" ht="15.75" customHeight="1">
      <c r="A211" s="341"/>
      <c r="B211" s="341"/>
      <c r="C211" s="341"/>
      <c r="D211" s="341"/>
      <c r="E211" s="341"/>
      <c r="F211" s="341"/>
      <c r="G211" s="341"/>
      <c r="H211" s="341"/>
      <c r="I211" s="341"/>
      <c r="J211" s="341"/>
      <c r="K211" s="341"/>
      <c r="L211" s="341"/>
      <c r="M211" s="341"/>
      <c r="N211" s="341"/>
      <c r="O211" s="341"/>
      <c r="P211" s="341"/>
      <c r="Q211" s="341"/>
      <c r="R211" s="341"/>
      <c r="S211" s="341"/>
      <c r="T211" s="341"/>
      <c r="U211" s="341"/>
      <c r="V211" s="341"/>
      <c r="W211" s="341"/>
      <c r="X211" s="341"/>
      <c r="Y211" s="341"/>
      <c r="Z211" s="341"/>
    </row>
    <row r="212" ht="15.75" customHeight="1">
      <c r="A212" s="341"/>
      <c r="B212" s="341"/>
      <c r="C212" s="341"/>
      <c r="D212" s="341"/>
      <c r="E212" s="341"/>
      <c r="F212" s="341"/>
      <c r="G212" s="341"/>
      <c r="H212" s="341"/>
      <c r="I212" s="341"/>
      <c r="J212" s="341"/>
      <c r="K212" s="341"/>
      <c r="L212" s="341"/>
      <c r="M212" s="341"/>
      <c r="N212" s="341"/>
      <c r="O212" s="341"/>
      <c r="P212" s="341"/>
      <c r="Q212" s="341"/>
      <c r="R212" s="341"/>
      <c r="S212" s="341"/>
      <c r="T212" s="341"/>
      <c r="U212" s="341"/>
      <c r="V212" s="341"/>
      <c r="W212" s="341"/>
      <c r="X212" s="341"/>
      <c r="Y212" s="341"/>
      <c r="Z212" s="341"/>
    </row>
    <row r="213" ht="15.75" customHeight="1">
      <c r="A213" s="341"/>
      <c r="B213" s="341"/>
      <c r="C213" s="341"/>
      <c r="D213" s="341"/>
      <c r="E213" s="341"/>
      <c r="F213" s="341"/>
      <c r="G213" s="341"/>
      <c r="H213" s="341"/>
      <c r="I213" s="341"/>
      <c r="J213" s="341"/>
      <c r="K213" s="341"/>
      <c r="L213" s="341"/>
      <c r="M213" s="341"/>
      <c r="N213" s="341"/>
      <c r="O213" s="341"/>
      <c r="P213" s="341"/>
      <c r="Q213" s="341"/>
      <c r="R213" s="341"/>
      <c r="S213" s="341"/>
      <c r="T213" s="341"/>
      <c r="U213" s="341"/>
      <c r="V213" s="341"/>
      <c r="W213" s="341"/>
      <c r="X213" s="341"/>
      <c r="Y213" s="341"/>
      <c r="Z213" s="341"/>
    </row>
    <row r="214" ht="15.75" customHeight="1">
      <c r="A214" s="341"/>
      <c r="B214" s="341"/>
      <c r="C214" s="341"/>
      <c r="D214" s="341"/>
      <c r="E214" s="341"/>
      <c r="F214" s="341"/>
      <c r="G214" s="341"/>
      <c r="H214" s="341"/>
      <c r="I214" s="341"/>
      <c r="J214" s="341"/>
      <c r="K214" s="341"/>
      <c r="L214" s="341"/>
      <c r="M214" s="341"/>
      <c r="N214" s="341"/>
      <c r="O214" s="341"/>
      <c r="P214" s="341"/>
      <c r="Q214" s="341"/>
      <c r="R214" s="341"/>
      <c r="S214" s="341"/>
      <c r="T214" s="341"/>
      <c r="U214" s="341"/>
      <c r="V214" s="341"/>
      <c r="W214" s="341"/>
      <c r="X214" s="341"/>
      <c r="Y214" s="341"/>
      <c r="Z214" s="341"/>
    </row>
    <row r="215" ht="15.75" customHeight="1">
      <c r="A215" s="341"/>
      <c r="B215" s="341"/>
      <c r="C215" s="341"/>
      <c r="D215" s="341"/>
      <c r="E215" s="341"/>
      <c r="F215" s="341"/>
      <c r="G215" s="341"/>
      <c r="H215" s="341"/>
      <c r="I215" s="341"/>
      <c r="J215" s="341"/>
      <c r="K215" s="341"/>
      <c r="L215" s="341"/>
      <c r="M215" s="341"/>
      <c r="N215" s="341"/>
      <c r="O215" s="341"/>
      <c r="P215" s="341"/>
      <c r="Q215" s="341"/>
      <c r="R215" s="341"/>
      <c r="S215" s="341"/>
      <c r="T215" s="341"/>
      <c r="U215" s="341"/>
      <c r="V215" s="341"/>
      <c r="W215" s="341"/>
      <c r="X215" s="341"/>
      <c r="Y215" s="341"/>
      <c r="Z215" s="341"/>
    </row>
    <row r="216" ht="15.75" customHeight="1">
      <c r="A216" s="341"/>
      <c r="B216" s="341"/>
      <c r="C216" s="341"/>
      <c r="D216" s="341"/>
      <c r="E216" s="341"/>
      <c r="F216" s="341"/>
      <c r="G216" s="341"/>
      <c r="H216" s="341"/>
      <c r="I216" s="341"/>
      <c r="J216" s="341"/>
      <c r="K216" s="341"/>
      <c r="L216" s="341"/>
      <c r="M216" s="341"/>
      <c r="N216" s="341"/>
      <c r="O216" s="341"/>
      <c r="P216" s="341"/>
      <c r="Q216" s="341"/>
      <c r="R216" s="341"/>
      <c r="S216" s="341"/>
      <c r="T216" s="341"/>
      <c r="U216" s="341"/>
      <c r="V216" s="341"/>
      <c r="W216" s="341"/>
      <c r="X216" s="341"/>
      <c r="Y216" s="341"/>
      <c r="Z216" s="341"/>
    </row>
    <row r="217" ht="15.75" customHeight="1">
      <c r="A217" s="341"/>
      <c r="B217" s="341"/>
      <c r="C217" s="341"/>
      <c r="D217" s="341"/>
      <c r="E217" s="341"/>
      <c r="F217" s="341"/>
      <c r="G217" s="341"/>
      <c r="H217" s="341"/>
      <c r="I217" s="341"/>
      <c r="J217" s="341"/>
      <c r="K217" s="341"/>
      <c r="L217" s="341"/>
      <c r="M217" s="341"/>
      <c r="N217" s="341"/>
      <c r="O217" s="341"/>
      <c r="P217" s="341"/>
      <c r="Q217" s="341"/>
      <c r="R217" s="341"/>
      <c r="S217" s="341"/>
      <c r="T217" s="341"/>
      <c r="U217" s="341"/>
      <c r="V217" s="341"/>
      <c r="W217" s="341"/>
      <c r="X217" s="341"/>
      <c r="Y217" s="341"/>
      <c r="Z217" s="341"/>
    </row>
    <row r="218" ht="15.75" customHeight="1">
      <c r="A218" s="341"/>
      <c r="B218" s="341"/>
      <c r="C218" s="341"/>
      <c r="D218" s="341"/>
      <c r="E218" s="341"/>
      <c r="F218" s="341"/>
      <c r="G218" s="341"/>
      <c r="H218" s="341"/>
      <c r="I218" s="341"/>
      <c r="J218" s="341"/>
      <c r="K218" s="341"/>
      <c r="L218" s="341"/>
      <c r="M218" s="341"/>
      <c r="N218" s="341"/>
      <c r="O218" s="341"/>
      <c r="P218" s="341"/>
      <c r="Q218" s="341"/>
      <c r="R218" s="341"/>
      <c r="S218" s="341"/>
      <c r="T218" s="341"/>
      <c r="U218" s="341"/>
      <c r="V218" s="341"/>
      <c r="W218" s="341"/>
      <c r="X218" s="341"/>
      <c r="Y218" s="341"/>
      <c r="Z218" s="341"/>
    </row>
    <row r="219" ht="15.75" customHeight="1">
      <c r="A219" s="341"/>
      <c r="B219" s="341"/>
      <c r="C219" s="341"/>
      <c r="D219" s="341"/>
      <c r="E219" s="341"/>
      <c r="F219" s="341"/>
      <c r="G219" s="341"/>
      <c r="H219" s="341"/>
      <c r="I219" s="341"/>
      <c r="J219" s="341"/>
      <c r="K219" s="341"/>
      <c r="L219" s="341"/>
      <c r="M219" s="341"/>
      <c r="N219" s="341"/>
      <c r="O219" s="341"/>
      <c r="P219" s="341"/>
      <c r="Q219" s="341"/>
      <c r="R219" s="341"/>
      <c r="S219" s="341"/>
      <c r="T219" s="341"/>
      <c r="U219" s="341"/>
      <c r="V219" s="341"/>
      <c r="W219" s="341"/>
      <c r="X219" s="341"/>
      <c r="Y219" s="341"/>
      <c r="Z219" s="341"/>
    </row>
    <row r="220" ht="15.75" customHeight="1">
      <c r="A220" s="341"/>
      <c r="B220" s="341"/>
      <c r="C220" s="341"/>
      <c r="D220" s="341"/>
      <c r="E220" s="341"/>
      <c r="F220" s="341"/>
      <c r="G220" s="341"/>
      <c r="H220" s="341"/>
      <c r="I220" s="341"/>
      <c r="J220" s="341"/>
      <c r="K220" s="341"/>
      <c r="L220" s="341"/>
      <c r="M220" s="341"/>
      <c r="N220" s="341"/>
      <c r="O220" s="341"/>
      <c r="P220" s="341"/>
      <c r="Q220" s="341"/>
      <c r="R220" s="341"/>
      <c r="S220" s="341"/>
      <c r="T220" s="341"/>
      <c r="U220" s="341"/>
      <c r="V220" s="341"/>
      <c r="W220" s="341"/>
      <c r="X220" s="341"/>
      <c r="Y220" s="341"/>
      <c r="Z220" s="341"/>
    </row>
    <row r="221" ht="15.75" customHeight="1">
      <c r="A221" s="341"/>
      <c r="B221" s="341"/>
      <c r="C221" s="341"/>
      <c r="D221" s="341"/>
      <c r="E221" s="341"/>
      <c r="F221" s="341"/>
      <c r="G221" s="341"/>
      <c r="H221" s="341"/>
      <c r="I221" s="341"/>
      <c r="J221" s="341"/>
      <c r="K221" s="341"/>
      <c r="L221" s="341"/>
      <c r="M221" s="341"/>
      <c r="N221" s="341"/>
      <c r="O221" s="341"/>
      <c r="P221" s="341"/>
      <c r="Q221" s="341"/>
      <c r="R221" s="341"/>
      <c r="S221" s="341"/>
      <c r="T221" s="341"/>
      <c r="U221" s="341"/>
      <c r="V221" s="341"/>
      <c r="W221" s="341"/>
      <c r="X221" s="341"/>
      <c r="Y221" s="341"/>
      <c r="Z221" s="341"/>
    </row>
    <row r="222" ht="15.75" customHeight="1">
      <c r="A222" s="341"/>
      <c r="B222" s="341"/>
      <c r="C222" s="341"/>
      <c r="D222" s="341"/>
      <c r="E222" s="341"/>
      <c r="F222" s="341"/>
      <c r="G222" s="341"/>
      <c r="H222" s="341"/>
      <c r="I222" s="341"/>
      <c r="J222" s="341"/>
      <c r="K222" s="341"/>
      <c r="L222" s="341"/>
      <c r="M222" s="341"/>
      <c r="N222" s="341"/>
      <c r="O222" s="341"/>
      <c r="P222" s="341"/>
      <c r="Q222" s="341"/>
      <c r="R222" s="341"/>
      <c r="S222" s="341"/>
      <c r="T222" s="341"/>
      <c r="U222" s="341"/>
      <c r="V222" s="341"/>
      <c r="W222" s="341"/>
      <c r="X222" s="341"/>
      <c r="Y222" s="341"/>
      <c r="Z222" s="341"/>
    </row>
    <row r="223" ht="15.75" customHeight="1">
      <c r="A223" s="341"/>
      <c r="B223" s="341"/>
      <c r="C223" s="341"/>
      <c r="D223" s="341"/>
      <c r="E223" s="341"/>
      <c r="F223" s="341"/>
      <c r="G223" s="341"/>
      <c r="H223" s="341"/>
      <c r="I223" s="341"/>
      <c r="J223" s="341"/>
      <c r="K223" s="341"/>
      <c r="L223" s="341"/>
      <c r="M223" s="341"/>
      <c r="N223" s="341"/>
      <c r="O223" s="341"/>
      <c r="P223" s="341"/>
      <c r="Q223" s="341"/>
      <c r="R223" s="341"/>
      <c r="S223" s="341"/>
      <c r="T223" s="341"/>
      <c r="U223" s="341"/>
      <c r="V223" s="341"/>
      <c r="W223" s="341"/>
      <c r="X223" s="341"/>
      <c r="Y223" s="341"/>
      <c r="Z223" s="341"/>
    </row>
    <row r="224" ht="15.75" customHeight="1">
      <c r="A224" s="341"/>
      <c r="B224" s="341"/>
      <c r="C224" s="341"/>
      <c r="D224" s="341"/>
      <c r="E224" s="341"/>
      <c r="F224" s="341"/>
      <c r="G224" s="341"/>
      <c r="H224" s="341"/>
      <c r="I224" s="341"/>
      <c r="J224" s="341"/>
      <c r="K224" s="341"/>
      <c r="L224" s="341"/>
      <c r="M224" s="341"/>
      <c r="N224" s="341"/>
      <c r="O224" s="341"/>
      <c r="P224" s="341"/>
      <c r="Q224" s="341"/>
      <c r="R224" s="341"/>
      <c r="S224" s="341"/>
      <c r="T224" s="341"/>
      <c r="U224" s="341"/>
      <c r="V224" s="341"/>
      <c r="W224" s="341"/>
      <c r="X224" s="341"/>
      <c r="Y224" s="341"/>
      <c r="Z224" s="341"/>
    </row>
    <row r="225" ht="15.75" customHeight="1">
      <c r="A225" s="341"/>
      <c r="B225" s="341"/>
      <c r="C225" s="341"/>
      <c r="D225" s="341"/>
      <c r="E225" s="341"/>
      <c r="F225" s="341"/>
      <c r="G225" s="341"/>
      <c r="H225" s="341"/>
      <c r="I225" s="341"/>
      <c r="J225" s="341"/>
      <c r="K225" s="341"/>
      <c r="L225" s="341"/>
      <c r="M225" s="341"/>
      <c r="N225" s="341"/>
      <c r="O225" s="341"/>
      <c r="P225" s="341"/>
      <c r="Q225" s="341"/>
      <c r="R225" s="341"/>
      <c r="S225" s="341"/>
      <c r="T225" s="341"/>
      <c r="U225" s="341"/>
      <c r="V225" s="341"/>
      <c r="W225" s="341"/>
      <c r="X225" s="341"/>
      <c r="Y225" s="341"/>
      <c r="Z225" s="341"/>
    </row>
    <row r="226" ht="15.75" customHeight="1">
      <c r="A226" s="341"/>
      <c r="B226" s="341"/>
      <c r="C226" s="341"/>
      <c r="D226" s="341"/>
      <c r="E226" s="341"/>
      <c r="F226" s="341"/>
      <c r="G226" s="341"/>
      <c r="H226" s="341"/>
      <c r="I226" s="341"/>
      <c r="J226" s="341"/>
      <c r="K226" s="341"/>
      <c r="L226" s="341"/>
      <c r="M226" s="341"/>
      <c r="N226" s="341"/>
      <c r="O226" s="341"/>
      <c r="P226" s="341"/>
      <c r="Q226" s="341"/>
      <c r="R226" s="341"/>
      <c r="S226" s="341"/>
      <c r="T226" s="341"/>
      <c r="U226" s="341"/>
      <c r="V226" s="341"/>
      <c r="W226" s="341"/>
      <c r="X226" s="341"/>
      <c r="Y226" s="341"/>
      <c r="Z226" s="341"/>
    </row>
    <row r="227" ht="15.75" customHeight="1">
      <c r="A227" s="341"/>
      <c r="B227" s="341"/>
      <c r="C227" s="341"/>
      <c r="D227" s="341"/>
      <c r="E227" s="341"/>
      <c r="F227" s="341"/>
      <c r="G227" s="341"/>
      <c r="H227" s="341"/>
      <c r="I227" s="341"/>
      <c r="J227" s="341"/>
      <c r="K227" s="341"/>
      <c r="L227" s="341"/>
      <c r="M227" s="341"/>
      <c r="N227" s="341"/>
      <c r="O227" s="341"/>
      <c r="P227" s="341"/>
      <c r="Q227" s="341"/>
      <c r="R227" s="341"/>
      <c r="S227" s="341"/>
      <c r="T227" s="341"/>
      <c r="U227" s="341"/>
      <c r="V227" s="341"/>
      <c r="W227" s="341"/>
      <c r="X227" s="341"/>
      <c r="Y227" s="341"/>
      <c r="Z227" s="341"/>
    </row>
    <row r="228" ht="15.75" customHeight="1">
      <c r="A228" s="341"/>
      <c r="B228" s="341"/>
      <c r="C228" s="341"/>
      <c r="D228" s="341"/>
      <c r="E228" s="341"/>
      <c r="F228" s="341"/>
      <c r="G228" s="341"/>
      <c r="H228" s="341"/>
      <c r="I228" s="341"/>
      <c r="J228" s="341"/>
      <c r="K228" s="341"/>
      <c r="L228" s="341"/>
      <c r="M228" s="341"/>
      <c r="N228" s="341"/>
      <c r="O228" s="341"/>
      <c r="P228" s="341"/>
      <c r="Q228" s="341"/>
      <c r="R228" s="341"/>
      <c r="S228" s="341"/>
      <c r="T228" s="341"/>
      <c r="U228" s="341"/>
      <c r="V228" s="341"/>
      <c r="W228" s="341"/>
      <c r="X228" s="341"/>
      <c r="Y228" s="341"/>
      <c r="Z228" s="341"/>
    </row>
    <row r="229" ht="15.75" customHeight="1">
      <c r="A229" s="341"/>
      <c r="B229" s="341"/>
      <c r="C229" s="341"/>
      <c r="D229" s="341"/>
      <c r="E229" s="341"/>
      <c r="F229" s="341"/>
      <c r="G229" s="341"/>
      <c r="H229" s="341"/>
      <c r="I229" s="341"/>
      <c r="J229" s="341"/>
      <c r="K229" s="341"/>
      <c r="L229" s="341"/>
      <c r="M229" s="341"/>
      <c r="N229" s="341"/>
      <c r="O229" s="341"/>
      <c r="P229" s="341"/>
      <c r="Q229" s="341"/>
      <c r="R229" s="341"/>
      <c r="S229" s="341"/>
      <c r="T229" s="341"/>
      <c r="U229" s="341"/>
      <c r="V229" s="341"/>
      <c r="W229" s="341"/>
      <c r="X229" s="341"/>
      <c r="Y229" s="341"/>
      <c r="Z229" s="341"/>
    </row>
    <row r="230" ht="15.75" customHeight="1">
      <c r="A230" s="341"/>
      <c r="B230" s="341"/>
      <c r="C230" s="341"/>
      <c r="D230" s="341"/>
      <c r="E230" s="341"/>
      <c r="F230" s="341"/>
      <c r="G230" s="341"/>
      <c r="H230" s="341"/>
      <c r="I230" s="341"/>
      <c r="J230" s="341"/>
      <c r="K230" s="341"/>
      <c r="L230" s="341"/>
      <c r="M230" s="341"/>
      <c r="N230" s="341"/>
      <c r="O230" s="341"/>
      <c r="P230" s="341"/>
      <c r="Q230" s="341"/>
      <c r="R230" s="341"/>
      <c r="S230" s="341"/>
      <c r="T230" s="341"/>
      <c r="U230" s="341"/>
      <c r="V230" s="341"/>
      <c r="W230" s="341"/>
      <c r="X230" s="341"/>
      <c r="Y230" s="341"/>
      <c r="Z230" s="341"/>
    </row>
    <row r="231" ht="15.75" customHeight="1">
      <c r="A231" s="341"/>
      <c r="B231" s="341"/>
      <c r="C231" s="341"/>
      <c r="D231" s="341"/>
      <c r="E231" s="341"/>
      <c r="F231" s="341"/>
      <c r="G231" s="341"/>
      <c r="H231" s="341"/>
      <c r="I231" s="341"/>
      <c r="J231" s="341"/>
      <c r="K231" s="341"/>
      <c r="L231" s="341"/>
      <c r="M231" s="341"/>
      <c r="N231" s="341"/>
      <c r="O231" s="341"/>
      <c r="P231" s="341"/>
      <c r="Q231" s="341"/>
      <c r="R231" s="341"/>
      <c r="S231" s="341"/>
      <c r="T231" s="341"/>
      <c r="U231" s="341"/>
      <c r="V231" s="341"/>
      <c r="W231" s="341"/>
      <c r="X231" s="341"/>
      <c r="Y231" s="341"/>
      <c r="Z231" s="341"/>
    </row>
    <row r="232" ht="15.75" customHeight="1">
      <c r="A232" s="341"/>
      <c r="B232" s="341"/>
      <c r="C232" s="341"/>
      <c r="D232" s="341"/>
      <c r="E232" s="341"/>
      <c r="F232" s="341"/>
      <c r="G232" s="341"/>
      <c r="H232" s="341"/>
      <c r="I232" s="341"/>
      <c r="J232" s="341"/>
      <c r="K232" s="341"/>
      <c r="L232" s="341"/>
      <c r="M232" s="341"/>
      <c r="N232" s="341"/>
      <c r="O232" s="341"/>
      <c r="P232" s="341"/>
      <c r="Q232" s="341"/>
      <c r="R232" s="341"/>
      <c r="S232" s="341"/>
      <c r="T232" s="341"/>
      <c r="U232" s="341"/>
      <c r="V232" s="341"/>
      <c r="W232" s="341"/>
      <c r="X232" s="341"/>
      <c r="Y232" s="341"/>
      <c r="Z232" s="341"/>
    </row>
    <row r="233" ht="15.75" customHeight="1">
      <c r="A233" s="341"/>
      <c r="B233" s="341"/>
      <c r="C233" s="341"/>
      <c r="D233" s="341"/>
      <c r="E233" s="341"/>
      <c r="F233" s="341"/>
      <c r="G233" s="341"/>
      <c r="H233" s="341"/>
      <c r="I233" s="341"/>
      <c r="J233" s="341"/>
      <c r="K233" s="341"/>
      <c r="L233" s="341"/>
      <c r="M233" s="341"/>
      <c r="N233" s="341"/>
      <c r="O233" s="341"/>
      <c r="P233" s="341"/>
      <c r="Q233" s="341"/>
      <c r="R233" s="341"/>
      <c r="S233" s="341"/>
      <c r="T233" s="341"/>
      <c r="U233" s="341"/>
      <c r="V233" s="341"/>
      <c r="W233" s="341"/>
      <c r="X233" s="341"/>
      <c r="Y233" s="341"/>
      <c r="Z233" s="341"/>
    </row>
    <row r="234" ht="15.75" customHeight="1">
      <c r="A234" s="341"/>
      <c r="B234" s="341"/>
      <c r="C234" s="341"/>
      <c r="D234" s="341"/>
      <c r="E234" s="341"/>
      <c r="F234" s="341"/>
      <c r="G234" s="341"/>
      <c r="H234" s="341"/>
      <c r="I234" s="341"/>
      <c r="J234" s="341"/>
      <c r="K234" s="341"/>
      <c r="L234" s="341"/>
      <c r="M234" s="341"/>
      <c r="N234" s="341"/>
      <c r="O234" s="341"/>
      <c r="P234" s="341"/>
      <c r="Q234" s="341"/>
      <c r="R234" s="341"/>
      <c r="S234" s="341"/>
      <c r="T234" s="341"/>
      <c r="U234" s="341"/>
      <c r="V234" s="341"/>
      <c r="W234" s="341"/>
      <c r="X234" s="341"/>
      <c r="Y234" s="341"/>
      <c r="Z234" s="341"/>
    </row>
    <row r="235" ht="15.75" customHeight="1">
      <c r="A235" s="341"/>
      <c r="B235" s="341"/>
      <c r="C235" s="341"/>
      <c r="D235" s="341"/>
      <c r="E235" s="341"/>
      <c r="F235" s="341"/>
      <c r="G235" s="341"/>
      <c r="H235" s="341"/>
      <c r="I235" s="341"/>
      <c r="J235" s="341"/>
      <c r="K235" s="341"/>
      <c r="L235" s="341"/>
      <c r="M235" s="341"/>
      <c r="N235" s="341"/>
      <c r="O235" s="341"/>
      <c r="P235" s="341"/>
      <c r="Q235" s="341"/>
      <c r="R235" s="341"/>
      <c r="S235" s="341"/>
      <c r="T235" s="341"/>
      <c r="U235" s="341"/>
      <c r="V235" s="341"/>
      <c r="W235" s="341"/>
      <c r="X235" s="341"/>
      <c r="Y235" s="341"/>
      <c r="Z235" s="341"/>
    </row>
    <row r="236" ht="15.75" customHeight="1">
      <c r="A236" s="341"/>
      <c r="B236" s="341"/>
      <c r="C236" s="341"/>
      <c r="D236" s="341"/>
      <c r="E236" s="341"/>
      <c r="F236" s="341"/>
      <c r="G236" s="341"/>
      <c r="H236" s="341"/>
      <c r="I236" s="341"/>
      <c r="J236" s="341"/>
      <c r="K236" s="341"/>
      <c r="L236" s="341"/>
      <c r="M236" s="341"/>
      <c r="N236" s="341"/>
      <c r="O236" s="341"/>
      <c r="P236" s="341"/>
      <c r="Q236" s="341"/>
      <c r="R236" s="341"/>
      <c r="S236" s="341"/>
      <c r="T236" s="341"/>
      <c r="U236" s="341"/>
      <c r="V236" s="341"/>
      <c r="W236" s="341"/>
      <c r="X236" s="341"/>
      <c r="Y236" s="341"/>
      <c r="Z236" s="341"/>
    </row>
    <row r="237" ht="15.75" customHeight="1">
      <c r="A237" s="341"/>
      <c r="B237" s="341"/>
      <c r="C237" s="341"/>
      <c r="D237" s="341"/>
      <c r="E237" s="341"/>
      <c r="F237" s="341"/>
      <c r="G237" s="341"/>
      <c r="H237" s="341"/>
      <c r="I237" s="341"/>
      <c r="J237" s="341"/>
      <c r="K237" s="341"/>
      <c r="L237" s="341"/>
      <c r="M237" s="341"/>
      <c r="N237" s="341"/>
      <c r="O237" s="341"/>
      <c r="P237" s="341"/>
      <c r="Q237" s="341"/>
      <c r="R237" s="341"/>
      <c r="S237" s="341"/>
      <c r="T237" s="341"/>
      <c r="U237" s="341"/>
      <c r="V237" s="341"/>
      <c r="W237" s="341"/>
      <c r="X237" s="341"/>
      <c r="Y237" s="341"/>
      <c r="Z237" s="341"/>
    </row>
    <row r="238" ht="15.75" customHeight="1">
      <c r="A238" s="341"/>
      <c r="B238" s="341"/>
      <c r="C238" s="341"/>
      <c r="D238" s="341"/>
      <c r="E238" s="341"/>
      <c r="F238" s="341"/>
      <c r="G238" s="341"/>
      <c r="H238" s="341"/>
      <c r="I238" s="341"/>
      <c r="J238" s="341"/>
      <c r="K238" s="341"/>
      <c r="L238" s="341"/>
      <c r="M238" s="341"/>
      <c r="N238" s="341"/>
      <c r="O238" s="341"/>
      <c r="P238" s="341"/>
      <c r="Q238" s="341"/>
      <c r="R238" s="341"/>
      <c r="S238" s="341"/>
      <c r="T238" s="341"/>
      <c r="U238" s="341"/>
      <c r="V238" s="341"/>
      <c r="W238" s="341"/>
      <c r="X238" s="341"/>
      <c r="Y238" s="341"/>
      <c r="Z238" s="341"/>
    </row>
    <row r="239" ht="15.75" customHeight="1">
      <c r="A239" s="341"/>
      <c r="B239" s="341"/>
      <c r="C239" s="341"/>
      <c r="D239" s="341"/>
      <c r="E239" s="341"/>
      <c r="F239" s="341"/>
      <c r="G239" s="341"/>
      <c r="H239" s="341"/>
      <c r="I239" s="341"/>
      <c r="J239" s="341"/>
      <c r="K239" s="341"/>
      <c r="L239" s="341"/>
      <c r="M239" s="341"/>
      <c r="N239" s="341"/>
      <c r="O239" s="341"/>
      <c r="P239" s="341"/>
      <c r="Q239" s="341"/>
      <c r="R239" s="341"/>
      <c r="S239" s="341"/>
      <c r="T239" s="341"/>
      <c r="U239" s="341"/>
      <c r="V239" s="341"/>
      <c r="W239" s="341"/>
      <c r="X239" s="341"/>
      <c r="Y239" s="341"/>
      <c r="Z239" s="341"/>
    </row>
    <row r="240" ht="15.75" customHeight="1">
      <c r="A240" s="341"/>
      <c r="B240" s="341"/>
      <c r="C240" s="341"/>
      <c r="D240" s="341"/>
      <c r="E240" s="341"/>
      <c r="F240" s="341"/>
      <c r="G240" s="341"/>
      <c r="H240" s="341"/>
      <c r="I240" s="341"/>
      <c r="J240" s="341"/>
      <c r="K240" s="341"/>
      <c r="L240" s="341"/>
      <c r="M240" s="341"/>
      <c r="N240" s="341"/>
      <c r="O240" s="341"/>
      <c r="P240" s="341"/>
      <c r="Q240" s="341"/>
      <c r="R240" s="341"/>
      <c r="S240" s="341"/>
      <c r="T240" s="341"/>
      <c r="U240" s="341"/>
      <c r="V240" s="341"/>
      <c r="W240" s="341"/>
      <c r="X240" s="341"/>
      <c r="Y240" s="341"/>
      <c r="Z240" s="341"/>
    </row>
    <row r="241" ht="15.75" customHeight="1">
      <c r="A241" s="341"/>
      <c r="B241" s="341"/>
      <c r="C241" s="341"/>
      <c r="D241" s="341"/>
      <c r="E241" s="341"/>
      <c r="F241" s="341"/>
      <c r="G241" s="341"/>
      <c r="H241" s="341"/>
      <c r="I241" s="341"/>
      <c r="J241" s="341"/>
      <c r="K241" s="341"/>
      <c r="L241" s="341"/>
      <c r="M241" s="341"/>
      <c r="N241" s="341"/>
      <c r="O241" s="341"/>
      <c r="P241" s="341"/>
      <c r="Q241" s="341"/>
      <c r="R241" s="341"/>
      <c r="S241" s="341"/>
      <c r="T241" s="341"/>
      <c r="U241" s="341"/>
      <c r="V241" s="341"/>
      <c r="W241" s="341"/>
      <c r="X241" s="341"/>
      <c r="Y241" s="341"/>
      <c r="Z241" s="341"/>
    </row>
    <row r="242" ht="15.75" customHeight="1">
      <c r="A242" s="341"/>
      <c r="B242" s="341"/>
      <c r="C242" s="341"/>
      <c r="D242" s="341"/>
      <c r="E242" s="341"/>
      <c r="F242" s="341"/>
      <c r="G242" s="341"/>
      <c r="H242" s="341"/>
      <c r="I242" s="341"/>
      <c r="J242" s="341"/>
      <c r="K242" s="341"/>
      <c r="L242" s="341"/>
      <c r="M242" s="341"/>
      <c r="N242" s="341"/>
      <c r="O242" s="341"/>
      <c r="P242" s="341"/>
      <c r="Q242" s="341"/>
      <c r="R242" s="341"/>
      <c r="S242" s="341"/>
      <c r="T242" s="341"/>
      <c r="U242" s="341"/>
      <c r="V242" s="341"/>
      <c r="W242" s="341"/>
      <c r="X242" s="341"/>
      <c r="Y242" s="341"/>
      <c r="Z242" s="341"/>
    </row>
    <row r="243" ht="15.75" customHeight="1">
      <c r="A243" s="341"/>
      <c r="B243" s="341"/>
      <c r="C243" s="341"/>
      <c r="D243" s="341"/>
      <c r="E243" s="341"/>
      <c r="F243" s="341"/>
      <c r="G243" s="341"/>
      <c r="H243" s="341"/>
      <c r="I243" s="341"/>
      <c r="J243" s="341"/>
      <c r="K243" s="341"/>
      <c r="L243" s="341"/>
      <c r="M243" s="341"/>
      <c r="N243" s="341"/>
      <c r="O243" s="341"/>
      <c r="P243" s="341"/>
      <c r="Q243" s="341"/>
      <c r="R243" s="341"/>
      <c r="S243" s="341"/>
      <c r="T243" s="341"/>
      <c r="U243" s="341"/>
      <c r="V243" s="341"/>
      <c r="W243" s="341"/>
      <c r="X243" s="341"/>
      <c r="Y243" s="341"/>
      <c r="Z243" s="341"/>
    </row>
    <row r="244" ht="15.75" customHeight="1">
      <c r="A244" s="341"/>
      <c r="B244" s="341"/>
      <c r="C244" s="341"/>
      <c r="D244" s="341"/>
      <c r="E244" s="341"/>
      <c r="F244" s="341"/>
      <c r="G244" s="341"/>
      <c r="H244" s="341"/>
      <c r="I244" s="341"/>
      <c r="J244" s="341"/>
      <c r="K244" s="341"/>
      <c r="L244" s="341"/>
      <c r="M244" s="341"/>
      <c r="N244" s="341"/>
      <c r="O244" s="341"/>
      <c r="P244" s="341"/>
      <c r="Q244" s="341"/>
      <c r="R244" s="341"/>
      <c r="S244" s="341"/>
      <c r="T244" s="341"/>
      <c r="U244" s="341"/>
      <c r="V244" s="341"/>
      <c r="W244" s="341"/>
      <c r="X244" s="341"/>
      <c r="Y244" s="341"/>
      <c r="Z244" s="341"/>
    </row>
    <row r="245" ht="15.75" customHeight="1">
      <c r="A245" s="341"/>
      <c r="B245" s="341"/>
      <c r="C245" s="341"/>
      <c r="D245" s="341"/>
      <c r="E245" s="341"/>
      <c r="F245" s="341"/>
      <c r="G245" s="341"/>
      <c r="H245" s="341"/>
      <c r="I245" s="341"/>
      <c r="J245" s="341"/>
      <c r="K245" s="341"/>
      <c r="L245" s="341"/>
      <c r="M245" s="341"/>
      <c r="N245" s="341"/>
      <c r="O245" s="341"/>
      <c r="P245" s="341"/>
      <c r="Q245" s="341"/>
      <c r="R245" s="341"/>
      <c r="S245" s="341"/>
      <c r="T245" s="341"/>
      <c r="U245" s="341"/>
      <c r="V245" s="341"/>
      <c r="W245" s="341"/>
      <c r="X245" s="341"/>
      <c r="Y245" s="341"/>
      <c r="Z245" s="341"/>
    </row>
    <row r="246" ht="15.75" customHeight="1">
      <c r="A246" s="341"/>
      <c r="B246" s="341"/>
      <c r="C246" s="341"/>
      <c r="D246" s="341"/>
      <c r="E246" s="341"/>
      <c r="F246" s="341"/>
      <c r="G246" s="341"/>
      <c r="H246" s="341"/>
      <c r="I246" s="341"/>
      <c r="J246" s="341"/>
      <c r="K246" s="341"/>
      <c r="L246" s="341"/>
      <c r="M246" s="341"/>
      <c r="N246" s="341"/>
      <c r="O246" s="341"/>
      <c r="P246" s="341"/>
      <c r="Q246" s="341"/>
      <c r="R246" s="341"/>
      <c r="S246" s="341"/>
      <c r="T246" s="341"/>
      <c r="U246" s="341"/>
      <c r="V246" s="341"/>
      <c r="W246" s="341"/>
      <c r="X246" s="341"/>
      <c r="Y246" s="341"/>
      <c r="Z246" s="341"/>
    </row>
    <row r="247" ht="15.75" customHeight="1">
      <c r="A247" s="341"/>
      <c r="B247" s="341"/>
      <c r="C247" s="341"/>
      <c r="D247" s="341"/>
      <c r="E247" s="341"/>
      <c r="F247" s="341"/>
      <c r="G247" s="341"/>
      <c r="H247" s="341"/>
      <c r="I247" s="341"/>
      <c r="J247" s="341"/>
      <c r="K247" s="341"/>
      <c r="L247" s="341"/>
      <c r="M247" s="341"/>
      <c r="N247" s="341"/>
      <c r="O247" s="341"/>
      <c r="P247" s="341"/>
      <c r="Q247" s="341"/>
      <c r="R247" s="341"/>
      <c r="S247" s="341"/>
      <c r="T247" s="341"/>
      <c r="U247" s="341"/>
      <c r="V247" s="341"/>
      <c r="W247" s="341"/>
      <c r="X247" s="341"/>
      <c r="Y247" s="341"/>
      <c r="Z247" s="341"/>
    </row>
    <row r="248" ht="15.75" customHeight="1">
      <c r="A248" s="341"/>
      <c r="B248" s="341"/>
      <c r="C248" s="341"/>
      <c r="D248" s="341"/>
      <c r="E248" s="341"/>
      <c r="F248" s="341"/>
      <c r="G248" s="341"/>
      <c r="H248" s="341"/>
      <c r="I248" s="341"/>
      <c r="J248" s="341"/>
      <c r="K248" s="341"/>
      <c r="L248" s="341"/>
      <c r="M248" s="341"/>
      <c r="N248" s="341"/>
      <c r="O248" s="341"/>
      <c r="P248" s="341"/>
      <c r="Q248" s="341"/>
      <c r="R248" s="341"/>
      <c r="S248" s="341"/>
      <c r="T248" s="341"/>
      <c r="U248" s="341"/>
      <c r="V248" s="341"/>
      <c r="W248" s="341"/>
      <c r="X248" s="341"/>
      <c r="Y248" s="341"/>
      <c r="Z248" s="341"/>
    </row>
    <row r="249" ht="15.75" customHeight="1">
      <c r="A249" s="341"/>
      <c r="B249" s="341"/>
      <c r="C249" s="341"/>
      <c r="D249" s="341"/>
      <c r="E249" s="341"/>
      <c r="F249" s="341"/>
      <c r="G249" s="341"/>
      <c r="H249" s="341"/>
      <c r="I249" s="341"/>
      <c r="J249" s="341"/>
      <c r="K249" s="341"/>
      <c r="L249" s="341"/>
      <c r="M249" s="341"/>
      <c r="N249" s="341"/>
      <c r="O249" s="341"/>
      <c r="P249" s="341"/>
      <c r="Q249" s="341"/>
      <c r="R249" s="341"/>
      <c r="S249" s="341"/>
      <c r="T249" s="341"/>
      <c r="U249" s="341"/>
      <c r="V249" s="341"/>
      <c r="W249" s="341"/>
      <c r="X249" s="341"/>
      <c r="Y249" s="341"/>
      <c r="Z249" s="341"/>
    </row>
    <row r="250" ht="15.75" customHeight="1">
      <c r="A250" s="341"/>
      <c r="B250" s="341"/>
      <c r="C250" s="341"/>
      <c r="D250" s="341"/>
      <c r="E250" s="341"/>
      <c r="F250" s="341"/>
      <c r="G250" s="341"/>
      <c r="H250" s="341"/>
      <c r="I250" s="341"/>
      <c r="J250" s="341"/>
      <c r="K250" s="341"/>
      <c r="L250" s="341"/>
      <c r="M250" s="341"/>
      <c r="N250" s="341"/>
      <c r="O250" s="341"/>
      <c r="P250" s="341"/>
      <c r="Q250" s="341"/>
      <c r="R250" s="341"/>
      <c r="S250" s="341"/>
      <c r="T250" s="341"/>
      <c r="U250" s="341"/>
      <c r="V250" s="341"/>
      <c r="W250" s="341"/>
      <c r="X250" s="341"/>
      <c r="Y250" s="341"/>
      <c r="Z250" s="341"/>
    </row>
    <row r="251" ht="15.75" customHeight="1">
      <c r="A251" s="341"/>
      <c r="B251" s="341"/>
      <c r="C251" s="341"/>
      <c r="D251" s="341"/>
      <c r="E251" s="341"/>
      <c r="F251" s="341"/>
      <c r="G251" s="341"/>
      <c r="H251" s="341"/>
      <c r="I251" s="341"/>
      <c r="J251" s="341"/>
      <c r="K251" s="341"/>
      <c r="L251" s="341"/>
      <c r="M251" s="341"/>
      <c r="N251" s="341"/>
      <c r="O251" s="341"/>
      <c r="P251" s="341"/>
      <c r="Q251" s="341"/>
      <c r="R251" s="341"/>
      <c r="S251" s="341"/>
      <c r="T251" s="341"/>
      <c r="U251" s="341"/>
      <c r="V251" s="341"/>
      <c r="W251" s="341"/>
      <c r="X251" s="341"/>
      <c r="Y251" s="341"/>
      <c r="Z251" s="341"/>
    </row>
    <row r="252" ht="15.75" customHeight="1">
      <c r="A252" s="341"/>
      <c r="B252" s="341"/>
      <c r="C252" s="341"/>
      <c r="D252" s="341"/>
      <c r="E252" s="341"/>
      <c r="F252" s="341"/>
      <c r="G252" s="341"/>
      <c r="H252" s="341"/>
      <c r="I252" s="341"/>
      <c r="J252" s="341"/>
      <c r="K252" s="341"/>
      <c r="L252" s="341"/>
      <c r="M252" s="341"/>
      <c r="N252" s="341"/>
      <c r="O252" s="341"/>
      <c r="P252" s="341"/>
      <c r="Q252" s="341"/>
      <c r="R252" s="341"/>
      <c r="S252" s="341"/>
      <c r="T252" s="341"/>
      <c r="U252" s="341"/>
      <c r="V252" s="341"/>
      <c r="W252" s="341"/>
      <c r="X252" s="341"/>
      <c r="Y252" s="341"/>
      <c r="Z252" s="341"/>
    </row>
    <row r="253" ht="15.75" customHeight="1">
      <c r="A253" s="341"/>
      <c r="B253" s="341"/>
      <c r="C253" s="341"/>
      <c r="D253" s="341"/>
      <c r="E253" s="341"/>
      <c r="F253" s="341"/>
      <c r="G253" s="341"/>
      <c r="H253" s="341"/>
      <c r="I253" s="341"/>
      <c r="J253" s="341"/>
      <c r="K253" s="341"/>
      <c r="L253" s="341"/>
      <c r="M253" s="341"/>
      <c r="N253" s="341"/>
      <c r="O253" s="341"/>
      <c r="P253" s="341"/>
      <c r="Q253" s="341"/>
      <c r="R253" s="341"/>
      <c r="S253" s="341"/>
      <c r="T253" s="341"/>
      <c r="U253" s="341"/>
      <c r="V253" s="341"/>
      <c r="W253" s="341"/>
      <c r="X253" s="341"/>
      <c r="Y253" s="341"/>
      <c r="Z253" s="341"/>
    </row>
    <row r="254" ht="15.75" customHeight="1">
      <c r="A254" s="341"/>
      <c r="B254" s="341"/>
      <c r="C254" s="341"/>
      <c r="D254" s="341"/>
      <c r="E254" s="341"/>
      <c r="F254" s="341"/>
      <c r="G254" s="341"/>
      <c r="H254" s="341"/>
      <c r="I254" s="341"/>
      <c r="J254" s="341"/>
      <c r="K254" s="341"/>
      <c r="L254" s="341"/>
      <c r="M254" s="341"/>
      <c r="N254" s="341"/>
      <c r="O254" s="341"/>
      <c r="P254" s="341"/>
      <c r="Q254" s="341"/>
      <c r="R254" s="341"/>
      <c r="S254" s="341"/>
      <c r="T254" s="341"/>
      <c r="U254" s="341"/>
      <c r="V254" s="341"/>
      <c r="W254" s="341"/>
      <c r="X254" s="341"/>
      <c r="Y254" s="341"/>
      <c r="Z254" s="341"/>
    </row>
    <row r="255" ht="15.75" customHeight="1">
      <c r="A255" s="341"/>
      <c r="B255" s="341"/>
      <c r="C255" s="341"/>
      <c r="D255" s="341"/>
      <c r="E255" s="341"/>
      <c r="F255" s="341"/>
      <c r="G255" s="341"/>
      <c r="H255" s="341"/>
      <c r="I255" s="341"/>
      <c r="J255" s="341"/>
      <c r="K255" s="341"/>
      <c r="L255" s="341"/>
      <c r="M255" s="341"/>
      <c r="N255" s="341"/>
      <c r="O255" s="341"/>
      <c r="P255" s="341"/>
      <c r="Q255" s="341"/>
      <c r="R255" s="341"/>
      <c r="S255" s="341"/>
      <c r="T255" s="341"/>
      <c r="U255" s="341"/>
      <c r="V255" s="341"/>
      <c r="W255" s="341"/>
      <c r="X255" s="341"/>
      <c r="Y255" s="341"/>
      <c r="Z255" s="341"/>
    </row>
    <row r="256" ht="15.75" customHeight="1">
      <c r="A256" s="341"/>
      <c r="B256" s="341"/>
      <c r="C256" s="341"/>
      <c r="D256" s="341"/>
      <c r="E256" s="341"/>
      <c r="F256" s="341"/>
      <c r="G256" s="341"/>
      <c r="H256" s="341"/>
      <c r="I256" s="341"/>
      <c r="J256" s="341"/>
      <c r="K256" s="341"/>
      <c r="L256" s="341"/>
      <c r="M256" s="341"/>
      <c r="N256" s="341"/>
      <c r="O256" s="341"/>
      <c r="P256" s="341"/>
      <c r="Q256" s="341"/>
      <c r="R256" s="341"/>
      <c r="S256" s="341"/>
      <c r="T256" s="341"/>
      <c r="U256" s="341"/>
      <c r="V256" s="341"/>
      <c r="W256" s="341"/>
      <c r="X256" s="341"/>
      <c r="Y256" s="341"/>
      <c r="Z256" s="341"/>
    </row>
    <row r="257" ht="15.75" customHeight="1">
      <c r="A257" s="341"/>
      <c r="B257" s="341"/>
      <c r="C257" s="341"/>
      <c r="D257" s="341"/>
      <c r="E257" s="341"/>
      <c r="F257" s="341"/>
      <c r="G257" s="341"/>
      <c r="H257" s="341"/>
      <c r="I257" s="341"/>
      <c r="J257" s="341"/>
      <c r="K257" s="341"/>
      <c r="L257" s="341"/>
      <c r="M257" s="341"/>
      <c r="N257" s="341"/>
      <c r="O257" s="341"/>
      <c r="P257" s="341"/>
      <c r="Q257" s="341"/>
      <c r="R257" s="341"/>
      <c r="S257" s="341"/>
      <c r="T257" s="341"/>
      <c r="U257" s="341"/>
      <c r="V257" s="341"/>
      <c r="W257" s="341"/>
      <c r="X257" s="341"/>
      <c r="Y257" s="341"/>
      <c r="Z257" s="341"/>
    </row>
    <row r="258" ht="15.75" customHeight="1">
      <c r="A258" s="341"/>
      <c r="B258" s="341"/>
      <c r="C258" s="341"/>
      <c r="D258" s="341"/>
      <c r="E258" s="341"/>
      <c r="F258" s="341"/>
      <c r="G258" s="341"/>
      <c r="H258" s="341"/>
      <c r="I258" s="341"/>
      <c r="J258" s="341"/>
      <c r="K258" s="341"/>
      <c r="L258" s="341"/>
      <c r="M258" s="341"/>
      <c r="N258" s="341"/>
      <c r="O258" s="341"/>
      <c r="P258" s="341"/>
      <c r="Q258" s="341"/>
      <c r="R258" s="341"/>
      <c r="S258" s="341"/>
      <c r="T258" s="341"/>
      <c r="U258" s="341"/>
      <c r="V258" s="341"/>
      <c r="W258" s="341"/>
      <c r="X258" s="341"/>
      <c r="Y258" s="341"/>
      <c r="Z258" s="341"/>
    </row>
    <row r="259" ht="15.75" customHeight="1">
      <c r="A259" s="341"/>
      <c r="B259" s="341"/>
      <c r="C259" s="341"/>
      <c r="D259" s="341"/>
      <c r="E259" s="341"/>
      <c r="F259" s="341"/>
      <c r="G259" s="341"/>
      <c r="H259" s="341"/>
      <c r="I259" s="341"/>
      <c r="J259" s="341"/>
      <c r="K259" s="341"/>
      <c r="L259" s="341"/>
      <c r="M259" s="341"/>
      <c r="N259" s="341"/>
      <c r="O259" s="341"/>
      <c r="P259" s="341"/>
      <c r="Q259" s="341"/>
      <c r="R259" s="341"/>
      <c r="S259" s="341"/>
      <c r="T259" s="341"/>
      <c r="U259" s="341"/>
      <c r="V259" s="341"/>
      <c r="W259" s="341"/>
      <c r="X259" s="341"/>
      <c r="Y259" s="341"/>
      <c r="Z259" s="341"/>
    </row>
    <row r="260" ht="15.75" customHeight="1">
      <c r="A260" s="341"/>
      <c r="B260" s="341"/>
      <c r="C260" s="341"/>
      <c r="D260" s="341"/>
      <c r="E260" s="341"/>
      <c r="F260" s="341"/>
      <c r="G260" s="341"/>
      <c r="H260" s="341"/>
      <c r="I260" s="341"/>
      <c r="J260" s="341"/>
      <c r="K260" s="341"/>
      <c r="L260" s="341"/>
      <c r="M260" s="341"/>
      <c r="N260" s="341"/>
      <c r="O260" s="341"/>
      <c r="P260" s="341"/>
      <c r="Q260" s="341"/>
      <c r="R260" s="341"/>
      <c r="S260" s="341"/>
      <c r="T260" s="341"/>
      <c r="U260" s="341"/>
      <c r="V260" s="341"/>
      <c r="W260" s="341"/>
      <c r="X260" s="341"/>
      <c r="Y260" s="341"/>
      <c r="Z260" s="341"/>
    </row>
    <row r="261" ht="15.75" customHeight="1">
      <c r="A261" s="341"/>
      <c r="B261" s="341"/>
      <c r="C261" s="341"/>
      <c r="D261" s="341"/>
      <c r="E261" s="341"/>
      <c r="F261" s="341"/>
      <c r="G261" s="341"/>
      <c r="H261" s="341"/>
      <c r="I261" s="341"/>
      <c r="J261" s="341"/>
      <c r="K261" s="341"/>
      <c r="L261" s="341"/>
      <c r="M261" s="341"/>
      <c r="N261" s="341"/>
      <c r="O261" s="341"/>
      <c r="P261" s="341"/>
      <c r="Q261" s="341"/>
      <c r="R261" s="341"/>
      <c r="S261" s="341"/>
      <c r="T261" s="341"/>
      <c r="U261" s="341"/>
      <c r="V261" s="341"/>
      <c r="W261" s="341"/>
      <c r="X261" s="341"/>
      <c r="Y261" s="341"/>
      <c r="Z261" s="341"/>
    </row>
    <row r="262" ht="15.75" customHeight="1">
      <c r="A262" s="341"/>
      <c r="B262" s="341"/>
      <c r="C262" s="341"/>
      <c r="D262" s="341"/>
      <c r="E262" s="341"/>
      <c r="F262" s="341"/>
      <c r="G262" s="341"/>
      <c r="H262" s="341"/>
      <c r="I262" s="341"/>
      <c r="J262" s="341"/>
      <c r="K262" s="341"/>
      <c r="L262" s="341"/>
      <c r="M262" s="341"/>
      <c r="N262" s="341"/>
      <c r="O262" s="341"/>
      <c r="P262" s="341"/>
      <c r="Q262" s="341"/>
      <c r="R262" s="341"/>
      <c r="S262" s="341"/>
      <c r="T262" s="341"/>
      <c r="U262" s="341"/>
      <c r="V262" s="341"/>
      <c r="W262" s="341"/>
      <c r="X262" s="341"/>
      <c r="Y262" s="341"/>
      <c r="Z262" s="341"/>
    </row>
    <row r="263" ht="15.75" customHeight="1">
      <c r="A263" s="341"/>
      <c r="B263" s="341"/>
      <c r="C263" s="341"/>
      <c r="D263" s="341"/>
      <c r="E263" s="341"/>
      <c r="F263" s="341"/>
      <c r="G263" s="341"/>
      <c r="H263" s="341"/>
      <c r="I263" s="341"/>
      <c r="J263" s="341"/>
      <c r="K263" s="341"/>
      <c r="L263" s="341"/>
      <c r="M263" s="341"/>
      <c r="N263" s="341"/>
      <c r="O263" s="341"/>
      <c r="P263" s="341"/>
      <c r="Q263" s="341"/>
      <c r="R263" s="341"/>
      <c r="S263" s="341"/>
      <c r="T263" s="341"/>
      <c r="U263" s="341"/>
      <c r="V263" s="341"/>
      <c r="W263" s="341"/>
      <c r="X263" s="341"/>
      <c r="Y263" s="341"/>
      <c r="Z263" s="341"/>
    </row>
    <row r="264" ht="15.75" customHeight="1">
      <c r="A264" s="341"/>
      <c r="B264" s="341"/>
      <c r="C264" s="341"/>
      <c r="D264" s="341"/>
      <c r="E264" s="341"/>
      <c r="F264" s="341"/>
      <c r="G264" s="341"/>
      <c r="H264" s="341"/>
      <c r="I264" s="341"/>
      <c r="J264" s="341"/>
      <c r="K264" s="341"/>
      <c r="L264" s="341"/>
      <c r="M264" s="341"/>
      <c r="N264" s="341"/>
      <c r="O264" s="341"/>
      <c r="P264" s="341"/>
      <c r="Q264" s="341"/>
      <c r="R264" s="341"/>
      <c r="S264" s="341"/>
      <c r="T264" s="341"/>
      <c r="U264" s="341"/>
      <c r="V264" s="341"/>
      <c r="W264" s="341"/>
      <c r="X264" s="341"/>
      <c r="Y264" s="341"/>
      <c r="Z264" s="341"/>
    </row>
    <row r="265" ht="15.75" customHeight="1">
      <c r="A265" s="341"/>
      <c r="B265" s="341"/>
      <c r="C265" s="341"/>
      <c r="D265" s="341"/>
      <c r="E265" s="341"/>
      <c r="F265" s="341"/>
      <c r="G265" s="341"/>
      <c r="H265" s="341"/>
      <c r="I265" s="341"/>
      <c r="J265" s="341"/>
      <c r="K265" s="341"/>
      <c r="L265" s="341"/>
      <c r="M265" s="341"/>
      <c r="N265" s="341"/>
      <c r="O265" s="341"/>
      <c r="P265" s="341"/>
      <c r="Q265" s="341"/>
      <c r="R265" s="341"/>
      <c r="S265" s="341"/>
      <c r="T265" s="341"/>
      <c r="U265" s="341"/>
      <c r="V265" s="341"/>
      <c r="W265" s="341"/>
      <c r="X265" s="341"/>
      <c r="Y265" s="341"/>
      <c r="Z265" s="341"/>
    </row>
    <row r="266" ht="15.75" customHeight="1">
      <c r="A266" s="341"/>
      <c r="B266" s="341"/>
      <c r="C266" s="341"/>
      <c r="D266" s="341"/>
      <c r="E266" s="341"/>
      <c r="F266" s="341"/>
      <c r="G266" s="341"/>
      <c r="H266" s="341"/>
      <c r="I266" s="341"/>
      <c r="J266" s="341"/>
      <c r="K266" s="341"/>
      <c r="L266" s="341"/>
      <c r="M266" s="341"/>
      <c r="N266" s="341"/>
      <c r="O266" s="341"/>
      <c r="P266" s="341"/>
      <c r="Q266" s="341"/>
      <c r="R266" s="341"/>
      <c r="S266" s="341"/>
      <c r="T266" s="341"/>
      <c r="U266" s="341"/>
      <c r="V266" s="341"/>
      <c r="W266" s="341"/>
      <c r="X266" s="341"/>
      <c r="Y266" s="341"/>
      <c r="Z266" s="341"/>
    </row>
    <row r="267" ht="15.75" customHeight="1">
      <c r="A267" s="341"/>
      <c r="B267" s="341"/>
      <c r="C267" s="341"/>
      <c r="D267" s="341"/>
      <c r="E267" s="341"/>
      <c r="F267" s="341"/>
      <c r="G267" s="341"/>
      <c r="H267" s="341"/>
      <c r="I267" s="341"/>
      <c r="J267" s="341"/>
      <c r="K267" s="341"/>
      <c r="L267" s="341"/>
      <c r="M267" s="341"/>
      <c r="N267" s="341"/>
      <c r="O267" s="341"/>
      <c r="P267" s="341"/>
      <c r="Q267" s="341"/>
      <c r="R267" s="341"/>
      <c r="S267" s="341"/>
      <c r="T267" s="341"/>
      <c r="U267" s="341"/>
      <c r="V267" s="341"/>
      <c r="W267" s="341"/>
      <c r="X267" s="341"/>
      <c r="Y267" s="341"/>
      <c r="Z267" s="341"/>
    </row>
    <row r="268" ht="15.75" customHeight="1">
      <c r="A268" s="341"/>
      <c r="B268" s="341"/>
      <c r="C268" s="341"/>
      <c r="D268" s="341"/>
      <c r="E268" s="341"/>
      <c r="F268" s="341"/>
      <c r="G268" s="341"/>
      <c r="H268" s="341"/>
      <c r="I268" s="341"/>
      <c r="J268" s="341"/>
      <c r="K268" s="341"/>
      <c r="L268" s="341"/>
      <c r="M268" s="341"/>
      <c r="N268" s="341"/>
      <c r="O268" s="341"/>
      <c r="P268" s="341"/>
      <c r="Q268" s="341"/>
      <c r="R268" s="341"/>
      <c r="S268" s="341"/>
      <c r="T268" s="341"/>
      <c r="U268" s="341"/>
      <c r="V268" s="341"/>
      <c r="W268" s="341"/>
      <c r="X268" s="341"/>
      <c r="Y268" s="341"/>
      <c r="Z268" s="341"/>
    </row>
    <row r="269" ht="15.75" customHeight="1">
      <c r="A269" s="341"/>
      <c r="B269" s="341"/>
      <c r="C269" s="341"/>
      <c r="D269" s="341"/>
      <c r="E269" s="341"/>
      <c r="F269" s="341"/>
      <c r="G269" s="341"/>
      <c r="H269" s="341"/>
      <c r="I269" s="341"/>
      <c r="J269" s="341"/>
      <c r="K269" s="341"/>
      <c r="L269" s="341"/>
      <c r="M269" s="341"/>
      <c r="N269" s="341"/>
      <c r="O269" s="341"/>
      <c r="P269" s="341"/>
      <c r="Q269" s="341"/>
      <c r="R269" s="341"/>
      <c r="S269" s="341"/>
      <c r="T269" s="341"/>
      <c r="U269" s="341"/>
      <c r="V269" s="341"/>
      <c r="W269" s="341"/>
      <c r="X269" s="341"/>
      <c r="Y269" s="341"/>
      <c r="Z269" s="341"/>
    </row>
    <row r="270" ht="15.75" customHeight="1">
      <c r="A270" s="341"/>
      <c r="B270" s="341"/>
      <c r="C270" s="341"/>
      <c r="D270" s="341"/>
      <c r="E270" s="341"/>
      <c r="F270" s="341"/>
      <c r="G270" s="341"/>
      <c r="H270" s="341"/>
      <c r="I270" s="341"/>
      <c r="J270" s="341"/>
      <c r="K270" s="341"/>
      <c r="L270" s="341"/>
      <c r="M270" s="341"/>
      <c r="N270" s="341"/>
      <c r="O270" s="341"/>
      <c r="P270" s="341"/>
      <c r="Q270" s="341"/>
      <c r="R270" s="341"/>
      <c r="S270" s="341"/>
      <c r="T270" s="341"/>
      <c r="U270" s="341"/>
      <c r="V270" s="341"/>
      <c r="W270" s="341"/>
      <c r="X270" s="341"/>
      <c r="Y270" s="341"/>
      <c r="Z270" s="341"/>
    </row>
    <row r="271" ht="15.75" customHeight="1">
      <c r="A271" s="341"/>
      <c r="B271" s="341"/>
      <c r="C271" s="341"/>
      <c r="D271" s="341"/>
      <c r="E271" s="341"/>
      <c r="F271" s="341"/>
      <c r="G271" s="341"/>
      <c r="H271" s="341"/>
      <c r="I271" s="341"/>
      <c r="J271" s="341"/>
      <c r="K271" s="341"/>
      <c r="L271" s="341"/>
      <c r="M271" s="341"/>
      <c r="N271" s="341"/>
      <c r="O271" s="341"/>
      <c r="P271" s="341"/>
      <c r="Q271" s="341"/>
      <c r="R271" s="341"/>
      <c r="S271" s="341"/>
      <c r="T271" s="341"/>
      <c r="U271" s="341"/>
      <c r="V271" s="341"/>
      <c r="W271" s="341"/>
      <c r="X271" s="341"/>
      <c r="Y271" s="341"/>
      <c r="Z271" s="341"/>
    </row>
    <row r="272" ht="15.75" customHeight="1">
      <c r="A272" s="341"/>
      <c r="B272" s="341"/>
      <c r="C272" s="341"/>
      <c r="D272" s="341"/>
      <c r="E272" s="341"/>
      <c r="F272" s="341"/>
      <c r="G272" s="341"/>
      <c r="H272" s="341"/>
      <c r="I272" s="341"/>
      <c r="J272" s="341"/>
      <c r="K272" s="341"/>
      <c r="L272" s="341"/>
      <c r="M272" s="341"/>
      <c r="N272" s="341"/>
      <c r="O272" s="341"/>
      <c r="P272" s="341"/>
      <c r="Q272" s="341"/>
      <c r="R272" s="341"/>
      <c r="S272" s="341"/>
      <c r="T272" s="341"/>
      <c r="U272" s="341"/>
      <c r="V272" s="341"/>
      <c r="W272" s="341"/>
      <c r="X272" s="341"/>
      <c r="Y272" s="341"/>
      <c r="Z272" s="341"/>
    </row>
    <row r="273" ht="15.75" customHeight="1">
      <c r="A273" s="341"/>
      <c r="B273" s="341"/>
      <c r="C273" s="341"/>
      <c r="D273" s="341"/>
      <c r="E273" s="341"/>
      <c r="F273" s="341"/>
      <c r="G273" s="341"/>
      <c r="H273" s="341"/>
      <c r="I273" s="341"/>
      <c r="J273" s="341"/>
      <c r="K273" s="341"/>
      <c r="L273" s="341"/>
      <c r="M273" s="341"/>
      <c r="N273" s="341"/>
      <c r="O273" s="341"/>
      <c r="P273" s="341"/>
      <c r="Q273" s="341"/>
      <c r="R273" s="341"/>
      <c r="S273" s="341"/>
      <c r="T273" s="341"/>
      <c r="U273" s="341"/>
      <c r="V273" s="341"/>
      <c r="W273" s="341"/>
      <c r="X273" s="341"/>
      <c r="Y273" s="341"/>
      <c r="Z273" s="341"/>
    </row>
    <row r="274" ht="15.75" customHeight="1">
      <c r="A274" s="341"/>
      <c r="B274" s="341"/>
      <c r="C274" s="341"/>
      <c r="D274" s="341"/>
      <c r="E274" s="341"/>
      <c r="F274" s="341"/>
      <c r="G274" s="341"/>
      <c r="H274" s="341"/>
      <c r="I274" s="341"/>
      <c r="J274" s="341"/>
      <c r="K274" s="341"/>
      <c r="L274" s="341"/>
      <c r="M274" s="341"/>
      <c r="N274" s="341"/>
      <c r="O274" s="341"/>
      <c r="P274" s="341"/>
      <c r="Q274" s="341"/>
      <c r="R274" s="341"/>
      <c r="S274" s="341"/>
      <c r="T274" s="341"/>
      <c r="U274" s="341"/>
      <c r="V274" s="341"/>
      <c r="W274" s="341"/>
      <c r="X274" s="341"/>
      <c r="Y274" s="341"/>
      <c r="Z274" s="341"/>
    </row>
    <row r="275" ht="15.75" customHeight="1">
      <c r="A275" s="341"/>
      <c r="B275" s="341"/>
      <c r="C275" s="341"/>
      <c r="D275" s="341"/>
      <c r="E275" s="341"/>
      <c r="F275" s="341"/>
      <c r="G275" s="341"/>
      <c r="H275" s="341"/>
      <c r="I275" s="341"/>
      <c r="J275" s="341"/>
      <c r="K275" s="341"/>
      <c r="L275" s="341"/>
      <c r="M275" s="341"/>
      <c r="N275" s="341"/>
      <c r="O275" s="341"/>
      <c r="P275" s="341"/>
      <c r="Q275" s="341"/>
      <c r="R275" s="341"/>
      <c r="S275" s="341"/>
      <c r="T275" s="341"/>
      <c r="U275" s="341"/>
      <c r="V275" s="341"/>
      <c r="W275" s="341"/>
      <c r="X275" s="341"/>
      <c r="Y275" s="341"/>
      <c r="Z275" s="341"/>
    </row>
    <row r="276" ht="15.75" customHeight="1">
      <c r="A276" s="341"/>
      <c r="B276" s="341"/>
      <c r="C276" s="341"/>
      <c r="D276" s="341"/>
      <c r="E276" s="341"/>
      <c r="F276" s="341"/>
      <c r="G276" s="341"/>
      <c r="H276" s="341"/>
      <c r="I276" s="341"/>
      <c r="J276" s="341"/>
      <c r="K276" s="341"/>
      <c r="L276" s="341"/>
      <c r="M276" s="341"/>
      <c r="N276" s="341"/>
      <c r="O276" s="341"/>
      <c r="P276" s="341"/>
      <c r="Q276" s="341"/>
      <c r="R276" s="341"/>
      <c r="S276" s="341"/>
      <c r="T276" s="341"/>
      <c r="U276" s="341"/>
      <c r="V276" s="341"/>
      <c r="W276" s="341"/>
      <c r="X276" s="341"/>
      <c r="Y276" s="341"/>
      <c r="Z276" s="341"/>
    </row>
    <row r="277" ht="15.75" customHeight="1">
      <c r="A277" s="341"/>
      <c r="B277" s="341"/>
      <c r="C277" s="341"/>
      <c r="D277" s="341"/>
      <c r="E277" s="341"/>
      <c r="F277" s="341"/>
      <c r="G277" s="341"/>
      <c r="H277" s="341"/>
      <c r="I277" s="341"/>
      <c r="J277" s="341"/>
      <c r="K277" s="341"/>
      <c r="L277" s="341"/>
      <c r="M277" s="341"/>
      <c r="N277" s="341"/>
      <c r="O277" s="341"/>
      <c r="P277" s="341"/>
      <c r="Q277" s="341"/>
      <c r="R277" s="341"/>
      <c r="S277" s="341"/>
      <c r="T277" s="341"/>
      <c r="U277" s="341"/>
      <c r="V277" s="341"/>
      <c r="W277" s="341"/>
      <c r="X277" s="341"/>
      <c r="Y277" s="341"/>
      <c r="Z277" s="341"/>
    </row>
    <row r="278" ht="15.75" customHeight="1">
      <c r="A278" s="341"/>
      <c r="B278" s="341"/>
      <c r="C278" s="341"/>
      <c r="D278" s="341"/>
      <c r="E278" s="341"/>
      <c r="F278" s="341"/>
      <c r="G278" s="341"/>
      <c r="H278" s="341"/>
      <c r="I278" s="341"/>
      <c r="J278" s="341"/>
      <c r="K278" s="341"/>
      <c r="L278" s="341"/>
      <c r="M278" s="341"/>
      <c r="N278" s="341"/>
      <c r="O278" s="341"/>
      <c r="P278" s="341"/>
      <c r="Q278" s="341"/>
      <c r="R278" s="341"/>
      <c r="S278" s="341"/>
      <c r="T278" s="341"/>
      <c r="U278" s="341"/>
      <c r="V278" s="341"/>
      <c r="W278" s="341"/>
      <c r="X278" s="341"/>
      <c r="Y278" s="341"/>
      <c r="Z278" s="341"/>
    </row>
    <row r="279" ht="15.75" customHeight="1">
      <c r="A279" s="341"/>
      <c r="B279" s="341"/>
      <c r="C279" s="341"/>
      <c r="D279" s="341"/>
      <c r="E279" s="341"/>
      <c r="F279" s="341"/>
      <c r="G279" s="341"/>
      <c r="H279" s="341"/>
      <c r="I279" s="341"/>
      <c r="J279" s="341"/>
      <c r="K279" s="341"/>
      <c r="L279" s="341"/>
      <c r="M279" s="341"/>
      <c r="N279" s="341"/>
      <c r="O279" s="341"/>
      <c r="P279" s="341"/>
      <c r="Q279" s="341"/>
      <c r="R279" s="341"/>
      <c r="S279" s="341"/>
      <c r="T279" s="341"/>
      <c r="U279" s="341"/>
      <c r="V279" s="341"/>
      <c r="W279" s="341"/>
      <c r="X279" s="341"/>
      <c r="Y279" s="341"/>
      <c r="Z279" s="341"/>
    </row>
    <row r="280" ht="15.75" customHeight="1">
      <c r="A280" s="341"/>
      <c r="B280" s="341"/>
      <c r="C280" s="341"/>
      <c r="D280" s="341"/>
      <c r="E280" s="341"/>
      <c r="F280" s="341"/>
      <c r="G280" s="341"/>
      <c r="H280" s="341"/>
      <c r="I280" s="341"/>
      <c r="J280" s="341"/>
      <c r="K280" s="341"/>
      <c r="L280" s="341"/>
      <c r="M280" s="341"/>
      <c r="N280" s="341"/>
      <c r="O280" s="341"/>
      <c r="P280" s="341"/>
      <c r="Q280" s="341"/>
      <c r="R280" s="341"/>
      <c r="S280" s="341"/>
      <c r="T280" s="341"/>
      <c r="U280" s="341"/>
      <c r="V280" s="341"/>
      <c r="W280" s="341"/>
      <c r="X280" s="341"/>
      <c r="Y280" s="341"/>
      <c r="Z280" s="341"/>
    </row>
    <row r="281" ht="15.75" customHeight="1">
      <c r="A281" s="341"/>
      <c r="B281" s="341"/>
      <c r="C281" s="341"/>
      <c r="D281" s="341"/>
      <c r="E281" s="341"/>
      <c r="F281" s="341"/>
      <c r="G281" s="341"/>
      <c r="H281" s="341"/>
      <c r="I281" s="341"/>
      <c r="J281" s="341"/>
      <c r="K281" s="341"/>
      <c r="L281" s="341"/>
      <c r="M281" s="341"/>
      <c r="N281" s="341"/>
      <c r="O281" s="341"/>
      <c r="P281" s="341"/>
      <c r="Q281" s="341"/>
      <c r="R281" s="341"/>
      <c r="S281" s="341"/>
      <c r="T281" s="341"/>
      <c r="U281" s="341"/>
      <c r="V281" s="341"/>
      <c r="W281" s="341"/>
      <c r="X281" s="341"/>
      <c r="Y281" s="341"/>
      <c r="Z281" s="341"/>
    </row>
    <row r="282" ht="15.75" customHeight="1">
      <c r="A282" s="341"/>
      <c r="B282" s="341"/>
      <c r="C282" s="341"/>
      <c r="D282" s="341"/>
      <c r="E282" s="341"/>
      <c r="F282" s="341"/>
      <c r="G282" s="341"/>
      <c r="H282" s="341"/>
      <c r="I282" s="341"/>
      <c r="J282" s="341"/>
      <c r="K282" s="341"/>
      <c r="L282" s="341"/>
      <c r="M282" s="341"/>
      <c r="N282" s="341"/>
      <c r="O282" s="341"/>
      <c r="P282" s="341"/>
      <c r="Q282" s="341"/>
      <c r="R282" s="341"/>
      <c r="S282" s="341"/>
      <c r="T282" s="341"/>
      <c r="U282" s="341"/>
      <c r="V282" s="341"/>
      <c r="W282" s="341"/>
      <c r="X282" s="341"/>
      <c r="Y282" s="341"/>
      <c r="Z282" s="341"/>
    </row>
    <row r="283" ht="15.75" customHeight="1">
      <c r="A283" s="341"/>
      <c r="B283" s="341"/>
      <c r="C283" s="341"/>
      <c r="D283" s="341"/>
      <c r="E283" s="341"/>
      <c r="F283" s="341"/>
      <c r="G283" s="341"/>
      <c r="H283" s="341"/>
      <c r="I283" s="341"/>
      <c r="J283" s="341"/>
      <c r="K283" s="341"/>
      <c r="L283" s="341"/>
      <c r="M283" s="341"/>
      <c r="N283" s="341"/>
      <c r="O283" s="341"/>
      <c r="P283" s="341"/>
      <c r="Q283" s="341"/>
      <c r="R283" s="341"/>
      <c r="S283" s="341"/>
      <c r="T283" s="341"/>
      <c r="U283" s="341"/>
      <c r="V283" s="341"/>
      <c r="W283" s="341"/>
      <c r="X283" s="341"/>
      <c r="Y283" s="341"/>
      <c r="Z283" s="341"/>
    </row>
    <row r="284" ht="15.75" customHeight="1">
      <c r="A284" s="341"/>
      <c r="B284" s="341"/>
      <c r="C284" s="341"/>
      <c r="D284" s="341"/>
      <c r="E284" s="341"/>
      <c r="F284" s="341"/>
      <c r="G284" s="341"/>
      <c r="H284" s="341"/>
      <c r="I284" s="341"/>
      <c r="J284" s="341"/>
      <c r="K284" s="341"/>
      <c r="L284" s="341"/>
      <c r="M284" s="341"/>
      <c r="N284" s="341"/>
      <c r="O284" s="341"/>
      <c r="P284" s="341"/>
      <c r="Q284" s="341"/>
      <c r="R284" s="341"/>
      <c r="S284" s="341"/>
      <c r="T284" s="341"/>
      <c r="U284" s="341"/>
      <c r="V284" s="341"/>
      <c r="W284" s="341"/>
      <c r="X284" s="341"/>
      <c r="Y284" s="341"/>
      <c r="Z284" s="341"/>
    </row>
    <row r="285" ht="15.75" customHeight="1">
      <c r="A285" s="341"/>
      <c r="B285" s="341"/>
      <c r="C285" s="341"/>
      <c r="D285" s="341"/>
      <c r="E285" s="341"/>
      <c r="F285" s="341"/>
      <c r="G285" s="341"/>
      <c r="H285" s="341"/>
      <c r="I285" s="341"/>
      <c r="J285" s="341"/>
      <c r="K285" s="341"/>
      <c r="L285" s="341"/>
      <c r="M285" s="341"/>
      <c r="N285" s="341"/>
      <c r="O285" s="341"/>
      <c r="P285" s="341"/>
      <c r="Q285" s="341"/>
      <c r="R285" s="341"/>
      <c r="S285" s="341"/>
      <c r="T285" s="341"/>
      <c r="U285" s="341"/>
      <c r="V285" s="341"/>
      <c r="W285" s="341"/>
      <c r="X285" s="341"/>
      <c r="Y285" s="341"/>
      <c r="Z285" s="341"/>
    </row>
    <row r="286" ht="15.75" customHeight="1">
      <c r="A286" s="341"/>
      <c r="B286" s="341"/>
      <c r="C286" s="341"/>
      <c r="D286" s="341"/>
      <c r="E286" s="341"/>
      <c r="F286" s="341"/>
      <c r="G286" s="341"/>
      <c r="H286" s="341"/>
      <c r="I286" s="341"/>
      <c r="J286" s="341"/>
      <c r="K286" s="341"/>
      <c r="L286" s="341"/>
      <c r="M286" s="341"/>
      <c r="N286" s="341"/>
      <c r="O286" s="341"/>
      <c r="P286" s="341"/>
      <c r="Q286" s="341"/>
      <c r="R286" s="341"/>
      <c r="S286" s="341"/>
      <c r="T286" s="341"/>
      <c r="U286" s="341"/>
      <c r="V286" s="341"/>
      <c r="W286" s="341"/>
      <c r="X286" s="341"/>
      <c r="Y286" s="341"/>
      <c r="Z286" s="341"/>
    </row>
    <row r="287" ht="15.75" customHeight="1">
      <c r="A287" s="341"/>
      <c r="B287" s="341"/>
      <c r="C287" s="341"/>
      <c r="D287" s="341"/>
      <c r="E287" s="341"/>
      <c r="F287" s="341"/>
      <c r="G287" s="341"/>
      <c r="H287" s="341"/>
      <c r="I287" s="341"/>
      <c r="J287" s="341"/>
      <c r="K287" s="341"/>
      <c r="L287" s="341"/>
      <c r="M287" s="341"/>
      <c r="N287" s="341"/>
      <c r="O287" s="341"/>
      <c r="P287" s="341"/>
      <c r="Q287" s="341"/>
      <c r="R287" s="341"/>
      <c r="S287" s="341"/>
      <c r="T287" s="341"/>
      <c r="U287" s="341"/>
      <c r="V287" s="341"/>
      <c r="W287" s="341"/>
      <c r="X287" s="341"/>
      <c r="Y287" s="341"/>
      <c r="Z287" s="341"/>
    </row>
    <row r="288" ht="15.75" customHeight="1">
      <c r="A288" s="341"/>
      <c r="B288" s="341"/>
      <c r="C288" s="341"/>
      <c r="D288" s="341"/>
      <c r="E288" s="341"/>
      <c r="F288" s="341"/>
      <c r="G288" s="341"/>
      <c r="H288" s="341"/>
      <c r="I288" s="341"/>
      <c r="J288" s="341"/>
      <c r="K288" s="341"/>
      <c r="L288" s="341"/>
      <c r="M288" s="341"/>
      <c r="N288" s="341"/>
      <c r="O288" s="341"/>
      <c r="P288" s="341"/>
      <c r="Q288" s="341"/>
      <c r="R288" s="341"/>
      <c r="S288" s="341"/>
      <c r="T288" s="341"/>
      <c r="U288" s="341"/>
      <c r="V288" s="341"/>
      <c r="W288" s="341"/>
      <c r="X288" s="341"/>
      <c r="Y288" s="341"/>
      <c r="Z288" s="341"/>
    </row>
    <row r="289" ht="15.75" customHeight="1">
      <c r="A289" s="341"/>
      <c r="B289" s="341"/>
      <c r="C289" s="341"/>
      <c r="D289" s="341"/>
      <c r="E289" s="341"/>
      <c r="F289" s="341"/>
      <c r="G289" s="341"/>
      <c r="H289" s="341"/>
      <c r="I289" s="341"/>
      <c r="J289" s="341"/>
      <c r="K289" s="341"/>
      <c r="L289" s="341"/>
      <c r="M289" s="341"/>
      <c r="N289" s="341"/>
      <c r="O289" s="341"/>
      <c r="P289" s="341"/>
      <c r="Q289" s="341"/>
      <c r="R289" s="341"/>
      <c r="S289" s="341"/>
      <c r="T289" s="341"/>
      <c r="U289" s="341"/>
      <c r="V289" s="341"/>
      <c r="W289" s="341"/>
      <c r="X289" s="341"/>
      <c r="Y289" s="341"/>
      <c r="Z289" s="341"/>
    </row>
    <row r="290" ht="15.75" customHeight="1">
      <c r="A290" s="341"/>
      <c r="B290" s="341"/>
      <c r="C290" s="341"/>
      <c r="D290" s="341"/>
      <c r="E290" s="341"/>
      <c r="F290" s="341"/>
      <c r="G290" s="341"/>
      <c r="H290" s="341"/>
      <c r="I290" s="341"/>
      <c r="J290" s="341"/>
      <c r="K290" s="341"/>
      <c r="L290" s="341"/>
      <c r="M290" s="341"/>
      <c r="N290" s="341"/>
      <c r="O290" s="341"/>
      <c r="P290" s="341"/>
      <c r="Q290" s="341"/>
      <c r="R290" s="341"/>
      <c r="S290" s="341"/>
      <c r="T290" s="341"/>
      <c r="U290" s="341"/>
      <c r="V290" s="341"/>
      <c r="W290" s="341"/>
      <c r="X290" s="341"/>
      <c r="Y290" s="341"/>
      <c r="Z290" s="341"/>
    </row>
    <row r="291" ht="15.75" customHeight="1">
      <c r="A291" s="341"/>
      <c r="B291" s="341"/>
      <c r="C291" s="341"/>
      <c r="D291" s="341"/>
      <c r="E291" s="341"/>
      <c r="F291" s="341"/>
      <c r="G291" s="341"/>
      <c r="H291" s="341"/>
      <c r="I291" s="341"/>
      <c r="J291" s="341"/>
      <c r="K291" s="341"/>
      <c r="L291" s="341"/>
      <c r="M291" s="341"/>
      <c r="N291" s="341"/>
      <c r="O291" s="341"/>
      <c r="P291" s="341"/>
      <c r="Q291" s="341"/>
      <c r="R291" s="341"/>
      <c r="S291" s="341"/>
      <c r="T291" s="341"/>
      <c r="U291" s="341"/>
      <c r="V291" s="341"/>
      <c r="W291" s="341"/>
      <c r="X291" s="341"/>
      <c r="Y291" s="341"/>
      <c r="Z291" s="341"/>
    </row>
    <row r="292" ht="15.75" customHeight="1">
      <c r="A292" s="341"/>
      <c r="B292" s="341"/>
      <c r="C292" s="341"/>
      <c r="D292" s="341"/>
      <c r="E292" s="341"/>
      <c r="F292" s="341"/>
      <c r="G292" s="341"/>
      <c r="H292" s="341"/>
      <c r="I292" s="341"/>
      <c r="J292" s="341"/>
      <c r="K292" s="341"/>
      <c r="L292" s="341"/>
      <c r="M292" s="341"/>
      <c r="N292" s="341"/>
      <c r="O292" s="341"/>
      <c r="P292" s="341"/>
      <c r="Q292" s="341"/>
      <c r="R292" s="341"/>
      <c r="S292" s="341"/>
      <c r="T292" s="341"/>
      <c r="U292" s="341"/>
      <c r="V292" s="341"/>
      <c r="W292" s="341"/>
      <c r="X292" s="341"/>
      <c r="Y292" s="341"/>
      <c r="Z292" s="341"/>
    </row>
    <row r="293" ht="15.75" customHeight="1">
      <c r="A293" s="341"/>
      <c r="B293" s="341"/>
      <c r="C293" s="341"/>
      <c r="D293" s="341"/>
      <c r="E293" s="341"/>
      <c r="F293" s="341"/>
      <c r="G293" s="341"/>
      <c r="H293" s="341"/>
      <c r="I293" s="341"/>
      <c r="J293" s="341"/>
      <c r="K293" s="341"/>
      <c r="L293" s="341"/>
      <c r="M293" s="341"/>
      <c r="N293" s="341"/>
      <c r="O293" s="341"/>
      <c r="P293" s="341"/>
      <c r="Q293" s="341"/>
      <c r="R293" s="341"/>
      <c r="S293" s="341"/>
      <c r="T293" s="341"/>
      <c r="U293" s="341"/>
      <c r="V293" s="341"/>
      <c r="W293" s="341"/>
      <c r="X293" s="341"/>
      <c r="Y293" s="341"/>
      <c r="Z293" s="341"/>
    </row>
    <row r="294" ht="15.75" customHeight="1">
      <c r="A294" s="341"/>
      <c r="B294" s="341"/>
      <c r="C294" s="341"/>
      <c r="D294" s="341"/>
      <c r="E294" s="341"/>
      <c r="F294" s="341"/>
      <c r="G294" s="341"/>
      <c r="H294" s="341"/>
      <c r="I294" s="341"/>
      <c r="J294" s="341"/>
      <c r="K294" s="341"/>
      <c r="L294" s="341"/>
      <c r="M294" s="341"/>
      <c r="N294" s="341"/>
      <c r="O294" s="341"/>
      <c r="P294" s="341"/>
      <c r="Q294" s="341"/>
      <c r="R294" s="341"/>
      <c r="S294" s="341"/>
      <c r="T294" s="341"/>
      <c r="U294" s="341"/>
      <c r="V294" s="341"/>
      <c r="W294" s="341"/>
      <c r="X294" s="341"/>
      <c r="Y294" s="341"/>
      <c r="Z294" s="341"/>
    </row>
    <row r="295" ht="15.75" customHeight="1">
      <c r="A295" s="341"/>
      <c r="B295" s="341"/>
      <c r="C295" s="341"/>
      <c r="D295" s="341"/>
      <c r="E295" s="341"/>
      <c r="F295" s="341"/>
      <c r="G295" s="341"/>
      <c r="H295" s="341"/>
      <c r="I295" s="341"/>
      <c r="J295" s="341"/>
      <c r="K295" s="341"/>
      <c r="L295" s="341"/>
      <c r="M295" s="341"/>
      <c r="N295" s="341"/>
      <c r="O295" s="341"/>
      <c r="P295" s="341"/>
      <c r="Q295" s="341"/>
      <c r="R295" s="341"/>
      <c r="S295" s="341"/>
      <c r="T295" s="341"/>
      <c r="U295" s="341"/>
      <c r="V295" s="341"/>
      <c r="W295" s="341"/>
      <c r="X295" s="341"/>
      <c r="Y295" s="341"/>
      <c r="Z295" s="341"/>
    </row>
    <row r="296" ht="15.75" customHeight="1">
      <c r="A296" s="341"/>
      <c r="B296" s="341"/>
      <c r="C296" s="341"/>
      <c r="D296" s="341"/>
      <c r="E296" s="341"/>
      <c r="F296" s="341"/>
      <c r="G296" s="341"/>
      <c r="H296" s="341"/>
      <c r="I296" s="341"/>
      <c r="J296" s="341"/>
      <c r="K296" s="341"/>
      <c r="L296" s="341"/>
      <c r="M296" s="341"/>
      <c r="N296" s="341"/>
      <c r="O296" s="341"/>
      <c r="P296" s="341"/>
      <c r="Q296" s="341"/>
      <c r="R296" s="341"/>
      <c r="S296" s="341"/>
      <c r="T296" s="341"/>
      <c r="U296" s="341"/>
      <c r="V296" s="341"/>
      <c r="W296" s="341"/>
      <c r="X296" s="341"/>
      <c r="Y296" s="341"/>
      <c r="Z296" s="341"/>
    </row>
    <row r="297" ht="15.75" customHeight="1">
      <c r="A297" s="341"/>
      <c r="B297" s="341"/>
      <c r="C297" s="341"/>
      <c r="D297" s="341"/>
      <c r="E297" s="341"/>
      <c r="F297" s="341"/>
      <c r="G297" s="341"/>
      <c r="H297" s="341"/>
      <c r="I297" s="341"/>
      <c r="J297" s="341"/>
      <c r="K297" s="341"/>
      <c r="L297" s="341"/>
      <c r="M297" s="341"/>
      <c r="N297" s="341"/>
      <c r="O297" s="341"/>
      <c r="P297" s="341"/>
      <c r="Q297" s="341"/>
      <c r="R297" s="341"/>
      <c r="S297" s="341"/>
      <c r="T297" s="341"/>
      <c r="U297" s="341"/>
      <c r="V297" s="341"/>
      <c r="W297" s="341"/>
      <c r="X297" s="341"/>
      <c r="Y297" s="341"/>
      <c r="Z297" s="341"/>
    </row>
    <row r="298" ht="15.75" customHeight="1">
      <c r="A298" s="341"/>
      <c r="B298" s="341"/>
      <c r="C298" s="341"/>
      <c r="D298" s="341"/>
      <c r="E298" s="341"/>
      <c r="F298" s="341"/>
      <c r="G298" s="341"/>
      <c r="H298" s="341"/>
      <c r="I298" s="341"/>
      <c r="J298" s="341"/>
      <c r="K298" s="341"/>
      <c r="L298" s="341"/>
      <c r="M298" s="341"/>
      <c r="N298" s="341"/>
      <c r="O298" s="341"/>
      <c r="P298" s="341"/>
      <c r="Q298" s="341"/>
      <c r="R298" s="341"/>
      <c r="S298" s="341"/>
      <c r="T298" s="341"/>
      <c r="U298" s="341"/>
      <c r="V298" s="341"/>
      <c r="W298" s="341"/>
      <c r="X298" s="341"/>
      <c r="Y298" s="341"/>
      <c r="Z298" s="341"/>
    </row>
    <row r="299" ht="15.75" customHeight="1">
      <c r="A299" s="341"/>
      <c r="B299" s="341"/>
      <c r="C299" s="341"/>
      <c r="D299" s="341"/>
      <c r="E299" s="341"/>
      <c r="F299" s="341"/>
      <c r="G299" s="341"/>
      <c r="H299" s="341"/>
      <c r="I299" s="341"/>
      <c r="J299" s="341"/>
      <c r="K299" s="341"/>
      <c r="L299" s="341"/>
      <c r="M299" s="341"/>
      <c r="N299" s="341"/>
      <c r="O299" s="341"/>
      <c r="P299" s="341"/>
      <c r="Q299" s="341"/>
      <c r="R299" s="341"/>
      <c r="S299" s="341"/>
      <c r="T299" s="341"/>
      <c r="U299" s="341"/>
      <c r="V299" s="341"/>
      <c r="W299" s="341"/>
      <c r="X299" s="341"/>
      <c r="Y299" s="341"/>
      <c r="Z299" s="341"/>
    </row>
    <row r="300" ht="15.75" customHeight="1">
      <c r="A300" s="341"/>
      <c r="B300" s="341"/>
      <c r="C300" s="341"/>
      <c r="D300" s="341"/>
      <c r="E300" s="341"/>
      <c r="F300" s="341"/>
      <c r="G300" s="341"/>
      <c r="H300" s="341"/>
      <c r="I300" s="341"/>
      <c r="J300" s="341"/>
      <c r="K300" s="341"/>
      <c r="L300" s="341"/>
      <c r="M300" s="341"/>
      <c r="N300" s="341"/>
      <c r="O300" s="341"/>
      <c r="P300" s="341"/>
      <c r="Q300" s="341"/>
      <c r="R300" s="341"/>
      <c r="S300" s="341"/>
      <c r="T300" s="341"/>
      <c r="U300" s="341"/>
      <c r="V300" s="341"/>
      <c r="W300" s="341"/>
      <c r="X300" s="341"/>
      <c r="Y300" s="341"/>
      <c r="Z300" s="341"/>
    </row>
    <row r="301" ht="15.75" customHeight="1">
      <c r="A301" s="341"/>
      <c r="B301" s="341"/>
      <c r="C301" s="341"/>
      <c r="D301" s="341"/>
      <c r="E301" s="341"/>
      <c r="F301" s="341"/>
      <c r="G301" s="341"/>
      <c r="H301" s="341"/>
      <c r="I301" s="341"/>
      <c r="J301" s="341"/>
      <c r="K301" s="341"/>
      <c r="L301" s="341"/>
      <c r="M301" s="341"/>
      <c r="N301" s="341"/>
      <c r="O301" s="341"/>
      <c r="P301" s="341"/>
      <c r="Q301" s="341"/>
      <c r="R301" s="341"/>
      <c r="S301" s="341"/>
      <c r="T301" s="341"/>
      <c r="U301" s="341"/>
      <c r="V301" s="341"/>
      <c r="W301" s="341"/>
      <c r="X301" s="341"/>
      <c r="Y301" s="341"/>
      <c r="Z301" s="341"/>
    </row>
    <row r="302" ht="15.75" customHeight="1">
      <c r="A302" s="341"/>
      <c r="B302" s="341"/>
      <c r="C302" s="341"/>
      <c r="D302" s="341"/>
      <c r="E302" s="341"/>
      <c r="F302" s="341"/>
      <c r="G302" s="341"/>
      <c r="H302" s="341"/>
      <c r="I302" s="341"/>
      <c r="J302" s="341"/>
      <c r="K302" s="341"/>
      <c r="L302" s="341"/>
      <c r="M302" s="341"/>
      <c r="N302" s="341"/>
      <c r="O302" s="341"/>
      <c r="P302" s="341"/>
      <c r="Q302" s="341"/>
      <c r="R302" s="341"/>
      <c r="S302" s="341"/>
      <c r="T302" s="341"/>
      <c r="U302" s="341"/>
      <c r="V302" s="341"/>
      <c r="W302" s="341"/>
      <c r="X302" s="341"/>
      <c r="Y302" s="341"/>
      <c r="Z302" s="341"/>
    </row>
    <row r="303" ht="15.75" customHeight="1">
      <c r="A303" s="341"/>
      <c r="B303" s="341"/>
      <c r="C303" s="341"/>
      <c r="D303" s="341"/>
      <c r="E303" s="341"/>
      <c r="F303" s="341"/>
      <c r="G303" s="341"/>
      <c r="H303" s="341"/>
      <c r="I303" s="341"/>
      <c r="J303" s="341"/>
      <c r="K303" s="341"/>
      <c r="L303" s="341"/>
      <c r="M303" s="341"/>
      <c r="N303" s="341"/>
      <c r="O303" s="341"/>
      <c r="P303" s="341"/>
      <c r="Q303" s="341"/>
      <c r="R303" s="341"/>
      <c r="S303" s="341"/>
      <c r="T303" s="341"/>
      <c r="U303" s="341"/>
      <c r="V303" s="341"/>
      <c r="W303" s="341"/>
      <c r="X303" s="341"/>
      <c r="Y303" s="341"/>
      <c r="Z303" s="341"/>
    </row>
    <row r="304" ht="15.75" customHeight="1">
      <c r="A304" s="341"/>
      <c r="B304" s="341"/>
      <c r="C304" s="341"/>
      <c r="D304" s="341"/>
      <c r="E304" s="341"/>
      <c r="F304" s="341"/>
      <c r="G304" s="341"/>
      <c r="H304" s="341"/>
      <c r="I304" s="341"/>
      <c r="J304" s="341"/>
      <c r="K304" s="341"/>
      <c r="L304" s="341"/>
      <c r="M304" s="341"/>
      <c r="N304" s="341"/>
      <c r="O304" s="341"/>
      <c r="P304" s="341"/>
      <c r="Q304" s="341"/>
      <c r="R304" s="341"/>
      <c r="S304" s="341"/>
      <c r="T304" s="341"/>
      <c r="U304" s="341"/>
      <c r="V304" s="341"/>
      <c r="W304" s="341"/>
      <c r="X304" s="341"/>
      <c r="Y304" s="341"/>
      <c r="Z304" s="341"/>
    </row>
    <row r="305" ht="15.75" customHeight="1">
      <c r="A305" s="341"/>
      <c r="B305" s="341"/>
      <c r="C305" s="341"/>
      <c r="D305" s="341"/>
      <c r="E305" s="341"/>
      <c r="F305" s="341"/>
      <c r="G305" s="341"/>
      <c r="H305" s="341"/>
      <c r="I305" s="341"/>
      <c r="J305" s="341"/>
      <c r="K305" s="341"/>
      <c r="L305" s="341"/>
      <c r="M305" s="341"/>
      <c r="N305" s="341"/>
      <c r="O305" s="341"/>
      <c r="P305" s="341"/>
      <c r="Q305" s="341"/>
      <c r="R305" s="341"/>
      <c r="S305" s="341"/>
      <c r="T305" s="341"/>
      <c r="U305" s="341"/>
      <c r="V305" s="341"/>
      <c r="W305" s="341"/>
      <c r="X305" s="341"/>
      <c r="Y305" s="341"/>
      <c r="Z305" s="341"/>
    </row>
    <row r="306" ht="15.75" customHeight="1">
      <c r="A306" s="341"/>
      <c r="B306" s="341"/>
      <c r="C306" s="341"/>
      <c r="D306" s="341"/>
      <c r="E306" s="341"/>
      <c r="F306" s="341"/>
      <c r="G306" s="341"/>
      <c r="H306" s="341"/>
      <c r="I306" s="341"/>
      <c r="J306" s="341"/>
      <c r="K306" s="341"/>
      <c r="L306" s="341"/>
      <c r="M306" s="341"/>
      <c r="N306" s="341"/>
      <c r="O306" s="341"/>
      <c r="P306" s="341"/>
      <c r="Q306" s="341"/>
      <c r="R306" s="341"/>
      <c r="S306" s="341"/>
      <c r="T306" s="341"/>
      <c r="U306" s="341"/>
      <c r="V306" s="341"/>
      <c r="W306" s="341"/>
      <c r="X306" s="341"/>
      <c r="Y306" s="341"/>
      <c r="Z306" s="341"/>
    </row>
    <row r="307" ht="15.75" customHeight="1">
      <c r="A307" s="341"/>
      <c r="B307" s="341"/>
      <c r="C307" s="341"/>
      <c r="D307" s="341"/>
      <c r="E307" s="341"/>
      <c r="F307" s="341"/>
      <c r="G307" s="341"/>
      <c r="H307" s="341"/>
      <c r="I307" s="341"/>
      <c r="J307" s="341"/>
      <c r="K307" s="341"/>
      <c r="L307" s="341"/>
      <c r="M307" s="341"/>
      <c r="N307" s="341"/>
      <c r="O307" s="341"/>
      <c r="P307" s="341"/>
      <c r="Q307" s="341"/>
      <c r="R307" s="341"/>
      <c r="S307" s="341"/>
      <c r="T307" s="341"/>
      <c r="U307" s="341"/>
      <c r="V307" s="341"/>
      <c r="W307" s="341"/>
      <c r="X307" s="341"/>
      <c r="Y307" s="341"/>
      <c r="Z307" s="341"/>
    </row>
    <row r="308" ht="15.75" customHeight="1">
      <c r="A308" s="341"/>
      <c r="B308" s="341"/>
      <c r="C308" s="341"/>
      <c r="D308" s="341"/>
      <c r="E308" s="341"/>
      <c r="F308" s="341"/>
      <c r="G308" s="341"/>
      <c r="H308" s="341"/>
      <c r="I308" s="341"/>
      <c r="J308" s="341"/>
      <c r="K308" s="341"/>
      <c r="L308" s="341"/>
      <c r="M308" s="341"/>
      <c r="N308" s="341"/>
      <c r="O308" s="341"/>
      <c r="P308" s="341"/>
      <c r="Q308" s="341"/>
      <c r="R308" s="341"/>
      <c r="S308" s="341"/>
      <c r="T308" s="341"/>
      <c r="U308" s="341"/>
      <c r="V308" s="341"/>
      <c r="W308" s="341"/>
      <c r="X308" s="341"/>
      <c r="Y308" s="341"/>
      <c r="Z308" s="341"/>
    </row>
    <row r="309" ht="15.75" customHeight="1">
      <c r="A309" s="341"/>
      <c r="B309" s="341"/>
      <c r="C309" s="341"/>
      <c r="D309" s="341"/>
      <c r="E309" s="341"/>
      <c r="F309" s="341"/>
      <c r="G309" s="341"/>
      <c r="H309" s="341"/>
      <c r="I309" s="341"/>
      <c r="J309" s="341"/>
      <c r="K309" s="341"/>
      <c r="L309" s="341"/>
      <c r="M309" s="341"/>
      <c r="N309" s="341"/>
      <c r="O309" s="341"/>
      <c r="P309" s="341"/>
      <c r="Q309" s="341"/>
      <c r="R309" s="341"/>
      <c r="S309" s="341"/>
      <c r="T309" s="341"/>
      <c r="U309" s="341"/>
      <c r="V309" s="341"/>
      <c r="W309" s="341"/>
      <c r="X309" s="341"/>
      <c r="Y309" s="341"/>
      <c r="Z309" s="341"/>
    </row>
    <row r="310" ht="15.75" customHeight="1">
      <c r="A310" s="341"/>
      <c r="B310" s="341"/>
      <c r="C310" s="341"/>
      <c r="D310" s="341"/>
      <c r="E310" s="341"/>
      <c r="F310" s="341"/>
      <c r="G310" s="341"/>
      <c r="H310" s="341"/>
      <c r="I310" s="341"/>
      <c r="J310" s="341"/>
      <c r="K310" s="341"/>
      <c r="L310" s="341"/>
      <c r="M310" s="341"/>
      <c r="N310" s="341"/>
      <c r="O310" s="341"/>
      <c r="P310" s="341"/>
      <c r="Q310" s="341"/>
      <c r="R310" s="341"/>
      <c r="S310" s="341"/>
      <c r="T310" s="341"/>
      <c r="U310" s="341"/>
      <c r="V310" s="341"/>
      <c r="W310" s="341"/>
      <c r="X310" s="341"/>
      <c r="Y310" s="341"/>
      <c r="Z310" s="341"/>
    </row>
    <row r="311" ht="15.75" customHeight="1">
      <c r="A311" s="341"/>
      <c r="B311" s="341"/>
      <c r="C311" s="341"/>
      <c r="D311" s="341"/>
      <c r="E311" s="341"/>
      <c r="F311" s="341"/>
      <c r="G311" s="341"/>
      <c r="H311" s="341"/>
      <c r="I311" s="341"/>
      <c r="J311" s="341"/>
      <c r="K311" s="341"/>
      <c r="L311" s="341"/>
      <c r="M311" s="341"/>
      <c r="N311" s="341"/>
      <c r="O311" s="341"/>
      <c r="P311" s="341"/>
      <c r="Q311" s="341"/>
      <c r="R311" s="341"/>
      <c r="S311" s="341"/>
      <c r="T311" s="341"/>
      <c r="U311" s="341"/>
      <c r="V311" s="341"/>
      <c r="W311" s="341"/>
      <c r="X311" s="341"/>
      <c r="Y311" s="341"/>
      <c r="Z311" s="341"/>
    </row>
    <row r="312" ht="15.75" customHeight="1">
      <c r="A312" s="341"/>
      <c r="B312" s="341"/>
      <c r="C312" s="341"/>
      <c r="D312" s="341"/>
      <c r="E312" s="341"/>
      <c r="F312" s="341"/>
      <c r="G312" s="341"/>
      <c r="H312" s="341"/>
      <c r="I312" s="341"/>
      <c r="J312" s="341"/>
      <c r="K312" s="341"/>
      <c r="L312" s="341"/>
      <c r="M312" s="341"/>
      <c r="N312" s="341"/>
      <c r="O312" s="341"/>
      <c r="P312" s="341"/>
      <c r="Q312" s="341"/>
      <c r="R312" s="341"/>
      <c r="S312" s="341"/>
      <c r="T312" s="341"/>
      <c r="U312" s="341"/>
      <c r="V312" s="341"/>
      <c r="W312" s="341"/>
      <c r="X312" s="341"/>
      <c r="Y312" s="341"/>
      <c r="Z312" s="341"/>
    </row>
    <row r="313" ht="15.75" customHeight="1">
      <c r="A313" s="341"/>
      <c r="B313" s="341"/>
      <c r="C313" s="341"/>
      <c r="D313" s="341"/>
      <c r="E313" s="341"/>
      <c r="F313" s="341"/>
      <c r="G313" s="341"/>
      <c r="H313" s="341"/>
      <c r="I313" s="341"/>
      <c r="J313" s="341"/>
      <c r="K313" s="341"/>
      <c r="L313" s="341"/>
      <c r="M313" s="341"/>
      <c r="N313" s="341"/>
      <c r="O313" s="341"/>
      <c r="P313" s="341"/>
      <c r="Q313" s="341"/>
      <c r="R313" s="341"/>
      <c r="S313" s="341"/>
      <c r="T313" s="341"/>
      <c r="U313" s="341"/>
      <c r="V313" s="341"/>
      <c r="W313" s="341"/>
      <c r="X313" s="341"/>
      <c r="Y313" s="341"/>
      <c r="Z313" s="341"/>
    </row>
    <row r="314" ht="15.75" customHeight="1">
      <c r="A314" s="341"/>
      <c r="B314" s="341"/>
      <c r="C314" s="341"/>
      <c r="D314" s="341"/>
      <c r="E314" s="341"/>
      <c r="F314" s="341"/>
      <c r="G314" s="341"/>
      <c r="H314" s="341"/>
      <c r="I314" s="341"/>
      <c r="J314" s="341"/>
      <c r="K314" s="341"/>
      <c r="L314" s="341"/>
      <c r="M314" s="341"/>
      <c r="N314" s="341"/>
      <c r="O314" s="341"/>
      <c r="P314" s="341"/>
      <c r="Q314" s="341"/>
      <c r="R314" s="341"/>
      <c r="S314" s="341"/>
      <c r="T314" s="341"/>
      <c r="U314" s="341"/>
      <c r="V314" s="341"/>
      <c r="W314" s="341"/>
      <c r="X314" s="341"/>
      <c r="Y314" s="341"/>
      <c r="Z314" s="341"/>
    </row>
    <row r="315" ht="15.75" customHeight="1">
      <c r="A315" s="341"/>
      <c r="B315" s="341"/>
      <c r="C315" s="341"/>
      <c r="D315" s="341"/>
      <c r="E315" s="341"/>
      <c r="F315" s="341"/>
      <c r="G315" s="341"/>
      <c r="H315" s="341"/>
      <c r="I315" s="341"/>
      <c r="J315" s="341"/>
      <c r="K315" s="341"/>
      <c r="L315" s="341"/>
      <c r="M315" s="341"/>
      <c r="N315" s="341"/>
      <c r="O315" s="341"/>
      <c r="P315" s="341"/>
      <c r="Q315" s="341"/>
      <c r="R315" s="341"/>
      <c r="S315" s="341"/>
      <c r="T315" s="341"/>
      <c r="U315" s="341"/>
      <c r="V315" s="341"/>
      <c r="W315" s="341"/>
      <c r="X315" s="341"/>
      <c r="Y315" s="341"/>
      <c r="Z315" s="341"/>
    </row>
    <row r="316" ht="15.75" customHeight="1">
      <c r="A316" s="341"/>
      <c r="B316" s="341"/>
      <c r="C316" s="341"/>
      <c r="D316" s="341"/>
      <c r="E316" s="341"/>
      <c r="F316" s="341"/>
      <c r="G316" s="341"/>
      <c r="H316" s="341"/>
      <c r="I316" s="341"/>
      <c r="J316" s="341"/>
      <c r="K316" s="341"/>
      <c r="L316" s="341"/>
      <c r="M316" s="341"/>
      <c r="N316" s="341"/>
      <c r="O316" s="341"/>
      <c r="P316" s="341"/>
      <c r="Q316" s="341"/>
      <c r="R316" s="341"/>
      <c r="S316" s="341"/>
      <c r="T316" s="341"/>
      <c r="U316" s="341"/>
      <c r="V316" s="341"/>
      <c r="W316" s="341"/>
      <c r="X316" s="341"/>
      <c r="Y316" s="341"/>
      <c r="Z316" s="341"/>
    </row>
    <row r="317" ht="15.75" customHeight="1">
      <c r="A317" s="341"/>
      <c r="B317" s="341"/>
      <c r="C317" s="341"/>
      <c r="D317" s="341"/>
      <c r="E317" s="341"/>
      <c r="F317" s="341"/>
      <c r="G317" s="341"/>
      <c r="H317" s="341"/>
      <c r="I317" s="341"/>
      <c r="J317" s="341"/>
      <c r="K317" s="341"/>
      <c r="L317" s="341"/>
      <c r="M317" s="341"/>
      <c r="N317" s="341"/>
      <c r="O317" s="341"/>
      <c r="P317" s="341"/>
      <c r="Q317" s="341"/>
      <c r="R317" s="341"/>
      <c r="S317" s="341"/>
      <c r="T317" s="341"/>
      <c r="U317" s="341"/>
      <c r="V317" s="341"/>
      <c r="W317" s="341"/>
      <c r="X317" s="341"/>
      <c r="Y317" s="341"/>
      <c r="Z317" s="341"/>
    </row>
    <row r="318" ht="15.75" customHeight="1">
      <c r="A318" s="341"/>
      <c r="B318" s="341"/>
      <c r="C318" s="341"/>
      <c r="D318" s="341"/>
      <c r="E318" s="341"/>
      <c r="F318" s="341"/>
      <c r="G318" s="341"/>
      <c r="H318" s="341"/>
      <c r="I318" s="341"/>
      <c r="J318" s="341"/>
      <c r="K318" s="341"/>
      <c r="L318" s="341"/>
      <c r="M318" s="341"/>
      <c r="N318" s="341"/>
      <c r="O318" s="341"/>
      <c r="P318" s="341"/>
      <c r="Q318" s="341"/>
      <c r="R318" s="341"/>
      <c r="S318" s="341"/>
      <c r="T318" s="341"/>
      <c r="U318" s="341"/>
      <c r="V318" s="341"/>
      <c r="W318" s="341"/>
      <c r="X318" s="341"/>
      <c r="Y318" s="341"/>
      <c r="Z318" s="341"/>
    </row>
    <row r="319" ht="15.75" customHeight="1">
      <c r="A319" s="341"/>
      <c r="B319" s="341"/>
      <c r="C319" s="341"/>
      <c r="D319" s="341"/>
      <c r="E319" s="341"/>
      <c r="F319" s="341"/>
      <c r="G319" s="341"/>
      <c r="H319" s="341"/>
      <c r="I319" s="341"/>
      <c r="J319" s="341"/>
      <c r="K319" s="341"/>
      <c r="L319" s="341"/>
      <c r="M319" s="341"/>
      <c r="N319" s="341"/>
      <c r="O319" s="341"/>
      <c r="P319" s="341"/>
      <c r="Q319" s="341"/>
      <c r="R319" s="341"/>
      <c r="S319" s="341"/>
      <c r="T319" s="341"/>
      <c r="U319" s="341"/>
      <c r="V319" s="341"/>
      <c r="W319" s="341"/>
      <c r="X319" s="341"/>
      <c r="Y319" s="341"/>
      <c r="Z319" s="341"/>
    </row>
    <row r="320" ht="15.75" customHeight="1">
      <c r="A320" s="341"/>
      <c r="B320" s="341"/>
      <c r="C320" s="341"/>
      <c r="D320" s="341"/>
      <c r="E320" s="341"/>
      <c r="F320" s="341"/>
      <c r="G320" s="341"/>
      <c r="H320" s="341"/>
      <c r="I320" s="341"/>
      <c r="J320" s="341"/>
      <c r="K320" s="341"/>
      <c r="L320" s="341"/>
      <c r="M320" s="341"/>
      <c r="N320" s="341"/>
      <c r="O320" s="341"/>
      <c r="P320" s="341"/>
      <c r="Q320" s="341"/>
      <c r="R320" s="341"/>
      <c r="S320" s="341"/>
      <c r="T320" s="341"/>
      <c r="U320" s="341"/>
      <c r="V320" s="341"/>
      <c r="W320" s="341"/>
      <c r="X320" s="341"/>
      <c r="Y320" s="341"/>
      <c r="Z320" s="341"/>
    </row>
    <row r="321" ht="15.75" customHeight="1">
      <c r="A321" s="341"/>
      <c r="B321" s="341"/>
      <c r="C321" s="341"/>
      <c r="D321" s="341"/>
      <c r="E321" s="341"/>
      <c r="F321" s="341"/>
      <c r="G321" s="341"/>
      <c r="H321" s="341"/>
      <c r="I321" s="341"/>
      <c r="J321" s="341"/>
      <c r="K321" s="341"/>
      <c r="L321" s="341"/>
      <c r="M321" s="341"/>
      <c r="N321" s="341"/>
      <c r="O321" s="341"/>
      <c r="P321" s="341"/>
      <c r="Q321" s="341"/>
      <c r="R321" s="341"/>
      <c r="S321" s="341"/>
      <c r="T321" s="341"/>
      <c r="U321" s="341"/>
      <c r="V321" s="341"/>
      <c r="W321" s="341"/>
      <c r="X321" s="341"/>
      <c r="Y321" s="341"/>
      <c r="Z321" s="341"/>
    </row>
    <row r="322" ht="15.75" customHeight="1">
      <c r="A322" s="341"/>
      <c r="B322" s="341"/>
      <c r="C322" s="341"/>
      <c r="D322" s="341"/>
      <c r="E322" s="341"/>
      <c r="F322" s="341"/>
      <c r="G322" s="341"/>
      <c r="H322" s="341"/>
      <c r="I322" s="341"/>
      <c r="J322" s="341"/>
      <c r="K322" s="341"/>
      <c r="L322" s="341"/>
      <c r="M322" s="341"/>
      <c r="N322" s="341"/>
      <c r="O322" s="341"/>
      <c r="P322" s="341"/>
      <c r="Q322" s="341"/>
      <c r="R322" s="341"/>
      <c r="S322" s="341"/>
      <c r="T322" s="341"/>
      <c r="U322" s="341"/>
      <c r="V322" s="341"/>
      <c r="W322" s="341"/>
      <c r="X322" s="341"/>
      <c r="Y322" s="341"/>
      <c r="Z322" s="341"/>
    </row>
    <row r="323" ht="15.75" customHeight="1">
      <c r="A323" s="341"/>
      <c r="B323" s="341"/>
      <c r="C323" s="341"/>
      <c r="D323" s="341"/>
      <c r="E323" s="341"/>
      <c r="F323" s="341"/>
      <c r="G323" s="341"/>
      <c r="H323" s="341"/>
      <c r="I323" s="341"/>
      <c r="J323" s="341"/>
      <c r="K323" s="341"/>
      <c r="L323" s="341"/>
      <c r="M323" s="341"/>
      <c r="N323" s="341"/>
      <c r="O323" s="341"/>
      <c r="P323" s="341"/>
      <c r="Q323" s="341"/>
      <c r="R323" s="341"/>
      <c r="S323" s="341"/>
      <c r="T323" s="341"/>
      <c r="U323" s="341"/>
      <c r="V323" s="341"/>
      <c r="W323" s="341"/>
      <c r="X323" s="341"/>
      <c r="Y323" s="341"/>
      <c r="Z323" s="341"/>
    </row>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21"/>
    <hyperlink r:id="rId13" ref="C22"/>
    <hyperlink r:id="rId14" ref="C26"/>
    <hyperlink r:id="rId15" ref="C27"/>
    <hyperlink r:id="rId16" ref="C28"/>
  </hyperlinks>
  <drawing r:id="rId17"/>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25"/>
    <col customWidth="1" min="2" max="2" width="57.25"/>
    <col customWidth="1" min="3" max="3" width="35.75"/>
    <col customWidth="1" min="4" max="5" width="31.63"/>
    <col customWidth="1" min="6" max="6" width="19.88"/>
  </cols>
  <sheetData>
    <row r="1" ht="15.75" customHeight="1">
      <c r="A1" s="318" t="s">
        <v>5182</v>
      </c>
      <c r="B1" s="318" t="s">
        <v>5183</v>
      </c>
      <c r="C1" s="318"/>
      <c r="D1" s="318"/>
      <c r="E1" s="318"/>
      <c r="F1" s="318"/>
      <c r="G1" s="318"/>
      <c r="H1" s="318"/>
      <c r="I1" s="318"/>
      <c r="J1" s="318"/>
      <c r="K1" s="318"/>
      <c r="L1" s="318"/>
      <c r="M1" s="318"/>
      <c r="N1" s="318"/>
      <c r="O1" s="318"/>
      <c r="P1" s="318"/>
      <c r="Q1" s="318"/>
      <c r="R1" s="318"/>
      <c r="S1" s="318"/>
      <c r="T1" s="318"/>
      <c r="U1" s="318"/>
      <c r="V1" s="318"/>
      <c r="W1" s="318"/>
      <c r="X1" s="318"/>
      <c r="Y1" s="318"/>
      <c r="Z1" s="318"/>
    </row>
    <row r="2" ht="15.75" customHeight="1">
      <c r="A2" s="318"/>
      <c r="B2" s="318"/>
      <c r="C2" s="318"/>
      <c r="D2" s="318"/>
      <c r="E2" s="318"/>
      <c r="F2" s="318"/>
      <c r="G2" s="318"/>
      <c r="H2" s="318"/>
      <c r="I2" s="318"/>
      <c r="J2" s="318"/>
      <c r="K2" s="318"/>
      <c r="L2" s="318"/>
      <c r="M2" s="318"/>
      <c r="N2" s="318"/>
      <c r="O2" s="318"/>
      <c r="P2" s="318"/>
      <c r="Q2" s="318"/>
      <c r="R2" s="318"/>
      <c r="S2" s="318"/>
      <c r="T2" s="318"/>
      <c r="U2" s="318"/>
      <c r="V2" s="318"/>
      <c r="W2" s="318"/>
      <c r="X2" s="318"/>
      <c r="Y2" s="318"/>
      <c r="Z2" s="318"/>
    </row>
    <row r="3" ht="15.75" customHeight="1">
      <c r="A3" s="319" t="s">
        <v>4013</v>
      </c>
      <c r="B3" s="319" t="s">
        <v>4014</v>
      </c>
      <c r="C3" s="319" t="s">
        <v>4259</v>
      </c>
      <c r="D3" s="319" t="s">
        <v>4260</v>
      </c>
      <c r="E3" s="319" t="s">
        <v>4015</v>
      </c>
      <c r="F3" s="319" t="s">
        <v>4016</v>
      </c>
      <c r="G3" s="318"/>
      <c r="H3" s="318"/>
      <c r="I3" s="318"/>
      <c r="J3" s="318"/>
      <c r="K3" s="318"/>
      <c r="L3" s="318"/>
      <c r="M3" s="318"/>
      <c r="N3" s="318"/>
      <c r="O3" s="318"/>
      <c r="P3" s="318"/>
      <c r="Q3" s="318"/>
      <c r="R3" s="318"/>
      <c r="S3" s="318"/>
      <c r="T3" s="318"/>
      <c r="U3" s="318"/>
      <c r="V3" s="318"/>
      <c r="W3" s="318"/>
      <c r="X3" s="318"/>
      <c r="Y3" s="318"/>
      <c r="Z3" s="318"/>
    </row>
    <row r="4" ht="15.75" customHeight="1">
      <c r="A4" s="320" t="s">
        <v>5184</v>
      </c>
      <c r="B4" s="320" t="s">
        <v>5185</v>
      </c>
      <c r="C4" s="346" t="s">
        <v>5186</v>
      </c>
      <c r="D4" s="318"/>
      <c r="E4" s="347" t="s">
        <v>5187</v>
      </c>
      <c r="F4" s="318"/>
      <c r="G4" s="318"/>
      <c r="H4" s="318"/>
      <c r="I4" s="318"/>
      <c r="J4" s="318"/>
      <c r="K4" s="318"/>
      <c r="L4" s="318"/>
      <c r="M4" s="318"/>
      <c r="N4" s="318"/>
      <c r="O4" s="318"/>
      <c r="P4" s="318"/>
      <c r="Q4" s="318"/>
      <c r="R4" s="318"/>
      <c r="S4" s="318"/>
      <c r="T4" s="318"/>
      <c r="U4" s="318"/>
      <c r="V4" s="318"/>
      <c r="W4" s="318"/>
      <c r="X4" s="318"/>
      <c r="Y4" s="318"/>
      <c r="Z4" s="318"/>
    </row>
    <row r="5" ht="15.75" customHeight="1">
      <c r="A5" s="320" t="s">
        <v>5188</v>
      </c>
      <c r="B5" s="320" t="s">
        <v>5189</v>
      </c>
      <c r="C5" s="318"/>
      <c r="D5" s="318"/>
      <c r="E5" s="318"/>
      <c r="F5" s="318"/>
      <c r="G5" s="318"/>
      <c r="H5" s="318"/>
      <c r="I5" s="318"/>
      <c r="J5" s="318"/>
      <c r="K5" s="318"/>
      <c r="L5" s="318"/>
      <c r="M5" s="318"/>
      <c r="N5" s="318"/>
      <c r="O5" s="318"/>
      <c r="P5" s="318"/>
      <c r="Q5" s="318"/>
      <c r="R5" s="318"/>
      <c r="S5" s="318"/>
      <c r="T5" s="318"/>
      <c r="U5" s="318"/>
      <c r="V5" s="318"/>
      <c r="W5" s="318"/>
      <c r="X5" s="318"/>
      <c r="Y5" s="318"/>
      <c r="Z5" s="318"/>
    </row>
    <row r="6" ht="15.75" customHeight="1">
      <c r="A6" s="320" t="s">
        <v>5190</v>
      </c>
      <c r="B6" s="320" t="s">
        <v>5191</v>
      </c>
      <c r="C6" s="318"/>
      <c r="D6" s="318"/>
      <c r="E6" s="318"/>
      <c r="F6" s="318"/>
      <c r="G6" s="318"/>
      <c r="H6" s="318"/>
      <c r="I6" s="318"/>
      <c r="J6" s="318"/>
      <c r="K6" s="318"/>
      <c r="L6" s="318"/>
      <c r="M6" s="318"/>
      <c r="N6" s="318"/>
      <c r="O6" s="318"/>
      <c r="P6" s="318"/>
      <c r="Q6" s="318"/>
      <c r="R6" s="318"/>
      <c r="S6" s="318"/>
      <c r="T6" s="318"/>
      <c r="U6" s="318"/>
      <c r="V6" s="318"/>
      <c r="W6" s="318"/>
      <c r="X6" s="318"/>
      <c r="Y6" s="318"/>
      <c r="Z6" s="318"/>
    </row>
    <row r="7" ht="15.75" customHeight="1">
      <c r="A7" s="320" t="s">
        <v>5192</v>
      </c>
      <c r="B7" s="320" t="s">
        <v>5193</v>
      </c>
      <c r="C7" s="318"/>
      <c r="D7" s="318"/>
      <c r="E7" s="318"/>
      <c r="F7" s="318"/>
      <c r="G7" s="318"/>
      <c r="H7" s="318"/>
      <c r="I7" s="318"/>
      <c r="J7" s="318"/>
      <c r="K7" s="318"/>
      <c r="L7" s="318"/>
      <c r="M7" s="318"/>
      <c r="N7" s="318"/>
      <c r="O7" s="318"/>
      <c r="P7" s="318"/>
      <c r="Q7" s="318"/>
      <c r="R7" s="318"/>
      <c r="S7" s="318"/>
      <c r="T7" s="318"/>
      <c r="U7" s="318"/>
      <c r="V7" s="318"/>
      <c r="W7" s="318"/>
      <c r="X7" s="318"/>
      <c r="Y7" s="318"/>
      <c r="Z7" s="318"/>
    </row>
    <row r="8" ht="15.75" customHeight="1">
      <c r="A8" s="320" t="s">
        <v>5194</v>
      </c>
      <c r="B8" s="320" t="s">
        <v>5195</v>
      </c>
      <c r="C8" s="318"/>
      <c r="D8" s="318"/>
      <c r="E8" s="318" t="s">
        <v>4107</v>
      </c>
      <c r="F8" s="318"/>
      <c r="G8" s="318"/>
      <c r="H8" s="318"/>
      <c r="I8" s="318"/>
      <c r="J8" s="318"/>
      <c r="K8" s="318"/>
      <c r="L8" s="318"/>
      <c r="M8" s="318"/>
      <c r="N8" s="318"/>
      <c r="O8" s="318"/>
      <c r="P8" s="318"/>
      <c r="Q8" s="318"/>
      <c r="R8" s="318"/>
      <c r="S8" s="318"/>
      <c r="T8" s="318"/>
      <c r="U8" s="318"/>
      <c r="V8" s="318"/>
      <c r="W8" s="318"/>
      <c r="X8" s="318"/>
      <c r="Y8" s="318"/>
      <c r="Z8" s="318"/>
    </row>
    <row r="9" ht="15.75" customHeight="1">
      <c r="A9" s="320" t="s">
        <v>5196</v>
      </c>
      <c r="B9" s="320" t="s">
        <v>5197</v>
      </c>
      <c r="C9" s="346" t="s">
        <v>5198</v>
      </c>
      <c r="D9" s="318"/>
      <c r="E9" s="318"/>
      <c r="F9" s="318"/>
      <c r="G9" s="318"/>
      <c r="H9" s="318"/>
      <c r="I9" s="318"/>
      <c r="J9" s="318"/>
      <c r="K9" s="318"/>
      <c r="L9" s="318"/>
      <c r="M9" s="318"/>
      <c r="N9" s="318"/>
      <c r="O9" s="318"/>
      <c r="P9" s="318"/>
      <c r="Q9" s="318"/>
      <c r="R9" s="318"/>
      <c r="S9" s="318"/>
      <c r="T9" s="318"/>
      <c r="U9" s="318"/>
      <c r="V9" s="318"/>
      <c r="W9" s="318"/>
      <c r="X9" s="318"/>
      <c r="Y9" s="318"/>
      <c r="Z9" s="318"/>
    </row>
    <row r="10" ht="15.75" customHeight="1">
      <c r="A10" s="320" t="s">
        <v>5199</v>
      </c>
      <c r="B10" s="320" t="s">
        <v>5200</v>
      </c>
      <c r="C10" s="318"/>
      <c r="D10" s="318"/>
      <c r="E10" s="318"/>
      <c r="F10" s="318"/>
      <c r="G10" s="318"/>
      <c r="H10" s="318"/>
      <c r="I10" s="318"/>
      <c r="J10" s="318"/>
      <c r="K10" s="318"/>
      <c r="L10" s="318"/>
      <c r="M10" s="318"/>
      <c r="N10" s="318"/>
      <c r="O10" s="318"/>
      <c r="P10" s="318"/>
      <c r="Q10" s="318"/>
      <c r="R10" s="318"/>
      <c r="S10" s="318"/>
      <c r="T10" s="318"/>
      <c r="U10" s="318"/>
      <c r="V10" s="318"/>
      <c r="W10" s="318"/>
      <c r="X10" s="318"/>
      <c r="Y10" s="318"/>
      <c r="Z10" s="318"/>
    </row>
    <row r="11" ht="15.75" customHeight="1">
      <c r="A11" s="320" t="s">
        <v>5201</v>
      </c>
      <c r="B11" s="320" t="s">
        <v>5202</v>
      </c>
      <c r="C11" s="346" t="s">
        <v>5203</v>
      </c>
      <c r="D11" s="318"/>
      <c r="E11" s="318"/>
      <c r="F11" s="318"/>
      <c r="G11" s="318"/>
      <c r="H11" s="318"/>
      <c r="I11" s="318"/>
      <c r="J11" s="318"/>
      <c r="K11" s="318"/>
      <c r="L11" s="318"/>
      <c r="M11" s="318"/>
      <c r="N11" s="318"/>
      <c r="O11" s="318"/>
      <c r="P11" s="318"/>
      <c r="Q11" s="318"/>
      <c r="R11" s="318"/>
      <c r="S11" s="318"/>
      <c r="T11" s="318"/>
      <c r="U11" s="318"/>
      <c r="V11" s="318"/>
      <c r="W11" s="318"/>
      <c r="X11" s="318"/>
      <c r="Y11" s="318"/>
      <c r="Z11" s="318"/>
    </row>
    <row r="12" ht="15.75" customHeight="1">
      <c r="A12" s="320" t="s">
        <v>5204</v>
      </c>
      <c r="B12" s="320" t="s">
        <v>5205</v>
      </c>
      <c r="C12" s="318"/>
      <c r="D12" s="318"/>
      <c r="E12" s="318">
        <v>8.9837839E7</v>
      </c>
      <c r="F12" s="318"/>
      <c r="G12" s="318"/>
      <c r="H12" s="318"/>
      <c r="I12" s="318"/>
      <c r="J12" s="318"/>
      <c r="K12" s="318"/>
      <c r="L12" s="318"/>
      <c r="M12" s="318"/>
      <c r="N12" s="318"/>
      <c r="O12" s="318"/>
      <c r="P12" s="318"/>
      <c r="Q12" s="318"/>
      <c r="R12" s="318"/>
      <c r="S12" s="318"/>
      <c r="T12" s="318"/>
      <c r="U12" s="318"/>
      <c r="V12" s="318"/>
      <c r="W12" s="318"/>
      <c r="X12" s="318"/>
      <c r="Y12" s="318"/>
      <c r="Z12" s="318"/>
    </row>
    <row r="13" ht="15.75" customHeight="1">
      <c r="A13" s="320" t="s">
        <v>5206</v>
      </c>
      <c r="B13" s="320" t="s">
        <v>5202</v>
      </c>
      <c r="C13" s="318"/>
      <c r="D13" s="318"/>
      <c r="E13" s="318" t="s">
        <v>5207</v>
      </c>
      <c r="F13" s="318"/>
      <c r="G13" s="318"/>
      <c r="H13" s="318"/>
      <c r="I13" s="318"/>
      <c r="J13" s="318"/>
      <c r="K13" s="318"/>
      <c r="L13" s="318"/>
      <c r="M13" s="318"/>
      <c r="N13" s="318"/>
      <c r="O13" s="318"/>
      <c r="P13" s="318"/>
      <c r="Q13" s="318"/>
      <c r="R13" s="318"/>
      <c r="S13" s="318"/>
      <c r="T13" s="318"/>
      <c r="U13" s="318"/>
      <c r="V13" s="318"/>
      <c r="W13" s="318"/>
      <c r="X13" s="318"/>
      <c r="Y13" s="318"/>
      <c r="Z13" s="318"/>
    </row>
    <row r="14" ht="15.75" customHeight="1">
      <c r="A14" s="320" t="s">
        <v>5208</v>
      </c>
      <c r="B14" s="320" t="s">
        <v>5202</v>
      </c>
      <c r="C14" s="318"/>
      <c r="D14" s="318"/>
      <c r="E14" s="318" t="s">
        <v>5209</v>
      </c>
      <c r="F14" s="318"/>
      <c r="G14" s="318"/>
      <c r="H14" s="318"/>
      <c r="I14" s="318"/>
      <c r="J14" s="318"/>
      <c r="K14" s="318"/>
      <c r="L14" s="318"/>
      <c r="M14" s="318"/>
      <c r="N14" s="318"/>
      <c r="O14" s="318"/>
      <c r="P14" s="318"/>
      <c r="Q14" s="318"/>
      <c r="R14" s="318"/>
      <c r="S14" s="318"/>
      <c r="T14" s="318"/>
      <c r="U14" s="318"/>
      <c r="V14" s="318"/>
      <c r="W14" s="318"/>
      <c r="X14" s="318"/>
      <c r="Y14" s="318"/>
      <c r="Z14" s="318"/>
    </row>
    <row r="15" ht="15.75" customHeight="1">
      <c r="A15" s="320" t="s">
        <v>5210</v>
      </c>
      <c r="B15" s="320" t="s">
        <v>5202</v>
      </c>
      <c r="C15" s="318"/>
      <c r="D15" s="318"/>
      <c r="E15" s="318" t="s">
        <v>5211</v>
      </c>
      <c r="F15" s="318"/>
      <c r="G15" s="318"/>
      <c r="H15" s="318"/>
      <c r="I15" s="318"/>
      <c r="J15" s="318"/>
      <c r="K15" s="318"/>
      <c r="L15" s="318"/>
      <c r="M15" s="318"/>
      <c r="N15" s="318"/>
      <c r="O15" s="318"/>
      <c r="P15" s="318"/>
      <c r="Q15" s="318"/>
      <c r="R15" s="318"/>
      <c r="S15" s="318"/>
      <c r="T15" s="318"/>
      <c r="U15" s="318"/>
      <c r="V15" s="318"/>
      <c r="W15" s="318"/>
      <c r="X15" s="318"/>
      <c r="Y15" s="318"/>
      <c r="Z15" s="318"/>
    </row>
    <row r="16" ht="15.75" customHeight="1">
      <c r="A16" s="320" t="s">
        <v>5212</v>
      </c>
      <c r="B16" s="320" t="s">
        <v>5213</v>
      </c>
      <c r="C16" s="318"/>
      <c r="D16" s="318"/>
      <c r="E16" s="318" t="s">
        <v>5214</v>
      </c>
      <c r="F16" s="318"/>
      <c r="G16" s="318"/>
      <c r="H16" s="318"/>
      <c r="I16" s="318"/>
      <c r="J16" s="318"/>
      <c r="K16" s="318"/>
      <c r="L16" s="318"/>
      <c r="M16" s="318"/>
      <c r="N16" s="318"/>
      <c r="O16" s="318"/>
      <c r="P16" s="318"/>
      <c r="Q16" s="318"/>
      <c r="R16" s="318"/>
      <c r="S16" s="318"/>
      <c r="T16" s="318"/>
      <c r="U16" s="318"/>
      <c r="V16" s="318"/>
      <c r="W16" s="318"/>
      <c r="X16" s="318"/>
      <c r="Y16" s="318"/>
      <c r="Z16" s="318"/>
    </row>
    <row r="17" ht="15.75" customHeight="1">
      <c r="A17" s="320" t="s">
        <v>5215</v>
      </c>
      <c r="B17" s="320" t="s">
        <v>5213</v>
      </c>
      <c r="C17" s="318"/>
      <c r="D17" s="318"/>
      <c r="E17" s="318" t="s">
        <v>4133</v>
      </c>
      <c r="F17" s="318"/>
      <c r="G17" s="318"/>
      <c r="H17" s="318"/>
      <c r="I17" s="318"/>
      <c r="J17" s="318"/>
      <c r="K17" s="318"/>
      <c r="L17" s="318"/>
      <c r="M17" s="318"/>
      <c r="N17" s="318"/>
      <c r="O17" s="318"/>
      <c r="P17" s="318"/>
      <c r="Q17" s="318"/>
      <c r="R17" s="318"/>
      <c r="S17" s="318"/>
      <c r="T17" s="318"/>
      <c r="U17" s="318"/>
      <c r="V17" s="318"/>
      <c r="W17" s="318"/>
      <c r="X17" s="318"/>
      <c r="Y17" s="318"/>
      <c r="Z17" s="318"/>
    </row>
    <row r="18" ht="15.75" customHeight="1">
      <c r="A18" s="320" t="s">
        <v>5216</v>
      </c>
      <c r="B18" s="320" t="s">
        <v>5217</v>
      </c>
      <c r="C18" s="318"/>
      <c r="D18" s="318" t="s">
        <v>5218</v>
      </c>
      <c r="E18" s="318" t="s">
        <v>5219</v>
      </c>
      <c r="F18" s="318"/>
      <c r="G18" s="318"/>
      <c r="H18" s="318"/>
      <c r="I18" s="318"/>
      <c r="J18" s="318"/>
      <c r="K18" s="318"/>
      <c r="L18" s="318"/>
      <c r="M18" s="318"/>
      <c r="N18" s="318"/>
      <c r="O18" s="318"/>
      <c r="P18" s="318"/>
      <c r="Q18" s="318"/>
      <c r="R18" s="318"/>
      <c r="S18" s="318"/>
      <c r="T18" s="318"/>
      <c r="U18" s="318"/>
      <c r="V18" s="318"/>
      <c r="W18" s="318"/>
      <c r="X18" s="318"/>
      <c r="Y18" s="318"/>
      <c r="Z18" s="318"/>
    </row>
    <row r="19" ht="15.75" customHeight="1">
      <c r="A19" s="320" t="s">
        <v>5220</v>
      </c>
      <c r="B19" s="320" t="s">
        <v>5221</v>
      </c>
      <c r="C19" s="318"/>
      <c r="D19" s="318"/>
      <c r="E19" s="318" t="s">
        <v>5222</v>
      </c>
      <c r="F19" s="318"/>
      <c r="G19" s="318"/>
      <c r="H19" s="318"/>
      <c r="I19" s="318"/>
      <c r="J19" s="318"/>
      <c r="K19" s="318"/>
      <c r="L19" s="318"/>
      <c r="M19" s="318"/>
      <c r="N19" s="318"/>
      <c r="O19" s="318"/>
      <c r="P19" s="318"/>
      <c r="Q19" s="318"/>
      <c r="R19" s="318"/>
      <c r="S19" s="318"/>
      <c r="T19" s="318"/>
      <c r="U19" s="318"/>
      <c r="V19" s="318"/>
      <c r="W19" s="318"/>
      <c r="X19" s="318"/>
      <c r="Y19" s="318"/>
      <c r="Z19" s="318"/>
    </row>
    <row r="20" ht="15.75" customHeight="1">
      <c r="A20" s="320" t="s">
        <v>5223</v>
      </c>
      <c r="B20" s="320" t="s">
        <v>5221</v>
      </c>
      <c r="C20" s="318"/>
      <c r="D20" s="318"/>
      <c r="E20" s="318" t="s">
        <v>5224</v>
      </c>
      <c r="F20" s="318"/>
      <c r="G20" s="318"/>
      <c r="H20" s="318"/>
      <c r="I20" s="318"/>
      <c r="J20" s="318"/>
      <c r="K20" s="318"/>
      <c r="L20" s="318"/>
      <c r="M20" s="318"/>
      <c r="N20" s="318"/>
      <c r="O20" s="318"/>
      <c r="P20" s="318"/>
      <c r="Q20" s="318"/>
      <c r="R20" s="318"/>
      <c r="S20" s="318"/>
      <c r="T20" s="318"/>
      <c r="U20" s="318"/>
      <c r="V20" s="318"/>
      <c r="W20" s="318"/>
      <c r="X20" s="318"/>
      <c r="Y20" s="318"/>
      <c r="Z20" s="318"/>
    </row>
    <row r="21" ht="15.75" customHeight="1">
      <c r="A21" s="320" t="s">
        <v>5225</v>
      </c>
      <c r="B21" s="320" t="s">
        <v>5205</v>
      </c>
      <c r="C21" s="318"/>
      <c r="D21" s="318"/>
      <c r="E21" s="318" t="s">
        <v>5226</v>
      </c>
      <c r="F21" s="318"/>
      <c r="G21" s="318"/>
      <c r="H21" s="318"/>
      <c r="I21" s="318"/>
      <c r="J21" s="318"/>
      <c r="K21" s="318"/>
      <c r="L21" s="318"/>
      <c r="M21" s="318"/>
      <c r="N21" s="318"/>
      <c r="O21" s="318"/>
      <c r="P21" s="318"/>
      <c r="Q21" s="318"/>
      <c r="R21" s="318"/>
      <c r="S21" s="318"/>
      <c r="T21" s="318"/>
      <c r="U21" s="318"/>
      <c r="V21" s="318"/>
      <c r="W21" s="318"/>
      <c r="X21" s="318"/>
      <c r="Y21" s="318"/>
      <c r="Z21" s="318"/>
    </row>
    <row r="22" ht="15.75" customHeight="1">
      <c r="A22" s="320" t="s">
        <v>5227</v>
      </c>
      <c r="B22" s="320" t="s">
        <v>5221</v>
      </c>
      <c r="C22" s="318"/>
      <c r="D22" s="318"/>
      <c r="E22" s="318" t="s">
        <v>5228</v>
      </c>
      <c r="F22" s="318"/>
      <c r="G22" s="318"/>
      <c r="H22" s="318"/>
      <c r="I22" s="318"/>
      <c r="J22" s="318"/>
      <c r="K22" s="318"/>
      <c r="L22" s="318"/>
      <c r="M22" s="318"/>
      <c r="N22" s="318"/>
      <c r="O22" s="318"/>
      <c r="P22" s="318"/>
      <c r="Q22" s="318"/>
      <c r="R22" s="318"/>
      <c r="S22" s="318"/>
      <c r="T22" s="318"/>
      <c r="U22" s="318"/>
      <c r="V22" s="318"/>
      <c r="W22" s="318"/>
      <c r="X22" s="318"/>
      <c r="Y22" s="318"/>
      <c r="Z22" s="318"/>
    </row>
    <row r="23" ht="15.75" customHeight="1">
      <c r="A23" s="320" t="s">
        <v>5229</v>
      </c>
      <c r="B23" s="320" t="s">
        <v>5221</v>
      </c>
      <c r="C23" s="318"/>
      <c r="D23" s="318"/>
      <c r="E23" s="318" t="s">
        <v>5230</v>
      </c>
      <c r="F23" s="318"/>
      <c r="G23" s="318"/>
      <c r="H23" s="318"/>
      <c r="I23" s="318"/>
      <c r="J23" s="318"/>
      <c r="K23" s="318"/>
      <c r="L23" s="318"/>
      <c r="M23" s="318"/>
      <c r="N23" s="318"/>
      <c r="O23" s="318"/>
      <c r="P23" s="318"/>
      <c r="Q23" s="318"/>
      <c r="R23" s="318"/>
      <c r="S23" s="318"/>
      <c r="T23" s="318"/>
      <c r="U23" s="318"/>
      <c r="V23" s="318"/>
      <c r="W23" s="318"/>
      <c r="X23" s="318"/>
      <c r="Y23" s="318"/>
      <c r="Z23" s="318"/>
    </row>
    <row r="24" ht="15.75" customHeight="1">
      <c r="A24" s="320" t="s">
        <v>5231</v>
      </c>
      <c r="B24" s="320" t="s">
        <v>5221</v>
      </c>
      <c r="C24" s="318"/>
      <c r="D24" s="318"/>
      <c r="E24" s="318" t="s">
        <v>5232</v>
      </c>
      <c r="F24" s="318"/>
      <c r="G24" s="318"/>
      <c r="H24" s="318"/>
      <c r="I24" s="318"/>
      <c r="J24" s="318"/>
      <c r="K24" s="318"/>
      <c r="L24" s="318"/>
      <c r="M24" s="318"/>
      <c r="N24" s="318"/>
      <c r="O24" s="318"/>
      <c r="P24" s="318"/>
      <c r="Q24" s="318"/>
      <c r="R24" s="318"/>
      <c r="S24" s="318"/>
      <c r="T24" s="318"/>
      <c r="U24" s="318"/>
      <c r="V24" s="318"/>
      <c r="W24" s="318"/>
      <c r="X24" s="318"/>
      <c r="Y24" s="318"/>
      <c r="Z24" s="318"/>
    </row>
    <row r="25" ht="15.75" customHeight="1">
      <c r="A25" s="320" t="s">
        <v>5233</v>
      </c>
      <c r="B25" s="320" t="s">
        <v>5234</v>
      </c>
      <c r="C25" s="318"/>
      <c r="D25" s="318"/>
      <c r="E25" s="318" t="s">
        <v>5235</v>
      </c>
      <c r="F25" s="318"/>
      <c r="G25" s="318"/>
      <c r="H25" s="318"/>
      <c r="I25" s="318"/>
      <c r="J25" s="318"/>
      <c r="K25" s="318"/>
      <c r="L25" s="318"/>
      <c r="M25" s="318"/>
      <c r="N25" s="318"/>
      <c r="O25" s="318"/>
      <c r="P25" s="318"/>
      <c r="Q25" s="318"/>
      <c r="R25" s="318"/>
      <c r="S25" s="318"/>
      <c r="T25" s="318"/>
      <c r="U25" s="318"/>
      <c r="V25" s="318"/>
      <c r="W25" s="318"/>
      <c r="X25" s="318"/>
      <c r="Y25" s="318"/>
      <c r="Z25" s="318"/>
    </row>
    <row r="26" ht="15.75" customHeight="1">
      <c r="A26" s="320" t="s">
        <v>4114</v>
      </c>
      <c r="B26" s="320" t="s">
        <v>5234</v>
      </c>
      <c r="C26" s="318"/>
      <c r="D26" s="318"/>
      <c r="E26" s="318" t="s">
        <v>5236</v>
      </c>
      <c r="F26" s="318"/>
      <c r="G26" s="318"/>
      <c r="H26" s="318"/>
      <c r="I26" s="318"/>
      <c r="J26" s="318"/>
      <c r="K26" s="318"/>
      <c r="L26" s="318"/>
      <c r="M26" s="318"/>
      <c r="N26" s="318"/>
      <c r="O26" s="318"/>
      <c r="P26" s="318"/>
      <c r="Q26" s="318"/>
      <c r="R26" s="318"/>
      <c r="S26" s="318"/>
      <c r="T26" s="318"/>
      <c r="U26" s="318"/>
      <c r="V26" s="318"/>
      <c r="W26" s="318"/>
      <c r="X26" s="318"/>
      <c r="Y26" s="318"/>
      <c r="Z26" s="318"/>
    </row>
    <row r="27" ht="15.75" customHeight="1">
      <c r="A27" s="320" t="s">
        <v>5237</v>
      </c>
      <c r="B27" s="320" t="s">
        <v>5238</v>
      </c>
      <c r="C27" s="318"/>
      <c r="D27" s="318"/>
      <c r="E27" s="318" t="s">
        <v>5239</v>
      </c>
      <c r="F27" s="318"/>
      <c r="G27" s="318"/>
      <c r="H27" s="318"/>
      <c r="I27" s="318"/>
      <c r="J27" s="318"/>
      <c r="K27" s="318"/>
      <c r="L27" s="318"/>
      <c r="M27" s="318"/>
      <c r="N27" s="318"/>
      <c r="O27" s="318"/>
      <c r="P27" s="318"/>
      <c r="Q27" s="318"/>
      <c r="R27" s="318"/>
      <c r="S27" s="318"/>
      <c r="T27" s="318"/>
      <c r="U27" s="318"/>
      <c r="V27" s="318"/>
      <c r="W27" s="318"/>
      <c r="X27" s="318"/>
      <c r="Y27" s="318"/>
      <c r="Z27" s="318"/>
    </row>
    <row r="28" ht="15.75" customHeight="1">
      <c r="A28" s="320" t="s">
        <v>5240</v>
      </c>
      <c r="B28" s="320" t="s">
        <v>5241</v>
      </c>
      <c r="C28" s="318"/>
      <c r="D28" s="318"/>
      <c r="E28" s="318" t="s">
        <v>5242</v>
      </c>
      <c r="F28" s="318"/>
      <c r="G28" s="318"/>
      <c r="H28" s="318"/>
      <c r="I28" s="318"/>
      <c r="J28" s="318"/>
      <c r="K28" s="318"/>
      <c r="L28" s="318"/>
      <c r="M28" s="318"/>
      <c r="N28" s="318"/>
      <c r="O28" s="318"/>
      <c r="P28" s="318"/>
      <c r="Q28" s="318"/>
      <c r="R28" s="318"/>
      <c r="S28" s="318"/>
      <c r="T28" s="318"/>
      <c r="U28" s="318"/>
      <c r="V28" s="318"/>
      <c r="W28" s="318"/>
      <c r="X28" s="318"/>
      <c r="Y28" s="318"/>
      <c r="Z28" s="318"/>
    </row>
    <row r="29" ht="15.75" customHeight="1">
      <c r="A29" s="320" t="s">
        <v>5243</v>
      </c>
      <c r="B29" s="320" t="s">
        <v>5234</v>
      </c>
      <c r="C29" s="318"/>
      <c r="D29" s="318"/>
      <c r="E29" s="318" t="s">
        <v>5244</v>
      </c>
      <c r="F29" s="318"/>
      <c r="G29" s="318"/>
      <c r="H29" s="318"/>
      <c r="I29" s="318"/>
      <c r="J29" s="318"/>
      <c r="K29" s="318"/>
      <c r="L29" s="318"/>
      <c r="M29" s="318"/>
      <c r="N29" s="318"/>
      <c r="O29" s="318"/>
      <c r="P29" s="318"/>
      <c r="Q29" s="318"/>
      <c r="R29" s="318"/>
      <c r="S29" s="318"/>
      <c r="T29" s="318"/>
      <c r="U29" s="318"/>
      <c r="V29" s="318"/>
      <c r="W29" s="318"/>
      <c r="X29" s="318"/>
      <c r="Y29" s="318"/>
      <c r="Z29" s="318"/>
    </row>
    <row r="30" ht="15.75" customHeight="1">
      <c r="A30" s="318" t="s">
        <v>5245</v>
      </c>
      <c r="B30" s="318" t="s">
        <v>5234</v>
      </c>
      <c r="C30" s="318"/>
      <c r="D30" s="318"/>
      <c r="E30" s="318" t="s">
        <v>5246</v>
      </c>
      <c r="F30" s="318"/>
      <c r="G30" s="318"/>
      <c r="H30" s="318"/>
      <c r="I30" s="318"/>
      <c r="J30" s="318"/>
      <c r="K30" s="318"/>
      <c r="L30" s="318"/>
      <c r="M30" s="318"/>
      <c r="N30" s="318"/>
      <c r="O30" s="318"/>
      <c r="P30" s="318"/>
      <c r="Q30" s="318"/>
      <c r="R30" s="318"/>
      <c r="S30" s="318"/>
      <c r="T30" s="318"/>
      <c r="U30" s="318"/>
      <c r="V30" s="318"/>
      <c r="W30" s="318"/>
      <c r="X30" s="318"/>
      <c r="Y30" s="318"/>
      <c r="Z30" s="318"/>
    </row>
    <row r="31" ht="15.75" customHeight="1">
      <c r="A31" s="318" t="s">
        <v>5247</v>
      </c>
      <c r="B31" s="318" t="s">
        <v>5248</v>
      </c>
      <c r="C31" s="318"/>
      <c r="D31" s="318"/>
      <c r="E31" s="318" t="s">
        <v>5249</v>
      </c>
      <c r="F31" s="318"/>
      <c r="G31" s="318"/>
      <c r="H31" s="318"/>
      <c r="I31" s="318"/>
      <c r="J31" s="318"/>
      <c r="K31" s="318"/>
      <c r="L31" s="318"/>
      <c r="M31" s="318"/>
      <c r="N31" s="318"/>
      <c r="O31" s="318"/>
      <c r="P31" s="318"/>
      <c r="Q31" s="318"/>
      <c r="R31" s="318"/>
      <c r="S31" s="318"/>
      <c r="T31" s="318"/>
      <c r="U31" s="318"/>
      <c r="V31" s="318"/>
      <c r="W31" s="318"/>
      <c r="X31" s="318"/>
      <c r="Y31" s="318"/>
      <c r="Z31" s="318"/>
    </row>
    <row r="32" ht="13.5" customHeight="1">
      <c r="A32" s="318" t="s">
        <v>5250</v>
      </c>
      <c r="B32" s="318" t="s">
        <v>5238</v>
      </c>
      <c r="C32" s="318"/>
      <c r="D32" s="318"/>
      <c r="E32" s="318" t="s">
        <v>5251</v>
      </c>
      <c r="F32" s="318"/>
      <c r="G32" s="318"/>
      <c r="H32" s="318"/>
      <c r="I32" s="318"/>
      <c r="J32" s="318"/>
      <c r="K32" s="318"/>
      <c r="L32" s="318"/>
      <c r="M32" s="318"/>
      <c r="N32" s="318"/>
      <c r="O32" s="318"/>
      <c r="P32" s="318"/>
      <c r="Q32" s="318"/>
      <c r="R32" s="318"/>
      <c r="S32" s="318"/>
      <c r="T32" s="318"/>
      <c r="U32" s="318"/>
      <c r="V32" s="318"/>
      <c r="W32" s="318"/>
      <c r="X32" s="318"/>
      <c r="Y32" s="318"/>
      <c r="Z32" s="318"/>
    </row>
    <row r="33" ht="15.75" customHeight="1">
      <c r="A33" s="318" t="s">
        <v>5252</v>
      </c>
      <c r="B33" s="318" t="s">
        <v>5234</v>
      </c>
      <c r="C33" s="318"/>
      <c r="D33" s="318"/>
      <c r="E33" s="318" t="s">
        <v>5253</v>
      </c>
      <c r="F33" s="318"/>
      <c r="G33" s="318"/>
      <c r="H33" s="318"/>
      <c r="I33" s="318"/>
      <c r="J33" s="318"/>
      <c r="K33" s="318"/>
      <c r="L33" s="318"/>
      <c r="M33" s="318"/>
      <c r="N33" s="318"/>
      <c r="O33" s="318"/>
      <c r="P33" s="318"/>
      <c r="Q33" s="318"/>
      <c r="R33" s="318"/>
      <c r="S33" s="318"/>
      <c r="T33" s="318"/>
      <c r="U33" s="318"/>
      <c r="V33" s="318"/>
      <c r="W33" s="318"/>
      <c r="X33" s="318"/>
      <c r="Y33" s="318"/>
      <c r="Z33" s="318"/>
    </row>
    <row r="34" ht="15.75" customHeight="1">
      <c r="A34" s="318" t="s">
        <v>5254</v>
      </c>
      <c r="B34" s="318" t="s">
        <v>5255</v>
      </c>
      <c r="C34" s="318"/>
      <c r="D34" s="318"/>
      <c r="E34" s="318" t="s">
        <v>5256</v>
      </c>
      <c r="F34" s="318"/>
      <c r="G34" s="318"/>
      <c r="H34" s="318"/>
      <c r="I34" s="318"/>
      <c r="J34" s="318"/>
      <c r="K34" s="318"/>
      <c r="L34" s="318"/>
      <c r="M34" s="318"/>
      <c r="N34" s="318"/>
      <c r="O34" s="318"/>
      <c r="P34" s="318"/>
      <c r="Q34" s="318"/>
      <c r="R34" s="318"/>
      <c r="S34" s="318"/>
      <c r="T34" s="318"/>
      <c r="U34" s="318"/>
      <c r="V34" s="318"/>
      <c r="W34" s="318"/>
      <c r="X34" s="318"/>
      <c r="Y34" s="318"/>
      <c r="Z34" s="318"/>
    </row>
    <row r="35" ht="15.75" customHeight="1">
      <c r="A35" s="318" t="s">
        <v>5257</v>
      </c>
      <c r="B35" s="318" t="s">
        <v>5258</v>
      </c>
      <c r="C35" s="318"/>
      <c r="D35" s="318"/>
      <c r="E35" s="318" t="s">
        <v>5259</v>
      </c>
      <c r="F35" s="318"/>
      <c r="G35" s="318"/>
      <c r="H35" s="318"/>
      <c r="I35" s="318"/>
      <c r="J35" s="318"/>
      <c r="K35" s="318"/>
      <c r="L35" s="318"/>
      <c r="M35" s="318"/>
      <c r="N35" s="318"/>
      <c r="O35" s="318"/>
      <c r="P35" s="318"/>
      <c r="Q35" s="318"/>
      <c r="R35" s="318"/>
      <c r="S35" s="318"/>
      <c r="T35" s="318"/>
      <c r="U35" s="318"/>
      <c r="V35" s="318"/>
      <c r="W35" s="318"/>
      <c r="X35" s="318"/>
      <c r="Y35" s="318"/>
      <c r="Z35" s="318"/>
    </row>
    <row r="36" ht="15.75" customHeight="1">
      <c r="A36" s="318" t="s">
        <v>5260</v>
      </c>
      <c r="B36" s="318" t="s">
        <v>5258</v>
      </c>
      <c r="C36" s="318"/>
      <c r="D36" s="318"/>
      <c r="E36" s="318" t="s">
        <v>5261</v>
      </c>
      <c r="F36" s="318"/>
      <c r="G36" s="318"/>
      <c r="H36" s="318"/>
      <c r="I36" s="318"/>
      <c r="J36" s="318"/>
      <c r="K36" s="318"/>
      <c r="L36" s="318"/>
      <c r="M36" s="318"/>
      <c r="N36" s="318"/>
      <c r="O36" s="318"/>
      <c r="P36" s="318"/>
      <c r="Q36" s="318"/>
      <c r="R36" s="318"/>
      <c r="S36" s="318"/>
      <c r="T36" s="318"/>
      <c r="U36" s="318"/>
      <c r="V36" s="318"/>
      <c r="W36" s="318"/>
      <c r="X36" s="318"/>
      <c r="Y36" s="318"/>
      <c r="Z36" s="318"/>
    </row>
    <row r="37" ht="15.75" customHeight="1">
      <c r="A37" s="318" t="s">
        <v>5262</v>
      </c>
      <c r="B37" s="318" t="s">
        <v>5258</v>
      </c>
      <c r="C37" s="318"/>
      <c r="D37" s="318"/>
      <c r="E37" s="318" t="s">
        <v>5263</v>
      </c>
      <c r="F37" s="318"/>
      <c r="G37" s="318"/>
      <c r="H37" s="318"/>
      <c r="I37" s="318"/>
      <c r="J37" s="318"/>
      <c r="K37" s="318"/>
      <c r="L37" s="318"/>
      <c r="M37" s="318"/>
      <c r="N37" s="318"/>
      <c r="O37" s="318"/>
      <c r="P37" s="318"/>
      <c r="Q37" s="318"/>
      <c r="R37" s="318"/>
      <c r="S37" s="318"/>
      <c r="T37" s="318"/>
      <c r="U37" s="318"/>
      <c r="V37" s="318"/>
      <c r="W37" s="318"/>
      <c r="X37" s="318"/>
      <c r="Y37" s="318"/>
      <c r="Z37" s="318"/>
    </row>
    <row r="38" ht="15.75" customHeight="1">
      <c r="A38" s="318" t="s">
        <v>5264</v>
      </c>
      <c r="B38" s="318" t="s">
        <v>5265</v>
      </c>
      <c r="C38" s="318"/>
      <c r="D38" s="318"/>
      <c r="E38" s="318" t="s">
        <v>5266</v>
      </c>
      <c r="F38" s="318"/>
      <c r="G38" s="318"/>
      <c r="H38" s="318"/>
      <c r="I38" s="318"/>
      <c r="J38" s="318"/>
      <c r="K38" s="318"/>
      <c r="L38" s="318"/>
      <c r="M38" s="318"/>
      <c r="N38" s="318"/>
      <c r="O38" s="318"/>
      <c r="P38" s="318"/>
      <c r="Q38" s="318"/>
      <c r="R38" s="318"/>
      <c r="S38" s="318"/>
      <c r="T38" s="318"/>
      <c r="U38" s="318"/>
      <c r="V38" s="318"/>
      <c r="W38" s="318"/>
      <c r="X38" s="318"/>
      <c r="Y38" s="318"/>
      <c r="Z38" s="318"/>
    </row>
    <row r="39" ht="15.75" customHeight="1">
      <c r="A39" s="318" t="s">
        <v>5267</v>
      </c>
      <c r="B39" s="318" t="s">
        <v>5268</v>
      </c>
      <c r="C39" s="318"/>
      <c r="D39" s="318"/>
      <c r="E39" s="318" t="s">
        <v>5269</v>
      </c>
      <c r="F39" s="318"/>
      <c r="G39" s="318"/>
      <c r="H39" s="318"/>
      <c r="I39" s="318"/>
      <c r="J39" s="318"/>
      <c r="K39" s="318"/>
      <c r="L39" s="318"/>
      <c r="M39" s="318"/>
      <c r="N39" s="318"/>
      <c r="O39" s="318"/>
      <c r="P39" s="318"/>
      <c r="Q39" s="318"/>
      <c r="R39" s="318"/>
      <c r="S39" s="318"/>
      <c r="T39" s="318"/>
      <c r="U39" s="318"/>
      <c r="V39" s="318"/>
      <c r="W39" s="318"/>
      <c r="X39" s="318"/>
      <c r="Y39" s="318"/>
      <c r="Z39" s="318"/>
    </row>
    <row r="40" ht="15.75" customHeight="1">
      <c r="A40" s="318" t="s">
        <v>5270</v>
      </c>
      <c r="B40" s="318" t="s">
        <v>5271</v>
      </c>
      <c r="C40" s="318"/>
      <c r="D40" s="318"/>
      <c r="E40" s="318" t="s">
        <v>5272</v>
      </c>
      <c r="F40" s="318"/>
      <c r="G40" s="318"/>
      <c r="H40" s="318"/>
      <c r="I40" s="318"/>
      <c r="J40" s="318"/>
      <c r="K40" s="318"/>
      <c r="L40" s="318"/>
      <c r="M40" s="318"/>
      <c r="N40" s="318"/>
      <c r="O40" s="318"/>
      <c r="P40" s="318"/>
      <c r="Q40" s="318"/>
      <c r="R40" s="318"/>
      <c r="S40" s="318"/>
      <c r="T40" s="318"/>
      <c r="U40" s="318"/>
      <c r="V40" s="318"/>
      <c r="W40" s="318"/>
      <c r="X40" s="318"/>
      <c r="Y40" s="318"/>
      <c r="Z40" s="318"/>
    </row>
    <row r="41" ht="15.75" customHeight="1">
      <c r="A41" s="318" t="s">
        <v>5273</v>
      </c>
      <c r="B41" s="318" t="s">
        <v>5274</v>
      </c>
      <c r="C41" s="318"/>
      <c r="D41" s="318"/>
      <c r="E41" s="318" t="s">
        <v>5275</v>
      </c>
      <c r="F41" s="318"/>
      <c r="G41" s="318"/>
      <c r="H41" s="318"/>
      <c r="I41" s="318"/>
      <c r="J41" s="318"/>
      <c r="K41" s="318"/>
      <c r="L41" s="318"/>
      <c r="M41" s="318"/>
      <c r="N41" s="318"/>
      <c r="O41" s="318"/>
      <c r="P41" s="318"/>
      <c r="Q41" s="318"/>
      <c r="R41" s="318"/>
      <c r="S41" s="318"/>
      <c r="T41" s="318"/>
      <c r="U41" s="318"/>
      <c r="V41" s="318"/>
      <c r="W41" s="318"/>
      <c r="X41" s="318"/>
      <c r="Y41" s="318"/>
      <c r="Z41" s="318"/>
    </row>
    <row r="42" ht="15.75" customHeight="1">
      <c r="A42" s="318" t="s">
        <v>5276</v>
      </c>
      <c r="B42" s="318" t="s">
        <v>5277</v>
      </c>
      <c r="C42" s="318"/>
      <c r="D42" s="318"/>
      <c r="E42" s="318" t="s">
        <v>5278</v>
      </c>
      <c r="F42" s="318"/>
      <c r="G42" s="318"/>
      <c r="H42" s="318"/>
      <c r="I42" s="318"/>
      <c r="J42" s="318"/>
      <c r="K42" s="318"/>
      <c r="L42" s="318"/>
      <c r="M42" s="318"/>
      <c r="N42" s="318"/>
      <c r="O42" s="318"/>
      <c r="P42" s="318"/>
      <c r="Q42" s="318"/>
      <c r="R42" s="318"/>
      <c r="S42" s="318"/>
      <c r="T42" s="318"/>
      <c r="U42" s="318"/>
      <c r="V42" s="318"/>
      <c r="W42" s="318"/>
      <c r="X42" s="318"/>
      <c r="Y42" s="318"/>
      <c r="Z42" s="318"/>
    </row>
    <row r="43" ht="15.75" customHeight="1">
      <c r="A43" s="318" t="s">
        <v>5279</v>
      </c>
      <c r="B43" s="318" t="s">
        <v>5280</v>
      </c>
      <c r="C43" s="318"/>
      <c r="D43" s="318"/>
      <c r="E43" s="318" t="s">
        <v>5281</v>
      </c>
      <c r="F43" s="318"/>
      <c r="G43" s="318"/>
      <c r="H43" s="318"/>
      <c r="I43" s="318"/>
      <c r="J43" s="318"/>
      <c r="K43" s="318"/>
      <c r="L43" s="318"/>
      <c r="M43" s="318"/>
      <c r="N43" s="318"/>
      <c r="O43" s="318"/>
      <c r="P43" s="318"/>
      <c r="Q43" s="318"/>
      <c r="R43" s="318"/>
      <c r="S43" s="318"/>
      <c r="T43" s="318"/>
      <c r="U43" s="318"/>
      <c r="V43" s="318"/>
      <c r="W43" s="318"/>
      <c r="X43" s="318"/>
      <c r="Y43" s="318"/>
      <c r="Z43" s="318"/>
    </row>
    <row r="44" ht="15.75" customHeight="1">
      <c r="A44" s="318" t="s">
        <v>5282</v>
      </c>
      <c r="B44" s="318" t="s">
        <v>5280</v>
      </c>
      <c r="C44" s="318"/>
      <c r="D44" s="318"/>
      <c r="E44" s="318" t="s">
        <v>5283</v>
      </c>
      <c r="F44" s="318"/>
      <c r="G44" s="318"/>
      <c r="H44" s="318"/>
      <c r="I44" s="318"/>
      <c r="J44" s="318"/>
      <c r="K44" s="318"/>
      <c r="L44" s="318"/>
      <c r="M44" s="318"/>
      <c r="N44" s="318"/>
      <c r="O44" s="318"/>
      <c r="P44" s="318"/>
      <c r="Q44" s="318"/>
      <c r="R44" s="318"/>
      <c r="S44" s="318"/>
      <c r="T44" s="318"/>
      <c r="U44" s="318"/>
      <c r="V44" s="318"/>
      <c r="W44" s="318"/>
      <c r="X44" s="318"/>
      <c r="Y44" s="318"/>
      <c r="Z44" s="318"/>
    </row>
    <row r="45" ht="15.75" customHeight="1">
      <c r="A45" s="318" t="s">
        <v>5284</v>
      </c>
      <c r="B45" s="318" t="s">
        <v>5285</v>
      </c>
      <c r="C45" s="318"/>
      <c r="D45" s="318"/>
      <c r="E45" s="318" t="s">
        <v>5286</v>
      </c>
      <c r="F45" s="318"/>
      <c r="G45" s="318"/>
      <c r="H45" s="318"/>
      <c r="I45" s="318"/>
      <c r="J45" s="318"/>
      <c r="K45" s="318"/>
      <c r="L45" s="318"/>
      <c r="M45" s="318"/>
      <c r="N45" s="318"/>
      <c r="O45" s="318"/>
      <c r="P45" s="318"/>
      <c r="Q45" s="318"/>
      <c r="R45" s="318"/>
      <c r="S45" s="318"/>
      <c r="T45" s="318"/>
      <c r="U45" s="318"/>
      <c r="V45" s="318"/>
      <c r="W45" s="318"/>
      <c r="X45" s="318"/>
      <c r="Y45" s="318"/>
      <c r="Z45" s="318"/>
    </row>
    <row r="46" ht="15.75" customHeight="1">
      <c r="A46" s="318" t="s">
        <v>5287</v>
      </c>
      <c r="B46" s="318" t="s">
        <v>5288</v>
      </c>
      <c r="C46" s="318"/>
      <c r="D46" s="318"/>
      <c r="E46" s="318" t="s">
        <v>5289</v>
      </c>
      <c r="F46" s="318"/>
      <c r="G46" s="318"/>
      <c r="H46" s="318"/>
      <c r="I46" s="318"/>
      <c r="J46" s="318"/>
      <c r="K46" s="318"/>
      <c r="L46" s="318"/>
      <c r="M46" s="318"/>
      <c r="N46" s="318"/>
      <c r="O46" s="318"/>
      <c r="P46" s="318"/>
      <c r="Q46" s="318"/>
      <c r="R46" s="318"/>
      <c r="S46" s="318"/>
      <c r="T46" s="318"/>
      <c r="U46" s="318"/>
      <c r="V46" s="318"/>
      <c r="W46" s="318"/>
      <c r="X46" s="318"/>
      <c r="Y46" s="318"/>
      <c r="Z46" s="318"/>
    </row>
    <row r="47" ht="15.75" customHeight="1">
      <c r="A47" s="318" t="s">
        <v>5290</v>
      </c>
      <c r="B47" s="318" t="s">
        <v>5288</v>
      </c>
      <c r="C47" s="318"/>
      <c r="D47" s="318"/>
      <c r="E47" s="318" t="s">
        <v>5291</v>
      </c>
      <c r="F47" s="318"/>
      <c r="G47" s="318"/>
      <c r="H47" s="318"/>
      <c r="I47" s="318"/>
      <c r="J47" s="318"/>
      <c r="K47" s="318"/>
      <c r="L47" s="318"/>
      <c r="M47" s="318"/>
      <c r="N47" s="318"/>
      <c r="O47" s="318"/>
      <c r="P47" s="318"/>
      <c r="Q47" s="318"/>
      <c r="R47" s="318"/>
      <c r="S47" s="318"/>
      <c r="T47" s="318"/>
      <c r="U47" s="318"/>
      <c r="V47" s="318"/>
      <c r="W47" s="318"/>
      <c r="X47" s="318"/>
      <c r="Y47" s="318"/>
      <c r="Z47" s="318"/>
    </row>
    <row r="48" ht="15.75" customHeight="1">
      <c r="A48" s="318" t="s">
        <v>5292</v>
      </c>
      <c r="B48" s="318" t="s">
        <v>5288</v>
      </c>
      <c r="C48" s="318"/>
      <c r="D48" s="318"/>
      <c r="E48" s="318" t="s">
        <v>5293</v>
      </c>
      <c r="F48" s="318"/>
      <c r="G48" s="318"/>
      <c r="H48" s="318"/>
      <c r="I48" s="318"/>
      <c r="J48" s="318"/>
      <c r="K48" s="318"/>
      <c r="L48" s="318"/>
      <c r="M48" s="318"/>
      <c r="N48" s="318"/>
      <c r="O48" s="318"/>
      <c r="P48" s="318"/>
      <c r="Q48" s="318"/>
      <c r="R48" s="318"/>
      <c r="S48" s="318"/>
      <c r="T48" s="318"/>
      <c r="U48" s="318"/>
      <c r="V48" s="318"/>
      <c r="W48" s="318"/>
      <c r="X48" s="318"/>
      <c r="Y48" s="318"/>
      <c r="Z48" s="318"/>
    </row>
    <row r="49" ht="15.75" customHeight="1">
      <c r="A49" s="318" t="s">
        <v>5294</v>
      </c>
      <c r="B49" s="318" t="s">
        <v>5295</v>
      </c>
      <c r="C49" s="318"/>
      <c r="D49" s="318"/>
      <c r="E49" s="318" t="s">
        <v>5296</v>
      </c>
      <c r="F49" s="318"/>
      <c r="G49" s="318"/>
      <c r="H49" s="318"/>
      <c r="I49" s="318"/>
      <c r="J49" s="318"/>
      <c r="K49" s="318"/>
      <c r="L49" s="318"/>
      <c r="M49" s="318"/>
      <c r="N49" s="318"/>
      <c r="O49" s="318"/>
      <c r="P49" s="318"/>
      <c r="Q49" s="318"/>
      <c r="R49" s="318"/>
      <c r="S49" s="318"/>
      <c r="T49" s="318"/>
      <c r="U49" s="318"/>
      <c r="V49" s="318"/>
      <c r="W49" s="318"/>
      <c r="X49" s="318"/>
      <c r="Y49" s="318"/>
      <c r="Z49" s="318"/>
    </row>
    <row r="50" ht="15.75" customHeight="1">
      <c r="A50" s="318"/>
      <c r="B50" s="318"/>
      <c r="C50" s="318"/>
      <c r="D50" s="318"/>
      <c r="E50" s="318"/>
      <c r="F50" s="318"/>
      <c r="G50" s="318"/>
      <c r="H50" s="318"/>
      <c r="I50" s="318"/>
      <c r="J50" s="318"/>
      <c r="K50" s="318"/>
      <c r="L50" s="318"/>
      <c r="M50" s="318"/>
      <c r="N50" s="318"/>
      <c r="O50" s="318"/>
      <c r="P50" s="318"/>
      <c r="Q50" s="318"/>
      <c r="R50" s="318"/>
      <c r="S50" s="318"/>
      <c r="T50" s="318"/>
      <c r="U50" s="318"/>
      <c r="V50" s="318"/>
      <c r="W50" s="318"/>
      <c r="X50" s="318"/>
      <c r="Y50" s="318"/>
      <c r="Z50" s="318"/>
    </row>
    <row r="51" ht="15.75" customHeight="1">
      <c r="A51" s="318"/>
      <c r="B51" s="318"/>
      <c r="C51" s="318"/>
      <c r="D51" s="318"/>
      <c r="E51" s="318"/>
      <c r="F51" s="318"/>
      <c r="G51" s="318"/>
      <c r="H51" s="318"/>
      <c r="I51" s="318"/>
      <c r="J51" s="318"/>
      <c r="K51" s="318"/>
      <c r="L51" s="318"/>
      <c r="M51" s="318"/>
      <c r="N51" s="318"/>
      <c r="O51" s="318"/>
      <c r="P51" s="318"/>
      <c r="Q51" s="318"/>
      <c r="R51" s="318"/>
      <c r="S51" s="318"/>
      <c r="T51" s="318"/>
      <c r="U51" s="318"/>
      <c r="V51" s="318"/>
      <c r="W51" s="318"/>
      <c r="X51" s="318"/>
      <c r="Y51" s="318"/>
      <c r="Z51" s="318"/>
    </row>
    <row r="52" ht="15.75" customHeight="1">
      <c r="A52" s="318"/>
      <c r="B52" s="318"/>
      <c r="C52" s="318"/>
      <c r="D52" s="318"/>
      <c r="E52" s="318"/>
      <c r="F52" s="318"/>
      <c r="G52" s="318"/>
      <c r="H52" s="318"/>
      <c r="I52" s="318"/>
      <c r="J52" s="318"/>
      <c r="K52" s="318"/>
      <c r="L52" s="318"/>
      <c r="M52" s="318"/>
      <c r="N52" s="318"/>
      <c r="O52" s="318"/>
      <c r="P52" s="318"/>
      <c r="Q52" s="318"/>
      <c r="R52" s="318"/>
      <c r="S52" s="318"/>
      <c r="T52" s="318"/>
      <c r="U52" s="318"/>
      <c r="V52" s="318"/>
      <c r="W52" s="318"/>
      <c r="X52" s="318"/>
      <c r="Y52" s="318"/>
      <c r="Z52" s="318"/>
    </row>
    <row r="53" ht="15.75" customHeight="1">
      <c r="A53" s="318"/>
      <c r="B53" s="318"/>
      <c r="C53" s="318"/>
      <c r="D53" s="318"/>
      <c r="E53" s="318"/>
      <c r="F53" s="318"/>
      <c r="G53" s="318"/>
      <c r="H53" s="318"/>
      <c r="I53" s="318"/>
      <c r="J53" s="318"/>
      <c r="K53" s="318"/>
      <c r="L53" s="318"/>
      <c r="M53" s="318"/>
      <c r="N53" s="318"/>
      <c r="O53" s="318"/>
      <c r="P53" s="318"/>
      <c r="Q53" s="318"/>
      <c r="R53" s="318"/>
      <c r="S53" s="318"/>
      <c r="T53" s="318"/>
      <c r="U53" s="318"/>
      <c r="V53" s="318"/>
      <c r="W53" s="318"/>
      <c r="X53" s="318"/>
      <c r="Y53" s="318"/>
      <c r="Z53" s="318"/>
    </row>
    <row r="54" ht="15.75" customHeight="1">
      <c r="A54" s="318"/>
      <c r="B54" s="318"/>
      <c r="C54" s="318"/>
      <c r="D54" s="318"/>
      <c r="E54" s="318"/>
      <c r="F54" s="318"/>
      <c r="G54" s="318"/>
      <c r="H54" s="318"/>
      <c r="I54" s="318"/>
      <c r="J54" s="318"/>
      <c r="K54" s="318"/>
      <c r="L54" s="318"/>
      <c r="M54" s="318"/>
      <c r="N54" s="318"/>
      <c r="O54" s="318"/>
      <c r="P54" s="318"/>
      <c r="Q54" s="318"/>
      <c r="R54" s="318"/>
      <c r="S54" s="318"/>
      <c r="T54" s="318"/>
      <c r="U54" s="318"/>
      <c r="V54" s="318"/>
      <c r="W54" s="318"/>
      <c r="X54" s="318"/>
      <c r="Y54" s="318"/>
      <c r="Z54" s="318"/>
    </row>
    <row r="55" ht="15.75" customHeight="1">
      <c r="A55" s="318"/>
      <c r="B55" s="318"/>
      <c r="C55" s="318"/>
      <c r="D55" s="318"/>
      <c r="E55" s="318"/>
      <c r="F55" s="318"/>
      <c r="G55" s="318"/>
      <c r="H55" s="318"/>
      <c r="I55" s="318"/>
      <c r="J55" s="318"/>
      <c r="K55" s="318"/>
      <c r="L55" s="318"/>
      <c r="M55" s="318"/>
      <c r="N55" s="318"/>
      <c r="O55" s="318"/>
      <c r="P55" s="318"/>
      <c r="Q55" s="318"/>
      <c r="R55" s="318"/>
      <c r="S55" s="318"/>
      <c r="T55" s="318"/>
      <c r="U55" s="318"/>
      <c r="V55" s="318"/>
      <c r="W55" s="318"/>
      <c r="X55" s="318"/>
      <c r="Y55" s="318"/>
      <c r="Z55" s="318"/>
    </row>
    <row r="56" ht="15.75" customHeight="1">
      <c r="A56" s="318"/>
      <c r="B56" s="318"/>
      <c r="C56" s="318"/>
      <c r="D56" s="318"/>
      <c r="E56" s="318"/>
      <c r="F56" s="318"/>
      <c r="G56" s="318"/>
      <c r="H56" s="318"/>
      <c r="I56" s="318"/>
      <c r="J56" s="318"/>
      <c r="K56" s="318"/>
      <c r="L56" s="318"/>
      <c r="M56" s="318"/>
      <c r="N56" s="318"/>
      <c r="O56" s="318"/>
      <c r="P56" s="318"/>
      <c r="Q56" s="318"/>
      <c r="R56" s="318"/>
      <c r="S56" s="318"/>
      <c r="T56" s="318"/>
      <c r="U56" s="318"/>
      <c r="V56" s="318"/>
      <c r="W56" s="318"/>
      <c r="X56" s="318"/>
      <c r="Y56" s="318"/>
      <c r="Z56" s="318"/>
    </row>
    <row r="57" ht="15.75" customHeight="1">
      <c r="A57" s="318"/>
      <c r="B57" s="318"/>
      <c r="C57" s="318"/>
      <c r="D57" s="318"/>
      <c r="E57" s="318"/>
      <c r="F57" s="318"/>
      <c r="G57" s="318"/>
      <c r="H57" s="318"/>
      <c r="I57" s="318"/>
      <c r="J57" s="318"/>
      <c r="K57" s="318"/>
      <c r="L57" s="318"/>
      <c r="M57" s="318"/>
      <c r="N57" s="318"/>
      <c r="O57" s="318"/>
      <c r="P57" s="318"/>
      <c r="Q57" s="318"/>
      <c r="R57" s="318"/>
      <c r="S57" s="318"/>
      <c r="T57" s="318"/>
      <c r="U57" s="318"/>
      <c r="V57" s="318"/>
      <c r="W57" s="318"/>
      <c r="X57" s="318"/>
      <c r="Y57" s="318"/>
      <c r="Z57" s="318"/>
    </row>
    <row r="58" ht="15.75" customHeight="1">
      <c r="A58" s="318"/>
      <c r="B58" s="318"/>
      <c r="C58" s="318"/>
      <c r="D58" s="318"/>
      <c r="E58" s="318"/>
      <c r="F58" s="318"/>
      <c r="G58" s="318"/>
      <c r="H58" s="318"/>
      <c r="I58" s="318"/>
      <c r="J58" s="318"/>
      <c r="K58" s="318"/>
      <c r="L58" s="318"/>
      <c r="M58" s="318"/>
      <c r="N58" s="318"/>
      <c r="O58" s="318"/>
      <c r="P58" s="318"/>
      <c r="Q58" s="318"/>
      <c r="R58" s="318"/>
      <c r="S58" s="318"/>
      <c r="T58" s="318"/>
      <c r="U58" s="318"/>
      <c r="V58" s="318"/>
      <c r="W58" s="318"/>
      <c r="X58" s="318"/>
      <c r="Y58" s="318"/>
      <c r="Z58" s="318"/>
    </row>
    <row r="59" ht="15.75" customHeight="1">
      <c r="A59" s="318"/>
      <c r="B59" s="318"/>
      <c r="C59" s="318"/>
      <c r="D59" s="318"/>
      <c r="E59" s="318"/>
      <c r="F59" s="318"/>
      <c r="G59" s="318"/>
      <c r="H59" s="318"/>
      <c r="I59" s="318"/>
      <c r="J59" s="318"/>
      <c r="K59" s="318"/>
      <c r="L59" s="318"/>
      <c r="M59" s="318"/>
      <c r="N59" s="318"/>
      <c r="O59" s="318"/>
      <c r="P59" s="318"/>
      <c r="Q59" s="318"/>
      <c r="R59" s="318"/>
      <c r="S59" s="318"/>
      <c r="T59" s="318"/>
      <c r="U59" s="318"/>
      <c r="V59" s="318"/>
      <c r="W59" s="318"/>
      <c r="X59" s="318"/>
      <c r="Y59" s="318"/>
      <c r="Z59" s="318"/>
    </row>
    <row r="60" ht="15.75" customHeight="1">
      <c r="A60" s="318"/>
      <c r="B60" s="318"/>
      <c r="C60" s="318"/>
      <c r="D60" s="318"/>
      <c r="E60" s="318"/>
      <c r="F60" s="318"/>
      <c r="G60" s="318"/>
      <c r="H60" s="318"/>
      <c r="I60" s="318"/>
      <c r="J60" s="318"/>
      <c r="K60" s="318"/>
      <c r="L60" s="318"/>
      <c r="M60" s="318"/>
      <c r="N60" s="318"/>
      <c r="O60" s="318"/>
      <c r="P60" s="318"/>
      <c r="Q60" s="318"/>
      <c r="R60" s="318"/>
      <c r="S60" s="318"/>
      <c r="T60" s="318"/>
      <c r="U60" s="318"/>
      <c r="V60" s="318"/>
      <c r="W60" s="318"/>
      <c r="X60" s="318"/>
      <c r="Y60" s="318"/>
      <c r="Z60" s="318"/>
    </row>
    <row r="61" ht="15.75" customHeight="1">
      <c r="A61" s="318"/>
      <c r="B61" s="318"/>
      <c r="C61" s="318"/>
      <c r="D61" s="318"/>
      <c r="E61" s="318"/>
      <c r="F61" s="318"/>
      <c r="G61" s="318"/>
      <c r="H61" s="318"/>
      <c r="I61" s="318"/>
      <c r="J61" s="318"/>
      <c r="K61" s="318"/>
      <c r="L61" s="318"/>
      <c r="M61" s="318"/>
      <c r="N61" s="318"/>
      <c r="O61" s="318"/>
      <c r="P61" s="318"/>
      <c r="Q61" s="318"/>
      <c r="R61" s="318"/>
      <c r="S61" s="318"/>
      <c r="T61" s="318"/>
      <c r="U61" s="318"/>
      <c r="V61" s="318"/>
      <c r="W61" s="318"/>
      <c r="X61" s="318"/>
      <c r="Y61" s="318"/>
      <c r="Z61" s="318"/>
    </row>
    <row r="62" ht="15.75" customHeight="1">
      <c r="A62" s="318"/>
      <c r="B62" s="318"/>
      <c r="C62" s="318"/>
      <c r="D62" s="318"/>
      <c r="E62" s="318"/>
      <c r="F62" s="318"/>
      <c r="G62" s="318"/>
      <c r="H62" s="318"/>
      <c r="I62" s="318"/>
      <c r="J62" s="318"/>
      <c r="K62" s="318"/>
      <c r="L62" s="318"/>
      <c r="M62" s="318"/>
      <c r="N62" s="318"/>
      <c r="O62" s="318"/>
      <c r="P62" s="318"/>
      <c r="Q62" s="318"/>
      <c r="R62" s="318"/>
      <c r="S62" s="318"/>
      <c r="T62" s="318"/>
      <c r="U62" s="318"/>
      <c r="V62" s="318"/>
      <c r="W62" s="318"/>
      <c r="X62" s="318"/>
      <c r="Y62" s="318"/>
      <c r="Z62" s="318"/>
    </row>
    <row r="63" ht="15.75" customHeight="1">
      <c r="A63" s="318"/>
      <c r="B63" s="318"/>
      <c r="C63" s="318"/>
      <c r="D63" s="318"/>
      <c r="E63" s="318"/>
      <c r="F63" s="318"/>
      <c r="G63" s="318"/>
      <c r="H63" s="318"/>
      <c r="I63" s="318"/>
      <c r="J63" s="318"/>
      <c r="K63" s="318"/>
      <c r="L63" s="318"/>
      <c r="M63" s="318"/>
      <c r="N63" s="318"/>
      <c r="O63" s="318"/>
      <c r="P63" s="318"/>
      <c r="Q63" s="318"/>
      <c r="R63" s="318"/>
      <c r="S63" s="318"/>
      <c r="T63" s="318"/>
      <c r="U63" s="318"/>
      <c r="V63" s="318"/>
      <c r="W63" s="318"/>
      <c r="X63" s="318"/>
      <c r="Y63" s="318"/>
      <c r="Z63" s="318"/>
    </row>
    <row r="64" ht="15.75" customHeight="1">
      <c r="A64" s="318"/>
      <c r="B64" s="318"/>
      <c r="C64" s="318"/>
      <c r="D64" s="318"/>
      <c r="E64" s="318"/>
      <c r="F64" s="318"/>
      <c r="G64" s="318"/>
      <c r="H64" s="318"/>
      <c r="I64" s="318"/>
      <c r="J64" s="318"/>
      <c r="K64" s="318"/>
      <c r="L64" s="318"/>
      <c r="M64" s="318"/>
      <c r="N64" s="318"/>
      <c r="O64" s="318"/>
      <c r="P64" s="318"/>
      <c r="Q64" s="318"/>
      <c r="R64" s="318"/>
      <c r="S64" s="318"/>
      <c r="T64" s="318"/>
      <c r="U64" s="318"/>
      <c r="V64" s="318"/>
      <c r="W64" s="318"/>
      <c r="X64" s="318"/>
      <c r="Y64" s="318"/>
      <c r="Z64" s="318"/>
    </row>
    <row r="65" ht="15.75" customHeight="1">
      <c r="A65" s="318"/>
      <c r="B65" s="318"/>
      <c r="C65" s="318"/>
      <c r="D65" s="318"/>
      <c r="E65" s="318"/>
      <c r="F65" s="318"/>
      <c r="G65" s="318"/>
      <c r="H65" s="318"/>
      <c r="I65" s="318"/>
      <c r="J65" s="318"/>
      <c r="K65" s="318"/>
      <c r="L65" s="318"/>
      <c r="M65" s="318"/>
      <c r="N65" s="318"/>
      <c r="O65" s="318"/>
      <c r="P65" s="318"/>
      <c r="Q65" s="318"/>
      <c r="R65" s="318"/>
      <c r="S65" s="318"/>
      <c r="T65" s="318"/>
      <c r="U65" s="318"/>
      <c r="V65" s="318"/>
      <c r="W65" s="318"/>
      <c r="X65" s="318"/>
      <c r="Y65" s="318"/>
      <c r="Z65" s="318"/>
    </row>
    <row r="66" ht="15.75" customHeight="1">
      <c r="A66" s="318"/>
      <c r="B66" s="318"/>
      <c r="C66" s="318"/>
      <c r="D66" s="318"/>
      <c r="E66" s="318"/>
      <c r="F66" s="318"/>
      <c r="G66" s="318"/>
      <c r="H66" s="318"/>
      <c r="I66" s="318"/>
      <c r="J66" s="318"/>
      <c r="K66" s="318"/>
      <c r="L66" s="318"/>
      <c r="M66" s="318"/>
      <c r="N66" s="318"/>
      <c r="O66" s="318"/>
      <c r="P66" s="318"/>
      <c r="Q66" s="318"/>
      <c r="R66" s="318"/>
      <c r="S66" s="318"/>
      <c r="T66" s="318"/>
      <c r="U66" s="318"/>
      <c r="V66" s="318"/>
      <c r="W66" s="318"/>
      <c r="X66" s="318"/>
      <c r="Y66" s="318"/>
      <c r="Z66" s="318"/>
    </row>
    <row r="67" ht="15.75" customHeight="1">
      <c r="A67" s="318"/>
      <c r="B67" s="318"/>
      <c r="C67" s="318"/>
      <c r="D67" s="318"/>
      <c r="E67" s="318"/>
      <c r="F67" s="318"/>
      <c r="G67" s="318"/>
      <c r="H67" s="318"/>
      <c r="I67" s="318"/>
      <c r="J67" s="318"/>
      <c r="K67" s="318"/>
      <c r="L67" s="318"/>
      <c r="M67" s="318"/>
      <c r="N67" s="318"/>
      <c r="O67" s="318"/>
      <c r="P67" s="318"/>
      <c r="Q67" s="318"/>
      <c r="R67" s="318"/>
      <c r="S67" s="318"/>
      <c r="T67" s="318"/>
      <c r="U67" s="318"/>
      <c r="V67" s="318"/>
      <c r="W67" s="318"/>
      <c r="X67" s="318"/>
      <c r="Y67" s="318"/>
      <c r="Z67" s="318"/>
    </row>
    <row r="68" ht="15.75" customHeight="1">
      <c r="A68" s="318"/>
      <c r="B68" s="318"/>
      <c r="C68" s="318"/>
      <c r="D68" s="318"/>
      <c r="E68" s="318"/>
      <c r="F68" s="318"/>
      <c r="G68" s="318"/>
      <c r="H68" s="318"/>
      <c r="I68" s="318"/>
      <c r="J68" s="318"/>
      <c r="K68" s="318"/>
      <c r="L68" s="318"/>
      <c r="M68" s="318"/>
      <c r="N68" s="318"/>
      <c r="O68" s="318"/>
      <c r="P68" s="318"/>
      <c r="Q68" s="318"/>
      <c r="R68" s="318"/>
      <c r="S68" s="318"/>
      <c r="T68" s="318"/>
      <c r="U68" s="318"/>
      <c r="V68" s="318"/>
      <c r="W68" s="318"/>
      <c r="X68" s="318"/>
      <c r="Y68" s="318"/>
      <c r="Z68" s="318"/>
    </row>
    <row r="69" ht="15.75" customHeight="1">
      <c r="A69" s="318"/>
      <c r="B69" s="318"/>
      <c r="C69" s="318"/>
      <c r="D69" s="318"/>
      <c r="E69" s="318"/>
      <c r="F69" s="318"/>
      <c r="G69" s="318"/>
      <c r="H69" s="318"/>
      <c r="I69" s="318"/>
      <c r="J69" s="318"/>
      <c r="K69" s="318"/>
      <c r="L69" s="318"/>
      <c r="M69" s="318"/>
      <c r="N69" s="318"/>
      <c r="O69" s="318"/>
      <c r="P69" s="318"/>
      <c r="Q69" s="318"/>
      <c r="R69" s="318"/>
      <c r="S69" s="318"/>
      <c r="T69" s="318"/>
      <c r="U69" s="318"/>
      <c r="V69" s="318"/>
      <c r="W69" s="318"/>
      <c r="X69" s="318"/>
      <c r="Y69" s="318"/>
      <c r="Z69" s="318"/>
    </row>
    <row r="70" ht="15.75" customHeight="1">
      <c r="A70" s="318"/>
      <c r="B70" s="318"/>
      <c r="C70" s="318"/>
      <c r="D70" s="318"/>
      <c r="E70" s="318"/>
      <c r="F70" s="318"/>
      <c r="G70" s="318"/>
      <c r="H70" s="318"/>
      <c r="I70" s="318"/>
      <c r="J70" s="318"/>
      <c r="K70" s="318"/>
      <c r="L70" s="318"/>
      <c r="M70" s="318"/>
      <c r="N70" s="318"/>
      <c r="O70" s="318"/>
      <c r="P70" s="318"/>
      <c r="Q70" s="318"/>
      <c r="R70" s="318"/>
      <c r="S70" s="318"/>
      <c r="T70" s="318"/>
      <c r="U70" s="318"/>
      <c r="V70" s="318"/>
      <c r="W70" s="318"/>
      <c r="X70" s="318"/>
      <c r="Y70" s="318"/>
      <c r="Z70" s="318"/>
    </row>
    <row r="71" ht="15.75" customHeight="1">
      <c r="A71" s="318"/>
      <c r="B71" s="318"/>
      <c r="C71" s="318"/>
      <c r="D71" s="318"/>
      <c r="E71" s="318"/>
      <c r="F71" s="318"/>
      <c r="G71" s="318"/>
      <c r="H71" s="318"/>
      <c r="I71" s="318"/>
      <c r="J71" s="318"/>
      <c r="K71" s="318"/>
      <c r="L71" s="318"/>
      <c r="M71" s="318"/>
      <c r="N71" s="318"/>
      <c r="O71" s="318"/>
      <c r="P71" s="318"/>
      <c r="Q71" s="318"/>
      <c r="R71" s="318"/>
      <c r="S71" s="318"/>
      <c r="T71" s="318"/>
      <c r="U71" s="318"/>
      <c r="V71" s="318"/>
      <c r="W71" s="318"/>
      <c r="X71" s="318"/>
      <c r="Y71" s="318"/>
      <c r="Z71" s="318"/>
    </row>
    <row r="72" ht="15.75" customHeight="1">
      <c r="A72" s="318"/>
      <c r="B72" s="318"/>
      <c r="C72" s="318"/>
      <c r="D72" s="318"/>
      <c r="E72" s="318"/>
      <c r="F72" s="318"/>
      <c r="G72" s="318"/>
      <c r="H72" s="318"/>
      <c r="I72" s="318"/>
      <c r="J72" s="318"/>
      <c r="K72" s="318"/>
      <c r="L72" s="318"/>
      <c r="M72" s="318"/>
      <c r="N72" s="318"/>
      <c r="O72" s="318"/>
      <c r="P72" s="318"/>
      <c r="Q72" s="318"/>
      <c r="R72" s="318"/>
      <c r="S72" s="318"/>
      <c r="T72" s="318"/>
      <c r="U72" s="318"/>
      <c r="V72" s="318"/>
      <c r="W72" s="318"/>
      <c r="X72" s="318"/>
      <c r="Y72" s="318"/>
      <c r="Z72" s="318"/>
    </row>
    <row r="73" ht="15.75" customHeight="1">
      <c r="A73" s="318"/>
      <c r="B73" s="318"/>
      <c r="C73" s="318"/>
      <c r="D73" s="318"/>
      <c r="E73" s="318"/>
      <c r="F73" s="318"/>
      <c r="G73" s="318"/>
      <c r="H73" s="318"/>
      <c r="I73" s="318"/>
      <c r="J73" s="318"/>
      <c r="K73" s="318"/>
      <c r="L73" s="318"/>
      <c r="M73" s="318"/>
      <c r="N73" s="318"/>
      <c r="O73" s="318"/>
      <c r="P73" s="318"/>
      <c r="Q73" s="318"/>
      <c r="R73" s="318"/>
      <c r="S73" s="318"/>
      <c r="T73" s="318"/>
      <c r="U73" s="318"/>
      <c r="V73" s="318"/>
      <c r="W73" s="318"/>
      <c r="X73" s="318"/>
      <c r="Y73" s="318"/>
      <c r="Z73" s="318"/>
    </row>
    <row r="74" ht="15.75" customHeight="1">
      <c r="A74" s="318"/>
      <c r="B74" s="318"/>
      <c r="C74" s="318"/>
      <c r="D74" s="318"/>
      <c r="E74" s="318"/>
      <c r="F74" s="318"/>
      <c r="G74" s="318"/>
      <c r="H74" s="318"/>
      <c r="I74" s="318"/>
      <c r="J74" s="318"/>
      <c r="K74" s="318"/>
      <c r="L74" s="318"/>
      <c r="M74" s="318"/>
      <c r="N74" s="318"/>
      <c r="O74" s="318"/>
      <c r="P74" s="318"/>
      <c r="Q74" s="318"/>
      <c r="R74" s="318"/>
      <c r="S74" s="318"/>
      <c r="T74" s="318"/>
      <c r="U74" s="318"/>
      <c r="V74" s="318"/>
      <c r="W74" s="318"/>
      <c r="X74" s="318"/>
      <c r="Y74" s="318"/>
      <c r="Z74" s="318"/>
    </row>
    <row r="75" ht="15.75" customHeight="1">
      <c r="A75" s="318"/>
      <c r="B75" s="318"/>
      <c r="C75" s="318"/>
      <c r="D75" s="318"/>
      <c r="E75" s="318"/>
      <c r="F75" s="318"/>
      <c r="G75" s="318"/>
      <c r="H75" s="318"/>
      <c r="I75" s="318"/>
      <c r="J75" s="318"/>
      <c r="K75" s="318"/>
      <c r="L75" s="318"/>
      <c r="M75" s="318"/>
      <c r="N75" s="318"/>
      <c r="O75" s="318"/>
      <c r="P75" s="318"/>
      <c r="Q75" s="318"/>
      <c r="R75" s="318"/>
      <c r="S75" s="318"/>
      <c r="T75" s="318"/>
      <c r="U75" s="318"/>
      <c r="V75" s="318"/>
      <c r="W75" s="318"/>
      <c r="X75" s="318"/>
      <c r="Y75" s="318"/>
      <c r="Z75" s="318"/>
    </row>
    <row r="76" ht="15.75" customHeight="1">
      <c r="A76" s="318"/>
      <c r="B76" s="318"/>
      <c r="C76" s="318"/>
      <c r="D76" s="318"/>
      <c r="E76" s="318"/>
      <c r="F76" s="318"/>
      <c r="G76" s="318"/>
      <c r="H76" s="318"/>
      <c r="I76" s="318"/>
      <c r="J76" s="318"/>
      <c r="K76" s="318"/>
      <c r="L76" s="318"/>
      <c r="M76" s="318"/>
      <c r="N76" s="318"/>
      <c r="O76" s="318"/>
      <c r="P76" s="318"/>
      <c r="Q76" s="318"/>
      <c r="R76" s="318"/>
      <c r="S76" s="318"/>
      <c r="T76" s="318"/>
      <c r="U76" s="318"/>
      <c r="V76" s="318"/>
      <c r="W76" s="318"/>
      <c r="X76" s="318"/>
      <c r="Y76" s="318"/>
      <c r="Z76" s="318"/>
    </row>
    <row r="77" ht="15.75" customHeight="1">
      <c r="A77" s="318"/>
      <c r="B77" s="318"/>
      <c r="C77" s="318"/>
      <c r="D77" s="318"/>
      <c r="E77" s="318"/>
      <c r="F77" s="318"/>
      <c r="G77" s="318"/>
      <c r="H77" s="318"/>
      <c r="I77" s="318"/>
      <c r="J77" s="318"/>
      <c r="K77" s="318"/>
      <c r="L77" s="318"/>
      <c r="M77" s="318"/>
      <c r="N77" s="318"/>
      <c r="O77" s="318"/>
      <c r="P77" s="318"/>
      <c r="Q77" s="318"/>
      <c r="R77" s="318"/>
      <c r="S77" s="318"/>
      <c r="T77" s="318"/>
      <c r="U77" s="318"/>
      <c r="V77" s="318"/>
      <c r="W77" s="318"/>
      <c r="X77" s="318"/>
      <c r="Y77" s="318"/>
      <c r="Z77" s="318"/>
    </row>
    <row r="78" ht="15.75" customHeight="1">
      <c r="A78" s="318"/>
      <c r="B78" s="318"/>
      <c r="C78" s="318"/>
      <c r="D78" s="318"/>
      <c r="E78" s="318"/>
      <c r="F78" s="318"/>
      <c r="G78" s="318"/>
      <c r="H78" s="318"/>
      <c r="I78" s="318"/>
      <c r="J78" s="318"/>
      <c r="K78" s="318"/>
      <c r="L78" s="318"/>
      <c r="M78" s="318"/>
      <c r="N78" s="318"/>
      <c r="O78" s="318"/>
      <c r="P78" s="318"/>
      <c r="Q78" s="318"/>
      <c r="R78" s="318"/>
      <c r="S78" s="318"/>
      <c r="T78" s="318"/>
      <c r="U78" s="318"/>
      <c r="V78" s="318"/>
      <c r="W78" s="318"/>
      <c r="X78" s="318"/>
      <c r="Y78" s="318"/>
      <c r="Z78" s="318"/>
    </row>
    <row r="79" ht="15.75" customHeight="1">
      <c r="A79" s="318"/>
      <c r="B79" s="318"/>
      <c r="C79" s="318"/>
      <c r="D79" s="318"/>
      <c r="E79" s="318"/>
      <c r="F79" s="318"/>
      <c r="G79" s="318"/>
      <c r="H79" s="318"/>
      <c r="I79" s="318"/>
      <c r="J79" s="318"/>
      <c r="K79" s="318"/>
      <c r="L79" s="318"/>
      <c r="M79" s="318"/>
      <c r="N79" s="318"/>
      <c r="O79" s="318"/>
      <c r="P79" s="318"/>
      <c r="Q79" s="318"/>
      <c r="R79" s="318"/>
      <c r="S79" s="318"/>
      <c r="T79" s="318"/>
      <c r="U79" s="318"/>
      <c r="V79" s="318"/>
      <c r="W79" s="318"/>
      <c r="X79" s="318"/>
      <c r="Y79" s="318"/>
      <c r="Z79" s="318"/>
    </row>
    <row r="80" ht="15.75" customHeight="1">
      <c r="A80" s="318"/>
      <c r="B80" s="318"/>
      <c r="C80" s="318"/>
      <c r="D80" s="318"/>
      <c r="E80" s="318"/>
      <c r="F80" s="318"/>
      <c r="G80" s="318"/>
      <c r="H80" s="318"/>
      <c r="I80" s="318"/>
      <c r="J80" s="318"/>
      <c r="K80" s="318"/>
      <c r="L80" s="318"/>
      <c r="M80" s="318"/>
      <c r="N80" s="318"/>
      <c r="O80" s="318"/>
      <c r="P80" s="318"/>
      <c r="Q80" s="318"/>
      <c r="R80" s="318"/>
      <c r="S80" s="318"/>
      <c r="T80" s="318"/>
      <c r="U80" s="318"/>
      <c r="V80" s="318"/>
      <c r="W80" s="318"/>
      <c r="X80" s="318"/>
      <c r="Y80" s="318"/>
      <c r="Z80" s="318"/>
    </row>
    <row r="81" ht="15.75" customHeight="1">
      <c r="A81" s="318"/>
      <c r="B81" s="318"/>
      <c r="C81" s="318"/>
      <c r="D81" s="318"/>
      <c r="E81" s="318"/>
      <c r="F81" s="318"/>
      <c r="G81" s="318"/>
      <c r="H81" s="318"/>
      <c r="I81" s="318"/>
      <c r="J81" s="318"/>
      <c r="K81" s="318"/>
      <c r="L81" s="318"/>
      <c r="M81" s="318"/>
      <c r="N81" s="318"/>
      <c r="O81" s="318"/>
      <c r="P81" s="318"/>
      <c r="Q81" s="318"/>
      <c r="R81" s="318"/>
      <c r="S81" s="318"/>
      <c r="T81" s="318"/>
      <c r="U81" s="318"/>
      <c r="V81" s="318"/>
      <c r="W81" s="318"/>
      <c r="X81" s="318"/>
      <c r="Y81" s="318"/>
      <c r="Z81" s="318"/>
    </row>
    <row r="82" ht="15.75" customHeight="1">
      <c r="A82" s="318"/>
      <c r="B82" s="318"/>
      <c r="C82" s="318"/>
      <c r="D82" s="318"/>
      <c r="E82" s="318"/>
      <c r="F82" s="318"/>
      <c r="G82" s="318"/>
      <c r="H82" s="318"/>
      <c r="I82" s="318"/>
      <c r="J82" s="318"/>
      <c r="K82" s="318"/>
      <c r="L82" s="318"/>
      <c r="M82" s="318"/>
      <c r="N82" s="318"/>
      <c r="O82" s="318"/>
      <c r="P82" s="318"/>
      <c r="Q82" s="318"/>
      <c r="R82" s="318"/>
      <c r="S82" s="318"/>
      <c r="T82" s="318"/>
      <c r="U82" s="318"/>
      <c r="V82" s="318"/>
      <c r="W82" s="318"/>
      <c r="X82" s="318"/>
      <c r="Y82" s="318"/>
      <c r="Z82" s="318"/>
    </row>
    <row r="83" ht="15.75" customHeight="1">
      <c r="A83" s="318"/>
      <c r="B83" s="318"/>
      <c r="C83" s="318"/>
      <c r="D83" s="318"/>
      <c r="E83" s="318"/>
      <c r="F83" s="318"/>
      <c r="G83" s="318"/>
      <c r="H83" s="318"/>
      <c r="I83" s="318"/>
      <c r="J83" s="318"/>
      <c r="K83" s="318"/>
      <c r="L83" s="318"/>
      <c r="M83" s="318"/>
      <c r="N83" s="318"/>
      <c r="O83" s="318"/>
      <c r="P83" s="318"/>
      <c r="Q83" s="318"/>
      <c r="R83" s="318"/>
      <c r="S83" s="318"/>
      <c r="T83" s="318"/>
      <c r="U83" s="318"/>
      <c r="V83" s="318"/>
      <c r="W83" s="318"/>
      <c r="X83" s="318"/>
      <c r="Y83" s="318"/>
      <c r="Z83" s="318"/>
    </row>
    <row r="84" ht="15.75" customHeight="1">
      <c r="A84" s="318"/>
      <c r="B84" s="318"/>
      <c r="C84" s="318"/>
      <c r="D84" s="318"/>
      <c r="E84" s="318"/>
      <c r="F84" s="318"/>
      <c r="G84" s="318"/>
      <c r="H84" s="318"/>
      <c r="I84" s="318"/>
      <c r="J84" s="318"/>
      <c r="K84" s="318"/>
      <c r="L84" s="318"/>
      <c r="M84" s="318"/>
      <c r="N84" s="318"/>
      <c r="O84" s="318"/>
      <c r="P84" s="318"/>
      <c r="Q84" s="318"/>
      <c r="R84" s="318"/>
      <c r="S84" s="318"/>
      <c r="T84" s="318"/>
      <c r="U84" s="318"/>
      <c r="V84" s="318"/>
      <c r="W84" s="318"/>
      <c r="X84" s="318"/>
      <c r="Y84" s="318"/>
      <c r="Z84" s="318"/>
    </row>
    <row r="85" ht="15.75" customHeight="1">
      <c r="A85" s="318"/>
      <c r="B85" s="318"/>
      <c r="C85" s="318"/>
      <c r="D85" s="318"/>
      <c r="E85" s="318"/>
      <c r="F85" s="318"/>
      <c r="G85" s="318"/>
      <c r="H85" s="318"/>
      <c r="I85" s="318"/>
      <c r="J85" s="318"/>
      <c r="K85" s="318"/>
      <c r="L85" s="318"/>
      <c r="M85" s="318"/>
      <c r="N85" s="318"/>
      <c r="O85" s="318"/>
      <c r="P85" s="318"/>
      <c r="Q85" s="318"/>
      <c r="R85" s="318"/>
      <c r="S85" s="318"/>
      <c r="T85" s="318"/>
      <c r="U85" s="318"/>
      <c r="V85" s="318"/>
      <c r="W85" s="318"/>
      <c r="X85" s="318"/>
      <c r="Y85" s="318"/>
      <c r="Z85" s="318"/>
    </row>
    <row r="86" ht="15.75" customHeight="1">
      <c r="A86" s="318"/>
      <c r="B86" s="318"/>
      <c r="C86" s="318"/>
      <c r="D86" s="318"/>
      <c r="E86" s="318"/>
      <c r="F86" s="318"/>
      <c r="G86" s="318"/>
      <c r="H86" s="318"/>
      <c r="I86" s="318"/>
      <c r="J86" s="318"/>
      <c r="K86" s="318"/>
      <c r="L86" s="318"/>
      <c r="M86" s="318"/>
      <c r="N86" s="318"/>
      <c r="O86" s="318"/>
      <c r="P86" s="318"/>
      <c r="Q86" s="318"/>
      <c r="R86" s="318"/>
      <c r="S86" s="318"/>
      <c r="T86" s="318"/>
      <c r="U86" s="318"/>
      <c r="V86" s="318"/>
      <c r="W86" s="318"/>
      <c r="X86" s="318"/>
      <c r="Y86" s="318"/>
      <c r="Z86" s="318"/>
    </row>
    <row r="87" ht="15.75" customHeight="1">
      <c r="A87" s="318"/>
      <c r="B87" s="318"/>
      <c r="C87" s="318"/>
      <c r="D87" s="318"/>
      <c r="E87" s="318"/>
      <c r="F87" s="318"/>
      <c r="G87" s="318"/>
      <c r="H87" s="318"/>
      <c r="I87" s="318"/>
      <c r="J87" s="318"/>
      <c r="K87" s="318"/>
      <c r="L87" s="318"/>
      <c r="M87" s="318"/>
      <c r="N87" s="318"/>
      <c r="O87" s="318"/>
      <c r="P87" s="318"/>
      <c r="Q87" s="318"/>
      <c r="R87" s="318"/>
      <c r="S87" s="318"/>
      <c r="T87" s="318"/>
      <c r="U87" s="318"/>
      <c r="V87" s="318"/>
      <c r="W87" s="318"/>
      <c r="X87" s="318"/>
      <c r="Y87" s="318"/>
      <c r="Z87" s="318"/>
    </row>
    <row r="88" ht="15.75" customHeight="1">
      <c r="A88" s="318"/>
      <c r="B88" s="318"/>
      <c r="C88" s="318"/>
      <c r="D88" s="318"/>
      <c r="E88" s="318"/>
      <c r="F88" s="318"/>
      <c r="G88" s="318"/>
      <c r="H88" s="318"/>
      <c r="I88" s="318"/>
      <c r="J88" s="318"/>
      <c r="K88" s="318"/>
      <c r="L88" s="318"/>
      <c r="M88" s="318"/>
      <c r="N88" s="318"/>
      <c r="O88" s="318"/>
      <c r="P88" s="318"/>
      <c r="Q88" s="318"/>
      <c r="R88" s="318"/>
      <c r="S88" s="318"/>
      <c r="T88" s="318"/>
      <c r="U88" s="318"/>
      <c r="V88" s="318"/>
      <c r="W88" s="318"/>
      <c r="X88" s="318"/>
      <c r="Y88" s="318"/>
      <c r="Z88" s="318"/>
    </row>
    <row r="89" ht="15.75" customHeight="1">
      <c r="A89" s="318"/>
      <c r="B89" s="318"/>
      <c r="C89" s="318"/>
      <c r="D89" s="318"/>
      <c r="E89" s="318"/>
      <c r="F89" s="318"/>
      <c r="G89" s="318"/>
      <c r="H89" s="318"/>
      <c r="I89" s="318"/>
      <c r="J89" s="318"/>
      <c r="K89" s="318"/>
      <c r="L89" s="318"/>
      <c r="M89" s="318"/>
      <c r="N89" s="318"/>
      <c r="O89" s="318"/>
      <c r="P89" s="318"/>
      <c r="Q89" s="318"/>
      <c r="R89" s="318"/>
      <c r="S89" s="318"/>
      <c r="T89" s="318"/>
      <c r="U89" s="318"/>
      <c r="V89" s="318"/>
      <c r="W89" s="318"/>
      <c r="X89" s="318"/>
      <c r="Y89" s="318"/>
      <c r="Z89" s="318"/>
    </row>
    <row r="90" ht="15.75" customHeight="1">
      <c r="A90" s="318"/>
      <c r="B90" s="318"/>
      <c r="C90" s="318"/>
      <c r="D90" s="318"/>
      <c r="E90" s="318"/>
      <c r="F90" s="318"/>
      <c r="G90" s="318"/>
      <c r="H90" s="318"/>
      <c r="I90" s="318"/>
      <c r="J90" s="318"/>
      <c r="K90" s="318"/>
      <c r="L90" s="318"/>
      <c r="M90" s="318"/>
      <c r="N90" s="318"/>
      <c r="O90" s="318"/>
      <c r="P90" s="318"/>
      <c r="Q90" s="318"/>
      <c r="R90" s="318"/>
      <c r="S90" s="318"/>
      <c r="T90" s="318"/>
      <c r="U90" s="318"/>
      <c r="V90" s="318"/>
      <c r="W90" s="318"/>
      <c r="X90" s="318"/>
      <c r="Y90" s="318"/>
      <c r="Z90" s="318"/>
    </row>
    <row r="91" ht="15.75" customHeight="1">
      <c r="A91" s="318"/>
      <c r="B91" s="318"/>
      <c r="C91" s="318"/>
      <c r="D91" s="318"/>
      <c r="E91" s="318"/>
      <c r="F91" s="318"/>
      <c r="G91" s="318"/>
      <c r="H91" s="318"/>
      <c r="I91" s="318"/>
      <c r="J91" s="318"/>
      <c r="K91" s="318"/>
      <c r="L91" s="318"/>
      <c r="M91" s="318"/>
      <c r="N91" s="318"/>
      <c r="O91" s="318"/>
      <c r="P91" s="318"/>
      <c r="Q91" s="318"/>
      <c r="R91" s="318"/>
      <c r="S91" s="318"/>
      <c r="T91" s="318"/>
      <c r="U91" s="318"/>
      <c r="V91" s="318"/>
      <c r="W91" s="318"/>
      <c r="X91" s="318"/>
      <c r="Y91" s="318"/>
      <c r="Z91" s="318"/>
    </row>
    <row r="92" ht="15.75" customHeight="1">
      <c r="A92" s="318"/>
      <c r="B92" s="318"/>
      <c r="C92" s="318"/>
      <c r="D92" s="318"/>
      <c r="E92" s="318"/>
      <c r="F92" s="318"/>
      <c r="G92" s="318"/>
      <c r="H92" s="318"/>
      <c r="I92" s="318"/>
      <c r="J92" s="318"/>
      <c r="K92" s="318"/>
      <c r="L92" s="318"/>
      <c r="M92" s="318"/>
      <c r="N92" s="318"/>
      <c r="O92" s="318"/>
      <c r="P92" s="318"/>
      <c r="Q92" s="318"/>
      <c r="R92" s="318"/>
      <c r="S92" s="318"/>
      <c r="T92" s="318"/>
      <c r="U92" s="318"/>
      <c r="V92" s="318"/>
      <c r="W92" s="318"/>
      <c r="X92" s="318"/>
      <c r="Y92" s="318"/>
      <c r="Z92" s="318"/>
    </row>
    <row r="93" ht="15.75" customHeight="1">
      <c r="A93" s="318"/>
      <c r="B93" s="318"/>
      <c r="C93" s="318"/>
      <c r="D93" s="318"/>
      <c r="E93" s="318"/>
      <c r="F93" s="318"/>
      <c r="G93" s="318"/>
      <c r="H93" s="318"/>
      <c r="I93" s="318"/>
      <c r="J93" s="318"/>
      <c r="K93" s="318"/>
      <c r="L93" s="318"/>
      <c r="M93" s="318"/>
      <c r="N93" s="318"/>
      <c r="O93" s="318"/>
      <c r="P93" s="318"/>
      <c r="Q93" s="318"/>
      <c r="R93" s="318"/>
      <c r="S93" s="318"/>
      <c r="T93" s="318"/>
      <c r="U93" s="318"/>
      <c r="V93" s="318"/>
      <c r="W93" s="318"/>
      <c r="X93" s="318"/>
      <c r="Y93" s="318"/>
      <c r="Z93" s="318"/>
    </row>
    <row r="94" ht="15.75" customHeight="1">
      <c r="A94" s="318"/>
      <c r="B94" s="318"/>
      <c r="C94" s="318"/>
      <c r="D94" s="318"/>
      <c r="E94" s="318"/>
      <c r="F94" s="318"/>
      <c r="G94" s="318"/>
      <c r="H94" s="318"/>
      <c r="I94" s="318"/>
      <c r="J94" s="318"/>
      <c r="K94" s="318"/>
      <c r="L94" s="318"/>
      <c r="M94" s="318"/>
      <c r="N94" s="318"/>
      <c r="O94" s="318"/>
      <c r="P94" s="318"/>
      <c r="Q94" s="318"/>
      <c r="R94" s="318"/>
      <c r="S94" s="318"/>
      <c r="T94" s="318"/>
      <c r="U94" s="318"/>
      <c r="V94" s="318"/>
      <c r="W94" s="318"/>
      <c r="X94" s="318"/>
      <c r="Y94" s="318"/>
      <c r="Z94" s="318"/>
    </row>
    <row r="95" ht="15.75" customHeight="1">
      <c r="A95" s="318"/>
      <c r="B95" s="318"/>
      <c r="C95" s="318"/>
      <c r="D95" s="318"/>
      <c r="E95" s="318"/>
      <c r="F95" s="318"/>
      <c r="G95" s="318"/>
      <c r="H95" s="318"/>
      <c r="I95" s="318"/>
      <c r="J95" s="318"/>
      <c r="K95" s="318"/>
      <c r="L95" s="318"/>
      <c r="M95" s="318"/>
      <c r="N95" s="318"/>
      <c r="O95" s="318"/>
      <c r="P95" s="318"/>
      <c r="Q95" s="318"/>
      <c r="R95" s="318"/>
      <c r="S95" s="318"/>
      <c r="T95" s="318"/>
      <c r="U95" s="318"/>
      <c r="V95" s="318"/>
      <c r="W95" s="318"/>
      <c r="X95" s="318"/>
      <c r="Y95" s="318"/>
      <c r="Z95" s="318"/>
    </row>
    <row r="96" ht="15.75" customHeight="1">
      <c r="A96" s="318"/>
      <c r="B96" s="318"/>
      <c r="C96" s="318"/>
      <c r="D96" s="318"/>
      <c r="E96" s="318"/>
      <c r="F96" s="318"/>
      <c r="G96" s="318"/>
      <c r="H96" s="318"/>
      <c r="I96" s="318"/>
      <c r="J96" s="318"/>
      <c r="K96" s="318"/>
      <c r="L96" s="318"/>
      <c r="M96" s="318"/>
      <c r="N96" s="318"/>
      <c r="O96" s="318"/>
      <c r="P96" s="318"/>
      <c r="Q96" s="318"/>
      <c r="R96" s="318"/>
      <c r="S96" s="318"/>
      <c r="T96" s="318"/>
      <c r="U96" s="318"/>
      <c r="V96" s="318"/>
      <c r="W96" s="318"/>
      <c r="X96" s="318"/>
      <c r="Y96" s="318"/>
      <c r="Z96" s="318"/>
    </row>
    <row r="97" ht="15.75" customHeight="1">
      <c r="A97" s="318"/>
      <c r="B97" s="318"/>
      <c r="C97" s="318"/>
      <c r="D97" s="318"/>
      <c r="E97" s="318"/>
      <c r="F97" s="318"/>
      <c r="G97" s="318"/>
      <c r="H97" s="318"/>
      <c r="I97" s="318"/>
      <c r="J97" s="318"/>
      <c r="K97" s="318"/>
      <c r="L97" s="318"/>
      <c r="M97" s="318"/>
      <c r="N97" s="318"/>
      <c r="O97" s="318"/>
      <c r="P97" s="318"/>
      <c r="Q97" s="318"/>
      <c r="R97" s="318"/>
      <c r="S97" s="318"/>
      <c r="T97" s="318"/>
      <c r="U97" s="318"/>
      <c r="V97" s="318"/>
      <c r="W97" s="318"/>
      <c r="X97" s="318"/>
      <c r="Y97" s="318"/>
      <c r="Z97" s="318"/>
    </row>
    <row r="98" ht="15.75" customHeight="1">
      <c r="A98" s="318"/>
      <c r="B98" s="318"/>
      <c r="C98" s="318"/>
      <c r="D98" s="318"/>
      <c r="E98" s="318"/>
      <c r="F98" s="318"/>
      <c r="G98" s="318"/>
      <c r="H98" s="318"/>
      <c r="I98" s="318"/>
      <c r="J98" s="318"/>
      <c r="K98" s="318"/>
      <c r="L98" s="318"/>
      <c r="M98" s="318"/>
      <c r="N98" s="318"/>
      <c r="O98" s="318"/>
      <c r="P98" s="318"/>
      <c r="Q98" s="318"/>
      <c r="R98" s="318"/>
      <c r="S98" s="318"/>
      <c r="T98" s="318"/>
      <c r="U98" s="318"/>
      <c r="V98" s="318"/>
      <c r="W98" s="318"/>
      <c r="X98" s="318"/>
      <c r="Y98" s="318"/>
      <c r="Z98" s="318"/>
    </row>
    <row r="99" ht="15.75" customHeight="1">
      <c r="A99" s="318"/>
      <c r="B99" s="318"/>
      <c r="C99" s="318"/>
      <c r="D99" s="318"/>
      <c r="E99" s="318"/>
      <c r="F99" s="318"/>
      <c r="G99" s="318"/>
      <c r="H99" s="318"/>
      <c r="I99" s="318"/>
      <c r="J99" s="318"/>
      <c r="K99" s="318"/>
      <c r="L99" s="318"/>
      <c r="M99" s="318"/>
      <c r="N99" s="318"/>
      <c r="O99" s="318"/>
      <c r="P99" s="318"/>
      <c r="Q99" s="318"/>
      <c r="R99" s="318"/>
      <c r="S99" s="318"/>
      <c r="T99" s="318"/>
      <c r="U99" s="318"/>
      <c r="V99" s="318"/>
      <c r="W99" s="318"/>
      <c r="X99" s="318"/>
      <c r="Y99" s="318"/>
      <c r="Z99" s="318"/>
    </row>
    <row r="100" ht="15.75" customHeight="1">
      <c r="A100" s="318"/>
      <c r="B100" s="318"/>
      <c r="C100" s="318"/>
      <c r="D100" s="318"/>
      <c r="E100" s="318"/>
      <c r="F100" s="318"/>
      <c r="G100" s="318"/>
      <c r="H100" s="318"/>
      <c r="I100" s="318"/>
      <c r="J100" s="318"/>
      <c r="K100" s="318"/>
      <c r="L100" s="318"/>
      <c r="M100" s="318"/>
      <c r="N100" s="318"/>
      <c r="O100" s="318"/>
      <c r="P100" s="318"/>
      <c r="Q100" s="318"/>
      <c r="R100" s="318"/>
      <c r="S100" s="318"/>
      <c r="T100" s="318"/>
      <c r="U100" s="318"/>
      <c r="V100" s="318"/>
      <c r="W100" s="318"/>
      <c r="X100" s="318"/>
      <c r="Y100" s="318"/>
      <c r="Z100" s="318"/>
    </row>
    <row r="101" ht="15.75" customHeight="1">
      <c r="A101" s="318"/>
      <c r="B101" s="318"/>
      <c r="C101" s="318"/>
      <c r="D101" s="318"/>
      <c r="E101" s="318"/>
      <c r="F101" s="318"/>
      <c r="G101" s="318"/>
      <c r="H101" s="318"/>
      <c r="I101" s="318"/>
      <c r="J101" s="318"/>
      <c r="K101" s="318"/>
      <c r="L101" s="318"/>
      <c r="M101" s="318"/>
      <c r="N101" s="318"/>
      <c r="O101" s="318"/>
      <c r="P101" s="318"/>
      <c r="Q101" s="318"/>
      <c r="R101" s="318"/>
      <c r="S101" s="318"/>
      <c r="T101" s="318"/>
      <c r="U101" s="318"/>
      <c r="V101" s="318"/>
      <c r="W101" s="318"/>
      <c r="X101" s="318"/>
      <c r="Y101" s="318"/>
      <c r="Z101" s="318"/>
    </row>
    <row r="102" ht="15.75" customHeight="1">
      <c r="A102" s="318"/>
      <c r="B102" s="318"/>
      <c r="C102" s="318"/>
      <c r="D102" s="318"/>
      <c r="E102" s="318"/>
      <c r="F102" s="318"/>
      <c r="G102" s="318"/>
      <c r="H102" s="318"/>
      <c r="I102" s="318"/>
      <c r="J102" s="318"/>
      <c r="K102" s="318"/>
      <c r="L102" s="318"/>
      <c r="M102" s="318"/>
      <c r="N102" s="318"/>
      <c r="O102" s="318"/>
      <c r="P102" s="318"/>
      <c r="Q102" s="318"/>
      <c r="R102" s="318"/>
      <c r="S102" s="318"/>
      <c r="T102" s="318"/>
      <c r="U102" s="318"/>
      <c r="V102" s="318"/>
      <c r="W102" s="318"/>
      <c r="X102" s="318"/>
      <c r="Y102" s="318"/>
      <c r="Z102" s="318"/>
    </row>
    <row r="103" ht="15.75" customHeight="1">
      <c r="A103" s="318"/>
      <c r="B103" s="318"/>
      <c r="C103" s="318"/>
      <c r="D103" s="318"/>
      <c r="E103" s="318"/>
      <c r="F103" s="318"/>
      <c r="G103" s="318"/>
      <c r="H103" s="318"/>
      <c r="I103" s="318"/>
      <c r="J103" s="318"/>
      <c r="K103" s="318"/>
      <c r="L103" s="318"/>
      <c r="M103" s="318"/>
      <c r="N103" s="318"/>
      <c r="O103" s="318"/>
      <c r="P103" s="318"/>
      <c r="Q103" s="318"/>
      <c r="R103" s="318"/>
      <c r="S103" s="318"/>
      <c r="T103" s="318"/>
      <c r="U103" s="318"/>
      <c r="V103" s="318"/>
      <c r="W103" s="318"/>
      <c r="X103" s="318"/>
      <c r="Y103" s="318"/>
      <c r="Z103" s="318"/>
    </row>
    <row r="104" ht="15.75" customHeight="1">
      <c r="A104" s="318"/>
      <c r="B104" s="318"/>
      <c r="C104" s="318"/>
      <c r="D104" s="318"/>
      <c r="E104" s="318"/>
      <c r="F104" s="318"/>
      <c r="G104" s="318"/>
      <c r="H104" s="318"/>
      <c r="I104" s="318"/>
      <c r="J104" s="318"/>
      <c r="K104" s="318"/>
      <c r="L104" s="318"/>
      <c r="M104" s="318"/>
      <c r="N104" s="318"/>
      <c r="O104" s="318"/>
      <c r="P104" s="318"/>
      <c r="Q104" s="318"/>
      <c r="R104" s="318"/>
      <c r="S104" s="318"/>
      <c r="T104" s="318"/>
      <c r="U104" s="318"/>
      <c r="V104" s="318"/>
      <c r="W104" s="318"/>
      <c r="X104" s="318"/>
      <c r="Y104" s="318"/>
      <c r="Z104" s="318"/>
    </row>
    <row r="105" ht="15.75" customHeight="1">
      <c r="A105" s="318"/>
      <c r="B105" s="318"/>
      <c r="C105" s="318"/>
      <c r="D105" s="318"/>
      <c r="E105" s="318"/>
      <c r="F105" s="318"/>
      <c r="G105" s="318"/>
      <c r="H105" s="318"/>
      <c r="I105" s="318"/>
      <c r="J105" s="318"/>
      <c r="K105" s="318"/>
      <c r="L105" s="318"/>
      <c r="M105" s="318"/>
      <c r="N105" s="318"/>
      <c r="O105" s="318"/>
      <c r="P105" s="318"/>
      <c r="Q105" s="318"/>
      <c r="R105" s="318"/>
      <c r="S105" s="318"/>
      <c r="T105" s="318"/>
      <c r="U105" s="318"/>
      <c r="V105" s="318"/>
      <c r="W105" s="318"/>
      <c r="X105" s="318"/>
      <c r="Y105" s="318"/>
      <c r="Z105" s="318"/>
    </row>
    <row r="106" ht="15.75" customHeight="1">
      <c r="A106" s="318"/>
      <c r="B106" s="318"/>
      <c r="C106" s="318"/>
      <c r="D106" s="318"/>
      <c r="E106" s="318"/>
      <c r="F106" s="318"/>
      <c r="G106" s="318"/>
      <c r="H106" s="318"/>
      <c r="I106" s="318"/>
      <c r="J106" s="318"/>
      <c r="K106" s="318"/>
      <c r="L106" s="318"/>
      <c r="M106" s="318"/>
      <c r="N106" s="318"/>
      <c r="O106" s="318"/>
      <c r="P106" s="318"/>
      <c r="Q106" s="318"/>
      <c r="R106" s="318"/>
      <c r="S106" s="318"/>
      <c r="T106" s="318"/>
      <c r="U106" s="318"/>
      <c r="V106" s="318"/>
      <c r="W106" s="318"/>
      <c r="X106" s="318"/>
      <c r="Y106" s="318"/>
      <c r="Z106" s="318"/>
    </row>
    <row r="107" ht="15.75" customHeight="1">
      <c r="A107" s="318"/>
      <c r="B107" s="318"/>
      <c r="C107" s="318"/>
      <c r="D107" s="318"/>
      <c r="E107" s="318"/>
      <c r="F107" s="318"/>
      <c r="G107" s="318"/>
      <c r="H107" s="318"/>
      <c r="I107" s="318"/>
      <c r="J107" s="318"/>
      <c r="K107" s="318"/>
      <c r="L107" s="318"/>
      <c r="M107" s="318"/>
      <c r="N107" s="318"/>
      <c r="O107" s="318"/>
      <c r="P107" s="318"/>
      <c r="Q107" s="318"/>
      <c r="R107" s="318"/>
      <c r="S107" s="318"/>
      <c r="T107" s="318"/>
      <c r="U107" s="318"/>
      <c r="V107" s="318"/>
      <c r="W107" s="318"/>
      <c r="X107" s="318"/>
      <c r="Y107" s="318"/>
      <c r="Z107" s="318"/>
    </row>
    <row r="108" ht="15.75" customHeight="1">
      <c r="A108" s="318"/>
      <c r="B108" s="318"/>
      <c r="C108" s="318"/>
      <c r="D108" s="318"/>
      <c r="E108" s="318"/>
      <c r="F108" s="318"/>
      <c r="G108" s="318"/>
      <c r="H108" s="318"/>
      <c r="I108" s="318"/>
      <c r="J108" s="318"/>
      <c r="K108" s="318"/>
      <c r="L108" s="318"/>
      <c r="M108" s="318"/>
      <c r="N108" s="318"/>
      <c r="O108" s="318"/>
      <c r="P108" s="318"/>
      <c r="Q108" s="318"/>
      <c r="R108" s="318"/>
      <c r="S108" s="318"/>
      <c r="T108" s="318"/>
      <c r="U108" s="318"/>
      <c r="V108" s="318"/>
      <c r="W108" s="318"/>
      <c r="X108" s="318"/>
      <c r="Y108" s="318"/>
      <c r="Z108" s="318"/>
    </row>
    <row r="109" ht="15.75" customHeight="1">
      <c r="A109" s="318"/>
      <c r="B109" s="318"/>
      <c r="C109" s="318"/>
      <c r="D109" s="318"/>
      <c r="E109" s="318"/>
      <c r="F109" s="318"/>
      <c r="G109" s="318"/>
      <c r="H109" s="318"/>
      <c r="I109" s="318"/>
      <c r="J109" s="318"/>
      <c r="K109" s="318"/>
      <c r="L109" s="318"/>
      <c r="M109" s="318"/>
      <c r="N109" s="318"/>
      <c r="O109" s="318"/>
      <c r="P109" s="318"/>
      <c r="Q109" s="318"/>
      <c r="R109" s="318"/>
      <c r="S109" s="318"/>
      <c r="T109" s="318"/>
      <c r="U109" s="318"/>
      <c r="V109" s="318"/>
      <c r="W109" s="318"/>
      <c r="X109" s="318"/>
      <c r="Y109" s="318"/>
      <c r="Z109" s="318"/>
    </row>
    <row r="110" ht="15.75" customHeight="1">
      <c r="A110" s="318"/>
      <c r="B110" s="318"/>
      <c r="C110" s="318"/>
      <c r="D110" s="318"/>
      <c r="E110" s="318"/>
      <c r="F110" s="318"/>
      <c r="G110" s="318"/>
      <c r="H110" s="318"/>
      <c r="I110" s="318"/>
      <c r="J110" s="318"/>
      <c r="K110" s="318"/>
      <c r="L110" s="318"/>
      <c r="M110" s="318"/>
      <c r="N110" s="318"/>
      <c r="O110" s="318"/>
      <c r="P110" s="318"/>
      <c r="Q110" s="318"/>
      <c r="R110" s="318"/>
      <c r="S110" s="318"/>
      <c r="T110" s="318"/>
      <c r="U110" s="318"/>
      <c r="V110" s="318"/>
      <c r="W110" s="318"/>
      <c r="X110" s="318"/>
      <c r="Y110" s="318"/>
      <c r="Z110" s="318"/>
    </row>
    <row r="111" ht="15.75" customHeight="1">
      <c r="A111" s="318"/>
      <c r="B111" s="318"/>
      <c r="C111" s="318"/>
      <c r="D111" s="318"/>
      <c r="E111" s="318"/>
      <c r="F111" s="318"/>
      <c r="G111" s="318"/>
      <c r="H111" s="318"/>
      <c r="I111" s="318"/>
      <c r="J111" s="318"/>
      <c r="K111" s="318"/>
      <c r="L111" s="318"/>
      <c r="M111" s="318"/>
      <c r="N111" s="318"/>
      <c r="O111" s="318"/>
      <c r="P111" s="318"/>
      <c r="Q111" s="318"/>
      <c r="R111" s="318"/>
      <c r="S111" s="318"/>
      <c r="T111" s="318"/>
      <c r="U111" s="318"/>
      <c r="V111" s="318"/>
      <c r="W111" s="318"/>
      <c r="X111" s="318"/>
      <c r="Y111" s="318"/>
      <c r="Z111" s="318"/>
    </row>
    <row r="112" ht="15.75" customHeight="1">
      <c r="A112" s="318"/>
      <c r="B112" s="318"/>
      <c r="C112" s="318"/>
      <c r="D112" s="318"/>
      <c r="E112" s="318"/>
      <c r="F112" s="318"/>
      <c r="G112" s="318"/>
      <c r="H112" s="318"/>
      <c r="I112" s="318"/>
      <c r="J112" s="318"/>
      <c r="K112" s="318"/>
      <c r="L112" s="318"/>
      <c r="M112" s="318"/>
      <c r="N112" s="318"/>
      <c r="O112" s="318"/>
      <c r="P112" s="318"/>
      <c r="Q112" s="318"/>
      <c r="R112" s="318"/>
      <c r="S112" s="318"/>
      <c r="T112" s="318"/>
      <c r="U112" s="318"/>
      <c r="V112" s="318"/>
      <c r="W112" s="318"/>
      <c r="X112" s="318"/>
      <c r="Y112" s="318"/>
      <c r="Z112" s="318"/>
    </row>
    <row r="113" ht="15.75" customHeight="1">
      <c r="A113" s="318"/>
      <c r="B113" s="318"/>
      <c r="C113" s="318"/>
      <c r="D113" s="318"/>
      <c r="E113" s="318"/>
      <c r="F113" s="318"/>
      <c r="G113" s="318"/>
      <c r="H113" s="318"/>
      <c r="I113" s="318"/>
      <c r="J113" s="318"/>
      <c r="K113" s="318"/>
      <c r="L113" s="318"/>
      <c r="M113" s="318"/>
      <c r="N113" s="318"/>
      <c r="O113" s="318"/>
      <c r="P113" s="318"/>
      <c r="Q113" s="318"/>
      <c r="R113" s="318"/>
      <c r="S113" s="318"/>
      <c r="T113" s="318"/>
      <c r="U113" s="318"/>
      <c r="V113" s="318"/>
      <c r="W113" s="318"/>
      <c r="X113" s="318"/>
      <c r="Y113" s="318"/>
      <c r="Z113" s="318"/>
    </row>
    <row r="114" ht="15.75" customHeight="1">
      <c r="A114" s="318"/>
      <c r="B114" s="318"/>
      <c r="C114" s="318"/>
      <c r="D114" s="318"/>
      <c r="E114" s="318"/>
      <c r="F114" s="318"/>
      <c r="G114" s="318"/>
      <c r="H114" s="318"/>
      <c r="I114" s="318"/>
      <c r="J114" s="318"/>
      <c r="K114" s="318"/>
      <c r="L114" s="318"/>
      <c r="M114" s="318"/>
      <c r="N114" s="318"/>
      <c r="O114" s="318"/>
      <c r="P114" s="318"/>
      <c r="Q114" s="318"/>
      <c r="R114" s="318"/>
      <c r="S114" s="318"/>
      <c r="T114" s="318"/>
      <c r="U114" s="318"/>
      <c r="V114" s="318"/>
      <c r="W114" s="318"/>
      <c r="X114" s="318"/>
      <c r="Y114" s="318"/>
      <c r="Z114" s="318"/>
    </row>
    <row r="115" ht="15.75" customHeight="1">
      <c r="A115" s="318"/>
      <c r="B115" s="318"/>
      <c r="C115" s="318"/>
      <c r="D115" s="318"/>
      <c r="E115" s="318"/>
      <c r="F115" s="318"/>
      <c r="G115" s="318"/>
      <c r="H115" s="318"/>
      <c r="I115" s="318"/>
      <c r="J115" s="318"/>
      <c r="K115" s="318"/>
      <c r="L115" s="318"/>
      <c r="M115" s="318"/>
      <c r="N115" s="318"/>
      <c r="O115" s="318"/>
      <c r="P115" s="318"/>
      <c r="Q115" s="318"/>
      <c r="R115" s="318"/>
      <c r="S115" s="318"/>
      <c r="T115" s="318"/>
      <c r="U115" s="318"/>
      <c r="V115" s="318"/>
      <c r="W115" s="318"/>
      <c r="X115" s="318"/>
      <c r="Y115" s="318"/>
      <c r="Z115" s="318"/>
    </row>
    <row r="116" ht="15.75" customHeight="1">
      <c r="A116" s="318"/>
      <c r="B116" s="318"/>
      <c r="C116" s="318"/>
      <c r="D116" s="318"/>
      <c r="E116" s="318"/>
      <c r="F116" s="318"/>
      <c r="G116" s="318"/>
      <c r="H116" s="318"/>
      <c r="I116" s="318"/>
      <c r="J116" s="318"/>
      <c r="K116" s="318"/>
      <c r="L116" s="318"/>
      <c r="M116" s="318"/>
      <c r="N116" s="318"/>
      <c r="O116" s="318"/>
      <c r="P116" s="318"/>
      <c r="Q116" s="318"/>
      <c r="R116" s="318"/>
      <c r="S116" s="318"/>
      <c r="T116" s="318"/>
      <c r="U116" s="318"/>
      <c r="V116" s="318"/>
      <c r="W116" s="318"/>
      <c r="X116" s="318"/>
      <c r="Y116" s="318"/>
      <c r="Z116" s="318"/>
    </row>
    <row r="117" ht="15.75" customHeight="1">
      <c r="A117" s="318"/>
      <c r="B117" s="318"/>
      <c r="C117" s="318"/>
      <c r="D117" s="318"/>
      <c r="E117" s="318"/>
      <c r="F117" s="318"/>
      <c r="G117" s="318"/>
      <c r="H117" s="318"/>
      <c r="I117" s="318"/>
      <c r="J117" s="318"/>
      <c r="K117" s="318"/>
      <c r="L117" s="318"/>
      <c r="M117" s="318"/>
      <c r="N117" s="318"/>
      <c r="O117" s="318"/>
      <c r="P117" s="318"/>
      <c r="Q117" s="318"/>
      <c r="R117" s="318"/>
      <c r="S117" s="318"/>
      <c r="T117" s="318"/>
      <c r="U117" s="318"/>
      <c r="V117" s="318"/>
      <c r="W117" s="318"/>
      <c r="X117" s="318"/>
      <c r="Y117" s="318"/>
      <c r="Z117" s="318"/>
    </row>
    <row r="118" ht="15.75" customHeight="1">
      <c r="A118" s="318"/>
      <c r="B118" s="318"/>
      <c r="C118" s="318"/>
      <c r="D118" s="318"/>
      <c r="E118" s="318"/>
      <c r="F118" s="318"/>
      <c r="G118" s="318"/>
      <c r="H118" s="318"/>
      <c r="I118" s="318"/>
      <c r="J118" s="318"/>
      <c r="K118" s="318"/>
      <c r="L118" s="318"/>
      <c r="M118" s="318"/>
      <c r="N118" s="318"/>
      <c r="O118" s="318"/>
      <c r="P118" s="318"/>
      <c r="Q118" s="318"/>
      <c r="R118" s="318"/>
      <c r="S118" s="318"/>
      <c r="T118" s="318"/>
      <c r="U118" s="318"/>
      <c r="V118" s="318"/>
      <c r="W118" s="318"/>
      <c r="X118" s="318"/>
      <c r="Y118" s="318"/>
      <c r="Z118" s="318"/>
    </row>
    <row r="119" ht="15.75" customHeight="1">
      <c r="A119" s="318"/>
      <c r="B119" s="318"/>
      <c r="C119" s="318"/>
      <c r="D119" s="318"/>
      <c r="E119" s="318"/>
      <c r="F119" s="318"/>
      <c r="G119" s="318"/>
      <c r="H119" s="318"/>
      <c r="I119" s="318"/>
      <c r="J119" s="318"/>
      <c r="K119" s="318"/>
      <c r="L119" s="318"/>
      <c r="M119" s="318"/>
      <c r="N119" s="318"/>
      <c r="O119" s="318"/>
      <c r="P119" s="318"/>
      <c r="Q119" s="318"/>
      <c r="R119" s="318"/>
      <c r="S119" s="318"/>
      <c r="T119" s="318"/>
      <c r="U119" s="318"/>
      <c r="V119" s="318"/>
      <c r="W119" s="318"/>
      <c r="X119" s="318"/>
      <c r="Y119" s="318"/>
      <c r="Z119" s="318"/>
    </row>
    <row r="120" ht="15.75" customHeight="1">
      <c r="A120" s="318"/>
      <c r="B120" s="318"/>
      <c r="C120" s="318"/>
      <c r="D120" s="318"/>
      <c r="E120" s="318"/>
      <c r="F120" s="318"/>
      <c r="G120" s="318"/>
      <c r="H120" s="318"/>
      <c r="I120" s="318"/>
      <c r="J120" s="318"/>
      <c r="K120" s="318"/>
      <c r="L120" s="318"/>
      <c r="M120" s="318"/>
      <c r="N120" s="318"/>
      <c r="O120" s="318"/>
      <c r="P120" s="318"/>
      <c r="Q120" s="318"/>
      <c r="R120" s="318"/>
      <c r="S120" s="318"/>
      <c r="T120" s="318"/>
      <c r="U120" s="318"/>
      <c r="V120" s="318"/>
      <c r="W120" s="318"/>
      <c r="X120" s="318"/>
      <c r="Y120" s="318"/>
      <c r="Z120" s="318"/>
    </row>
    <row r="121" ht="15.75" customHeight="1">
      <c r="A121" s="318"/>
      <c r="B121" s="318"/>
      <c r="C121" s="318"/>
      <c r="D121" s="318"/>
      <c r="E121" s="318"/>
      <c r="F121" s="318"/>
      <c r="G121" s="318"/>
      <c r="H121" s="318"/>
      <c r="I121" s="318"/>
      <c r="J121" s="318"/>
      <c r="K121" s="318"/>
      <c r="L121" s="318"/>
      <c r="M121" s="318"/>
      <c r="N121" s="318"/>
      <c r="O121" s="318"/>
      <c r="P121" s="318"/>
      <c r="Q121" s="318"/>
      <c r="R121" s="318"/>
      <c r="S121" s="318"/>
      <c r="T121" s="318"/>
      <c r="U121" s="318"/>
      <c r="V121" s="318"/>
      <c r="W121" s="318"/>
      <c r="X121" s="318"/>
      <c r="Y121" s="318"/>
      <c r="Z121" s="318"/>
    </row>
    <row r="122" ht="15.75" customHeight="1">
      <c r="A122" s="318"/>
      <c r="B122" s="318"/>
      <c r="C122" s="318"/>
      <c r="D122" s="318"/>
      <c r="E122" s="318"/>
      <c r="F122" s="318"/>
      <c r="G122" s="318"/>
      <c r="H122" s="318"/>
      <c r="I122" s="318"/>
      <c r="J122" s="318"/>
      <c r="K122" s="318"/>
      <c r="L122" s="318"/>
      <c r="M122" s="318"/>
      <c r="N122" s="318"/>
      <c r="O122" s="318"/>
      <c r="P122" s="318"/>
      <c r="Q122" s="318"/>
      <c r="R122" s="318"/>
      <c r="S122" s="318"/>
      <c r="T122" s="318"/>
      <c r="U122" s="318"/>
      <c r="V122" s="318"/>
      <c r="W122" s="318"/>
      <c r="X122" s="318"/>
      <c r="Y122" s="318"/>
      <c r="Z122" s="318"/>
    </row>
    <row r="123" ht="15.75" customHeight="1">
      <c r="A123" s="318"/>
      <c r="B123" s="318"/>
      <c r="C123" s="318"/>
      <c r="D123" s="318"/>
      <c r="E123" s="318"/>
      <c r="F123" s="318"/>
      <c r="G123" s="318"/>
      <c r="H123" s="318"/>
      <c r="I123" s="318"/>
      <c r="J123" s="318"/>
      <c r="K123" s="318"/>
      <c r="L123" s="318"/>
      <c r="M123" s="318"/>
      <c r="N123" s="318"/>
      <c r="O123" s="318"/>
      <c r="P123" s="318"/>
      <c r="Q123" s="318"/>
      <c r="R123" s="318"/>
      <c r="S123" s="318"/>
      <c r="T123" s="318"/>
      <c r="U123" s="318"/>
      <c r="V123" s="318"/>
      <c r="W123" s="318"/>
      <c r="X123" s="318"/>
      <c r="Y123" s="318"/>
      <c r="Z123" s="318"/>
    </row>
    <row r="124" ht="15.75" customHeight="1">
      <c r="A124" s="318"/>
      <c r="B124" s="318"/>
      <c r="C124" s="318"/>
      <c r="D124" s="318"/>
      <c r="E124" s="318"/>
      <c r="F124" s="318"/>
      <c r="G124" s="318"/>
      <c r="H124" s="318"/>
      <c r="I124" s="318"/>
      <c r="J124" s="318"/>
      <c r="K124" s="318"/>
      <c r="L124" s="318"/>
      <c r="M124" s="318"/>
      <c r="N124" s="318"/>
      <c r="O124" s="318"/>
      <c r="P124" s="318"/>
      <c r="Q124" s="318"/>
      <c r="R124" s="318"/>
      <c r="S124" s="318"/>
      <c r="T124" s="318"/>
      <c r="U124" s="318"/>
      <c r="V124" s="318"/>
      <c r="W124" s="318"/>
      <c r="X124" s="318"/>
      <c r="Y124" s="318"/>
      <c r="Z124" s="318"/>
    </row>
    <row r="125" ht="15.75" customHeight="1">
      <c r="A125" s="318"/>
      <c r="B125" s="318"/>
      <c r="C125" s="318"/>
      <c r="D125" s="318"/>
      <c r="E125" s="318"/>
      <c r="F125" s="318"/>
      <c r="G125" s="318"/>
      <c r="H125" s="318"/>
      <c r="I125" s="318"/>
      <c r="J125" s="318"/>
      <c r="K125" s="318"/>
      <c r="L125" s="318"/>
      <c r="M125" s="318"/>
      <c r="N125" s="318"/>
      <c r="O125" s="318"/>
      <c r="P125" s="318"/>
      <c r="Q125" s="318"/>
      <c r="R125" s="318"/>
      <c r="S125" s="318"/>
      <c r="T125" s="318"/>
      <c r="U125" s="318"/>
      <c r="V125" s="318"/>
      <c r="W125" s="318"/>
      <c r="X125" s="318"/>
      <c r="Y125" s="318"/>
      <c r="Z125" s="318"/>
    </row>
    <row r="126" ht="15.75" customHeight="1">
      <c r="A126" s="318"/>
      <c r="B126" s="318"/>
      <c r="C126" s="318"/>
      <c r="D126" s="318"/>
      <c r="E126" s="318"/>
      <c r="F126" s="318"/>
      <c r="G126" s="318"/>
      <c r="H126" s="318"/>
      <c r="I126" s="318"/>
      <c r="J126" s="318"/>
      <c r="K126" s="318"/>
      <c r="L126" s="318"/>
      <c r="M126" s="318"/>
      <c r="N126" s="318"/>
      <c r="O126" s="318"/>
      <c r="P126" s="318"/>
      <c r="Q126" s="318"/>
      <c r="R126" s="318"/>
      <c r="S126" s="318"/>
      <c r="T126" s="318"/>
      <c r="U126" s="318"/>
      <c r="V126" s="318"/>
      <c r="W126" s="318"/>
      <c r="X126" s="318"/>
      <c r="Y126" s="318"/>
      <c r="Z126" s="318"/>
    </row>
    <row r="127" ht="15.75" customHeight="1">
      <c r="A127" s="318"/>
      <c r="B127" s="318"/>
      <c r="C127" s="318"/>
      <c r="D127" s="318"/>
      <c r="E127" s="318"/>
      <c r="F127" s="318"/>
      <c r="G127" s="318"/>
      <c r="H127" s="318"/>
      <c r="I127" s="318"/>
      <c r="J127" s="318"/>
      <c r="K127" s="318"/>
      <c r="L127" s="318"/>
      <c r="M127" s="318"/>
      <c r="N127" s="318"/>
      <c r="O127" s="318"/>
      <c r="P127" s="318"/>
      <c r="Q127" s="318"/>
      <c r="R127" s="318"/>
      <c r="S127" s="318"/>
      <c r="T127" s="318"/>
      <c r="U127" s="318"/>
      <c r="V127" s="318"/>
      <c r="W127" s="318"/>
      <c r="X127" s="318"/>
      <c r="Y127" s="318"/>
      <c r="Z127" s="318"/>
    </row>
    <row r="128" ht="15.75" customHeight="1">
      <c r="A128" s="318"/>
      <c r="B128" s="318"/>
      <c r="C128" s="318"/>
      <c r="D128" s="318"/>
      <c r="E128" s="318"/>
      <c r="F128" s="318"/>
      <c r="G128" s="318"/>
      <c r="H128" s="318"/>
      <c r="I128" s="318"/>
      <c r="J128" s="318"/>
      <c r="K128" s="318"/>
      <c r="L128" s="318"/>
      <c r="M128" s="318"/>
      <c r="N128" s="318"/>
      <c r="O128" s="318"/>
      <c r="P128" s="318"/>
      <c r="Q128" s="318"/>
      <c r="R128" s="318"/>
      <c r="S128" s="318"/>
      <c r="T128" s="318"/>
      <c r="U128" s="318"/>
      <c r="V128" s="318"/>
      <c r="W128" s="318"/>
      <c r="X128" s="318"/>
      <c r="Y128" s="318"/>
      <c r="Z128" s="318"/>
    </row>
    <row r="129" ht="15.75" customHeight="1">
      <c r="A129" s="318"/>
      <c r="B129" s="318"/>
      <c r="C129" s="318"/>
      <c r="D129" s="318"/>
      <c r="E129" s="318"/>
      <c r="F129" s="318"/>
      <c r="G129" s="318"/>
      <c r="H129" s="318"/>
      <c r="I129" s="318"/>
      <c r="J129" s="318"/>
      <c r="K129" s="318"/>
      <c r="L129" s="318"/>
      <c r="M129" s="318"/>
      <c r="N129" s="318"/>
      <c r="O129" s="318"/>
      <c r="P129" s="318"/>
      <c r="Q129" s="318"/>
      <c r="R129" s="318"/>
      <c r="S129" s="318"/>
      <c r="T129" s="318"/>
      <c r="U129" s="318"/>
      <c r="V129" s="318"/>
      <c r="W129" s="318"/>
      <c r="X129" s="318"/>
      <c r="Y129" s="318"/>
      <c r="Z129" s="318"/>
    </row>
    <row r="130" ht="15.75" customHeight="1">
      <c r="A130" s="318"/>
      <c r="B130" s="318"/>
      <c r="C130" s="318"/>
      <c r="D130" s="318"/>
      <c r="E130" s="318"/>
      <c r="F130" s="318"/>
      <c r="G130" s="318"/>
      <c r="H130" s="318"/>
      <c r="I130" s="318"/>
      <c r="J130" s="318"/>
      <c r="K130" s="318"/>
      <c r="L130" s="318"/>
      <c r="M130" s="318"/>
      <c r="N130" s="318"/>
      <c r="O130" s="318"/>
      <c r="P130" s="318"/>
      <c r="Q130" s="318"/>
      <c r="R130" s="318"/>
      <c r="S130" s="318"/>
      <c r="T130" s="318"/>
      <c r="U130" s="318"/>
      <c r="V130" s="318"/>
      <c r="W130" s="318"/>
      <c r="X130" s="318"/>
      <c r="Y130" s="318"/>
      <c r="Z130" s="318"/>
    </row>
    <row r="131" ht="15.75" customHeight="1">
      <c r="A131" s="318"/>
      <c r="B131" s="318"/>
      <c r="C131" s="318"/>
      <c r="D131" s="318"/>
      <c r="E131" s="318"/>
      <c r="F131" s="318"/>
      <c r="G131" s="318"/>
      <c r="H131" s="318"/>
      <c r="I131" s="318"/>
      <c r="J131" s="318"/>
      <c r="K131" s="318"/>
      <c r="L131" s="318"/>
      <c r="M131" s="318"/>
      <c r="N131" s="318"/>
      <c r="O131" s="318"/>
      <c r="P131" s="318"/>
      <c r="Q131" s="318"/>
      <c r="R131" s="318"/>
      <c r="S131" s="318"/>
      <c r="T131" s="318"/>
      <c r="U131" s="318"/>
      <c r="V131" s="318"/>
      <c r="W131" s="318"/>
      <c r="X131" s="318"/>
      <c r="Y131" s="318"/>
      <c r="Z131" s="318"/>
    </row>
    <row r="132" ht="15.75" customHeight="1">
      <c r="A132" s="318"/>
      <c r="B132" s="318"/>
      <c r="C132" s="318"/>
      <c r="D132" s="318"/>
      <c r="E132" s="318"/>
      <c r="F132" s="318"/>
      <c r="G132" s="318"/>
      <c r="H132" s="318"/>
      <c r="I132" s="318"/>
      <c r="J132" s="318"/>
      <c r="K132" s="318"/>
      <c r="L132" s="318"/>
      <c r="M132" s="318"/>
      <c r="N132" s="318"/>
      <c r="O132" s="318"/>
      <c r="P132" s="318"/>
      <c r="Q132" s="318"/>
      <c r="R132" s="318"/>
      <c r="S132" s="318"/>
      <c r="T132" s="318"/>
      <c r="U132" s="318"/>
      <c r="V132" s="318"/>
      <c r="W132" s="318"/>
      <c r="X132" s="318"/>
      <c r="Y132" s="318"/>
      <c r="Z132" s="318"/>
    </row>
    <row r="133" ht="15.75" customHeight="1">
      <c r="A133" s="318"/>
      <c r="B133" s="318"/>
      <c r="C133" s="318"/>
      <c r="D133" s="318"/>
      <c r="E133" s="318"/>
      <c r="F133" s="318"/>
      <c r="G133" s="318"/>
      <c r="H133" s="318"/>
      <c r="I133" s="318"/>
      <c r="J133" s="318"/>
      <c r="K133" s="318"/>
      <c r="L133" s="318"/>
      <c r="M133" s="318"/>
      <c r="N133" s="318"/>
      <c r="O133" s="318"/>
      <c r="P133" s="318"/>
      <c r="Q133" s="318"/>
      <c r="R133" s="318"/>
      <c r="S133" s="318"/>
      <c r="T133" s="318"/>
      <c r="U133" s="318"/>
      <c r="V133" s="318"/>
      <c r="W133" s="318"/>
      <c r="X133" s="318"/>
      <c r="Y133" s="318"/>
      <c r="Z133" s="318"/>
    </row>
    <row r="134" ht="15.75" customHeight="1">
      <c r="A134" s="318"/>
      <c r="B134" s="318"/>
      <c r="C134" s="318"/>
      <c r="D134" s="318"/>
      <c r="E134" s="318"/>
      <c r="F134" s="318"/>
      <c r="G134" s="318"/>
      <c r="H134" s="318"/>
      <c r="I134" s="318"/>
      <c r="J134" s="318"/>
      <c r="K134" s="318"/>
      <c r="L134" s="318"/>
      <c r="M134" s="318"/>
      <c r="N134" s="318"/>
      <c r="O134" s="318"/>
      <c r="P134" s="318"/>
      <c r="Q134" s="318"/>
      <c r="R134" s="318"/>
      <c r="S134" s="318"/>
      <c r="T134" s="318"/>
      <c r="U134" s="318"/>
      <c r="V134" s="318"/>
      <c r="W134" s="318"/>
      <c r="X134" s="318"/>
      <c r="Y134" s="318"/>
      <c r="Z134" s="318"/>
    </row>
    <row r="135" ht="15.75" customHeight="1">
      <c r="A135" s="318"/>
      <c r="B135" s="318"/>
      <c r="C135" s="318"/>
      <c r="D135" s="318"/>
      <c r="E135" s="318"/>
      <c r="F135" s="318"/>
      <c r="G135" s="318"/>
      <c r="H135" s="318"/>
      <c r="I135" s="318"/>
      <c r="J135" s="318"/>
      <c r="K135" s="318"/>
      <c r="L135" s="318"/>
      <c r="M135" s="318"/>
      <c r="N135" s="318"/>
      <c r="O135" s="318"/>
      <c r="P135" s="318"/>
      <c r="Q135" s="318"/>
      <c r="R135" s="318"/>
      <c r="S135" s="318"/>
      <c r="T135" s="318"/>
      <c r="U135" s="318"/>
      <c r="V135" s="318"/>
      <c r="W135" s="318"/>
      <c r="X135" s="318"/>
      <c r="Y135" s="318"/>
      <c r="Z135" s="318"/>
    </row>
    <row r="136" ht="15.75" customHeight="1">
      <c r="A136" s="318"/>
      <c r="B136" s="318"/>
      <c r="C136" s="318"/>
      <c r="D136" s="318"/>
      <c r="E136" s="318"/>
      <c r="F136" s="318"/>
      <c r="G136" s="318"/>
      <c r="H136" s="318"/>
      <c r="I136" s="318"/>
      <c r="J136" s="318"/>
      <c r="K136" s="318"/>
      <c r="L136" s="318"/>
      <c r="M136" s="318"/>
      <c r="N136" s="318"/>
      <c r="O136" s="318"/>
      <c r="P136" s="318"/>
      <c r="Q136" s="318"/>
      <c r="R136" s="318"/>
      <c r="S136" s="318"/>
      <c r="T136" s="318"/>
      <c r="U136" s="318"/>
      <c r="V136" s="318"/>
      <c r="W136" s="318"/>
      <c r="X136" s="318"/>
      <c r="Y136" s="318"/>
      <c r="Z136" s="318"/>
    </row>
    <row r="137" ht="15.75" customHeight="1">
      <c r="A137" s="318"/>
      <c r="B137" s="318"/>
      <c r="C137" s="318"/>
      <c r="D137" s="318"/>
      <c r="E137" s="318"/>
      <c r="F137" s="318"/>
      <c r="G137" s="318"/>
      <c r="H137" s="318"/>
      <c r="I137" s="318"/>
      <c r="J137" s="318"/>
      <c r="K137" s="318"/>
      <c r="L137" s="318"/>
      <c r="M137" s="318"/>
      <c r="N137" s="318"/>
      <c r="O137" s="318"/>
      <c r="P137" s="318"/>
      <c r="Q137" s="318"/>
      <c r="R137" s="318"/>
      <c r="S137" s="318"/>
      <c r="T137" s="318"/>
      <c r="U137" s="318"/>
      <c r="V137" s="318"/>
      <c r="W137" s="318"/>
      <c r="X137" s="318"/>
      <c r="Y137" s="318"/>
      <c r="Z137" s="318"/>
    </row>
    <row r="138" ht="15.75" customHeight="1">
      <c r="A138" s="318"/>
      <c r="B138" s="318"/>
      <c r="C138" s="318"/>
      <c r="D138" s="318"/>
      <c r="E138" s="318"/>
      <c r="F138" s="318"/>
      <c r="G138" s="318"/>
      <c r="H138" s="318"/>
      <c r="I138" s="318"/>
      <c r="J138" s="318"/>
      <c r="K138" s="318"/>
      <c r="L138" s="318"/>
      <c r="M138" s="318"/>
      <c r="N138" s="318"/>
      <c r="O138" s="318"/>
      <c r="P138" s="318"/>
      <c r="Q138" s="318"/>
      <c r="R138" s="318"/>
      <c r="S138" s="318"/>
      <c r="T138" s="318"/>
      <c r="U138" s="318"/>
      <c r="V138" s="318"/>
      <c r="W138" s="318"/>
      <c r="X138" s="318"/>
      <c r="Y138" s="318"/>
      <c r="Z138" s="318"/>
    </row>
    <row r="139" ht="15.75" customHeight="1">
      <c r="A139" s="318"/>
      <c r="B139" s="318"/>
      <c r="C139" s="318"/>
      <c r="D139" s="318"/>
      <c r="E139" s="318"/>
      <c r="F139" s="318"/>
      <c r="G139" s="318"/>
      <c r="H139" s="318"/>
      <c r="I139" s="318"/>
      <c r="J139" s="318"/>
      <c r="K139" s="318"/>
      <c r="L139" s="318"/>
      <c r="M139" s="318"/>
      <c r="N139" s="318"/>
      <c r="O139" s="318"/>
      <c r="P139" s="318"/>
      <c r="Q139" s="318"/>
      <c r="R139" s="318"/>
      <c r="S139" s="318"/>
      <c r="T139" s="318"/>
      <c r="U139" s="318"/>
      <c r="V139" s="318"/>
      <c r="W139" s="318"/>
      <c r="X139" s="318"/>
      <c r="Y139" s="318"/>
      <c r="Z139" s="318"/>
    </row>
    <row r="140" ht="15.75" customHeight="1">
      <c r="A140" s="318"/>
      <c r="B140" s="318"/>
      <c r="C140" s="318"/>
      <c r="D140" s="318"/>
      <c r="E140" s="318"/>
      <c r="F140" s="318"/>
      <c r="G140" s="318"/>
      <c r="H140" s="318"/>
      <c r="I140" s="318"/>
      <c r="J140" s="318"/>
      <c r="K140" s="318"/>
      <c r="L140" s="318"/>
      <c r="M140" s="318"/>
      <c r="N140" s="318"/>
      <c r="O140" s="318"/>
      <c r="P140" s="318"/>
      <c r="Q140" s="318"/>
      <c r="R140" s="318"/>
      <c r="S140" s="318"/>
      <c r="T140" s="318"/>
      <c r="U140" s="318"/>
      <c r="V140" s="318"/>
      <c r="W140" s="318"/>
      <c r="X140" s="318"/>
      <c r="Y140" s="318"/>
      <c r="Z140" s="318"/>
    </row>
    <row r="141" ht="15.75" customHeight="1">
      <c r="A141" s="318"/>
      <c r="B141" s="318"/>
      <c r="C141" s="318"/>
      <c r="D141" s="318"/>
      <c r="E141" s="318"/>
      <c r="F141" s="318"/>
      <c r="G141" s="318"/>
      <c r="H141" s="318"/>
      <c r="I141" s="318"/>
      <c r="J141" s="318"/>
      <c r="K141" s="318"/>
      <c r="L141" s="318"/>
      <c r="M141" s="318"/>
      <c r="N141" s="318"/>
      <c r="O141" s="318"/>
      <c r="P141" s="318"/>
      <c r="Q141" s="318"/>
      <c r="R141" s="318"/>
      <c r="S141" s="318"/>
      <c r="T141" s="318"/>
      <c r="U141" s="318"/>
      <c r="V141" s="318"/>
      <c r="W141" s="318"/>
      <c r="X141" s="318"/>
      <c r="Y141" s="318"/>
      <c r="Z141" s="318"/>
    </row>
    <row r="142" ht="15.75" customHeight="1">
      <c r="A142" s="318"/>
      <c r="B142" s="318"/>
      <c r="C142" s="318"/>
      <c r="D142" s="318"/>
      <c r="E142" s="318"/>
      <c r="F142" s="318"/>
      <c r="G142" s="318"/>
      <c r="H142" s="318"/>
      <c r="I142" s="318"/>
      <c r="J142" s="318"/>
      <c r="K142" s="318"/>
      <c r="L142" s="318"/>
      <c r="M142" s="318"/>
      <c r="N142" s="318"/>
      <c r="O142" s="318"/>
      <c r="P142" s="318"/>
      <c r="Q142" s="318"/>
      <c r="R142" s="318"/>
      <c r="S142" s="318"/>
      <c r="T142" s="318"/>
      <c r="U142" s="318"/>
      <c r="V142" s="318"/>
      <c r="W142" s="318"/>
      <c r="X142" s="318"/>
      <c r="Y142" s="318"/>
      <c r="Z142" s="318"/>
    </row>
    <row r="143" ht="15.75" customHeight="1">
      <c r="A143" s="318"/>
      <c r="B143" s="318"/>
      <c r="C143" s="318"/>
      <c r="D143" s="318"/>
      <c r="E143" s="318"/>
      <c r="F143" s="318"/>
      <c r="G143" s="318"/>
      <c r="H143" s="318"/>
      <c r="I143" s="318"/>
      <c r="J143" s="318"/>
      <c r="K143" s="318"/>
      <c r="L143" s="318"/>
      <c r="M143" s="318"/>
      <c r="N143" s="318"/>
      <c r="O143" s="318"/>
      <c r="P143" s="318"/>
      <c r="Q143" s="318"/>
      <c r="R143" s="318"/>
      <c r="S143" s="318"/>
      <c r="T143" s="318"/>
      <c r="U143" s="318"/>
      <c r="V143" s="318"/>
      <c r="W143" s="318"/>
      <c r="X143" s="318"/>
      <c r="Y143" s="318"/>
      <c r="Z143" s="318"/>
    </row>
    <row r="144" ht="15.75" customHeight="1">
      <c r="A144" s="318"/>
      <c r="B144" s="318"/>
      <c r="C144" s="318"/>
      <c r="D144" s="318"/>
      <c r="E144" s="318"/>
      <c r="F144" s="318"/>
      <c r="G144" s="318"/>
      <c r="H144" s="318"/>
      <c r="I144" s="318"/>
      <c r="J144" s="318"/>
      <c r="K144" s="318"/>
      <c r="L144" s="318"/>
      <c r="M144" s="318"/>
      <c r="N144" s="318"/>
      <c r="O144" s="318"/>
      <c r="P144" s="318"/>
      <c r="Q144" s="318"/>
      <c r="R144" s="318"/>
      <c r="S144" s="318"/>
      <c r="T144" s="318"/>
      <c r="U144" s="318"/>
      <c r="V144" s="318"/>
      <c r="W144" s="318"/>
      <c r="X144" s="318"/>
      <c r="Y144" s="318"/>
      <c r="Z144" s="318"/>
    </row>
    <row r="145" ht="15.75" customHeight="1">
      <c r="A145" s="318"/>
      <c r="B145" s="318"/>
      <c r="C145" s="318"/>
      <c r="D145" s="318"/>
      <c r="E145" s="318"/>
      <c r="F145" s="318"/>
      <c r="G145" s="318"/>
      <c r="H145" s="318"/>
      <c r="I145" s="318"/>
      <c r="J145" s="318"/>
      <c r="K145" s="318"/>
      <c r="L145" s="318"/>
      <c r="M145" s="318"/>
      <c r="N145" s="318"/>
      <c r="O145" s="318"/>
      <c r="P145" s="318"/>
      <c r="Q145" s="318"/>
      <c r="R145" s="318"/>
      <c r="S145" s="318"/>
      <c r="T145" s="318"/>
      <c r="U145" s="318"/>
      <c r="V145" s="318"/>
      <c r="W145" s="318"/>
      <c r="X145" s="318"/>
      <c r="Y145" s="318"/>
      <c r="Z145" s="318"/>
    </row>
    <row r="146" ht="15.75" customHeight="1">
      <c r="A146" s="318"/>
      <c r="B146" s="318"/>
      <c r="C146" s="318"/>
      <c r="D146" s="318"/>
      <c r="E146" s="318"/>
      <c r="F146" s="318"/>
      <c r="G146" s="318"/>
      <c r="H146" s="318"/>
      <c r="I146" s="318"/>
      <c r="J146" s="318"/>
      <c r="K146" s="318"/>
      <c r="L146" s="318"/>
      <c r="M146" s="318"/>
      <c r="N146" s="318"/>
      <c r="O146" s="318"/>
      <c r="P146" s="318"/>
      <c r="Q146" s="318"/>
      <c r="R146" s="318"/>
      <c r="S146" s="318"/>
      <c r="T146" s="318"/>
      <c r="U146" s="318"/>
      <c r="V146" s="318"/>
      <c r="W146" s="318"/>
      <c r="X146" s="318"/>
      <c r="Y146" s="318"/>
      <c r="Z146" s="318"/>
    </row>
    <row r="147" ht="15.75" customHeight="1">
      <c r="A147" s="318"/>
      <c r="B147" s="318"/>
      <c r="C147" s="318"/>
      <c r="D147" s="318"/>
      <c r="E147" s="318"/>
      <c r="F147" s="318"/>
      <c r="G147" s="318"/>
      <c r="H147" s="318"/>
      <c r="I147" s="318"/>
      <c r="J147" s="318"/>
      <c r="K147" s="318"/>
      <c r="L147" s="318"/>
      <c r="M147" s="318"/>
      <c r="N147" s="318"/>
      <c r="O147" s="318"/>
      <c r="P147" s="318"/>
      <c r="Q147" s="318"/>
      <c r="R147" s="318"/>
      <c r="S147" s="318"/>
      <c r="T147" s="318"/>
      <c r="U147" s="318"/>
      <c r="V147" s="318"/>
      <c r="W147" s="318"/>
      <c r="X147" s="318"/>
      <c r="Y147" s="318"/>
      <c r="Z147" s="318"/>
    </row>
    <row r="148" ht="15.75" customHeight="1">
      <c r="A148" s="318"/>
      <c r="B148" s="318"/>
      <c r="C148" s="318"/>
      <c r="D148" s="318"/>
      <c r="E148" s="318"/>
      <c r="F148" s="318"/>
      <c r="G148" s="318"/>
      <c r="H148" s="318"/>
      <c r="I148" s="318"/>
      <c r="J148" s="318"/>
      <c r="K148" s="318"/>
      <c r="L148" s="318"/>
      <c r="M148" s="318"/>
      <c r="N148" s="318"/>
      <c r="O148" s="318"/>
      <c r="P148" s="318"/>
      <c r="Q148" s="318"/>
      <c r="R148" s="318"/>
      <c r="S148" s="318"/>
      <c r="T148" s="318"/>
      <c r="U148" s="318"/>
      <c r="V148" s="318"/>
      <c r="W148" s="318"/>
      <c r="X148" s="318"/>
      <c r="Y148" s="318"/>
      <c r="Z148" s="318"/>
    </row>
    <row r="149" ht="15.75" customHeight="1">
      <c r="A149" s="318"/>
      <c r="B149" s="318"/>
      <c r="C149" s="318"/>
      <c r="D149" s="318"/>
      <c r="E149" s="318"/>
      <c r="F149" s="318"/>
      <c r="G149" s="318"/>
      <c r="H149" s="318"/>
      <c r="I149" s="318"/>
      <c r="J149" s="318"/>
      <c r="K149" s="318"/>
      <c r="L149" s="318"/>
      <c r="M149" s="318"/>
      <c r="N149" s="318"/>
      <c r="O149" s="318"/>
      <c r="P149" s="318"/>
      <c r="Q149" s="318"/>
      <c r="R149" s="318"/>
      <c r="S149" s="318"/>
      <c r="T149" s="318"/>
      <c r="U149" s="318"/>
      <c r="V149" s="318"/>
      <c r="W149" s="318"/>
      <c r="X149" s="318"/>
      <c r="Y149" s="318"/>
      <c r="Z149" s="318"/>
    </row>
    <row r="150" ht="15.75" customHeight="1">
      <c r="A150" s="318"/>
      <c r="B150" s="318"/>
      <c r="C150" s="318"/>
      <c r="D150" s="318"/>
      <c r="E150" s="318"/>
      <c r="F150" s="318"/>
      <c r="G150" s="318"/>
      <c r="H150" s="318"/>
      <c r="I150" s="318"/>
      <c r="J150" s="318"/>
      <c r="K150" s="318"/>
      <c r="L150" s="318"/>
      <c r="M150" s="318"/>
      <c r="N150" s="318"/>
      <c r="O150" s="318"/>
      <c r="P150" s="318"/>
      <c r="Q150" s="318"/>
      <c r="R150" s="318"/>
      <c r="S150" s="318"/>
      <c r="T150" s="318"/>
      <c r="U150" s="318"/>
      <c r="V150" s="318"/>
      <c r="W150" s="318"/>
      <c r="X150" s="318"/>
      <c r="Y150" s="318"/>
      <c r="Z150" s="318"/>
    </row>
    <row r="151" ht="15.75" customHeight="1">
      <c r="A151" s="318"/>
      <c r="B151" s="318"/>
      <c r="C151" s="318"/>
      <c r="D151" s="318"/>
      <c r="E151" s="318"/>
      <c r="F151" s="318"/>
      <c r="G151" s="318"/>
      <c r="H151" s="318"/>
      <c r="I151" s="318"/>
      <c r="J151" s="318"/>
      <c r="K151" s="318"/>
      <c r="L151" s="318"/>
      <c r="M151" s="318"/>
      <c r="N151" s="318"/>
      <c r="O151" s="318"/>
      <c r="P151" s="318"/>
      <c r="Q151" s="318"/>
      <c r="R151" s="318"/>
      <c r="S151" s="318"/>
      <c r="T151" s="318"/>
      <c r="U151" s="318"/>
      <c r="V151" s="318"/>
      <c r="W151" s="318"/>
      <c r="X151" s="318"/>
      <c r="Y151" s="318"/>
      <c r="Z151" s="318"/>
    </row>
    <row r="152" ht="15.75" customHeight="1">
      <c r="A152" s="318"/>
      <c r="B152" s="318"/>
      <c r="C152" s="318"/>
      <c r="D152" s="318"/>
      <c r="E152" s="318"/>
      <c r="F152" s="318"/>
      <c r="G152" s="318"/>
      <c r="H152" s="318"/>
      <c r="I152" s="318"/>
      <c r="J152" s="318"/>
      <c r="K152" s="318"/>
      <c r="L152" s="318"/>
      <c r="M152" s="318"/>
      <c r="N152" s="318"/>
      <c r="O152" s="318"/>
      <c r="P152" s="318"/>
      <c r="Q152" s="318"/>
      <c r="R152" s="318"/>
      <c r="S152" s="318"/>
      <c r="T152" s="318"/>
      <c r="U152" s="318"/>
      <c r="V152" s="318"/>
      <c r="W152" s="318"/>
      <c r="X152" s="318"/>
      <c r="Y152" s="318"/>
      <c r="Z152" s="318"/>
    </row>
    <row r="153" ht="15.75" customHeight="1">
      <c r="A153" s="318"/>
      <c r="B153" s="318"/>
      <c r="C153" s="318"/>
      <c r="D153" s="318"/>
      <c r="E153" s="318"/>
      <c r="F153" s="318"/>
      <c r="G153" s="318"/>
      <c r="H153" s="318"/>
      <c r="I153" s="318"/>
      <c r="J153" s="318"/>
      <c r="K153" s="318"/>
      <c r="L153" s="318"/>
      <c r="M153" s="318"/>
      <c r="N153" s="318"/>
      <c r="O153" s="318"/>
      <c r="P153" s="318"/>
      <c r="Q153" s="318"/>
      <c r="R153" s="318"/>
      <c r="S153" s="318"/>
      <c r="T153" s="318"/>
      <c r="U153" s="318"/>
      <c r="V153" s="318"/>
      <c r="W153" s="318"/>
      <c r="X153" s="318"/>
      <c r="Y153" s="318"/>
      <c r="Z153" s="318"/>
    </row>
    <row r="154" ht="15.75" customHeight="1">
      <c r="A154" s="318"/>
      <c r="B154" s="318"/>
      <c r="C154" s="318"/>
      <c r="D154" s="318"/>
      <c r="E154" s="318"/>
      <c r="F154" s="318"/>
      <c r="G154" s="318"/>
      <c r="H154" s="318"/>
      <c r="I154" s="318"/>
      <c r="J154" s="318"/>
      <c r="K154" s="318"/>
      <c r="L154" s="318"/>
      <c r="M154" s="318"/>
      <c r="N154" s="318"/>
      <c r="O154" s="318"/>
      <c r="P154" s="318"/>
      <c r="Q154" s="318"/>
      <c r="R154" s="318"/>
      <c r="S154" s="318"/>
      <c r="T154" s="318"/>
      <c r="U154" s="318"/>
      <c r="V154" s="318"/>
      <c r="W154" s="318"/>
      <c r="X154" s="318"/>
      <c r="Y154" s="318"/>
      <c r="Z154" s="318"/>
    </row>
    <row r="155" ht="15.75" customHeight="1">
      <c r="A155" s="318"/>
      <c r="B155" s="318"/>
      <c r="C155" s="318"/>
      <c r="D155" s="318"/>
      <c r="E155" s="318"/>
      <c r="F155" s="318"/>
      <c r="G155" s="318"/>
      <c r="H155" s="318"/>
      <c r="I155" s="318"/>
      <c r="J155" s="318"/>
      <c r="K155" s="318"/>
      <c r="L155" s="318"/>
      <c r="M155" s="318"/>
      <c r="N155" s="318"/>
      <c r="O155" s="318"/>
      <c r="P155" s="318"/>
      <c r="Q155" s="318"/>
      <c r="R155" s="318"/>
      <c r="S155" s="318"/>
      <c r="T155" s="318"/>
      <c r="U155" s="318"/>
      <c r="V155" s="318"/>
      <c r="W155" s="318"/>
      <c r="X155" s="318"/>
      <c r="Y155" s="318"/>
      <c r="Z155" s="318"/>
    </row>
    <row r="156" ht="15.75" customHeight="1">
      <c r="A156" s="318"/>
      <c r="B156" s="318"/>
      <c r="C156" s="318"/>
      <c r="D156" s="318"/>
      <c r="E156" s="318"/>
      <c r="F156" s="318"/>
      <c r="G156" s="318"/>
      <c r="H156" s="318"/>
      <c r="I156" s="318"/>
      <c r="J156" s="318"/>
      <c r="K156" s="318"/>
      <c r="L156" s="318"/>
      <c r="M156" s="318"/>
      <c r="N156" s="318"/>
      <c r="O156" s="318"/>
      <c r="P156" s="318"/>
      <c r="Q156" s="318"/>
      <c r="R156" s="318"/>
      <c r="S156" s="318"/>
      <c r="T156" s="318"/>
      <c r="U156" s="318"/>
      <c r="V156" s="318"/>
      <c r="W156" s="318"/>
      <c r="X156" s="318"/>
      <c r="Y156" s="318"/>
      <c r="Z156" s="318"/>
    </row>
    <row r="157" ht="15.75" customHeight="1">
      <c r="A157" s="318"/>
      <c r="B157" s="318"/>
      <c r="C157" s="318"/>
      <c r="D157" s="318"/>
      <c r="E157" s="318"/>
      <c r="F157" s="318"/>
      <c r="G157" s="318"/>
      <c r="H157" s="318"/>
      <c r="I157" s="318"/>
      <c r="J157" s="318"/>
      <c r="K157" s="318"/>
      <c r="L157" s="318"/>
      <c r="M157" s="318"/>
      <c r="N157" s="318"/>
      <c r="O157" s="318"/>
      <c r="P157" s="318"/>
      <c r="Q157" s="318"/>
      <c r="R157" s="318"/>
      <c r="S157" s="318"/>
      <c r="T157" s="318"/>
      <c r="U157" s="318"/>
      <c r="V157" s="318"/>
      <c r="W157" s="318"/>
      <c r="X157" s="318"/>
      <c r="Y157" s="318"/>
      <c r="Z157" s="318"/>
    </row>
    <row r="158" ht="15.75" customHeight="1">
      <c r="A158" s="318"/>
      <c r="B158" s="318"/>
      <c r="C158" s="318"/>
      <c r="D158" s="318"/>
      <c r="E158" s="318"/>
      <c r="F158" s="318"/>
      <c r="G158" s="318"/>
      <c r="H158" s="318"/>
      <c r="I158" s="318"/>
      <c r="J158" s="318"/>
      <c r="K158" s="318"/>
      <c r="L158" s="318"/>
      <c r="M158" s="318"/>
      <c r="N158" s="318"/>
      <c r="O158" s="318"/>
      <c r="P158" s="318"/>
      <c r="Q158" s="318"/>
      <c r="R158" s="318"/>
      <c r="S158" s="318"/>
      <c r="T158" s="318"/>
      <c r="U158" s="318"/>
      <c r="V158" s="318"/>
      <c r="W158" s="318"/>
      <c r="X158" s="318"/>
      <c r="Y158" s="318"/>
      <c r="Z158" s="318"/>
    </row>
    <row r="159" ht="15.75" customHeight="1">
      <c r="A159" s="318"/>
      <c r="B159" s="318"/>
      <c r="C159" s="318"/>
      <c r="D159" s="318"/>
      <c r="E159" s="318"/>
      <c r="F159" s="318"/>
      <c r="G159" s="318"/>
      <c r="H159" s="318"/>
      <c r="I159" s="318"/>
      <c r="J159" s="318"/>
      <c r="K159" s="318"/>
      <c r="L159" s="318"/>
      <c r="M159" s="318"/>
      <c r="N159" s="318"/>
      <c r="O159" s="318"/>
      <c r="P159" s="318"/>
      <c r="Q159" s="318"/>
      <c r="R159" s="318"/>
      <c r="S159" s="318"/>
      <c r="T159" s="318"/>
      <c r="U159" s="318"/>
      <c r="V159" s="318"/>
      <c r="W159" s="318"/>
      <c r="X159" s="318"/>
      <c r="Y159" s="318"/>
      <c r="Z159" s="318"/>
    </row>
    <row r="160" ht="15.75" customHeight="1">
      <c r="A160" s="318"/>
      <c r="B160" s="318"/>
      <c r="C160" s="318"/>
      <c r="D160" s="318"/>
      <c r="E160" s="318"/>
      <c r="F160" s="318"/>
      <c r="G160" s="318"/>
      <c r="H160" s="318"/>
      <c r="I160" s="318"/>
      <c r="J160" s="318"/>
      <c r="K160" s="318"/>
      <c r="L160" s="318"/>
      <c r="M160" s="318"/>
      <c r="N160" s="318"/>
      <c r="O160" s="318"/>
      <c r="P160" s="318"/>
      <c r="Q160" s="318"/>
      <c r="R160" s="318"/>
      <c r="S160" s="318"/>
      <c r="T160" s="318"/>
      <c r="U160" s="318"/>
      <c r="V160" s="318"/>
      <c r="W160" s="318"/>
      <c r="X160" s="318"/>
      <c r="Y160" s="318"/>
      <c r="Z160" s="318"/>
    </row>
    <row r="161" ht="15.75" customHeight="1">
      <c r="A161" s="318"/>
      <c r="B161" s="318"/>
      <c r="C161" s="318"/>
      <c r="D161" s="318"/>
      <c r="E161" s="318"/>
      <c r="F161" s="318"/>
      <c r="G161" s="318"/>
      <c r="H161" s="318"/>
      <c r="I161" s="318"/>
      <c r="J161" s="318"/>
      <c r="K161" s="318"/>
      <c r="L161" s="318"/>
      <c r="M161" s="318"/>
      <c r="N161" s="318"/>
      <c r="O161" s="318"/>
      <c r="P161" s="318"/>
      <c r="Q161" s="318"/>
      <c r="R161" s="318"/>
      <c r="S161" s="318"/>
      <c r="T161" s="318"/>
      <c r="U161" s="318"/>
      <c r="V161" s="318"/>
      <c r="W161" s="318"/>
      <c r="X161" s="318"/>
      <c r="Y161" s="318"/>
      <c r="Z161" s="318"/>
    </row>
    <row r="162" ht="15.75" customHeight="1">
      <c r="A162" s="318"/>
      <c r="B162" s="318"/>
      <c r="C162" s="318"/>
      <c r="D162" s="318"/>
      <c r="E162" s="318"/>
      <c r="F162" s="318"/>
      <c r="G162" s="318"/>
      <c r="H162" s="318"/>
      <c r="I162" s="318"/>
      <c r="J162" s="318"/>
      <c r="K162" s="318"/>
      <c r="L162" s="318"/>
      <c r="M162" s="318"/>
      <c r="N162" s="318"/>
      <c r="O162" s="318"/>
      <c r="P162" s="318"/>
      <c r="Q162" s="318"/>
      <c r="R162" s="318"/>
      <c r="S162" s="318"/>
      <c r="T162" s="318"/>
      <c r="U162" s="318"/>
      <c r="V162" s="318"/>
      <c r="W162" s="318"/>
      <c r="X162" s="318"/>
      <c r="Y162" s="318"/>
      <c r="Z162" s="318"/>
    </row>
    <row r="163" ht="15.75" customHeight="1">
      <c r="A163" s="318"/>
      <c r="B163" s="318"/>
      <c r="C163" s="318"/>
      <c r="D163" s="318"/>
      <c r="E163" s="318"/>
      <c r="F163" s="318"/>
      <c r="G163" s="318"/>
      <c r="H163" s="318"/>
      <c r="I163" s="318"/>
      <c r="J163" s="318"/>
      <c r="K163" s="318"/>
      <c r="L163" s="318"/>
      <c r="M163" s="318"/>
      <c r="N163" s="318"/>
      <c r="O163" s="318"/>
      <c r="P163" s="318"/>
      <c r="Q163" s="318"/>
      <c r="R163" s="318"/>
      <c r="S163" s="318"/>
      <c r="T163" s="318"/>
      <c r="U163" s="318"/>
      <c r="V163" s="318"/>
      <c r="W163" s="318"/>
      <c r="X163" s="318"/>
      <c r="Y163" s="318"/>
      <c r="Z163" s="318"/>
    </row>
    <row r="164" ht="15.75" customHeight="1">
      <c r="A164" s="318"/>
      <c r="B164" s="318"/>
      <c r="C164" s="318"/>
      <c r="D164" s="318"/>
      <c r="E164" s="318"/>
      <c r="F164" s="318"/>
      <c r="G164" s="318"/>
      <c r="H164" s="318"/>
      <c r="I164" s="318"/>
      <c r="J164" s="318"/>
      <c r="K164" s="318"/>
      <c r="L164" s="318"/>
      <c r="M164" s="318"/>
      <c r="N164" s="318"/>
      <c r="O164" s="318"/>
      <c r="P164" s="318"/>
      <c r="Q164" s="318"/>
      <c r="R164" s="318"/>
      <c r="S164" s="318"/>
      <c r="T164" s="318"/>
      <c r="U164" s="318"/>
      <c r="V164" s="318"/>
      <c r="W164" s="318"/>
      <c r="X164" s="318"/>
      <c r="Y164" s="318"/>
      <c r="Z164" s="318"/>
    </row>
    <row r="165" ht="15.75" customHeight="1">
      <c r="A165" s="318"/>
      <c r="B165" s="318"/>
      <c r="C165" s="318"/>
      <c r="D165" s="318"/>
      <c r="E165" s="318"/>
      <c r="F165" s="318"/>
      <c r="G165" s="318"/>
      <c r="H165" s="318"/>
      <c r="I165" s="318"/>
      <c r="J165" s="318"/>
      <c r="K165" s="318"/>
      <c r="L165" s="318"/>
      <c r="M165" s="318"/>
      <c r="N165" s="318"/>
      <c r="O165" s="318"/>
      <c r="P165" s="318"/>
      <c r="Q165" s="318"/>
      <c r="R165" s="318"/>
      <c r="S165" s="318"/>
      <c r="T165" s="318"/>
      <c r="U165" s="318"/>
      <c r="V165" s="318"/>
      <c r="W165" s="318"/>
      <c r="X165" s="318"/>
      <c r="Y165" s="318"/>
      <c r="Z165" s="318"/>
    </row>
    <row r="166" ht="15.75" customHeight="1">
      <c r="A166" s="318"/>
      <c r="B166" s="318"/>
      <c r="C166" s="318"/>
      <c r="D166" s="318"/>
      <c r="E166" s="318"/>
      <c r="F166" s="318"/>
      <c r="G166" s="318"/>
      <c r="H166" s="318"/>
      <c r="I166" s="318"/>
      <c r="J166" s="318"/>
      <c r="K166" s="318"/>
      <c r="L166" s="318"/>
      <c r="M166" s="318"/>
      <c r="N166" s="318"/>
      <c r="O166" s="318"/>
      <c r="P166" s="318"/>
      <c r="Q166" s="318"/>
      <c r="R166" s="318"/>
      <c r="S166" s="318"/>
      <c r="T166" s="318"/>
      <c r="U166" s="318"/>
      <c r="V166" s="318"/>
      <c r="W166" s="318"/>
      <c r="X166" s="318"/>
      <c r="Y166" s="318"/>
      <c r="Z166" s="318"/>
    </row>
    <row r="167" ht="15.75" customHeight="1">
      <c r="A167" s="318"/>
      <c r="B167" s="318"/>
      <c r="C167" s="318"/>
      <c r="D167" s="318"/>
      <c r="E167" s="318"/>
      <c r="F167" s="318"/>
      <c r="G167" s="318"/>
      <c r="H167" s="318"/>
      <c r="I167" s="318"/>
      <c r="J167" s="318"/>
      <c r="K167" s="318"/>
      <c r="L167" s="318"/>
      <c r="M167" s="318"/>
      <c r="N167" s="318"/>
      <c r="O167" s="318"/>
      <c r="P167" s="318"/>
      <c r="Q167" s="318"/>
      <c r="R167" s="318"/>
      <c r="S167" s="318"/>
      <c r="T167" s="318"/>
      <c r="U167" s="318"/>
      <c r="V167" s="318"/>
      <c r="W167" s="318"/>
      <c r="X167" s="318"/>
      <c r="Y167" s="318"/>
      <c r="Z167" s="318"/>
    </row>
    <row r="168" ht="15.75" customHeight="1">
      <c r="A168" s="318"/>
      <c r="B168" s="318"/>
      <c r="C168" s="318"/>
      <c r="D168" s="318"/>
      <c r="E168" s="318"/>
      <c r="F168" s="318"/>
      <c r="G168" s="318"/>
      <c r="H168" s="318"/>
      <c r="I168" s="318"/>
      <c r="J168" s="318"/>
      <c r="K168" s="318"/>
      <c r="L168" s="318"/>
      <c r="M168" s="318"/>
      <c r="N168" s="318"/>
      <c r="O168" s="318"/>
      <c r="P168" s="318"/>
      <c r="Q168" s="318"/>
      <c r="R168" s="318"/>
      <c r="S168" s="318"/>
      <c r="T168" s="318"/>
      <c r="U168" s="318"/>
      <c r="V168" s="318"/>
      <c r="W168" s="318"/>
      <c r="X168" s="318"/>
      <c r="Y168" s="318"/>
      <c r="Z168" s="318"/>
    </row>
    <row r="169" ht="15.75" customHeight="1">
      <c r="A169" s="318"/>
      <c r="B169" s="318"/>
      <c r="C169" s="318"/>
      <c r="D169" s="318"/>
      <c r="E169" s="318"/>
      <c r="F169" s="318"/>
      <c r="G169" s="318"/>
      <c r="H169" s="318"/>
      <c r="I169" s="318"/>
      <c r="J169" s="318"/>
      <c r="K169" s="318"/>
      <c r="L169" s="318"/>
      <c r="M169" s="318"/>
      <c r="N169" s="318"/>
      <c r="O169" s="318"/>
      <c r="P169" s="318"/>
      <c r="Q169" s="318"/>
      <c r="R169" s="318"/>
      <c r="S169" s="318"/>
      <c r="T169" s="318"/>
      <c r="U169" s="318"/>
      <c r="V169" s="318"/>
      <c r="W169" s="318"/>
      <c r="X169" s="318"/>
      <c r="Y169" s="318"/>
      <c r="Z169" s="318"/>
    </row>
    <row r="170" ht="15.75" customHeight="1">
      <c r="A170" s="318"/>
      <c r="B170" s="318"/>
      <c r="C170" s="318"/>
      <c r="D170" s="318"/>
      <c r="E170" s="318"/>
      <c r="F170" s="318"/>
      <c r="G170" s="318"/>
      <c r="H170" s="318"/>
      <c r="I170" s="318"/>
      <c r="J170" s="318"/>
      <c r="K170" s="318"/>
      <c r="L170" s="318"/>
      <c r="M170" s="318"/>
      <c r="N170" s="318"/>
      <c r="O170" s="318"/>
      <c r="P170" s="318"/>
      <c r="Q170" s="318"/>
      <c r="R170" s="318"/>
      <c r="S170" s="318"/>
      <c r="T170" s="318"/>
      <c r="U170" s="318"/>
      <c r="V170" s="318"/>
      <c r="W170" s="318"/>
      <c r="X170" s="318"/>
      <c r="Y170" s="318"/>
      <c r="Z170" s="318"/>
    </row>
    <row r="171" ht="15.75" customHeight="1">
      <c r="A171" s="318"/>
      <c r="B171" s="318"/>
      <c r="C171" s="318"/>
      <c r="D171" s="318"/>
      <c r="E171" s="318"/>
      <c r="F171" s="318"/>
      <c r="G171" s="318"/>
      <c r="H171" s="318"/>
      <c r="I171" s="318"/>
      <c r="J171" s="318"/>
      <c r="K171" s="318"/>
      <c r="L171" s="318"/>
      <c r="M171" s="318"/>
      <c r="N171" s="318"/>
      <c r="O171" s="318"/>
      <c r="P171" s="318"/>
      <c r="Q171" s="318"/>
      <c r="R171" s="318"/>
      <c r="S171" s="318"/>
      <c r="T171" s="318"/>
      <c r="U171" s="318"/>
      <c r="V171" s="318"/>
      <c r="W171" s="318"/>
      <c r="X171" s="318"/>
      <c r="Y171" s="318"/>
      <c r="Z171" s="318"/>
    </row>
    <row r="172" ht="15.75" customHeight="1">
      <c r="A172" s="318"/>
      <c r="B172" s="318"/>
      <c r="C172" s="318"/>
      <c r="D172" s="318"/>
      <c r="E172" s="318"/>
      <c r="F172" s="318"/>
      <c r="G172" s="318"/>
      <c r="H172" s="318"/>
      <c r="I172" s="318"/>
      <c r="J172" s="318"/>
      <c r="K172" s="318"/>
      <c r="L172" s="318"/>
      <c r="M172" s="318"/>
      <c r="N172" s="318"/>
      <c r="O172" s="318"/>
      <c r="P172" s="318"/>
      <c r="Q172" s="318"/>
      <c r="R172" s="318"/>
      <c r="S172" s="318"/>
      <c r="T172" s="318"/>
      <c r="U172" s="318"/>
      <c r="V172" s="318"/>
      <c r="W172" s="318"/>
      <c r="X172" s="318"/>
      <c r="Y172" s="318"/>
      <c r="Z172" s="318"/>
    </row>
    <row r="173" ht="15.75" customHeight="1">
      <c r="A173" s="318"/>
      <c r="B173" s="318"/>
      <c r="C173" s="318"/>
      <c r="D173" s="318"/>
      <c r="E173" s="318"/>
      <c r="F173" s="318"/>
      <c r="G173" s="318"/>
      <c r="H173" s="318"/>
      <c r="I173" s="318"/>
      <c r="J173" s="318"/>
      <c r="K173" s="318"/>
      <c r="L173" s="318"/>
      <c r="M173" s="318"/>
      <c r="N173" s="318"/>
      <c r="O173" s="318"/>
      <c r="P173" s="318"/>
      <c r="Q173" s="318"/>
      <c r="R173" s="318"/>
      <c r="S173" s="318"/>
      <c r="T173" s="318"/>
      <c r="U173" s="318"/>
      <c r="V173" s="318"/>
      <c r="W173" s="318"/>
      <c r="X173" s="318"/>
      <c r="Y173" s="318"/>
      <c r="Z173" s="318"/>
    </row>
    <row r="174" ht="15.75" customHeight="1">
      <c r="A174" s="318"/>
      <c r="B174" s="318"/>
      <c r="C174" s="318"/>
      <c r="D174" s="318"/>
      <c r="E174" s="318"/>
      <c r="F174" s="318"/>
      <c r="G174" s="318"/>
      <c r="H174" s="318"/>
      <c r="I174" s="318"/>
      <c r="J174" s="318"/>
      <c r="K174" s="318"/>
      <c r="L174" s="318"/>
      <c r="M174" s="318"/>
      <c r="N174" s="318"/>
      <c r="O174" s="318"/>
      <c r="P174" s="318"/>
      <c r="Q174" s="318"/>
      <c r="R174" s="318"/>
      <c r="S174" s="318"/>
      <c r="T174" s="318"/>
      <c r="U174" s="318"/>
      <c r="V174" s="318"/>
      <c r="W174" s="318"/>
      <c r="X174" s="318"/>
      <c r="Y174" s="318"/>
      <c r="Z174" s="318"/>
    </row>
    <row r="175" ht="15.75" customHeight="1">
      <c r="A175" s="318"/>
      <c r="B175" s="318"/>
      <c r="C175" s="318"/>
      <c r="D175" s="318"/>
      <c r="E175" s="318"/>
      <c r="F175" s="318"/>
      <c r="G175" s="318"/>
      <c r="H175" s="318"/>
      <c r="I175" s="318"/>
      <c r="J175" s="318"/>
      <c r="K175" s="318"/>
      <c r="L175" s="318"/>
      <c r="M175" s="318"/>
      <c r="N175" s="318"/>
      <c r="O175" s="318"/>
      <c r="P175" s="318"/>
      <c r="Q175" s="318"/>
      <c r="R175" s="318"/>
      <c r="S175" s="318"/>
      <c r="T175" s="318"/>
      <c r="U175" s="318"/>
      <c r="V175" s="318"/>
      <c r="W175" s="318"/>
      <c r="X175" s="318"/>
      <c r="Y175" s="318"/>
      <c r="Z175" s="318"/>
    </row>
    <row r="176" ht="15.75" customHeight="1">
      <c r="A176" s="318"/>
      <c r="B176" s="318"/>
      <c r="C176" s="318"/>
      <c r="D176" s="318"/>
      <c r="E176" s="318"/>
      <c r="F176" s="318"/>
      <c r="G176" s="318"/>
      <c r="H176" s="318"/>
      <c r="I176" s="318"/>
      <c r="J176" s="318"/>
      <c r="K176" s="318"/>
      <c r="L176" s="318"/>
      <c r="M176" s="318"/>
      <c r="N176" s="318"/>
      <c r="O176" s="318"/>
      <c r="P176" s="318"/>
      <c r="Q176" s="318"/>
      <c r="R176" s="318"/>
      <c r="S176" s="318"/>
      <c r="T176" s="318"/>
      <c r="U176" s="318"/>
      <c r="V176" s="318"/>
      <c r="W176" s="318"/>
      <c r="X176" s="318"/>
      <c r="Y176" s="318"/>
      <c r="Z176" s="318"/>
    </row>
    <row r="177" ht="15.75" customHeight="1">
      <c r="A177" s="318"/>
      <c r="B177" s="318"/>
      <c r="C177" s="318"/>
      <c r="D177" s="318"/>
      <c r="E177" s="318"/>
      <c r="F177" s="318"/>
      <c r="G177" s="318"/>
      <c r="H177" s="318"/>
      <c r="I177" s="318"/>
      <c r="J177" s="318"/>
      <c r="K177" s="318"/>
      <c r="L177" s="318"/>
      <c r="M177" s="318"/>
      <c r="N177" s="318"/>
      <c r="O177" s="318"/>
      <c r="P177" s="318"/>
      <c r="Q177" s="318"/>
      <c r="R177" s="318"/>
      <c r="S177" s="318"/>
      <c r="T177" s="318"/>
      <c r="U177" s="318"/>
      <c r="V177" s="318"/>
      <c r="W177" s="318"/>
      <c r="X177" s="318"/>
      <c r="Y177" s="318"/>
      <c r="Z177" s="318"/>
    </row>
    <row r="178" ht="15.75" customHeight="1">
      <c r="A178" s="318"/>
      <c r="B178" s="318"/>
      <c r="C178" s="318"/>
      <c r="D178" s="318"/>
      <c r="E178" s="318"/>
      <c r="F178" s="318"/>
      <c r="G178" s="318"/>
      <c r="H178" s="318"/>
      <c r="I178" s="318"/>
      <c r="J178" s="318"/>
      <c r="K178" s="318"/>
      <c r="L178" s="318"/>
      <c r="M178" s="318"/>
      <c r="N178" s="318"/>
      <c r="O178" s="318"/>
      <c r="P178" s="318"/>
      <c r="Q178" s="318"/>
      <c r="R178" s="318"/>
      <c r="S178" s="318"/>
      <c r="T178" s="318"/>
      <c r="U178" s="318"/>
      <c r="V178" s="318"/>
      <c r="W178" s="318"/>
      <c r="X178" s="318"/>
      <c r="Y178" s="318"/>
      <c r="Z178" s="318"/>
    </row>
    <row r="179" ht="15.75" customHeight="1">
      <c r="A179" s="318"/>
      <c r="B179" s="318"/>
      <c r="C179" s="318"/>
      <c r="D179" s="318"/>
      <c r="E179" s="318"/>
      <c r="F179" s="318"/>
      <c r="G179" s="318"/>
      <c r="H179" s="318"/>
      <c r="I179" s="318"/>
      <c r="J179" s="318"/>
      <c r="K179" s="318"/>
      <c r="L179" s="318"/>
      <c r="M179" s="318"/>
      <c r="N179" s="318"/>
      <c r="O179" s="318"/>
      <c r="P179" s="318"/>
      <c r="Q179" s="318"/>
      <c r="R179" s="318"/>
      <c r="S179" s="318"/>
      <c r="T179" s="318"/>
      <c r="U179" s="318"/>
      <c r="V179" s="318"/>
      <c r="W179" s="318"/>
      <c r="X179" s="318"/>
      <c r="Y179" s="318"/>
      <c r="Z179" s="318"/>
    </row>
    <row r="180" ht="15.75" customHeight="1">
      <c r="A180" s="318"/>
      <c r="B180" s="318"/>
      <c r="C180" s="318"/>
      <c r="D180" s="318"/>
      <c r="E180" s="318"/>
      <c r="F180" s="318"/>
      <c r="G180" s="318"/>
      <c r="H180" s="318"/>
      <c r="I180" s="318"/>
      <c r="J180" s="318"/>
      <c r="K180" s="318"/>
      <c r="L180" s="318"/>
      <c r="M180" s="318"/>
      <c r="N180" s="318"/>
      <c r="O180" s="318"/>
      <c r="P180" s="318"/>
      <c r="Q180" s="318"/>
      <c r="R180" s="318"/>
      <c r="S180" s="318"/>
      <c r="T180" s="318"/>
      <c r="U180" s="318"/>
      <c r="V180" s="318"/>
      <c r="W180" s="318"/>
      <c r="X180" s="318"/>
      <c r="Y180" s="318"/>
      <c r="Z180" s="318"/>
    </row>
    <row r="181" ht="15.75" customHeight="1">
      <c r="A181" s="318"/>
      <c r="B181" s="318"/>
      <c r="C181" s="318"/>
      <c r="D181" s="318"/>
      <c r="E181" s="318"/>
      <c r="F181" s="318"/>
      <c r="G181" s="318"/>
      <c r="H181" s="318"/>
      <c r="I181" s="318"/>
      <c r="J181" s="318"/>
      <c r="K181" s="318"/>
      <c r="L181" s="318"/>
      <c r="M181" s="318"/>
      <c r="N181" s="318"/>
      <c r="O181" s="318"/>
      <c r="P181" s="318"/>
      <c r="Q181" s="318"/>
      <c r="R181" s="318"/>
      <c r="S181" s="318"/>
      <c r="T181" s="318"/>
      <c r="U181" s="318"/>
      <c r="V181" s="318"/>
      <c r="W181" s="318"/>
      <c r="X181" s="318"/>
      <c r="Y181" s="318"/>
      <c r="Z181" s="318"/>
    </row>
    <row r="182" ht="15.75" customHeight="1">
      <c r="A182" s="318"/>
      <c r="B182" s="318"/>
      <c r="C182" s="318"/>
      <c r="D182" s="318"/>
      <c r="E182" s="318"/>
      <c r="F182" s="318"/>
      <c r="G182" s="318"/>
      <c r="H182" s="318"/>
      <c r="I182" s="318"/>
      <c r="J182" s="318"/>
      <c r="K182" s="318"/>
      <c r="L182" s="318"/>
      <c r="M182" s="318"/>
      <c r="N182" s="318"/>
      <c r="O182" s="318"/>
      <c r="P182" s="318"/>
      <c r="Q182" s="318"/>
      <c r="R182" s="318"/>
      <c r="S182" s="318"/>
      <c r="T182" s="318"/>
      <c r="U182" s="318"/>
      <c r="V182" s="318"/>
      <c r="W182" s="318"/>
      <c r="X182" s="318"/>
      <c r="Y182" s="318"/>
      <c r="Z182" s="318"/>
    </row>
    <row r="183" ht="15.75" customHeight="1">
      <c r="A183" s="318"/>
      <c r="B183" s="318"/>
      <c r="C183" s="318"/>
      <c r="D183" s="318"/>
      <c r="E183" s="318"/>
      <c r="F183" s="318"/>
      <c r="G183" s="318"/>
      <c r="H183" s="318"/>
      <c r="I183" s="318"/>
      <c r="J183" s="318"/>
      <c r="K183" s="318"/>
      <c r="L183" s="318"/>
      <c r="M183" s="318"/>
      <c r="N183" s="318"/>
      <c r="O183" s="318"/>
      <c r="P183" s="318"/>
      <c r="Q183" s="318"/>
      <c r="R183" s="318"/>
      <c r="S183" s="318"/>
      <c r="T183" s="318"/>
      <c r="U183" s="318"/>
      <c r="V183" s="318"/>
      <c r="W183" s="318"/>
      <c r="X183" s="318"/>
      <c r="Y183" s="318"/>
      <c r="Z183" s="318"/>
    </row>
    <row r="184" ht="15.75" customHeight="1">
      <c r="A184" s="318"/>
      <c r="B184" s="318"/>
      <c r="C184" s="318"/>
      <c r="D184" s="318"/>
      <c r="E184" s="318"/>
      <c r="F184" s="318"/>
      <c r="G184" s="318"/>
      <c r="H184" s="318"/>
      <c r="I184" s="318"/>
      <c r="J184" s="318"/>
      <c r="K184" s="318"/>
      <c r="L184" s="318"/>
      <c r="M184" s="318"/>
      <c r="N184" s="318"/>
      <c r="O184" s="318"/>
      <c r="P184" s="318"/>
      <c r="Q184" s="318"/>
      <c r="R184" s="318"/>
      <c r="S184" s="318"/>
      <c r="T184" s="318"/>
      <c r="U184" s="318"/>
      <c r="V184" s="318"/>
      <c r="W184" s="318"/>
      <c r="X184" s="318"/>
      <c r="Y184" s="318"/>
      <c r="Z184" s="318"/>
    </row>
    <row r="185" ht="15.75" customHeight="1">
      <c r="A185" s="318"/>
      <c r="B185" s="318"/>
      <c r="C185" s="318"/>
      <c r="D185" s="318"/>
      <c r="E185" s="318"/>
      <c r="F185" s="318"/>
      <c r="G185" s="318"/>
      <c r="H185" s="318"/>
      <c r="I185" s="318"/>
      <c r="J185" s="318"/>
      <c r="K185" s="318"/>
      <c r="L185" s="318"/>
      <c r="M185" s="318"/>
      <c r="N185" s="318"/>
      <c r="O185" s="318"/>
      <c r="P185" s="318"/>
      <c r="Q185" s="318"/>
      <c r="R185" s="318"/>
      <c r="S185" s="318"/>
      <c r="T185" s="318"/>
      <c r="U185" s="318"/>
      <c r="V185" s="318"/>
      <c r="W185" s="318"/>
      <c r="X185" s="318"/>
      <c r="Y185" s="318"/>
      <c r="Z185" s="318"/>
    </row>
    <row r="186" ht="15.75" customHeight="1">
      <c r="A186" s="318"/>
      <c r="B186" s="318"/>
      <c r="C186" s="318"/>
      <c r="D186" s="318"/>
      <c r="E186" s="318"/>
      <c r="F186" s="318"/>
      <c r="G186" s="318"/>
      <c r="H186" s="318"/>
      <c r="I186" s="318"/>
      <c r="J186" s="318"/>
      <c r="K186" s="318"/>
      <c r="L186" s="318"/>
      <c r="M186" s="318"/>
      <c r="N186" s="318"/>
      <c r="O186" s="318"/>
      <c r="P186" s="318"/>
      <c r="Q186" s="318"/>
      <c r="R186" s="318"/>
      <c r="S186" s="318"/>
      <c r="T186" s="318"/>
      <c r="U186" s="318"/>
      <c r="V186" s="318"/>
      <c r="W186" s="318"/>
      <c r="X186" s="318"/>
      <c r="Y186" s="318"/>
      <c r="Z186" s="318"/>
    </row>
    <row r="187" ht="15.75" customHeight="1">
      <c r="A187" s="318"/>
      <c r="B187" s="318"/>
      <c r="C187" s="318"/>
      <c r="D187" s="318"/>
      <c r="E187" s="318"/>
      <c r="F187" s="318"/>
      <c r="G187" s="318"/>
      <c r="H187" s="318"/>
      <c r="I187" s="318"/>
      <c r="J187" s="318"/>
      <c r="K187" s="318"/>
      <c r="L187" s="318"/>
      <c r="M187" s="318"/>
      <c r="N187" s="318"/>
      <c r="O187" s="318"/>
      <c r="P187" s="318"/>
      <c r="Q187" s="318"/>
      <c r="R187" s="318"/>
      <c r="S187" s="318"/>
      <c r="T187" s="318"/>
      <c r="U187" s="318"/>
      <c r="V187" s="318"/>
      <c r="W187" s="318"/>
      <c r="X187" s="318"/>
      <c r="Y187" s="318"/>
      <c r="Z187" s="318"/>
    </row>
    <row r="188" ht="15.75" customHeight="1">
      <c r="A188" s="318"/>
      <c r="B188" s="318"/>
      <c r="C188" s="318"/>
      <c r="D188" s="318"/>
      <c r="E188" s="318"/>
      <c r="F188" s="318"/>
      <c r="G188" s="318"/>
      <c r="H188" s="318"/>
      <c r="I188" s="318"/>
      <c r="J188" s="318"/>
      <c r="K188" s="318"/>
      <c r="L188" s="318"/>
      <c r="M188" s="318"/>
      <c r="N188" s="318"/>
      <c r="O188" s="318"/>
      <c r="P188" s="318"/>
      <c r="Q188" s="318"/>
      <c r="R188" s="318"/>
      <c r="S188" s="318"/>
      <c r="T188" s="318"/>
      <c r="U188" s="318"/>
      <c r="V188" s="318"/>
      <c r="W188" s="318"/>
      <c r="X188" s="318"/>
      <c r="Y188" s="318"/>
      <c r="Z188" s="318"/>
    </row>
    <row r="189" ht="15.75" customHeight="1">
      <c r="A189" s="318"/>
      <c r="B189" s="318"/>
      <c r="C189" s="318"/>
      <c r="D189" s="318"/>
      <c r="E189" s="318"/>
      <c r="F189" s="318"/>
      <c r="G189" s="318"/>
      <c r="H189" s="318"/>
      <c r="I189" s="318"/>
      <c r="J189" s="318"/>
      <c r="K189" s="318"/>
      <c r="L189" s="318"/>
      <c r="M189" s="318"/>
      <c r="N189" s="318"/>
      <c r="O189" s="318"/>
      <c r="P189" s="318"/>
      <c r="Q189" s="318"/>
      <c r="R189" s="318"/>
      <c r="S189" s="318"/>
      <c r="T189" s="318"/>
      <c r="U189" s="318"/>
      <c r="V189" s="318"/>
      <c r="W189" s="318"/>
      <c r="X189" s="318"/>
      <c r="Y189" s="318"/>
      <c r="Z189" s="318"/>
    </row>
    <row r="190" ht="15.75" customHeight="1">
      <c r="A190" s="318"/>
      <c r="B190" s="318"/>
      <c r="C190" s="318"/>
      <c r="D190" s="318"/>
      <c r="E190" s="318"/>
      <c r="F190" s="318"/>
      <c r="G190" s="318"/>
      <c r="H190" s="318"/>
      <c r="I190" s="318"/>
      <c r="J190" s="318"/>
      <c r="K190" s="318"/>
      <c r="L190" s="318"/>
      <c r="M190" s="318"/>
      <c r="N190" s="318"/>
      <c r="O190" s="318"/>
      <c r="P190" s="318"/>
      <c r="Q190" s="318"/>
      <c r="R190" s="318"/>
      <c r="S190" s="318"/>
      <c r="T190" s="318"/>
      <c r="U190" s="318"/>
      <c r="V190" s="318"/>
      <c r="W190" s="318"/>
      <c r="X190" s="318"/>
      <c r="Y190" s="318"/>
      <c r="Z190" s="318"/>
    </row>
    <row r="191" ht="15.75" customHeight="1">
      <c r="A191" s="318"/>
      <c r="B191" s="318"/>
      <c r="C191" s="318"/>
      <c r="D191" s="318"/>
      <c r="E191" s="318"/>
      <c r="F191" s="318"/>
      <c r="G191" s="318"/>
      <c r="H191" s="318"/>
      <c r="I191" s="318"/>
      <c r="J191" s="318"/>
      <c r="K191" s="318"/>
      <c r="L191" s="318"/>
      <c r="M191" s="318"/>
      <c r="N191" s="318"/>
      <c r="O191" s="318"/>
      <c r="P191" s="318"/>
      <c r="Q191" s="318"/>
      <c r="R191" s="318"/>
      <c r="S191" s="318"/>
      <c r="T191" s="318"/>
      <c r="U191" s="318"/>
      <c r="V191" s="318"/>
      <c r="W191" s="318"/>
      <c r="X191" s="318"/>
      <c r="Y191" s="318"/>
      <c r="Z191" s="318"/>
    </row>
    <row r="192" ht="15.75" customHeight="1">
      <c r="A192" s="318"/>
      <c r="B192" s="318"/>
      <c r="C192" s="318"/>
      <c r="D192" s="318"/>
      <c r="E192" s="318"/>
      <c r="F192" s="318"/>
      <c r="G192" s="318"/>
      <c r="H192" s="318"/>
      <c r="I192" s="318"/>
      <c r="J192" s="318"/>
      <c r="K192" s="318"/>
      <c r="L192" s="318"/>
      <c r="M192" s="318"/>
      <c r="N192" s="318"/>
      <c r="O192" s="318"/>
      <c r="P192" s="318"/>
      <c r="Q192" s="318"/>
      <c r="R192" s="318"/>
      <c r="S192" s="318"/>
      <c r="T192" s="318"/>
      <c r="U192" s="318"/>
      <c r="V192" s="318"/>
      <c r="W192" s="318"/>
      <c r="X192" s="318"/>
      <c r="Y192" s="318"/>
      <c r="Z192" s="318"/>
    </row>
    <row r="193" ht="15.75" customHeight="1">
      <c r="A193" s="318"/>
      <c r="B193" s="318"/>
      <c r="C193" s="318"/>
      <c r="D193" s="318"/>
      <c r="E193" s="318"/>
      <c r="F193" s="318"/>
      <c r="G193" s="318"/>
      <c r="H193" s="318"/>
      <c r="I193" s="318"/>
      <c r="J193" s="318"/>
      <c r="K193" s="318"/>
      <c r="L193" s="318"/>
      <c r="M193" s="318"/>
      <c r="N193" s="318"/>
      <c r="O193" s="318"/>
      <c r="P193" s="318"/>
      <c r="Q193" s="318"/>
      <c r="R193" s="318"/>
      <c r="S193" s="318"/>
      <c r="T193" s="318"/>
      <c r="U193" s="318"/>
      <c r="V193" s="318"/>
      <c r="W193" s="318"/>
      <c r="X193" s="318"/>
      <c r="Y193" s="318"/>
      <c r="Z193" s="318"/>
    </row>
    <row r="194" ht="15.75" customHeight="1">
      <c r="A194" s="318"/>
      <c r="B194" s="318"/>
      <c r="C194" s="318"/>
      <c r="D194" s="318"/>
      <c r="E194" s="318"/>
      <c r="F194" s="318"/>
      <c r="G194" s="318"/>
      <c r="H194" s="318"/>
      <c r="I194" s="318"/>
      <c r="J194" s="318"/>
      <c r="K194" s="318"/>
      <c r="L194" s="318"/>
      <c r="M194" s="318"/>
      <c r="N194" s="318"/>
      <c r="O194" s="318"/>
      <c r="P194" s="318"/>
      <c r="Q194" s="318"/>
      <c r="R194" s="318"/>
      <c r="S194" s="318"/>
      <c r="T194" s="318"/>
      <c r="U194" s="318"/>
      <c r="V194" s="318"/>
      <c r="W194" s="318"/>
      <c r="X194" s="318"/>
      <c r="Y194" s="318"/>
      <c r="Z194" s="318"/>
    </row>
    <row r="195" ht="15.75" customHeight="1">
      <c r="A195" s="318"/>
      <c r="B195" s="318"/>
      <c r="C195" s="318"/>
      <c r="D195" s="318"/>
      <c r="E195" s="318"/>
      <c r="F195" s="318"/>
      <c r="G195" s="318"/>
      <c r="H195" s="318"/>
      <c r="I195" s="318"/>
      <c r="J195" s="318"/>
      <c r="K195" s="318"/>
      <c r="L195" s="318"/>
      <c r="M195" s="318"/>
      <c r="N195" s="318"/>
      <c r="O195" s="318"/>
      <c r="P195" s="318"/>
      <c r="Q195" s="318"/>
      <c r="R195" s="318"/>
      <c r="S195" s="318"/>
      <c r="T195" s="318"/>
      <c r="U195" s="318"/>
      <c r="V195" s="318"/>
      <c r="W195" s="318"/>
      <c r="X195" s="318"/>
      <c r="Y195" s="318"/>
      <c r="Z195" s="318"/>
    </row>
    <row r="196" ht="15.75" customHeight="1">
      <c r="A196" s="318"/>
      <c r="B196" s="318"/>
      <c r="C196" s="318"/>
      <c r="D196" s="318"/>
      <c r="E196" s="318"/>
      <c r="F196" s="318"/>
      <c r="G196" s="318"/>
      <c r="H196" s="318"/>
      <c r="I196" s="318"/>
      <c r="J196" s="318"/>
      <c r="K196" s="318"/>
      <c r="L196" s="318"/>
      <c r="M196" s="318"/>
      <c r="N196" s="318"/>
      <c r="O196" s="318"/>
      <c r="P196" s="318"/>
      <c r="Q196" s="318"/>
      <c r="R196" s="318"/>
      <c r="S196" s="318"/>
      <c r="T196" s="318"/>
      <c r="U196" s="318"/>
      <c r="V196" s="318"/>
      <c r="W196" s="318"/>
      <c r="X196" s="318"/>
      <c r="Y196" s="318"/>
      <c r="Z196" s="318"/>
    </row>
    <row r="197" ht="15.75" customHeight="1">
      <c r="A197" s="318"/>
      <c r="B197" s="318"/>
      <c r="C197" s="318"/>
      <c r="D197" s="318"/>
      <c r="E197" s="318"/>
      <c r="F197" s="318"/>
      <c r="G197" s="318"/>
      <c r="H197" s="318"/>
      <c r="I197" s="318"/>
      <c r="J197" s="318"/>
      <c r="K197" s="318"/>
      <c r="L197" s="318"/>
      <c r="M197" s="318"/>
      <c r="N197" s="318"/>
      <c r="O197" s="318"/>
      <c r="P197" s="318"/>
      <c r="Q197" s="318"/>
      <c r="R197" s="318"/>
      <c r="S197" s="318"/>
      <c r="T197" s="318"/>
      <c r="U197" s="318"/>
      <c r="V197" s="318"/>
      <c r="W197" s="318"/>
      <c r="X197" s="318"/>
      <c r="Y197" s="318"/>
      <c r="Z197" s="318"/>
    </row>
    <row r="198" ht="15.75" customHeight="1">
      <c r="A198" s="318"/>
      <c r="B198" s="318"/>
      <c r="C198" s="318"/>
      <c r="D198" s="318"/>
      <c r="E198" s="318"/>
      <c r="F198" s="318"/>
      <c r="G198" s="318"/>
      <c r="H198" s="318"/>
      <c r="I198" s="318"/>
      <c r="J198" s="318"/>
      <c r="K198" s="318"/>
      <c r="L198" s="318"/>
      <c r="M198" s="318"/>
      <c r="N198" s="318"/>
      <c r="O198" s="318"/>
      <c r="P198" s="318"/>
      <c r="Q198" s="318"/>
      <c r="R198" s="318"/>
      <c r="S198" s="318"/>
      <c r="T198" s="318"/>
      <c r="U198" s="318"/>
      <c r="V198" s="318"/>
      <c r="W198" s="318"/>
      <c r="X198" s="318"/>
      <c r="Y198" s="318"/>
      <c r="Z198" s="318"/>
    </row>
    <row r="199" ht="15.75" customHeight="1">
      <c r="A199" s="318"/>
      <c r="B199" s="318"/>
      <c r="C199" s="318"/>
      <c r="D199" s="318"/>
      <c r="E199" s="318"/>
      <c r="F199" s="318"/>
      <c r="G199" s="318"/>
      <c r="H199" s="318"/>
      <c r="I199" s="318"/>
      <c r="J199" s="318"/>
      <c r="K199" s="318"/>
      <c r="L199" s="318"/>
      <c r="M199" s="318"/>
      <c r="N199" s="318"/>
      <c r="O199" s="318"/>
      <c r="P199" s="318"/>
      <c r="Q199" s="318"/>
      <c r="R199" s="318"/>
      <c r="S199" s="318"/>
      <c r="T199" s="318"/>
      <c r="U199" s="318"/>
      <c r="V199" s="318"/>
      <c r="W199" s="318"/>
      <c r="X199" s="318"/>
      <c r="Y199" s="318"/>
      <c r="Z199" s="318"/>
    </row>
    <row r="200" ht="15.75" customHeight="1">
      <c r="A200" s="318"/>
      <c r="B200" s="318"/>
      <c r="C200" s="318"/>
      <c r="D200" s="318"/>
      <c r="E200" s="318"/>
      <c r="F200" s="318"/>
      <c r="G200" s="318"/>
      <c r="H200" s="318"/>
      <c r="I200" s="318"/>
      <c r="J200" s="318"/>
      <c r="K200" s="318"/>
      <c r="L200" s="318"/>
      <c r="M200" s="318"/>
      <c r="N200" s="318"/>
      <c r="O200" s="318"/>
      <c r="P200" s="318"/>
      <c r="Q200" s="318"/>
      <c r="R200" s="318"/>
      <c r="S200" s="318"/>
      <c r="T200" s="318"/>
      <c r="U200" s="318"/>
      <c r="V200" s="318"/>
      <c r="W200" s="318"/>
      <c r="X200" s="318"/>
      <c r="Y200" s="318"/>
      <c r="Z200" s="318"/>
    </row>
    <row r="201" ht="15.75" customHeight="1">
      <c r="A201" s="318"/>
      <c r="B201" s="318"/>
      <c r="C201" s="318"/>
      <c r="D201" s="318"/>
      <c r="E201" s="318"/>
      <c r="F201" s="318"/>
      <c r="G201" s="318"/>
      <c r="H201" s="318"/>
      <c r="I201" s="318"/>
      <c r="J201" s="318"/>
      <c r="K201" s="318"/>
      <c r="L201" s="318"/>
      <c r="M201" s="318"/>
      <c r="N201" s="318"/>
      <c r="O201" s="318"/>
      <c r="P201" s="318"/>
      <c r="Q201" s="318"/>
      <c r="R201" s="318"/>
      <c r="S201" s="318"/>
      <c r="T201" s="318"/>
      <c r="U201" s="318"/>
      <c r="V201" s="318"/>
      <c r="W201" s="318"/>
      <c r="X201" s="318"/>
      <c r="Y201" s="318"/>
      <c r="Z201" s="318"/>
    </row>
    <row r="202" ht="15.75" customHeight="1">
      <c r="A202" s="318"/>
      <c r="B202" s="318"/>
      <c r="C202" s="318"/>
      <c r="D202" s="318"/>
      <c r="E202" s="318"/>
      <c r="F202" s="318"/>
      <c r="G202" s="318"/>
      <c r="H202" s="318"/>
      <c r="I202" s="318"/>
      <c r="J202" s="318"/>
      <c r="K202" s="318"/>
      <c r="L202" s="318"/>
      <c r="M202" s="318"/>
      <c r="N202" s="318"/>
      <c r="O202" s="318"/>
      <c r="P202" s="318"/>
      <c r="Q202" s="318"/>
      <c r="R202" s="318"/>
      <c r="S202" s="318"/>
      <c r="T202" s="318"/>
      <c r="U202" s="318"/>
      <c r="V202" s="318"/>
      <c r="W202" s="318"/>
      <c r="X202" s="318"/>
      <c r="Y202" s="318"/>
      <c r="Z202" s="318"/>
    </row>
    <row r="203" ht="15.75" customHeight="1">
      <c r="A203" s="318"/>
      <c r="B203" s="318"/>
      <c r="C203" s="318"/>
      <c r="D203" s="318"/>
      <c r="E203" s="318"/>
      <c r="F203" s="318"/>
      <c r="G203" s="318"/>
      <c r="H203" s="318"/>
      <c r="I203" s="318"/>
      <c r="J203" s="318"/>
      <c r="K203" s="318"/>
      <c r="L203" s="318"/>
      <c r="M203" s="318"/>
      <c r="N203" s="318"/>
      <c r="O203" s="318"/>
      <c r="P203" s="318"/>
      <c r="Q203" s="318"/>
      <c r="R203" s="318"/>
      <c r="S203" s="318"/>
      <c r="T203" s="318"/>
      <c r="U203" s="318"/>
      <c r="V203" s="318"/>
      <c r="W203" s="318"/>
      <c r="X203" s="318"/>
      <c r="Y203" s="318"/>
      <c r="Z203" s="318"/>
    </row>
    <row r="204" ht="15.75" customHeight="1">
      <c r="A204" s="318"/>
      <c r="B204" s="318"/>
      <c r="C204" s="318"/>
      <c r="D204" s="318"/>
      <c r="E204" s="318"/>
      <c r="F204" s="318"/>
      <c r="G204" s="318"/>
      <c r="H204" s="318"/>
      <c r="I204" s="318"/>
      <c r="J204" s="318"/>
      <c r="K204" s="318"/>
      <c r="L204" s="318"/>
      <c r="M204" s="318"/>
      <c r="N204" s="318"/>
      <c r="O204" s="318"/>
      <c r="P204" s="318"/>
      <c r="Q204" s="318"/>
      <c r="R204" s="318"/>
      <c r="S204" s="318"/>
      <c r="T204" s="318"/>
      <c r="U204" s="318"/>
      <c r="V204" s="318"/>
      <c r="W204" s="318"/>
      <c r="X204" s="318"/>
      <c r="Y204" s="318"/>
      <c r="Z204" s="318"/>
    </row>
    <row r="205" ht="15.75" customHeight="1">
      <c r="A205" s="318"/>
      <c r="B205" s="318"/>
      <c r="C205" s="318"/>
      <c r="D205" s="318"/>
      <c r="E205" s="318"/>
      <c r="F205" s="318"/>
      <c r="G205" s="318"/>
      <c r="H205" s="318"/>
      <c r="I205" s="318"/>
      <c r="J205" s="318"/>
      <c r="K205" s="318"/>
      <c r="L205" s="318"/>
      <c r="M205" s="318"/>
      <c r="N205" s="318"/>
      <c r="O205" s="318"/>
      <c r="P205" s="318"/>
      <c r="Q205" s="318"/>
      <c r="R205" s="318"/>
      <c r="S205" s="318"/>
      <c r="T205" s="318"/>
      <c r="U205" s="318"/>
      <c r="V205" s="318"/>
      <c r="W205" s="318"/>
      <c r="X205" s="318"/>
      <c r="Y205" s="318"/>
      <c r="Z205" s="318"/>
    </row>
    <row r="206" ht="15.75" customHeight="1">
      <c r="A206" s="318"/>
      <c r="B206" s="318"/>
      <c r="C206" s="318"/>
      <c r="D206" s="318"/>
      <c r="E206" s="318"/>
      <c r="F206" s="318"/>
      <c r="G206" s="318"/>
      <c r="H206" s="318"/>
      <c r="I206" s="318"/>
      <c r="J206" s="318"/>
      <c r="K206" s="318"/>
      <c r="L206" s="318"/>
      <c r="M206" s="318"/>
      <c r="N206" s="318"/>
      <c r="O206" s="318"/>
      <c r="P206" s="318"/>
      <c r="Q206" s="318"/>
      <c r="R206" s="318"/>
      <c r="S206" s="318"/>
      <c r="T206" s="318"/>
      <c r="U206" s="318"/>
      <c r="V206" s="318"/>
      <c r="W206" s="318"/>
      <c r="X206" s="318"/>
      <c r="Y206" s="318"/>
      <c r="Z206" s="318"/>
    </row>
    <row r="207" ht="15.75" customHeight="1">
      <c r="A207" s="318"/>
      <c r="B207" s="318"/>
      <c r="C207" s="318"/>
      <c r="D207" s="318"/>
      <c r="E207" s="318"/>
      <c r="F207" s="318"/>
      <c r="G207" s="318"/>
      <c r="H207" s="318"/>
      <c r="I207" s="318"/>
      <c r="J207" s="318"/>
      <c r="K207" s="318"/>
      <c r="L207" s="318"/>
      <c r="M207" s="318"/>
      <c r="N207" s="318"/>
      <c r="O207" s="318"/>
      <c r="P207" s="318"/>
      <c r="Q207" s="318"/>
      <c r="R207" s="318"/>
      <c r="S207" s="318"/>
      <c r="T207" s="318"/>
      <c r="U207" s="318"/>
      <c r="V207" s="318"/>
      <c r="W207" s="318"/>
      <c r="X207" s="318"/>
      <c r="Y207" s="318"/>
      <c r="Z207" s="318"/>
    </row>
    <row r="208" ht="15.75" customHeight="1">
      <c r="A208" s="318"/>
      <c r="B208" s="318"/>
      <c r="C208" s="318"/>
      <c r="D208" s="318"/>
      <c r="E208" s="318"/>
      <c r="F208" s="318"/>
      <c r="G208" s="318"/>
      <c r="H208" s="318"/>
      <c r="I208" s="318"/>
      <c r="J208" s="318"/>
      <c r="K208" s="318"/>
      <c r="L208" s="318"/>
      <c r="M208" s="318"/>
      <c r="N208" s="318"/>
      <c r="O208" s="318"/>
      <c r="P208" s="318"/>
      <c r="Q208" s="318"/>
      <c r="R208" s="318"/>
      <c r="S208" s="318"/>
      <c r="T208" s="318"/>
      <c r="U208" s="318"/>
      <c r="V208" s="318"/>
      <c r="W208" s="318"/>
      <c r="X208" s="318"/>
      <c r="Y208" s="318"/>
      <c r="Z208" s="318"/>
    </row>
    <row r="209" ht="15.75" customHeight="1">
      <c r="A209" s="318"/>
      <c r="B209" s="318"/>
      <c r="C209" s="318"/>
      <c r="D209" s="318"/>
      <c r="E209" s="318"/>
      <c r="F209" s="318"/>
      <c r="G209" s="318"/>
      <c r="H209" s="318"/>
      <c r="I209" s="318"/>
      <c r="J209" s="318"/>
      <c r="K209" s="318"/>
      <c r="L209" s="318"/>
      <c r="M209" s="318"/>
      <c r="N209" s="318"/>
      <c r="O209" s="318"/>
      <c r="P209" s="318"/>
      <c r="Q209" s="318"/>
      <c r="R209" s="318"/>
      <c r="S209" s="318"/>
      <c r="T209" s="318"/>
      <c r="U209" s="318"/>
      <c r="V209" s="318"/>
      <c r="W209" s="318"/>
      <c r="X209" s="318"/>
      <c r="Y209" s="318"/>
      <c r="Z209" s="318"/>
    </row>
    <row r="210" ht="15.75" customHeight="1">
      <c r="A210" s="318"/>
      <c r="B210" s="318"/>
      <c r="C210" s="318"/>
      <c r="D210" s="318"/>
      <c r="E210" s="318"/>
      <c r="F210" s="318"/>
      <c r="G210" s="318"/>
      <c r="H210" s="318"/>
      <c r="I210" s="318"/>
      <c r="J210" s="318"/>
      <c r="K210" s="318"/>
      <c r="L210" s="318"/>
      <c r="M210" s="318"/>
      <c r="N210" s="318"/>
      <c r="O210" s="318"/>
      <c r="P210" s="318"/>
      <c r="Q210" s="318"/>
      <c r="R210" s="318"/>
      <c r="S210" s="318"/>
      <c r="T210" s="318"/>
      <c r="U210" s="318"/>
      <c r="V210" s="318"/>
      <c r="W210" s="318"/>
      <c r="X210" s="318"/>
      <c r="Y210" s="318"/>
      <c r="Z210" s="318"/>
    </row>
    <row r="211" ht="15.75" customHeight="1">
      <c r="A211" s="318"/>
      <c r="B211" s="318"/>
      <c r="C211" s="318"/>
      <c r="D211" s="318"/>
      <c r="E211" s="318"/>
      <c r="F211" s="318"/>
      <c r="G211" s="318"/>
      <c r="H211" s="318"/>
      <c r="I211" s="318"/>
      <c r="J211" s="318"/>
      <c r="K211" s="318"/>
      <c r="L211" s="318"/>
      <c r="M211" s="318"/>
      <c r="N211" s="318"/>
      <c r="O211" s="318"/>
      <c r="P211" s="318"/>
      <c r="Q211" s="318"/>
      <c r="R211" s="318"/>
      <c r="S211" s="318"/>
      <c r="T211" s="318"/>
      <c r="U211" s="318"/>
      <c r="V211" s="318"/>
      <c r="W211" s="318"/>
      <c r="X211" s="318"/>
      <c r="Y211" s="318"/>
      <c r="Z211" s="318"/>
    </row>
    <row r="212" ht="15.75" customHeight="1">
      <c r="A212" s="318"/>
      <c r="B212" s="318"/>
      <c r="C212" s="318"/>
      <c r="D212" s="318"/>
      <c r="E212" s="318"/>
      <c r="F212" s="318"/>
      <c r="G212" s="318"/>
      <c r="H212" s="318"/>
      <c r="I212" s="318"/>
      <c r="J212" s="318"/>
      <c r="K212" s="318"/>
      <c r="L212" s="318"/>
      <c r="M212" s="318"/>
      <c r="N212" s="318"/>
      <c r="O212" s="318"/>
      <c r="P212" s="318"/>
      <c r="Q212" s="318"/>
      <c r="R212" s="318"/>
      <c r="S212" s="318"/>
      <c r="T212" s="318"/>
      <c r="U212" s="318"/>
      <c r="V212" s="318"/>
      <c r="W212" s="318"/>
      <c r="X212" s="318"/>
      <c r="Y212" s="318"/>
      <c r="Z212" s="318"/>
    </row>
    <row r="213" ht="15.75" customHeight="1">
      <c r="A213" s="318"/>
      <c r="B213" s="318"/>
      <c r="C213" s="318"/>
      <c r="D213" s="318"/>
      <c r="E213" s="318"/>
      <c r="F213" s="318"/>
      <c r="G213" s="318"/>
      <c r="H213" s="318"/>
      <c r="I213" s="318"/>
      <c r="J213" s="318"/>
      <c r="K213" s="318"/>
      <c r="L213" s="318"/>
      <c r="M213" s="318"/>
      <c r="N213" s="318"/>
      <c r="O213" s="318"/>
      <c r="P213" s="318"/>
      <c r="Q213" s="318"/>
      <c r="R213" s="318"/>
      <c r="S213" s="318"/>
      <c r="T213" s="318"/>
      <c r="U213" s="318"/>
      <c r="V213" s="318"/>
      <c r="W213" s="318"/>
      <c r="X213" s="318"/>
      <c r="Y213" s="318"/>
      <c r="Z213" s="318"/>
    </row>
    <row r="214" ht="15.75" customHeight="1">
      <c r="A214" s="318"/>
      <c r="B214" s="318"/>
      <c r="C214" s="318"/>
      <c r="D214" s="318"/>
      <c r="E214" s="318"/>
      <c r="F214" s="318"/>
      <c r="G214" s="318"/>
      <c r="H214" s="318"/>
      <c r="I214" s="318"/>
      <c r="J214" s="318"/>
      <c r="K214" s="318"/>
      <c r="L214" s="318"/>
      <c r="M214" s="318"/>
      <c r="N214" s="318"/>
      <c r="O214" s="318"/>
      <c r="P214" s="318"/>
      <c r="Q214" s="318"/>
      <c r="R214" s="318"/>
      <c r="S214" s="318"/>
      <c r="T214" s="318"/>
      <c r="U214" s="318"/>
      <c r="V214" s="318"/>
      <c r="W214" s="318"/>
      <c r="X214" s="318"/>
      <c r="Y214" s="318"/>
      <c r="Z214" s="318"/>
    </row>
    <row r="215" ht="15.75" customHeight="1">
      <c r="A215" s="318"/>
      <c r="B215" s="318"/>
      <c r="C215" s="318"/>
      <c r="D215" s="318"/>
      <c r="E215" s="318"/>
      <c r="F215" s="318"/>
      <c r="G215" s="318"/>
      <c r="H215" s="318"/>
      <c r="I215" s="318"/>
      <c r="J215" s="318"/>
      <c r="K215" s="318"/>
      <c r="L215" s="318"/>
      <c r="M215" s="318"/>
      <c r="N215" s="318"/>
      <c r="O215" s="318"/>
      <c r="P215" s="318"/>
      <c r="Q215" s="318"/>
      <c r="R215" s="318"/>
      <c r="S215" s="318"/>
      <c r="T215" s="318"/>
      <c r="U215" s="318"/>
      <c r="V215" s="318"/>
      <c r="W215" s="318"/>
      <c r="X215" s="318"/>
      <c r="Y215" s="318"/>
      <c r="Z215" s="318"/>
    </row>
    <row r="216" ht="15.75" customHeight="1">
      <c r="A216" s="318"/>
      <c r="B216" s="318"/>
      <c r="C216" s="318"/>
      <c r="D216" s="318"/>
      <c r="E216" s="318"/>
      <c r="F216" s="318"/>
      <c r="G216" s="318"/>
      <c r="H216" s="318"/>
      <c r="I216" s="318"/>
      <c r="J216" s="318"/>
      <c r="K216" s="318"/>
      <c r="L216" s="318"/>
      <c r="M216" s="318"/>
      <c r="N216" s="318"/>
      <c r="O216" s="318"/>
      <c r="P216" s="318"/>
      <c r="Q216" s="318"/>
      <c r="R216" s="318"/>
      <c r="S216" s="318"/>
      <c r="T216" s="318"/>
      <c r="U216" s="318"/>
      <c r="V216" s="318"/>
      <c r="W216" s="318"/>
      <c r="X216" s="318"/>
      <c r="Y216" s="318"/>
      <c r="Z216" s="318"/>
    </row>
    <row r="217" ht="15.75" customHeight="1">
      <c r="A217" s="318"/>
      <c r="B217" s="318"/>
      <c r="C217" s="318"/>
      <c r="D217" s="318"/>
      <c r="E217" s="318"/>
      <c r="F217" s="318"/>
      <c r="G217" s="318"/>
      <c r="H217" s="318"/>
      <c r="I217" s="318"/>
      <c r="J217" s="318"/>
      <c r="K217" s="318"/>
      <c r="L217" s="318"/>
      <c r="M217" s="318"/>
      <c r="N217" s="318"/>
      <c r="O217" s="318"/>
      <c r="P217" s="318"/>
      <c r="Q217" s="318"/>
      <c r="R217" s="318"/>
      <c r="S217" s="318"/>
      <c r="T217" s="318"/>
      <c r="U217" s="318"/>
      <c r="V217" s="318"/>
      <c r="W217" s="318"/>
      <c r="X217" s="318"/>
      <c r="Y217" s="318"/>
      <c r="Z217" s="318"/>
    </row>
    <row r="218" ht="15.75" customHeight="1">
      <c r="A218" s="318"/>
      <c r="B218" s="318"/>
      <c r="C218" s="318"/>
      <c r="D218" s="318"/>
      <c r="E218" s="318"/>
      <c r="F218" s="318"/>
      <c r="G218" s="318"/>
      <c r="H218" s="318"/>
      <c r="I218" s="318"/>
      <c r="J218" s="318"/>
      <c r="K218" s="318"/>
      <c r="L218" s="318"/>
      <c r="M218" s="318"/>
      <c r="N218" s="318"/>
      <c r="O218" s="318"/>
      <c r="P218" s="318"/>
      <c r="Q218" s="318"/>
      <c r="R218" s="318"/>
      <c r="S218" s="318"/>
      <c r="T218" s="318"/>
      <c r="U218" s="318"/>
      <c r="V218" s="318"/>
      <c r="W218" s="318"/>
      <c r="X218" s="318"/>
      <c r="Y218" s="318"/>
      <c r="Z218" s="318"/>
    </row>
    <row r="219" ht="15.75" customHeight="1">
      <c r="A219" s="318"/>
      <c r="B219" s="318"/>
      <c r="C219" s="318"/>
      <c r="D219" s="318"/>
      <c r="E219" s="318"/>
      <c r="F219" s="318"/>
      <c r="G219" s="318"/>
      <c r="H219" s="318"/>
      <c r="I219" s="318"/>
      <c r="J219" s="318"/>
      <c r="K219" s="318"/>
      <c r="L219" s="318"/>
      <c r="M219" s="318"/>
      <c r="N219" s="318"/>
      <c r="O219" s="318"/>
      <c r="P219" s="318"/>
      <c r="Q219" s="318"/>
      <c r="R219" s="318"/>
      <c r="S219" s="318"/>
      <c r="T219" s="318"/>
      <c r="U219" s="318"/>
      <c r="V219" s="318"/>
      <c r="W219" s="318"/>
      <c r="X219" s="318"/>
      <c r="Y219" s="318"/>
      <c r="Z219" s="318"/>
    </row>
    <row r="220" ht="15.75" customHeight="1">
      <c r="A220" s="318"/>
      <c r="B220" s="318"/>
      <c r="C220" s="318"/>
      <c r="D220" s="318"/>
      <c r="E220" s="318"/>
      <c r="F220" s="318"/>
      <c r="G220" s="318"/>
      <c r="H220" s="318"/>
      <c r="I220" s="318"/>
      <c r="J220" s="318"/>
      <c r="K220" s="318"/>
      <c r="L220" s="318"/>
      <c r="M220" s="318"/>
      <c r="N220" s="318"/>
      <c r="O220" s="318"/>
      <c r="P220" s="318"/>
      <c r="Q220" s="318"/>
      <c r="R220" s="318"/>
      <c r="S220" s="318"/>
      <c r="T220" s="318"/>
      <c r="U220" s="318"/>
      <c r="V220" s="318"/>
      <c r="W220" s="318"/>
      <c r="X220" s="318"/>
      <c r="Y220" s="318"/>
      <c r="Z220" s="318"/>
    </row>
    <row r="221" ht="15.75" customHeight="1">
      <c r="A221" s="318"/>
      <c r="B221" s="318"/>
      <c r="C221" s="318"/>
      <c r="D221" s="318"/>
      <c r="E221" s="318"/>
      <c r="F221" s="318"/>
      <c r="G221" s="318"/>
      <c r="H221" s="318"/>
      <c r="I221" s="318"/>
      <c r="J221" s="318"/>
      <c r="K221" s="318"/>
      <c r="L221" s="318"/>
      <c r="M221" s="318"/>
      <c r="N221" s="318"/>
      <c r="O221" s="318"/>
      <c r="P221" s="318"/>
      <c r="Q221" s="318"/>
      <c r="R221" s="318"/>
      <c r="S221" s="318"/>
      <c r="T221" s="318"/>
      <c r="U221" s="318"/>
      <c r="V221" s="318"/>
      <c r="W221" s="318"/>
      <c r="X221" s="318"/>
      <c r="Y221" s="318"/>
      <c r="Z221" s="318"/>
    </row>
    <row r="222" ht="15.75" customHeight="1">
      <c r="A222" s="318"/>
      <c r="B222" s="318"/>
      <c r="C222" s="318"/>
      <c r="D222" s="318"/>
      <c r="E222" s="318"/>
      <c r="F222" s="318"/>
      <c r="G222" s="318"/>
      <c r="H222" s="318"/>
      <c r="I222" s="318"/>
      <c r="J222" s="318"/>
      <c r="K222" s="318"/>
      <c r="L222" s="318"/>
      <c r="M222" s="318"/>
      <c r="N222" s="318"/>
      <c r="O222" s="318"/>
      <c r="P222" s="318"/>
      <c r="Q222" s="318"/>
      <c r="R222" s="318"/>
      <c r="S222" s="318"/>
      <c r="T222" s="318"/>
      <c r="U222" s="318"/>
      <c r="V222" s="318"/>
      <c r="W222" s="318"/>
      <c r="X222" s="318"/>
      <c r="Y222" s="318"/>
      <c r="Z222" s="318"/>
    </row>
    <row r="223" ht="15.75" customHeight="1">
      <c r="A223" s="318"/>
      <c r="B223" s="318"/>
      <c r="C223" s="318"/>
      <c r="D223" s="318"/>
      <c r="E223" s="318"/>
      <c r="F223" s="318"/>
      <c r="G223" s="318"/>
      <c r="H223" s="318"/>
      <c r="I223" s="318"/>
      <c r="J223" s="318"/>
      <c r="K223" s="318"/>
      <c r="L223" s="318"/>
      <c r="M223" s="318"/>
      <c r="N223" s="318"/>
      <c r="O223" s="318"/>
      <c r="P223" s="318"/>
      <c r="Q223" s="318"/>
      <c r="R223" s="318"/>
      <c r="S223" s="318"/>
      <c r="T223" s="318"/>
      <c r="U223" s="318"/>
      <c r="V223" s="318"/>
      <c r="W223" s="318"/>
      <c r="X223" s="318"/>
      <c r="Y223" s="318"/>
      <c r="Z223" s="318"/>
    </row>
    <row r="224" ht="15.75" customHeight="1">
      <c r="A224" s="318"/>
      <c r="B224" s="318"/>
      <c r="C224" s="318"/>
      <c r="D224" s="318"/>
      <c r="E224" s="318"/>
      <c r="F224" s="318"/>
      <c r="G224" s="318"/>
      <c r="H224" s="318"/>
      <c r="I224" s="318"/>
      <c r="J224" s="318"/>
      <c r="K224" s="318"/>
      <c r="L224" s="318"/>
      <c r="M224" s="318"/>
      <c r="N224" s="318"/>
      <c r="O224" s="318"/>
      <c r="P224" s="318"/>
      <c r="Q224" s="318"/>
      <c r="R224" s="318"/>
      <c r="S224" s="318"/>
      <c r="T224" s="318"/>
      <c r="U224" s="318"/>
      <c r="V224" s="318"/>
      <c r="W224" s="318"/>
      <c r="X224" s="318"/>
      <c r="Y224" s="318"/>
      <c r="Z224" s="318"/>
    </row>
    <row r="225" ht="15.75" customHeight="1">
      <c r="A225" s="318"/>
      <c r="B225" s="318"/>
      <c r="C225" s="318"/>
      <c r="D225" s="318"/>
      <c r="E225" s="318"/>
      <c r="F225" s="318"/>
      <c r="G225" s="318"/>
      <c r="H225" s="318"/>
      <c r="I225" s="318"/>
      <c r="J225" s="318"/>
      <c r="K225" s="318"/>
      <c r="L225" s="318"/>
      <c r="M225" s="318"/>
      <c r="N225" s="318"/>
      <c r="O225" s="318"/>
      <c r="P225" s="318"/>
      <c r="Q225" s="318"/>
      <c r="R225" s="318"/>
      <c r="S225" s="318"/>
      <c r="T225" s="318"/>
      <c r="U225" s="318"/>
      <c r="V225" s="318"/>
      <c r="W225" s="318"/>
      <c r="X225" s="318"/>
      <c r="Y225" s="318"/>
      <c r="Z225" s="318"/>
    </row>
    <row r="226" ht="15.75" customHeight="1">
      <c r="A226" s="318"/>
      <c r="B226" s="318"/>
      <c r="C226" s="318"/>
      <c r="D226" s="318"/>
      <c r="E226" s="318"/>
      <c r="F226" s="318"/>
      <c r="G226" s="318"/>
      <c r="H226" s="318"/>
      <c r="I226" s="318"/>
      <c r="J226" s="318"/>
      <c r="K226" s="318"/>
      <c r="L226" s="318"/>
      <c r="M226" s="318"/>
      <c r="N226" s="318"/>
      <c r="O226" s="318"/>
      <c r="P226" s="318"/>
      <c r="Q226" s="318"/>
      <c r="R226" s="318"/>
      <c r="S226" s="318"/>
      <c r="T226" s="318"/>
      <c r="U226" s="318"/>
      <c r="V226" s="318"/>
      <c r="W226" s="318"/>
      <c r="X226" s="318"/>
      <c r="Y226" s="318"/>
      <c r="Z226" s="318"/>
    </row>
    <row r="227" ht="15.75" customHeight="1">
      <c r="A227" s="318"/>
      <c r="B227" s="318"/>
      <c r="C227" s="318"/>
      <c r="D227" s="318"/>
      <c r="E227" s="318"/>
      <c r="F227" s="318"/>
      <c r="G227" s="318"/>
      <c r="H227" s="318"/>
      <c r="I227" s="318"/>
      <c r="J227" s="318"/>
      <c r="K227" s="318"/>
      <c r="L227" s="318"/>
      <c r="M227" s="318"/>
      <c r="N227" s="318"/>
      <c r="O227" s="318"/>
      <c r="P227" s="318"/>
      <c r="Q227" s="318"/>
      <c r="R227" s="318"/>
      <c r="S227" s="318"/>
      <c r="T227" s="318"/>
      <c r="U227" s="318"/>
      <c r="V227" s="318"/>
      <c r="W227" s="318"/>
      <c r="X227" s="318"/>
      <c r="Y227" s="318"/>
      <c r="Z227" s="318"/>
    </row>
    <row r="228" ht="15.75" customHeight="1">
      <c r="A228" s="318"/>
      <c r="B228" s="318"/>
      <c r="C228" s="318"/>
      <c r="D228" s="318"/>
      <c r="E228" s="318"/>
      <c r="F228" s="318"/>
      <c r="G228" s="318"/>
      <c r="H228" s="318"/>
      <c r="I228" s="318"/>
      <c r="J228" s="318"/>
      <c r="K228" s="318"/>
      <c r="L228" s="318"/>
      <c r="M228" s="318"/>
      <c r="N228" s="318"/>
      <c r="O228" s="318"/>
      <c r="P228" s="318"/>
      <c r="Q228" s="318"/>
      <c r="R228" s="318"/>
      <c r="S228" s="318"/>
      <c r="T228" s="318"/>
      <c r="U228" s="318"/>
      <c r="V228" s="318"/>
      <c r="W228" s="318"/>
      <c r="X228" s="318"/>
      <c r="Y228" s="318"/>
      <c r="Z228" s="318"/>
    </row>
    <row r="229" ht="15.75" customHeight="1">
      <c r="A229" s="318"/>
      <c r="B229" s="318"/>
      <c r="C229" s="318"/>
      <c r="D229" s="318"/>
      <c r="E229" s="318"/>
      <c r="F229" s="318"/>
      <c r="G229" s="318"/>
      <c r="H229" s="318"/>
      <c r="I229" s="318"/>
      <c r="J229" s="318"/>
      <c r="K229" s="318"/>
      <c r="L229" s="318"/>
      <c r="M229" s="318"/>
      <c r="N229" s="318"/>
      <c r="O229" s="318"/>
      <c r="P229" s="318"/>
      <c r="Q229" s="318"/>
      <c r="R229" s="318"/>
      <c r="S229" s="318"/>
      <c r="T229" s="318"/>
      <c r="U229" s="318"/>
      <c r="V229" s="318"/>
      <c r="W229" s="318"/>
      <c r="X229" s="318"/>
      <c r="Y229" s="318"/>
      <c r="Z229" s="318"/>
    </row>
    <row r="230" ht="15.75" customHeight="1">
      <c r="A230" s="318"/>
      <c r="B230" s="318"/>
      <c r="C230" s="318"/>
      <c r="D230" s="318"/>
      <c r="E230" s="318"/>
      <c r="F230" s="318"/>
      <c r="G230" s="318"/>
      <c r="H230" s="318"/>
      <c r="I230" s="318"/>
      <c r="J230" s="318"/>
      <c r="K230" s="318"/>
      <c r="L230" s="318"/>
      <c r="M230" s="318"/>
      <c r="N230" s="318"/>
      <c r="O230" s="318"/>
      <c r="P230" s="318"/>
      <c r="Q230" s="318"/>
      <c r="R230" s="318"/>
      <c r="S230" s="318"/>
      <c r="T230" s="318"/>
      <c r="U230" s="318"/>
      <c r="V230" s="318"/>
      <c r="W230" s="318"/>
      <c r="X230" s="318"/>
      <c r="Y230" s="318"/>
      <c r="Z230" s="318"/>
    </row>
    <row r="231" ht="15.75" customHeight="1">
      <c r="A231" s="318"/>
      <c r="B231" s="318"/>
      <c r="C231" s="318"/>
      <c r="D231" s="318"/>
      <c r="E231" s="318"/>
      <c r="F231" s="318"/>
      <c r="G231" s="318"/>
      <c r="H231" s="318"/>
      <c r="I231" s="318"/>
      <c r="J231" s="318"/>
      <c r="K231" s="318"/>
      <c r="L231" s="318"/>
      <c r="M231" s="318"/>
      <c r="N231" s="318"/>
      <c r="O231" s="318"/>
      <c r="P231" s="318"/>
      <c r="Q231" s="318"/>
      <c r="R231" s="318"/>
      <c r="S231" s="318"/>
      <c r="T231" s="318"/>
      <c r="U231" s="318"/>
      <c r="V231" s="318"/>
      <c r="W231" s="318"/>
      <c r="X231" s="318"/>
      <c r="Y231" s="318"/>
      <c r="Z231" s="318"/>
    </row>
    <row r="232" ht="15.75" customHeight="1">
      <c r="A232" s="318"/>
      <c r="B232" s="318"/>
      <c r="C232" s="318"/>
      <c r="D232" s="318"/>
      <c r="E232" s="318"/>
      <c r="F232" s="318"/>
      <c r="G232" s="318"/>
      <c r="H232" s="318"/>
      <c r="I232" s="318"/>
      <c r="J232" s="318"/>
      <c r="K232" s="318"/>
      <c r="L232" s="318"/>
      <c r="M232" s="318"/>
      <c r="N232" s="318"/>
      <c r="O232" s="318"/>
      <c r="P232" s="318"/>
      <c r="Q232" s="318"/>
      <c r="R232" s="318"/>
      <c r="S232" s="318"/>
      <c r="T232" s="318"/>
      <c r="U232" s="318"/>
      <c r="V232" s="318"/>
      <c r="W232" s="318"/>
      <c r="X232" s="318"/>
      <c r="Y232" s="318"/>
      <c r="Z232" s="318"/>
    </row>
    <row r="233" ht="15.75" customHeight="1">
      <c r="A233" s="318"/>
      <c r="B233" s="318"/>
      <c r="C233" s="318"/>
      <c r="D233" s="318"/>
      <c r="E233" s="318"/>
      <c r="F233" s="318"/>
      <c r="G233" s="318"/>
      <c r="H233" s="318"/>
      <c r="I233" s="318"/>
      <c r="J233" s="318"/>
      <c r="K233" s="318"/>
      <c r="L233" s="318"/>
      <c r="M233" s="318"/>
      <c r="N233" s="318"/>
      <c r="O233" s="318"/>
      <c r="P233" s="318"/>
      <c r="Q233" s="318"/>
      <c r="R233" s="318"/>
      <c r="S233" s="318"/>
      <c r="T233" s="318"/>
      <c r="U233" s="318"/>
      <c r="V233" s="318"/>
      <c r="W233" s="318"/>
      <c r="X233" s="318"/>
      <c r="Y233" s="318"/>
      <c r="Z233" s="318"/>
    </row>
    <row r="234" ht="15.75" customHeight="1">
      <c r="A234" s="318"/>
      <c r="B234" s="318"/>
      <c r="C234" s="318"/>
      <c r="D234" s="318"/>
      <c r="E234" s="318"/>
      <c r="F234" s="318"/>
      <c r="G234" s="318"/>
      <c r="H234" s="318"/>
      <c r="I234" s="318"/>
      <c r="J234" s="318"/>
      <c r="K234" s="318"/>
      <c r="L234" s="318"/>
      <c r="M234" s="318"/>
      <c r="N234" s="318"/>
      <c r="O234" s="318"/>
      <c r="P234" s="318"/>
      <c r="Q234" s="318"/>
      <c r="R234" s="318"/>
      <c r="S234" s="318"/>
      <c r="T234" s="318"/>
      <c r="U234" s="318"/>
      <c r="V234" s="318"/>
      <c r="W234" s="318"/>
      <c r="X234" s="318"/>
      <c r="Y234" s="318"/>
      <c r="Z234" s="318"/>
    </row>
    <row r="235" ht="15.75" customHeight="1">
      <c r="A235" s="318"/>
      <c r="B235" s="318"/>
      <c r="C235" s="318"/>
      <c r="D235" s="318"/>
      <c r="E235" s="318"/>
      <c r="F235" s="318"/>
      <c r="G235" s="318"/>
      <c r="H235" s="318"/>
      <c r="I235" s="318"/>
      <c r="J235" s="318"/>
      <c r="K235" s="318"/>
      <c r="L235" s="318"/>
      <c r="M235" s="318"/>
      <c r="N235" s="318"/>
      <c r="O235" s="318"/>
      <c r="P235" s="318"/>
      <c r="Q235" s="318"/>
      <c r="R235" s="318"/>
      <c r="S235" s="318"/>
      <c r="T235" s="318"/>
      <c r="U235" s="318"/>
      <c r="V235" s="318"/>
      <c r="W235" s="318"/>
      <c r="X235" s="318"/>
      <c r="Y235" s="318"/>
      <c r="Z235" s="318"/>
    </row>
    <row r="236" ht="15.75" customHeight="1">
      <c r="A236" s="318"/>
      <c r="B236" s="318"/>
      <c r="C236" s="318"/>
      <c r="D236" s="318"/>
      <c r="E236" s="318"/>
      <c r="F236" s="318"/>
      <c r="G236" s="318"/>
      <c r="H236" s="318"/>
      <c r="I236" s="318"/>
      <c r="J236" s="318"/>
      <c r="K236" s="318"/>
      <c r="L236" s="318"/>
      <c r="M236" s="318"/>
      <c r="N236" s="318"/>
      <c r="O236" s="318"/>
      <c r="P236" s="318"/>
      <c r="Q236" s="318"/>
      <c r="R236" s="318"/>
      <c r="S236" s="318"/>
      <c r="T236" s="318"/>
      <c r="U236" s="318"/>
      <c r="V236" s="318"/>
      <c r="W236" s="318"/>
      <c r="X236" s="318"/>
      <c r="Y236" s="318"/>
      <c r="Z236" s="318"/>
    </row>
    <row r="237" ht="15.75" customHeight="1">
      <c r="A237" s="318"/>
      <c r="B237" s="318"/>
      <c r="C237" s="318"/>
      <c r="D237" s="318"/>
      <c r="E237" s="318"/>
      <c r="F237" s="318"/>
      <c r="G237" s="318"/>
      <c r="H237" s="318"/>
      <c r="I237" s="318"/>
      <c r="J237" s="318"/>
      <c r="K237" s="318"/>
      <c r="L237" s="318"/>
      <c r="M237" s="318"/>
      <c r="N237" s="318"/>
      <c r="O237" s="318"/>
      <c r="P237" s="318"/>
      <c r="Q237" s="318"/>
      <c r="R237" s="318"/>
      <c r="S237" s="318"/>
      <c r="T237" s="318"/>
      <c r="U237" s="318"/>
      <c r="V237" s="318"/>
      <c r="W237" s="318"/>
      <c r="X237" s="318"/>
      <c r="Y237" s="318"/>
      <c r="Z237" s="318"/>
    </row>
    <row r="238" ht="15.75" customHeight="1">
      <c r="A238" s="318"/>
      <c r="B238" s="318"/>
      <c r="C238" s="318"/>
      <c r="D238" s="318"/>
      <c r="E238" s="318"/>
      <c r="F238" s="318"/>
      <c r="G238" s="318"/>
      <c r="H238" s="318"/>
      <c r="I238" s="318"/>
      <c r="J238" s="318"/>
      <c r="K238" s="318"/>
      <c r="L238" s="318"/>
      <c r="M238" s="318"/>
      <c r="N238" s="318"/>
      <c r="O238" s="318"/>
      <c r="P238" s="318"/>
      <c r="Q238" s="318"/>
      <c r="R238" s="318"/>
      <c r="S238" s="318"/>
      <c r="T238" s="318"/>
      <c r="U238" s="318"/>
      <c r="V238" s="318"/>
      <c r="W238" s="318"/>
      <c r="X238" s="318"/>
      <c r="Y238" s="318"/>
      <c r="Z238" s="318"/>
    </row>
    <row r="239" ht="15.75" customHeight="1">
      <c r="A239" s="318"/>
      <c r="B239" s="318"/>
      <c r="C239" s="318"/>
      <c r="D239" s="318"/>
      <c r="E239" s="318"/>
      <c r="F239" s="318"/>
      <c r="G239" s="318"/>
      <c r="H239" s="318"/>
      <c r="I239" s="318"/>
      <c r="J239" s="318"/>
      <c r="K239" s="318"/>
      <c r="L239" s="318"/>
      <c r="M239" s="318"/>
      <c r="N239" s="318"/>
      <c r="O239" s="318"/>
      <c r="P239" s="318"/>
      <c r="Q239" s="318"/>
      <c r="R239" s="318"/>
      <c r="S239" s="318"/>
      <c r="T239" s="318"/>
      <c r="U239" s="318"/>
      <c r="V239" s="318"/>
      <c r="W239" s="318"/>
      <c r="X239" s="318"/>
      <c r="Y239" s="318"/>
      <c r="Z239" s="318"/>
    </row>
    <row r="240" ht="15.75" customHeight="1">
      <c r="A240" s="318"/>
      <c r="B240" s="318"/>
      <c r="C240" s="318"/>
      <c r="D240" s="318"/>
      <c r="E240" s="318"/>
      <c r="F240" s="318"/>
      <c r="G240" s="318"/>
      <c r="H240" s="318"/>
      <c r="I240" s="318"/>
      <c r="J240" s="318"/>
      <c r="K240" s="318"/>
      <c r="L240" s="318"/>
      <c r="M240" s="318"/>
      <c r="N240" s="318"/>
      <c r="O240" s="318"/>
      <c r="P240" s="318"/>
      <c r="Q240" s="318"/>
      <c r="R240" s="318"/>
      <c r="S240" s="318"/>
      <c r="T240" s="318"/>
      <c r="U240" s="318"/>
      <c r="V240" s="318"/>
      <c r="W240" s="318"/>
      <c r="X240" s="318"/>
      <c r="Y240" s="318"/>
      <c r="Z240" s="318"/>
    </row>
    <row r="241" ht="15.75" customHeight="1">
      <c r="A241" s="318"/>
      <c r="B241" s="318"/>
      <c r="C241" s="318"/>
      <c r="D241" s="318"/>
      <c r="E241" s="318"/>
      <c r="F241" s="318"/>
      <c r="G241" s="318"/>
      <c r="H241" s="318"/>
      <c r="I241" s="318"/>
      <c r="J241" s="318"/>
      <c r="K241" s="318"/>
      <c r="L241" s="318"/>
      <c r="M241" s="318"/>
      <c r="N241" s="318"/>
      <c r="O241" s="318"/>
      <c r="P241" s="318"/>
      <c r="Q241" s="318"/>
      <c r="R241" s="318"/>
      <c r="S241" s="318"/>
      <c r="T241" s="318"/>
      <c r="U241" s="318"/>
      <c r="V241" s="318"/>
      <c r="W241" s="318"/>
      <c r="X241" s="318"/>
      <c r="Y241" s="318"/>
      <c r="Z241" s="318"/>
    </row>
    <row r="242" ht="15.75" customHeight="1">
      <c r="A242" s="318"/>
      <c r="B242" s="318"/>
      <c r="C242" s="318"/>
      <c r="D242" s="318"/>
      <c r="E242" s="318"/>
      <c r="F242" s="318"/>
      <c r="G242" s="318"/>
      <c r="H242" s="318"/>
      <c r="I242" s="318"/>
      <c r="J242" s="318"/>
      <c r="K242" s="318"/>
      <c r="L242" s="318"/>
      <c r="M242" s="318"/>
      <c r="N242" s="318"/>
      <c r="O242" s="318"/>
      <c r="P242" s="318"/>
      <c r="Q242" s="318"/>
      <c r="R242" s="318"/>
      <c r="S242" s="318"/>
      <c r="T242" s="318"/>
      <c r="U242" s="318"/>
      <c r="V242" s="318"/>
      <c r="W242" s="318"/>
      <c r="X242" s="318"/>
      <c r="Y242" s="318"/>
      <c r="Z242" s="318"/>
    </row>
    <row r="243" ht="15.75" customHeight="1">
      <c r="A243" s="318"/>
      <c r="B243" s="318"/>
      <c r="C243" s="318"/>
      <c r="D243" s="318"/>
      <c r="E243" s="318"/>
      <c r="F243" s="318"/>
      <c r="G243" s="318"/>
      <c r="H243" s="318"/>
      <c r="I243" s="318"/>
      <c r="J243" s="318"/>
      <c r="K243" s="318"/>
      <c r="L243" s="318"/>
      <c r="M243" s="318"/>
      <c r="N243" s="318"/>
      <c r="O243" s="318"/>
      <c r="P243" s="318"/>
      <c r="Q243" s="318"/>
      <c r="R243" s="318"/>
      <c r="S243" s="318"/>
      <c r="T243" s="318"/>
      <c r="U243" s="318"/>
      <c r="V243" s="318"/>
      <c r="W243" s="318"/>
      <c r="X243" s="318"/>
      <c r="Y243" s="318"/>
      <c r="Z243" s="318"/>
    </row>
    <row r="244" ht="15.75" customHeight="1">
      <c r="A244" s="318"/>
      <c r="B244" s="318"/>
      <c r="C244" s="318"/>
      <c r="D244" s="318"/>
      <c r="E244" s="318"/>
      <c r="F244" s="318"/>
      <c r="G244" s="318"/>
      <c r="H244" s="318"/>
      <c r="I244" s="318"/>
      <c r="J244" s="318"/>
      <c r="K244" s="318"/>
      <c r="L244" s="318"/>
      <c r="M244" s="318"/>
      <c r="N244" s="318"/>
      <c r="O244" s="318"/>
      <c r="P244" s="318"/>
      <c r="Q244" s="318"/>
      <c r="R244" s="318"/>
      <c r="S244" s="318"/>
      <c r="T244" s="318"/>
      <c r="U244" s="318"/>
      <c r="V244" s="318"/>
      <c r="W244" s="318"/>
      <c r="X244" s="318"/>
      <c r="Y244" s="318"/>
      <c r="Z244" s="318"/>
    </row>
    <row r="245" ht="15.75" customHeight="1">
      <c r="A245" s="318"/>
      <c r="B245" s="318"/>
      <c r="C245" s="318"/>
      <c r="D245" s="318"/>
      <c r="E245" s="318"/>
      <c r="F245" s="318"/>
      <c r="G245" s="318"/>
      <c r="H245" s="318"/>
      <c r="I245" s="318"/>
      <c r="J245" s="318"/>
      <c r="K245" s="318"/>
      <c r="L245" s="318"/>
      <c r="M245" s="318"/>
      <c r="N245" s="318"/>
      <c r="O245" s="318"/>
      <c r="P245" s="318"/>
      <c r="Q245" s="318"/>
      <c r="R245" s="318"/>
      <c r="S245" s="318"/>
      <c r="T245" s="318"/>
      <c r="U245" s="318"/>
      <c r="V245" s="318"/>
      <c r="W245" s="318"/>
      <c r="X245" s="318"/>
      <c r="Y245" s="318"/>
      <c r="Z245" s="318"/>
    </row>
    <row r="246" ht="15.75" customHeight="1">
      <c r="A246" s="318"/>
      <c r="B246" s="318"/>
      <c r="C246" s="318"/>
      <c r="D246" s="318"/>
      <c r="E246" s="318"/>
      <c r="F246" s="318"/>
      <c r="G246" s="318"/>
      <c r="H246" s="318"/>
      <c r="I246" s="318"/>
      <c r="J246" s="318"/>
      <c r="K246" s="318"/>
      <c r="L246" s="318"/>
      <c r="M246" s="318"/>
      <c r="N246" s="318"/>
      <c r="O246" s="318"/>
      <c r="P246" s="318"/>
      <c r="Q246" s="318"/>
      <c r="R246" s="318"/>
      <c r="S246" s="318"/>
      <c r="T246" s="318"/>
      <c r="U246" s="318"/>
      <c r="V246" s="318"/>
      <c r="W246" s="318"/>
      <c r="X246" s="318"/>
      <c r="Y246" s="318"/>
      <c r="Z246" s="318"/>
    </row>
    <row r="247" ht="15.75" customHeight="1">
      <c r="A247" s="318"/>
      <c r="B247" s="318"/>
      <c r="C247" s="318"/>
      <c r="D247" s="318"/>
      <c r="E247" s="318"/>
      <c r="F247" s="318"/>
      <c r="G247" s="318"/>
      <c r="H247" s="318"/>
      <c r="I247" s="318"/>
      <c r="J247" s="318"/>
      <c r="K247" s="318"/>
      <c r="L247" s="318"/>
      <c r="M247" s="318"/>
      <c r="N247" s="318"/>
      <c r="O247" s="318"/>
      <c r="P247" s="318"/>
      <c r="Q247" s="318"/>
      <c r="R247" s="318"/>
      <c r="S247" s="318"/>
      <c r="T247" s="318"/>
      <c r="U247" s="318"/>
      <c r="V247" s="318"/>
      <c r="W247" s="318"/>
      <c r="X247" s="318"/>
      <c r="Y247" s="318"/>
      <c r="Z247" s="318"/>
    </row>
    <row r="248" ht="15.75" customHeight="1">
      <c r="A248" s="318"/>
      <c r="B248" s="318"/>
      <c r="C248" s="318"/>
      <c r="D248" s="318"/>
      <c r="E248" s="318"/>
      <c r="F248" s="318"/>
      <c r="G248" s="318"/>
      <c r="H248" s="318"/>
      <c r="I248" s="318"/>
      <c r="J248" s="318"/>
      <c r="K248" s="318"/>
      <c r="L248" s="318"/>
      <c r="M248" s="318"/>
      <c r="N248" s="318"/>
      <c r="O248" s="318"/>
      <c r="P248" s="318"/>
      <c r="Q248" s="318"/>
      <c r="R248" s="318"/>
      <c r="S248" s="318"/>
      <c r="T248" s="318"/>
      <c r="U248" s="318"/>
      <c r="V248" s="318"/>
      <c r="W248" s="318"/>
      <c r="X248" s="318"/>
      <c r="Y248" s="318"/>
      <c r="Z248" s="318"/>
    </row>
    <row r="249" ht="15.75" customHeight="1">
      <c r="A249" s="318"/>
      <c r="B249" s="318"/>
      <c r="C249" s="318"/>
      <c r="D249" s="318"/>
      <c r="E249" s="318"/>
      <c r="F249" s="318"/>
      <c r="G249" s="318"/>
      <c r="H249" s="318"/>
      <c r="I249" s="318"/>
      <c r="J249" s="318"/>
      <c r="K249" s="318"/>
      <c r="L249" s="318"/>
      <c r="M249" s="318"/>
      <c r="N249" s="318"/>
      <c r="O249" s="318"/>
      <c r="P249" s="318"/>
      <c r="Q249" s="318"/>
      <c r="R249" s="318"/>
      <c r="S249" s="318"/>
      <c r="T249" s="318"/>
      <c r="U249" s="318"/>
      <c r="V249" s="318"/>
      <c r="W249" s="318"/>
      <c r="X249" s="318"/>
      <c r="Y249" s="318"/>
      <c r="Z249" s="318"/>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4"/>
    <hyperlink r:id="rId2" ref="C9"/>
    <hyperlink r:id="rId3" ref="C11"/>
  </hyperlinks>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25"/>
    <col customWidth="1" min="2" max="2" width="57.0"/>
    <col customWidth="1" min="3" max="3" width="37.13"/>
    <col customWidth="1" min="4" max="5" width="31.63"/>
    <col customWidth="1" min="6" max="6" width="19.88"/>
  </cols>
  <sheetData>
    <row r="1" ht="15.75" customHeight="1">
      <c r="A1" s="318" t="s">
        <v>5297</v>
      </c>
      <c r="B1" s="143" t="s">
        <v>5298</v>
      </c>
      <c r="C1" s="143"/>
      <c r="D1" s="143"/>
      <c r="E1" s="143"/>
      <c r="F1" s="143"/>
      <c r="G1" s="143"/>
      <c r="H1" s="143"/>
      <c r="I1" s="143"/>
      <c r="J1" s="143"/>
      <c r="K1" s="143"/>
      <c r="L1" s="143"/>
      <c r="M1" s="143"/>
      <c r="N1" s="143"/>
      <c r="O1" s="143"/>
      <c r="P1" s="143"/>
      <c r="Q1" s="143"/>
      <c r="R1" s="143"/>
      <c r="S1" s="143"/>
      <c r="T1" s="143"/>
      <c r="U1" s="143"/>
      <c r="V1" s="143"/>
      <c r="W1" s="143"/>
      <c r="X1" s="143"/>
      <c r="Y1" s="143"/>
      <c r="Z1" s="143"/>
    </row>
    <row r="2" ht="15.75" customHeight="1">
      <c r="A2" s="143"/>
      <c r="B2" s="143"/>
      <c r="C2" s="143"/>
      <c r="D2" s="143"/>
      <c r="E2" s="143"/>
      <c r="F2" s="143"/>
      <c r="G2" s="143"/>
      <c r="H2" s="143"/>
      <c r="I2" s="143"/>
      <c r="J2" s="143"/>
      <c r="K2" s="143"/>
      <c r="L2" s="143"/>
      <c r="M2" s="143"/>
      <c r="N2" s="143"/>
      <c r="O2" s="143"/>
      <c r="P2" s="143"/>
      <c r="Q2" s="143"/>
      <c r="R2" s="143"/>
      <c r="S2" s="143"/>
      <c r="T2" s="143"/>
      <c r="U2" s="143"/>
      <c r="V2" s="143"/>
      <c r="W2" s="143"/>
      <c r="X2" s="143"/>
      <c r="Y2" s="143"/>
      <c r="Z2" s="143"/>
    </row>
    <row r="3" ht="15.75" customHeight="1">
      <c r="A3" s="319" t="s">
        <v>4013</v>
      </c>
      <c r="B3" s="319" t="s">
        <v>4014</v>
      </c>
      <c r="C3" s="319" t="s">
        <v>4259</v>
      </c>
      <c r="D3" s="319" t="s">
        <v>4260</v>
      </c>
      <c r="E3" s="319" t="s">
        <v>4015</v>
      </c>
      <c r="F3" s="319" t="s">
        <v>4016</v>
      </c>
      <c r="G3" s="143"/>
      <c r="H3" s="143"/>
      <c r="I3" s="143"/>
      <c r="J3" s="143"/>
      <c r="K3" s="143"/>
      <c r="L3" s="143"/>
      <c r="M3" s="143"/>
      <c r="N3" s="143"/>
      <c r="O3" s="143"/>
      <c r="P3" s="143"/>
      <c r="Q3" s="143"/>
      <c r="R3" s="143"/>
      <c r="S3" s="143"/>
      <c r="T3" s="143"/>
      <c r="U3" s="143"/>
      <c r="V3" s="143"/>
      <c r="W3" s="143"/>
      <c r="X3" s="143"/>
      <c r="Y3" s="143"/>
      <c r="Z3" s="143"/>
    </row>
    <row r="4" ht="15.75" customHeight="1">
      <c r="A4" s="320" t="s">
        <v>5299</v>
      </c>
      <c r="B4" s="320" t="s">
        <v>5300</v>
      </c>
      <c r="C4" s="143"/>
      <c r="D4" s="143"/>
      <c r="E4" s="348" t="s">
        <v>5187</v>
      </c>
      <c r="F4" s="143"/>
      <c r="G4" s="143"/>
      <c r="H4" s="143"/>
      <c r="I4" s="143"/>
      <c r="J4" s="143"/>
      <c r="K4" s="143"/>
      <c r="L4" s="143"/>
      <c r="M4" s="143"/>
      <c r="N4" s="143"/>
      <c r="O4" s="143"/>
      <c r="P4" s="143"/>
      <c r="Q4" s="143"/>
      <c r="R4" s="143"/>
      <c r="S4" s="143"/>
      <c r="T4" s="143"/>
      <c r="U4" s="143"/>
      <c r="V4" s="143"/>
      <c r="W4" s="143"/>
      <c r="X4" s="143"/>
      <c r="Y4" s="143"/>
      <c r="Z4" s="143"/>
    </row>
    <row r="5" ht="15.75" customHeight="1">
      <c r="A5" s="320" t="s">
        <v>5301</v>
      </c>
      <c r="B5" s="320" t="s">
        <v>5302</v>
      </c>
      <c r="C5" s="349" t="s">
        <v>5303</v>
      </c>
      <c r="D5" s="143"/>
      <c r="E5" s="143"/>
      <c r="F5" s="143"/>
      <c r="G5" s="143"/>
      <c r="H5" s="143"/>
      <c r="I5" s="143"/>
      <c r="J5" s="143"/>
      <c r="K5" s="143"/>
      <c r="L5" s="143"/>
      <c r="M5" s="143"/>
      <c r="N5" s="143"/>
      <c r="O5" s="143"/>
      <c r="P5" s="143"/>
      <c r="Q5" s="143"/>
      <c r="R5" s="143"/>
      <c r="S5" s="143"/>
      <c r="T5" s="143"/>
      <c r="U5" s="143"/>
      <c r="V5" s="143"/>
      <c r="W5" s="143"/>
      <c r="X5" s="143"/>
      <c r="Y5" s="143"/>
      <c r="Z5" s="143"/>
    </row>
    <row r="6" ht="15.75" customHeight="1">
      <c r="A6" s="320" t="s">
        <v>5304</v>
      </c>
      <c r="B6" s="320" t="s">
        <v>5305</v>
      </c>
      <c r="C6" s="143"/>
      <c r="D6" s="143"/>
      <c r="E6" s="143"/>
      <c r="F6" s="143"/>
      <c r="G6" s="143"/>
      <c r="H6" s="143"/>
      <c r="I6" s="143"/>
      <c r="J6" s="143"/>
      <c r="K6" s="143"/>
      <c r="L6" s="143"/>
      <c r="M6" s="143"/>
      <c r="N6" s="143"/>
      <c r="O6" s="143"/>
      <c r="P6" s="143"/>
      <c r="Q6" s="143"/>
      <c r="R6" s="143"/>
      <c r="S6" s="143"/>
      <c r="T6" s="143"/>
      <c r="U6" s="143"/>
      <c r="V6" s="143"/>
      <c r="W6" s="143"/>
      <c r="X6" s="143"/>
      <c r="Y6" s="143"/>
      <c r="Z6" s="143"/>
    </row>
    <row r="7" ht="15.75" customHeight="1">
      <c r="A7" s="320" t="s">
        <v>5306</v>
      </c>
      <c r="B7" s="320" t="s">
        <v>5307</v>
      </c>
      <c r="C7" s="349" t="s">
        <v>5308</v>
      </c>
      <c r="D7" s="143"/>
      <c r="E7" s="143"/>
      <c r="F7" s="143"/>
      <c r="G7" s="143"/>
      <c r="H7" s="143"/>
      <c r="I7" s="143"/>
      <c r="J7" s="143"/>
      <c r="K7" s="143"/>
      <c r="L7" s="143"/>
      <c r="M7" s="143"/>
      <c r="N7" s="143"/>
      <c r="O7" s="143"/>
      <c r="P7" s="143"/>
      <c r="Q7" s="143"/>
      <c r="R7" s="143"/>
      <c r="S7" s="143"/>
      <c r="T7" s="143"/>
      <c r="U7" s="143"/>
      <c r="V7" s="143"/>
      <c r="W7" s="143"/>
      <c r="X7" s="143"/>
      <c r="Y7" s="143"/>
      <c r="Z7" s="143"/>
    </row>
    <row r="8" ht="15.75" customHeight="1">
      <c r="A8" s="320" t="s">
        <v>5309</v>
      </c>
      <c r="B8" s="320" t="s">
        <v>5310</v>
      </c>
      <c r="C8" s="349" t="s">
        <v>5311</v>
      </c>
      <c r="D8" s="143"/>
      <c r="E8" s="143"/>
      <c r="F8" s="143"/>
      <c r="G8" s="143"/>
      <c r="H8" s="143"/>
      <c r="I8" s="143"/>
      <c r="J8" s="143"/>
      <c r="K8" s="143"/>
      <c r="L8" s="143"/>
      <c r="M8" s="143"/>
      <c r="N8" s="143"/>
      <c r="O8" s="143"/>
      <c r="P8" s="143"/>
      <c r="Q8" s="143"/>
      <c r="R8" s="143"/>
      <c r="S8" s="143"/>
      <c r="T8" s="143"/>
      <c r="U8" s="143"/>
      <c r="V8" s="143"/>
      <c r="W8" s="143"/>
      <c r="X8" s="143"/>
      <c r="Y8" s="143"/>
      <c r="Z8" s="143"/>
    </row>
    <row r="9" ht="15.75" customHeight="1">
      <c r="A9" s="320" t="s">
        <v>4102</v>
      </c>
      <c r="B9" s="320" t="s">
        <v>5312</v>
      </c>
      <c r="C9" s="349" t="s">
        <v>5313</v>
      </c>
      <c r="D9" s="143"/>
      <c r="E9" s="143"/>
      <c r="F9" s="143"/>
      <c r="G9" s="143"/>
      <c r="H9" s="143"/>
      <c r="I9" s="143"/>
      <c r="J9" s="143"/>
      <c r="K9" s="143"/>
      <c r="L9" s="143"/>
      <c r="M9" s="143"/>
      <c r="N9" s="143"/>
      <c r="O9" s="143"/>
      <c r="P9" s="143"/>
      <c r="Q9" s="143"/>
      <c r="R9" s="143"/>
      <c r="S9" s="143"/>
      <c r="T9" s="143"/>
      <c r="U9" s="143"/>
      <c r="V9" s="143"/>
      <c r="W9" s="143"/>
      <c r="X9" s="143"/>
      <c r="Y9" s="143"/>
      <c r="Z9" s="143"/>
    </row>
    <row r="10" ht="15.75" customHeight="1">
      <c r="A10" s="320" t="s">
        <v>5314</v>
      </c>
      <c r="B10" s="320" t="s">
        <v>5315</v>
      </c>
      <c r="C10" s="143"/>
      <c r="D10" s="143"/>
      <c r="E10" s="143"/>
      <c r="F10" s="143"/>
      <c r="G10" s="143"/>
      <c r="H10" s="143"/>
      <c r="I10" s="143"/>
      <c r="J10" s="143"/>
      <c r="K10" s="143"/>
      <c r="L10" s="143"/>
      <c r="M10" s="143"/>
      <c r="N10" s="143"/>
      <c r="O10" s="143"/>
      <c r="P10" s="143"/>
      <c r="Q10" s="143"/>
      <c r="R10" s="143"/>
      <c r="S10" s="143"/>
      <c r="T10" s="143"/>
      <c r="U10" s="143"/>
      <c r="V10" s="143"/>
      <c r="W10" s="143"/>
      <c r="X10" s="143"/>
      <c r="Y10" s="143"/>
      <c r="Z10" s="143"/>
    </row>
    <row r="11" ht="15.75" customHeight="1">
      <c r="A11" s="320" t="s">
        <v>4108</v>
      </c>
      <c r="B11" s="320" t="s">
        <v>5316</v>
      </c>
      <c r="C11" s="349" t="s">
        <v>5317</v>
      </c>
      <c r="D11" s="143"/>
      <c r="E11" s="143"/>
      <c r="F11" s="143"/>
      <c r="G11" s="143"/>
      <c r="H11" s="143"/>
      <c r="I11" s="143"/>
      <c r="J11" s="143"/>
      <c r="K11" s="143"/>
      <c r="L11" s="143"/>
      <c r="M11" s="143"/>
      <c r="N11" s="143"/>
      <c r="O11" s="143"/>
      <c r="P11" s="143"/>
      <c r="Q11" s="143"/>
      <c r="R11" s="143"/>
      <c r="S11" s="143"/>
      <c r="T11" s="143"/>
      <c r="U11" s="143"/>
      <c r="V11" s="143"/>
      <c r="W11" s="143"/>
      <c r="X11" s="143"/>
      <c r="Y11" s="143"/>
      <c r="Z11" s="143"/>
    </row>
    <row r="12" ht="15.75" customHeight="1">
      <c r="A12" s="320" t="s">
        <v>5318</v>
      </c>
      <c r="B12" s="320" t="s">
        <v>5319</v>
      </c>
      <c r="C12" s="349" t="s">
        <v>5320</v>
      </c>
      <c r="D12" s="143"/>
      <c r="E12" s="143"/>
      <c r="F12" s="143"/>
      <c r="G12" s="143"/>
      <c r="H12" s="143"/>
      <c r="I12" s="143"/>
      <c r="J12" s="143"/>
      <c r="K12" s="143"/>
      <c r="L12" s="143"/>
      <c r="M12" s="143"/>
      <c r="N12" s="143"/>
      <c r="O12" s="143"/>
      <c r="P12" s="143"/>
      <c r="Q12" s="143"/>
      <c r="R12" s="143"/>
      <c r="S12" s="143"/>
      <c r="T12" s="143"/>
      <c r="U12" s="143"/>
      <c r="V12" s="143"/>
      <c r="W12" s="143"/>
      <c r="X12" s="143"/>
      <c r="Y12" s="143"/>
      <c r="Z12" s="143"/>
    </row>
    <row r="13" ht="15.75" customHeight="1">
      <c r="A13" s="320"/>
      <c r="B13" s="320"/>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row>
    <row r="14" ht="15.75" customHeight="1">
      <c r="A14" s="320"/>
      <c r="B14" s="320"/>
      <c r="C14" s="143"/>
      <c r="D14" s="143"/>
      <c r="E14" s="143"/>
      <c r="F14" s="143"/>
      <c r="G14" s="143"/>
      <c r="H14" s="143"/>
      <c r="I14" s="143"/>
      <c r="J14" s="143"/>
      <c r="K14" s="143"/>
      <c r="L14" s="143"/>
      <c r="M14" s="143"/>
      <c r="N14" s="143"/>
      <c r="O14" s="143"/>
      <c r="P14" s="143"/>
      <c r="Q14" s="143"/>
      <c r="R14" s="143"/>
      <c r="S14" s="143"/>
      <c r="T14" s="143"/>
      <c r="U14" s="143"/>
      <c r="V14" s="143"/>
      <c r="W14" s="143"/>
      <c r="X14" s="143"/>
      <c r="Y14" s="143"/>
      <c r="Z14" s="143"/>
    </row>
    <row r="15" ht="15.75" customHeight="1">
      <c r="A15" s="320"/>
      <c r="B15" s="320"/>
      <c r="C15" s="143"/>
      <c r="D15" s="143"/>
      <c r="E15" s="143"/>
      <c r="F15" s="143"/>
      <c r="G15" s="143"/>
      <c r="H15" s="143"/>
      <c r="I15" s="143"/>
      <c r="J15" s="143"/>
      <c r="K15" s="143"/>
      <c r="L15" s="143"/>
      <c r="M15" s="143"/>
      <c r="N15" s="143"/>
      <c r="O15" s="143"/>
      <c r="P15" s="143"/>
      <c r="Q15" s="143"/>
      <c r="R15" s="143"/>
      <c r="S15" s="143"/>
      <c r="T15" s="143"/>
      <c r="U15" s="143"/>
      <c r="V15" s="143"/>
      <c r="W15" s="143"/>
      <c r="X15" s="143"/>
      <c r="Y15" s="143"/>
      <c r="Z15" s="143"/>
    </row>
    <row r="16" ht="15.75" customHeight="1">
      <c r="A16" s="320"/>
      <c r="B16" s="320"/>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row>
    <row r="17" ht="15.75" customHeight="1">
      <c r="A17" s="320"/>
      <c r="B17" s="320"/>
      <c r="C17" s="143"/>
      <c r="D17" s="143"/>
      <c r="E17" s="143"/>
      <c r="F17" s="143"/>
      <c r="G17" s="143"/>
      <c r="H17" s="143"/>
      <c r="I17" s="143"/>
      <c r="J17" s="143"/>
      <c r="K17" s="143"/>
      <c r="L17" s="143"/>
      <c r="M17" s="143"/>
      <c r="N17" s="143"/>
      <c r="O17" s="143"/>
      <c r="P17" s="143"/>
      <c r="Q17" s="143"/>
      <c r="R17" s="143"/>
      <c r="S17" s="143"/>
      <c r="T17" s="143"/>
      <c r="U17" s="143"/>
      <c r="V17" s="143"/>
      <c r="W17" s="143"/>
      <c r="X17" s="143"/>
      <c r="Y17" s="143"/>
      <c r="Z17" s="143"/>
    </row>
    <row r="18" ht="15.75" customHeight="1">
      <c r="A18" s="320"/>
      <c r="B18" s="320"/>
      <c r="C18" s="143"/>
      <c r="D18" s="143"/>
      <c r="E18" s="143"/>
      <c r="F18" s="143"/>
      <c r="G18" s="143"/>
      <c r="H18" s="143"/>
      <c r="I18" s="143"/>
      <c r="J18" s="143"/>
      <c r="K18" s="143"/>
      <c r="L18" s="143"/>
      <c r="M18" s="143"/>
      <c r="N18" s="143"/>
      <c r="O18" s="143"/>
      <c r="P18" s="143"/>
      <c r="Q18" s="143"/>
      <c r="R18" s="143"/>
      <c r="S18" s="143"/>
      <c r="T18" s="143"/>
      <c r="U18" s="143"/>
      <c r="V18" s="143"/>
      <c r="W18" s="143"/>
      <c r="X18" s="143"/>
      <c r="Y18" s="143"/>
      <c r="Z18" s="143"/>
    </row>
    <row r="19" ht="15.75" customHeight="1">
      <c r="A19" s="320"/>
      <c r="B19" s="320"/>
      <c r="C19" s="143"/>
      <c r="D19" s="143"/>
      <c r="E19" s="143"/>
      <c r="F19" s="143"/>
      <c r="G19" s="143"/>
      <c r="H19" s="143"/>
      <c r="I19" s="143"/>
      <c r="J19" s="143"/>
      <c r="K19" s="143"/>
      <c r="L19" s="143"/>
      <c r="M19" s="143"/>
      <c r="N19" s="143"/>
      <c r="O19" s="143"/>
      <c r="P19" s="143"/>
      <c r="Q19" s="143"/>
      <c r="R19" s="143"/>
      <c r="S19" s="143"/>
      <c r="T19" s="143"/>
      <c r="U19" s="143"/>
      <c r="V19" s="143"/>
      <c r="W19" s="143"/>
      <c r="X19" s="143"/>
      <c r="Y19" s="143"/>
      <c r="Z19" s="143"/>
    </row>
    <row r="20" ht="15.75" customHeight="1">
      <c r="A20" s="320"/>
      <c r="B20" s="320"/>
      <c r="C20" s="143"/>
      <c r="D20" s="143"/>
      <c r="E20" s="143"/>
      <c r="F20" s="143"/>
      <c r="G20" s="143"/>
      <c r="H20" s="143"/>
      <c r="I20" s="143"/>
      <c r="J20" s="143"/>
      <c r="K20" s="143"/>
      <c r="L20" s="143"/>
      <c r="M20" s="143"/>
      <c r="N20" s="143"/>
      <c r="O20" s="143"/>
      <c r="P20" s="143"/>
      <c r="Q20" s="143"/>
      <c r="R20" s="143"/>
      <c r="S20" s="143"/>
      <c r="T20" s="143"/>
      <c r="U20" s="143"/>
      <c r="V20" s="143"/>
      <c r="W20" s="143"/>
      <c r="X20" s="143"/>
      <c r="Y20" s="143"/>
      <c r="Z20" s="143"/>
    </row>
    <row r="21" ht="15.75" customHeight="1">
      <c r="A21" s="320"/>
      <c r="B21" s="320"/>
      <c r="C21" s="143"/>
      <c r="D21" s="143"/>
      <c r="E21" s="143"/>
      <c r="F21" s="143"/>
      <c r="G21" s="143"/>
      <c r="H21" s="143"/>
      <c r="I21" s="143"/>
      <c r="J21" s="143"/>
      <c r="K21" s="143"/>
      <c r="L21" s="143"/>
      <c r="M21" s="143"/>
      <c r="N21" s="143"/>
      <c r="O21" s="143"/>
      <c r="P21" s="143"/>
      <c r="Q21" s="143"/>
      <c r="R21" s="143"/>
      <c r="S21" s="143"/>
      <c r="T21" s="143"/>
      <c r="U21" s="143"/>
      <c r="V21" s="143"/>
      <c r="W21" s="143"/>
      <c r="X21" s="143"/>
      <c r="Y21" s="143"/>
      <c r="Z21" s="143"/>
    </row>
    <row r="22" ht="15.75" customHeight="1">
      <c r="A22" s="320"/>
      <c r="B22" s="320"/>
      <c r="C22" s="143"/>
      <c r="D22" s="143"/>
      <c r="E22" s="143"/>
      <c r="F22" s="143"/>
      <c r="G22" s="143"/>
      <c r="H22" s="143"/>
      <c r="I22" s="143"/>
      <c r="J22" s="143"/>
      <c r="K22" s="143"/>
      <c r="L22" s="143"/>
      <c r="M22" s="143"/>
      <c r="N22" s="143"/>
      <c r="O22" s="143"/>
      <c r="P22" s="143"/>
      <c r="Q22" s="143"/>
      <c r="R22" s="143"/>
      <c r="S22" s="143"/>
      <c r="T22" s="143"/>
      <c r="U22" s="143"/>
      <c r="V22" s="143"/>
      <c r="W22" s="143"/>
      <c r="X22" s="143"/>
      <c r="Y22" s="143"/>
      <c r="Z22" s="143"/>
    </row>
    <row r="23" ht="15.75" customHeight="1">
      <c r="A23" s="320"/>
      <c r="B23" s="320"/>
      <c r="C23" s="143"/>
      <c r="D23" s="143"/>
      <c r="E23" s="143"/>
      <c r="F23" s="143"/>
      <c r="G23" s="143"/>
      <c r="H23" s="143"/>
      <c r="I23" s="143"/>
      <c r="J23" s="143"/>
      <c r="K23" s="143"/>
      <c r="L23" s="143"/>
      <c r="M23" s="143"/>
      <c r="N23" s="143"/>
      <c r="O23" s="143"/>
      <c r="P23" s="143"/>
      <c r="Q23" s="143"/>
      <c r="R23" s="143"/>
      <c r="S23" s="143"/>
      <c r="T23" s="143"/>
      <c r="U23" s="143"/>
      <c r="V23" s="143"/>
      <c r="W23" s="143"/>
      <c r="X23" s="143"/>
      <c r="Y23" s="143"/>
      <c r="Z23" s="143"/>
    </row>
    <row r="24" ht="15.75" customHeight="1">
      <c r="A24" s="320"/>
      <c r="B24" s="320"/>
      <c r="C24" s="143"/>
      <c r="D24" s="143"/>
      <c r="E24" s="143"/>
      <c r="F24" s="143"/>
      <c r="G24" s="143"/>
      <c r="H24" s="143"/>
      <c r="I24" s="143"/>
      <c r="J24" s="143"/>
      <c r="K24" s="143"/>
      <c r="L24" s="143"/>
      <c r="M24" s="143"/>
      <c r="N24" s="143"/>
      <c r="O24" s="143"/>
      <c r="P24" s="143"/>
      <c r="Q24" s="143"/>
      <c r="R24" s="143"/>
      <c r="S24" s="143"/>
      <c r="T24" s="143"/>
      <c r="U24" s="143"/>
      <c r="V24" s="143"/>
      <c r="W24" s="143"/>
      <c r="X24" s="143"/>
      <c r="Y24" s="143"/>
      <c r="Z24" s="143"/>
    </row>
    <row r="25" ht="15.75" customHeight="1">
      <c r="A25" s="320"/>
      <c r="B25" s="320"/>
      <c r="C25" s="143"/>
      <c r="D25" s="143"/>
      <c r="E25" s="143"/>
      <c r="F25" s="143"/>
      <c r="G25" s="143"/>
      <c r="H25" s="143"/>
      <c r="I25" s="143"/>
      <c r="J25" s="143"/>
      <c r="K25" s="143"/>
      <c r="L25" s="143"/>
      <c r="M25" s="143"/>
      <c r="N25" s="143"/>
      <c r="O25" s="143"/>
      <c r="P25" s="143"/>
      <c r="Q25" s="143"/>
      <c r="R25" s="143"/>
      <c r="S25" s="143"/>
      <c r="T25" s="143"/>
      <c r="U25" s="143"/>
      <c r="V25" s="143"/>
      <c r="W25" s="143"/>
      <c r="X25" s="143"/>
      <c r="Y25" s="143"/>
      <c r="Z25" s="143"/>
    </row>
    <row r="26" ht="15.75" customHeight="1">
      <c r="A26" s="320"/>
      <c r="B26" s="320"/>
      <c r="C26" s="143"/>
      <c r="D26" s="143"/>
      <c r="E26" s="143"/>
      <c r="F26" s="143"/>
      <c r="G26" s="143"/>
      <c r="H26" s="143"/>
      <c r="I26" s="143"/>
      <c r="J26" s="143"/>
      <c r="K26" s="143"/>
      <c r="L26" s="143"/>
      <c r="M26" s="143"/>
      <c r="N26" s="143"/>
      <c r="O26" s="143"/>
      <c r="P26" s="143"/>
      <c r="Q26" s="143"/>
      <c r="R26" s="143"/>
      <c r="S26" s="143"/>
      <c r="T26" s="143"/>
      <c r="U26" s="143"/>
      <c r="V26" s="143"/>
      <c r="W26" s="143"/>
      <c r="X26" s="143"/>
      <c r="Y26" s="143"/>
      <c r="Z26" s="143"/>
    </row>
    <row r="27" ht="15.75" customHeight="1">
      <c r="A27" s="320"/>
      <c r="B27" s="320"/>
      <c r="C27" s="143"/>
      <c r="D27" s="143"/>
      <c r="E27" s="143"/>
      <c r="F27" s="143"/>
      <c r="G27" s="143"/>
      <c r="H27" s="143"/>
      <c r="I27" s="143"/>
      <c r="J27" s="143"/>
      <c r="K27" s="143"/>
      <c r="L27" s="143"/>
      <c r="M27" s="143"/>
      <c r="N27" s="143"/>
      <c r="O27" s="143"/>
      <c r="P27" s="143"/>
      <c r="Q27" s="143"/>
      <c r="R27" s="143"/>
      <c r="S27" s="143"/>
      <c r="T27" s="143"/>
      <c r="U27" s="143"/>
      <c r="V27" s="143"/>
      <c r="W27" s="143"/>
      <c r="X27" s="143"/>
      <c r="Y27" s="143"/>
      <c r="Z27" s="143"/>
    </row>
    <row r="28" ht="15.75" customHeight="1">
      <c r="A28" s="320"/>
      <c r="B28" s="320"/>
      <c r="C28" s="143"/>
      <c r="D28" s="143"/>
      <c r="E28" s="143"/>
      <c r="F28" s="143"/>
      <c r="G28" s="143"/>
      <c r="H28" s="143"/>
      <c r="I28" s="143"/>
      <c r="J28" s="143"/>
      <c r="K28" s="143"/>
      <c r="L28" s="143"/>
      <c r="M28" s="143"/>
      <c r="N28" s="143"/>
      <c r="O28" s="143"/>
      <c r="P28" s="143"/>
      <c r="Q28" s="143"/>
      <c r="R28" s="143"/>
      <c r="S28" s="143"/>
      <c r="T28" s="143"/>
      <c r="U28" s="143"/>
      <c r="V28" s="143"/>
      <c r="W28" s="143"/>
      <c r="X28" s="143"/>
      <c r="Y28" s="143"/>
      <c r="Z28" s="143"/>
    </row>
    <row r="29" ht="15.75" customHeight="1">
      <c r="A29" s="320"/>
      <c r="B29" s="320"/>
      <c r="C29" s="143"/>
      <c r="D29" s="143"/>
      <c r="E29" s="143"/>
      <c r="F29" s="143"/>
      <c r="G29" s="143"/>
      <c r="H29" s="143"/>
      <c r="I29" s="143"/>
      <c r="J29" s="143"/>
      <c r="K29" s="143"/>
      <c r="L29" s="143"/>
      <c r="M29" s="143"/>
      <c r="N29" s="143"/>
      <c r="O29" s="143"/>
      <c r="P29" s="143"/>
      <c r="Q29" s="143"/>
      <c r="R29" s="143"/>
      <c r="S29" s="143"/>
      <c r="T29" s="143"/>
      <c r="U29" s="143"/>
      <c r="V29" s="143"/>
      <c r="W29" s="143"/>
      <c r="X29" s="143"/>
      <c r="Y29" s="143"/>
      <c r="Z29" s="143"/>
    </row>
    <row r="30" ht="15.75" customHeight="1">
      <c r="A30" s="143"/>
      <c r="B30" s="143"/>
      <c r="C30" s="143"/>
      <c r="D30" s="143"/>
      <c r="E30" s="143"/>
      <c r="F30" s="143"/>
      <c r="G30" s="143"/>
      <c r="H30" s="143"/>
      <c r="I30" s="143"/>
      <c r="J30" s="143"/>
      <c r="K30" s="143"/>
      <c r="L30" s="143"/>
      <c r="M30" s="143"/>
      <c r="N30" s="143"/>
      <c r="O30" s="143"/>
      <c r="P30" s="143"/>
      <c r="Q30" s="143"/>
      <c r="R30" s="143"/>
      <c r="S30" s="143"/>
      <c r="T30" s="143"/>
      <c r="U30" s="143"/>
      <c r="V30" s="143"/>
      <c r="W30" s="143"/>
      <c r="X30" s="143"/>
      <c r="Y30" s="143"/>
      <c r="Z30" s="143"/>
    </row>
    <row r="31" ht="15.75" customHeight="1">
      <c r="A31" s="143"/>
      <c r="B31" s="143"/>
      <c r="C31" s="143"/>
      <c r="D31" s="143"/>
      <c r="E31" s="143"/>
      <c r="F31" s="143"/>
      <c r="G31" s="143"/>
      <c r="H31" s="143"/>
      <c r="I31" s="143"/>
      <c r="J31" s="143"/>
      <c r="K31" s="143"/>
      <c r="L31" s="143"/>
      <c r="M31" s="143"/>
      <c r="N31" s="143"/>
      <c r="O31" s="143"/>
      <c r="P31" s="143"/>
      <c r="Q31" s="143"/>
      <c r="R31" s="143"/>
      <c r="S31" s="143"/>
      <c r="T31" s="143"/>
      <c r="U31" s="143"/>
      <c r="V31" s="143"/>
      <c r="W31" s="143"/>
      <c r="X31" s="143"/>
      <c r="Y31" s="143"/>
      <c r="Z31" s="143"/>
    </row>
    <row r="32" ht="15.75" customHeight="1">
      <c r="A32" s="143"/>
      <c r="B32" s="143"/>
      <c r="C32" s="143"/>
      <c r="D32" s="143"/>
      <c r="E32" s="143"/>
      <c r="F32" s="143"/>
      <c r="G32" s="143"/>
      <c r="H32" s="143"/>
      <c r="I32" s="143"/>
      <c r="J32" s="143"/>
      <c r="K32" s="143"/>
      <c r="L32" s="143"/>
      <c r="M32" s="143"/>
      <c r="N32" s="143"/>
      <c r="O32" s="143"/>
      <c r="P32" s="143"/>
      <c r="Q32" s="143"/>
      <c r="R32" s="143"/>
      <c r="S32" s="143"/>
      <c r="T32" s="143"/>
      <c r="U32" s="143"/>
      <c r="V32" s="143"/>
      <c r="W32" s="143"/>
      <c r="X32" s="143"/>
      <c r="Y32" s="143"/>
      <c r="Z32" s="143"/>
    </row>
    <row r="33" ht="15.75" customHeight="1">
      <c r="A33" s="143"/>
      <c r="B33" s="143"/>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row>
    <row r="34" ht="15.75" customHeight="1">
      <c r="A34" s="143"/>
      <c r="B34" s="143"/>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row>
    <row r="35" ht="15.75" customHeight="1">
      <c r="A35" s="143"/>
      <c r="B35" s="143"/>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row>
    <row r="36" ht="15.75" customHeight="1">
      <c r="A36" s="143"/>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row>
    <row r="37" ht="15.75" customHeight="1">
      <c r="A37" s="143"/>
      <c r="B37" s="143"/>
      <c r="C37" s="143"/>
      <c r="D37" s="143"/>
      <c r="E37" s="143"/>
      <c r="F37" s="143"/>
      <c r="G37" s="143"/>
      <c r="H37" s="143"/>
      <c r="I37" s="143"/>
      <c r="J37" s="143"/>
      <c r="K37" s="143"/>
      <c r="L37" s="143"/>
      <c r="M37" s="143"/>
      <c r="N37" s="143"/>
      <c r="O37" s="143"/>
      <c r="P37" s="143"/>
      <c r="Q37" s="143"/>
      <c r="R37" s="143"/>
      <c r="S37" s="143"/>
      <c r="T37" s="143"/>
      <c r="U37" s="143"/>
      <c r="V37" s="143"/>
      <c r="W37" s="143"/>
      <c r="X37" s="143"/>
      <c r="Y37" s="143"/>
      <c r="Z37" s="143"/>
    </row>
    <row r="38" ht="15.75" customHeight="1">
      <c r="A38" s="143"/>
      <c r="B38" s="143"/>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row>
    <row r="39" ht="15.75" customHeight="1">
      <c r="A39" s="143"/>
      <c r="B39" s="143"/>
      <c r="C39" s="143"/>
      <c r="D39" s="143"/>
      <c r="E39" s="143"/>
      <c r="F39" s="143"/>
      <c r="G39" s="143"/>
      <c r="H39" s="143"/>
      <c r="I39" s="143"/>
      <c r="J39" s="143"/>
      <c r="K39" s="143"/>
      <c r="L39" s="143"/>
      <c r="M39" s="143"/>
      <c r="N39" s="143"/>
      <c r="O39" s="143"/>
      <c r="P39" s="143"/>
      <c r="Q39" s="143"/>
      <c r="R39" s="143"/>
      <c r="S39" s="143"/>
      <c r="T39" s="143"/>
      <c r="U39" s="143"/>
      <c r="V39" s="143"/>
      <c r="W39" s="143"/>
      <c r="X39" s="143"/>
      <c r="Y39" s="143"/>
      <c r="Z39" s="143"/>
    </row>
    <row r="40" ht="15.75" customHeight="1">
      <c r="A40" s="143"/>
      <c r="B40" s="143"/>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row>
    <row r="41" ht="15.75" customHeight="1">
      <c r="A41" s="143"/>
      <c r="B41" s="143"/>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row>
    <row r="42" ht="15.75" customHeight="1">
      <c r="A42" s="143"/>
      <c r="B42" s="143"/>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row>
    <row r="43" ht="15.75" customHeight="1">
      <c r="A43" s="143"/>
      <c r="B43" s="143"/>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row>
    <row r="44" ht="15.75" customHeight="1">
      <c r="A44" s="143"/>
      <c r="B44" s="143"/>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row>
    <row r="45" ht="15.75" customHeight="1">
      <c r="A45" s="143"/>
      <c r="B45" s="143"/>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row>
    <row r="46" ht="15.75" customHeight="1">
      <c r="A46" s="143"/>
      <c r="B46" s="143"/>
      <c r="C46" s="143"/>
      <c r="D46" s="143"/>
      <c r="E46" s="143"/>
      <c r="F46" s="143"/>
      <c r="G46" s="143"/>
      <c r="H46" s="143"/>
      <c r="I46" s="143"/>
      <c r="J46" s="143"/>
      <c r="K46" s="143"/>
      <c r="L46" s="143"/>
      <c r="M46" s="143"/>
      <c r="N46" s="143"/>
      <c r="O46" s="143"/>
      <c r="P46" s="143"/>
      <c r="Q46" s="143"/>
      <c r="R46" s="143"/>
      <c r="S46" s="143"/>
      <c r="T46" s="143"/>
      <c r="U46" s="143"/>
      <c r="V46" s="143"/>
      <c r="W46" s="143"/>
      <c r="X46" s="143"/>
      <c r="Y46" s="143"/>
      <c r="Z46" s="143"/>
    </row>
    <row r="47" ht="15.75" customHeight="1">
      <c r="A47" s="143"/>
      <c r="B47" s="143"/>
      <c r="C47" s="143"/>
      <c r="D47" s="143"/>
      <c r="E47" s="143"/>
      <c r="F47" s="143"/>
      <c r="G47" s="143"/>
      <c r="H47" s="143"/>
      <c r="I47" s="143"/>
      <c r="J47" s="143"/>
      <c r="K47" s="143"/>
      <c r="L47" s="143"/>
      <c r="M47" s="143"/>
      <c r="N47" s="143"/>
      <c r="O47" s="143"/>
      <c r="P47" s="143"/>
      <c r="Q47" s="143"/>
      <c r="R47" s="143"/>
      <c r="S47" s="143"/>
      <c r="T47" s="143"/>
      <c r="U47" s="143"/>
      <c r="V47" s="143"/>
      <c r="W47" s="143"/>
      <c r="X47" s="143"/>
      <c r="Y47" s="143"/>
      <c r="Z47" s="143"/>
    </row>
    <row r="48" ht="15.75" customHeight="1">
      <c r="A48" s="143"/>
      <c r="B48" s="143"/>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row>
    <row r="49" ht="15.75" customHeight="1">
      <c r="A49" s="143"/>
      <c r="B49" s="143"/>
      <c r="C49" s="143"/>
      <c r="D49" s="143"/>
      <c r="E49" s="143"/>
      <c r="F49" s="143"/>
      <c r="G49" s="143"/>
      <c r="H49" s="143"/>
      <c r="I49" s="143"/>
      <c r="J49" s="143"/>
      <c r="K49" s="143"/>
      <c r="L49" s="143"/>
      <c r="M49" s="143"/>
      <c r="N49" s="143"/>
      <c r="O49" s="143"/>
      <c r="P49" s="143"/>
      <c r="Q49" s="143"/>
      <c r="R49" s="143"/>
      <c r="S49" s="143"/>
      <c r="T49" s="143"/>
      <c r="U49" s="143"/>
      <c r="V49" s="143"/>
      <c r="W49" s="143"/>
      <c r="X49" s="143"/>
      <c r="Y49" s="143"/>
      <c r="Z49" s="143"/>
    </row>
    <row r="50" ht="15.75" customHeight="1">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row>
    <row r="51" ht="15.75" customHeight="1">
      <c r="A51" s="143"/>
      <c r="B51" s="143"/>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row>
    <row r="52" ht="15.75" customHeight="1">
      <c r="A52" s="143"/>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row>
    <row r="53" ht="15.75" customHeight="1">
      <c r="A53" s="143"/>
      <c r="B53" s="143"/>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row>
    <row r="54" ht="15.75" customHeight="1">
      <c r="A54" s="143"/>
      <c r="B54" s="143"/>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row>
    <row r="55" ht="15.75" customHeight="1">
      <c r="A55" s="143"/>
      <c r="B55" s="143"/>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row>
    <row r="56" ht="15.75" customHeight="1">
      <c r="A56" s="143"/>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row>
    <row r="57" ht="15.75" customHeight="1">
      <c r="A57" s="143"/>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row>
    <row r="58" ht="15.75" customHeight="1">
      <c r="A58" s="143"/>
      <c r="B58" s="143"/>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row>
    <row r="59" ht="15.75" customHeight="1">
      <c r="A59" s="143"/>
      <c r="B59" s="143"/>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row>
    <row r="60" ht="15.75" customHeight="1">
      <c r="A60" s="143"/>
      <c r="B60" s="143"/>
      <c r="C60" s="143"/>
      <c r="D60" s="143"/>
      <c r="E60" s="143"/>
      <c r="F60" s="143"/>
      <c r="G60" s="143"/>
      <c r="H60" s="143"/>
      <c r="I60" s="143"/>
      <c r="J60" s="143"/>
      <c r="K60" s="143"/>
      <c r="L60" s="143"/>
      <c r="M60" s="143"/>
      <c r="N60" s="143"/>
      <c r="O60" s="143"/>
      <c r="P60" s="143"/>
      <c r="Q60" s="143"/>
      <c r="R60" s="143"/>
      <c r="S60" s="143"/>
      <c r="T60" s="143"/>
      <c r="U60" s="143"/>
      <c r="V60" s="143"/>
      <c r="W60" s="143"/>
      <c r="X60" s="143"/>
      <c r="Y60" s="143"/>
      <c r="Z60" s="143"/>
    </row>
    <row r="61" ht="15.75" customHeight="1">
      <c r="A61" s="143"/>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row>
    <row r="62" ht="15.75" customHeight="1">
      <c r="A62" s="143"/>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row>
    <row r="63" ht="15.75" customHeight="1">
      <c r="A63" s="143"/>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row>
    <row r="64" ht="15.75" customHeight="1">
      <c r="A64" s="143"/>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row>
    <row r="65" ht="15.75" customHeight="1">
      <c r="A65" s="143"/>
      <c r="B65" s="143"/>
      <c r="C65" s="143"/>
      <c r="D65" s="143"/>
      <c r="E65" s="143"/>
      <c r="F65" s="143"/>
      <c r="G65" s="143"/>
      <c r="H65" s="143"/>
      <c r="I65" s="143"/>
      <c r="J65" s="143"/>
      <c r="K65" s="143"/>
      <c r="L65" s="143"/>
      <c r="M65" s="143"/>
      <c r="N65" s="143"/>
      <c r="O65" s="143"/>
      <c r="P65" s="143"/>
      <c r="Q65" s="143"/>
      <c r="R65" s="143"/>
      <c r="S65" s="143"/>
      <c r="T65" s="143"/>
      <c r="U65" s="143"/>
      <c r="V65" s="143"/>
      <c r="W65" s="143"/>
      <c r="X65" s="143"/>
      <c r="Y65" s="143"/>
      <c r="Z65" s="143"/>
    </row>
    <row r="66" ht="15.75" customHeight="1">
      <c r="A66" s="143"/>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row>
    <row r="67" ht="15.75" customHeight="1">
      <c r="A67" s="143"/>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row>
    <row r="68" ht="15.75" customHeight="1">
      <c r="A68" s="143"/>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row>
    <row r="69" ht="15.75" customHeight="1">
      <c r="A69" s="143"/>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row>
    <row r="70" ht="15.75" customHeight="1">
      <c r="A70" s="143"/>
      <c r="B70" s="143"/>
      <c r="C70" s="143"/>
      <c r="D70" s="143"/>
      <c r="E70" s="143"/>
      <c r="F70" s="143"/>
      <c r="G70" s="143"/>
      <c r="H70" s="143"/>
      <c r="I70" s="143"/>
      <c r="J70" s="143"/>
      <c r="K70" s="143"/>
      <c r="L70" s="143"/>
      <c r="M70" s="143"/>
      <c r="N70" s="143"/>
      <c r="O70" s="143"/>
      <c r="P70" s="143"/>
      <c r="Q70" s="143"/>
      <c r="R70" s="143"/>
      <c r="S70" s="143"/>
      <c r="T70" s="143"/>
      <c r="U70" s="143"/>
      <c r="V70" s="143"/>
      <c r="W70" s="143"/>
      <c r="X70" s="143"/>
      <c r="Y70" s="143"/>
      <c r="Z70" s="143"/>
    </row>
    <row r="71" ht="15.75" customHeight="1">
      <c r="A71" s="143"/>
      <c r="B71" s="143"/>
      <c r="C71" s="143"/>
      <c r="D71" s="143"/>
      <c r="E71" s="143"/>
      <c r="F71" s="143"/>
      <c r="G71" s="143"/>
      <c r="H71" s="143"/>
      <c r="I71" s="143"/>
      <c r="J71" s="143"/>
      <c r="K71" s="143"/>
      <c r="L71" s="143"/>
      <c r="M71" s="143"/>
      <c r="N71" s="143"/>
      <c r="O71" s="143"/>
      <c r="P71" s="143"/>
      <c r="Q71" s="143"/>
      <c r="R71" s="143"/>
      <c r="S71" s="143"/>
      <c r="T71" s="143"/>
      <c r="U71" s="143"/>
      <c r="V71" s="143"/>
      <c r="W71" s="143"/>
      <c r="X71" s="143"/>
      <c r="Y71" s="143"/>
      <c r="Z71" s="143"/>
    </row>
    <row r="72" ht="15.75" customHeight="1">
      <c r="A72" s="143"/>
      <c r="B72" s="143"/>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row>
    <row r="73" ht="15.75" customHeight="1">
      <c r="A73" s="143"/>
      <c r="B73" s="143"/>
      <c r="C73" s="143"/>
      <c r="D73" s="143"/>
      <c r="E73" s="143"/>
      <c r="F73" s="143"/>
      <c r="G73" s="143"/>
      <c r="H73" s="143"/>
      <c r="I73" s="143"/>
      <c r="J73" s="143"/>
      <c r="K73" s="143"/>
      <c r="L73" s="143"/>
      <c r="M73" s="143"/>
      <c r="N73" s="143"/>
      <c r="O73" s="143"/>
      <c r="P73" s="143"/>
      <c r="Q73" s="143"/>
      <c r="R73" s="143"/>
      <c r="S73" s="143"/>
      <c r="T73" s="143"/>
      <c r="U73" s="143"/>
      <c r="V73" s="143"/>
      <c r="W73" s="143"/>
      <c r="X73" s="143"/>
      <c r="Y73" s="143"/>
      <c r="Z73" s="143"/>
    </row>
    <row r="74" ht="15.75" customHeight="1">
      <c r="A74" s="143"/>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row>
    <row r="75" ht="15.75" customHeight="1">
      <c r="A75" s="143"/>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row>
    <row r="76" ht="15.75" customHeight="1">
      <c r="A76" s="143"/>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143"/>
      <c r="Z76" s="143"/>
    </row>
    <row r="77" ht="15.75" customHeight="1">
      <c r="A77" s="143"/>
      <c r="B77" s="143"/>
      <c r="C77" s="143"/>
      <c r="D77" s="143"/>
      <c r="E77" s="143"/>
      <c r="F77" s="143"/>
      <c r="G77" s="143"/>
      <c r="H77" s="143"/>
      <c r="I77" s="143"/>
      <c r="J77" s="143"/>
      <c r="K77" s="143"/>
      <c r="L77" s="143"/>
      <c r="M77" s="143"/>
      <c r="N77" s="143"/>
      <c r="O77" s="143"/>
      <c r="P77" s="143"/>
      <c r="Q77" s="143"/>
      <c r="R77" s="143"/>
      <c r="S77" s="143"/>
      <c r="T77" s="143"/>
      <c r="U77" s="143"/>
      <c r="V77" s="143"/>
      <c r="W77" s="143"/>
      <c r="X77" s="143"/>
      <c r="Y77" s="143"/>
      <c r="Z77" s="143"/>
    </row>
    <row r="78" ht="15.75" customHeight="1">
      <c r="A78" s="143"/>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row>
    <row r="79" ht="15.75" customHeight="1">
      <c r="A79" s="143"/>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row>
    <row r="80" ht="15.75" customHeight="1">
      <c r="A80" s="143"/>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row>
    <row r="81" ht="15.75" customHeight="1">
      <c r="A81" s="143"/>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row>
    <row r="82" ht="15.75" customHeight="1">
      <c r="A82" s="143"/>
      <c r="B82" s="143"/>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row>
    <row r="83" ht="15.75" customHeight="1">
      <c r="A83" s="143"/>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row>
    <row r="84" ht="15.75" customHeight="1">
      <c r="A84" s="143"/>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row>
    <row r="85" ht="15.75" customHeight="1">
      <c r="A85" s="143"/>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row>
    <row r="86" ht="15.75" customHeight="1">
      <c r="A86" s="143"/>
      <c r="B86" s="143"/>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row>
    <row r="87" ht="15.75" customHeight="1">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row>
    <row r="88" ht="15.75" customHeight="1">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row>
    <row r="89" ht="15.75" customHeight="1">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row>
    <row r="90" ht="15.75" customHeight="1">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row>
    <row r="91" ht="15.75" customHeight="1">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row>
    <row r="92" ht="15.75" customHeight="1">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row>
    <row r="93" ht="15.75" customHeight="1">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row>
    <row r="94" ht="15.75" customHeight="1">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row>
    <row r="95" ht="15.75" customHeight="1">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row>
    <row r="96" ht="15.75" customHeight="1">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row>
    <row r="97" ht="15.75" customHeight="1">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row>
    <row r="98" ht="15.75" customHeight="1">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row>
    <row r="99" ht="15.75" customHeight="1">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row>
    <row r="100" ht="15.75" customHeight="1">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row>
    <row r="101" ht="15.75" customHeight="1">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row>
    <row r="102" ht="15.75" customHeight="1">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row>
    <row r="103" ht="15.75" customHeight="1">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row>
    <row r="104" ht="15.75" customHeight="1">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row>
    <row r="105" ht="15.75" customHeight="1">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row>
    <row r="106" ht="15.75" customHeight="1">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row>
    <row r="107" ht="15.75" customHeight="1">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row>
    <row r="108" ht="15.75" customHeight="1">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row>
    <row r="109" ht="15.75" customHeight="1">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row>
    <row r="110" ht="15.75" customHeight="1">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row>
    <row r="111" ht="15.75" customHeight="1">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row>
    <row r="112" ht="15.75" customHeight="1">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row>
    <row r="113" ht="15.75" customHeight="1">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row>
    <row r="114" ht="15.75" customHeight="1">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row>
    <row r="115" ht="15.75" customHeight="1">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row>
    <row r="116" ht="15.75" customHeight="1">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row>
    <row r="117" ht="15.75" customHeight="1">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row>
    <row r="118" ht="15.75" customHeight="1">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row>
    <row r="119" ht="15.75" customHeight="1">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row>
    <row r="120" ht="15.75" customHeight="1">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row>
    <row r="121" ht="15.75" customHeight="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row>
    <row r="122" ht="15.75" customHeight="1">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row>
    <row r="123" ht="15.75" customHeight="1">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row>
    <row r="124" ht="15.75" customHeight="1">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row>
    <row r="125" ht="15.75" customHeight="1">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row>
    <row r="126" ht="15.75" customHeight="1">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row>
    <row r="127" ht="15.75" customHeight="1">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row>
    <row r="128" ht="15.75" customHeight="1">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row>
    <row r="129" ht="15.75" customHeight="1">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row>
    <row r="130" ht="15.75" customHeight="1">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row>
    <row r="131" ht="15.75" customHeight="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row>
    <row r="132" ht="15.75" customHeight="1">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row>
    <row r="133" ht="15.75" customHeight="1">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row>
    <row r="134" ht="15.75" customHeight="1">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row>
    <row r="135" ht="15.75" customHeight="1">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row>
    <row r="136" ht="15.75" customHeight="1">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row>
    <row r="137" ht="15.75" customHeight="1">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row>
    <row r="138" ht="15.75" customHeight="1">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row>
    <row r="139" ht="15.75" customHeight="1">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row>
    <row r="140" ht="15.75" customHeight="1">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row>
    <row r="141" ht="15.75" customHeight="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row>
    <row r="142" ht="15.75" customHeight="1">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row>
    <row r="143" ht="15.75" customHeight="1">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row>
    <row r="144" ht="15.75" customHeight="1">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row>
    <row r="145" ht="15.75" customHeight="1">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row>
    <row r="146" ht="15.75" customHeight="1">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row>
    <row r="147" ht="15.75" customHeight="1">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row>
    <row r="148" ht="15.75" customHeight="1">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row>
    <row r="149" ht="15.75" customHeight="1">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row>
    <row r="150" ht="15.75" customHeight="1">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row>
    <row r="151" ht="15.75" customHeight="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row>
    <row r="152" ht="15.75" customHeight="1">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row>
    <row r="153" ht="15.75" customHeight="1">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row>
    <row r="154" ht="15.75" customHeight="1">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row>
    <row r="155" ht="15.75" customHeight="1">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row>
    <row r="156" ht="15.75" customHeight="1">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row>
    <row r="157" ht="15.75" customHeight="1">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row>
    <row r="158" ht="15.75" customHeight="1">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row>
    <row r="159" ht="15.75" customHeight="1">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row>
    <row r="160" ht="15.75" customHeight="1">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row>
    <row r="161" ht="15.75" customHeight="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row>
    <row r="162" ht="15.75" customHeight="1">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row>
    <row r="163" ht="15.75" customHeight="1">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row>
    <row r="164" ht="15.75" customHeight="1">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row>
    <row r="165" ht="15.75" customHeight="1">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row>
    <row r="166" ht="15.75" customHeight="1">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row>
    <row r="167" ht="15.75" customHeight="1">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row>
    <row r="168" ht="15.75" customHeight="1">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row>
    <row r="169" ht="15.75" customHeight="1">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row>
    <row r="170" ht="15.75" customHeight="1">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row>
    <row r="171" ht="15.75" customHeight="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row>
    <row r="172" ht="15.75" customHeight="1">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row>
    <row r="173" ht="15.75" customHeight="1">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row>
    <row r="174" ht="15.75" customHeight="1">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row>
    <row r="175" ht="15.75" customHeight="1">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row>
    <row r="176" ht="15.75" customHeight="1">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row>
    <row r="177" ht="15.75" customHeight="1">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row>
    <row r="178" ht="15.75" customHeight="1">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row>
    <row r="179" ht="15.75" customHeight="1">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row>
    <row r="180" ht="15.75" customHeight="1">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row>
    <row r="181" ht="15.75" customHeight="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row>
    <row r="182" ht="15.75" customHeight="1">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row>
    <row r="183" ht="15.75" customHeight="1">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row>
    <row r="184" ht="15.75" customHeight="1">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row>
    <row r="185" ht="15.75" customHeight="1">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row>
    <row r="186" ht="15.75" customHeight="1">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row>
    <row r="187" ht="15.75" customHeight="1">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row>
    <row r="188" ht="15.75" customHeight="1">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row>
    <row r="189" ht="15.75" customHeight="1">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row>
    <row r="190" ht="15.75" customHeight="1">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row>
    <row r="191" ht="15.75" customHeight="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row>
    <row r="192" ht="15.75" customHeight="1">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row>
    <row r="193" ht="15.75" customHeight="1">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row>
    <row r="194" ht="15.75" customHeight="1">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row>
    <row r="195" ht="15.75" customHeight="1">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row>
    <row r="196" ht="15.75" customHeight="1">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row>
    <row r="197" ht="15.75" customHeight="1">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row>
    <row r="198" ht="15.75" customHeight="1">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row>
    <row r="199" ht="15.75" customHeight="1">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row>
    <row r="200" ht="15.75" customHeight="1">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row>
    <row r="201" ht="15.75" customHeight="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row>
    <row r="202" ht="15.75" customHeight="1">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row>
    <row r="203" ht="15.75" customHeight="1">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row>
    <row r="204" ht="15.75" customHeight="1">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row>
    <row r="205" ht="15.75" customHeight="1">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row>
    <row r="206" ht="15.75" customHeight="1">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row>
    <row r="207" ht="15.75" customHeight="1">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row>
    <row r="208" ht="15.75" customHeight="1">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row>
    <row r="209" ht="15.75" customHeight="1">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row>
    <row r="210" ht="15.75" customHeight="1">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row>
    <row r="211" ht="15.75" customHeight="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row>
    <row r="212" ht="15.75" customHeight="1">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row>
    <row r="213" ht="15.75" customHeight="1">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row>
    <row r="214" ht="15.75" customHeight="1">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row>
    <row r="215" ht="15.75" customHeight="1">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row>
    <row r="216" ht="15.75" customHeight="1">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row>
    <row r="217" ht="15.75" customHeight="1">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row>
    <row r="218" ht="15.75" customHeight="1">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row>
    <row r="219" ht="15.75" customHeight="1">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row>
    <row r="220" ht="15.75" customHeight="1">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5"/>
    <hyperlink r:id="rId2" ref="C7"/>
    <hyperlink r:id="rId3" ref="C8"/>
    <hyperlink r:id="rId4" ref="C9"/>
    <hyperlink r:id="rId5" ref="C11"/>
    <hyperlink r:id="rId6" ref="C12"/>
  </hyperlinks>
  <drawing r:id="rId7"/>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25"/>
    <col customWidth="1" min="2" max="2" width="44.5"/>
    <col customWidth="1" min="3" max="3" width="39.13"/>
    <col customWidth="1" min="4" max="5" width="31.63"/>
    <col customWidth="1" min="6" max="6" width="19.88"/>
  </cols>
  <sheetData>
    <row r="1" ht="15.75" customHeight="1">
      <c r="A1" s="318" t="s">
        <v>5321</v>
      </c>
      <c r="B1" s="143" t="s">
        <v>5322</v>
      </c>
      <c r="C1" s="143"/>
      <c r="D1" s="143"/>
      <c r="E1" s="143"/>
      <c r="F1" s="143"/>
      <c r="G1" s="143"/>
      <c r="H1" s="143"/>
      <c r="I1" s="143"/>
      <c r="J1" s="143"/>
      <c r="K1" s="143"/>
      <c r="L1" s="143"/>
      <c r="M1" s="143"/>
      <c r="N1" s="143"/>
      <c r="O1" s="143"/>
      <c r="P1" s="143"/>
      <c r="Q1" s="143"/>
      <c r="R1" s="143"/>
      <c r="S1" s="143"/>
      <c r="T1" s="143"/>
      <c r="U1" s="143"/>
      <c r="V1" s="143"/>
      <c r="W1" s="143"/>
      <c r="X1" s="143"/>
      <c r="Y1" s="143"/>
      <c r="Z1" s="143"/>
    </row>
    <row r="2" ht="15.75" customHeight="1">
      <c r="A2" s="143"/>
      <c r="B2" s="143"/>
      <c r="C2" s="143"/>
      <c r="D2" s="143"/>
      <c r="E2" s="143"/>
      <c r="F2" s="143"/>
      <c r="G2" s="143"/>
      <c r="H2" s="143"/>
      <c r="I2" s="143"/>
      <c r="J2" s="143"/>
      <c r="K2" s="143"/>
      <c r="L2" s="143"/>
      <c r="M2" s="143"/>
      <c r="N2" s="143"/>
      <c r="O2" s="143"/>
      <c r="P2" s="143"/>
      <c r="Q2" s="143"/>
      <c r="R2" s="143"/>
      <c r="S2" s="143"/>
      <c r="T2" s="143"/>
      <c r="U2" s="143"/>
      <c r="V2" s="143"/>
      <c r="W2" s="143"/>
      <c r="X2" s="143"/>
      <c r="Y2" s="143"/>
      <c r="Z2" s="143"/>
    </row>
    <row r="3" ht="15.75" customHeight="1">
      <c r="A3" s="319" t="s">
        <v>4013</v>
      </c>
      <c r="B3" s="319" t="s">
        <v>4014</v>
      </c>
      <c r="C3" s="319" t="s">
        <v>4259</v>
      </c>
      <c r="D3" s="319" t="s">
        <v>4260</v>
      </c>
      <c r="E3" s="319" t="s">
        <v>4015</v>
      </c>
      <c r="F3" s="319" t="s">
        <v>4016</v>
      </c>
      <c r="G3" s="143"/>
      <c r="H3" s="143"/>
      <c r="I3" s="143"/>
      <c r="J3" s="143"/>
      <c r="K3" s="143"/>
      <c r="L3" s="143"/>
      <c r="M3" s="143"/>
      <c r="N3" s="143"/>
      <c r="O3" s="143"/>
      <c r="P3" s="143"/>
      <c r="Q3" s="143"/>
      <c r="R3" s="143"/>
      <c r="S3" s="143"/>
      <c r="T3" s="143"/>
      <c r="U3" s="143"/>
      <c r="V3" s="143"/>
      <c r="W3" s="143"/>
      <c r="X3" s="143"/>
      <c r="Y3" s="143"/>
      <c r="Z3" s="143"/>
    </row>
    <row r="4" ht="15.75" customHeight="1">
      <c r="A4" s="320" t="s">
        <v>5323</v>
      </c>
      <c r="B4" s="320" t="s">
        <v>5324</v>
      </c>
      <c r="C4" s="349" t="s">
        <v>5325</v>
      </c>
      <c r="D4" s="143"/>
      <c r="E4" s="348" t="s">
        <v>5187</v>
      </c>
      <c r="F4" s="143"/>
      <c r="G4" s="143"/>
      <c r="H4" s="143"/>
      <c r="I4" s="143"/>
      <c r="J4" s="143"/>
      <c r="K4" s="143"/>
      <c r="L4" s="143"/>
      <c r="M4" s="143"/>
      <c r="N4" s="143"/>
      <c r="O4" s="143"/>
      <c r="P4" s="143"/>
      <c r="Q4" s="143"/>
      <c r="R4" s="143"/>
      <c r="S4" s="143"/>
      <c r="T4" s="143"/>
      <c r="U4" s="143"/>
      <c r="V4" s="143"/>
      <c r="W4" s="143"/>
      <c r="X4" s="143"/>
      <c r="Y4" s="143"/>
      <c r="Z4" s="143"/>
    </row>
    <row r="5" ht="15.75" customHeight="1">
      <c r="A5" s="320" t="s">
        <v>5326</v>
      </c>
      <c r="B5" s="320" t="s">
        <v>5327</v>
      </c>
      <c r="C5" s="349" t="s">
        <v>5328</v>
      </c>
      <c r="D5" s="143"/>
      <c r="E5" s="143"/>
      <c r="F5" s="143"/>
      <c r="G5" s="143"/>
      <c r="H5" s="143"/>
      <c r="I5" s="143"/>
      <c r="J5" s="143"/>
      <c r="K5" s="143"/>
      <c r="L5" s="143"/>
      <c r="M5" s="143"/>
      <c r="N5" s="143"/>
      <c r="O5" s="143"/>
      <c r="P5" s="143"/>
      <c r="Q5" s="143"/>
      <c r="R5" s="143"/>
      <c r="S5" s="143"/>
      <c r="T5" s="143"/>
      <c r="U5" s="143"/>
      <c r="V5" s="143"/>
      <c r="W5" s="143"/>
      <c r="X5" s="143"/>
      <c r="Y5" s="143"/>
      <c r="Z5" s="143"/>
    </row>
    <row r="6" ht="15.75" customHeight="1">
      <c r="A6" s="320" t="s">
        <v>5329</v>
      </c>
      <c r="B6" s="320" t="s">
        <v>5330</v>
      </c>
      <c r="C6" s="349" t="s">
        <v>5331</v>
      </c>
      <c r="D6" s="143"/>
      <c r="E6" s="143"/>
      <c r="F6" s="143"/>
      <c r="G6" s="143"/>
      <c r="H6" s="143"/>
      <c r="I6" s="143"/>
      <c r="J6" s="143"/>
      <c r="K6" s="143"/>
      <c r="L6" s="143"/>
      <c r="M6" s="143"/>
      <c r="N6" s="143"/>
      <c r="O6" s="143"/>
      <c r="P6" s="143"/>
      <c r="Q6" s="143"/>
      <c r="R6" s="143"/>
      <c r="S6" s="143"/>
      <c r="T6" s="143"/>
      <c r="U6" s="143"/>
      <c r="V6" s="143"/>
      <c r="W6" s="143"/>
      <c r="X6" s="143"/>
      <c r="Y6" s="143"/>
      <c r="Z6" s="143"/>
    </row>
    <row r="7" ht="15.75" customHeight="1">
      <c r="A7" s="320" t="s">
        <v>5332</v>
      </c>
      <c r="B7" s="320" t="s">
        <v>5333</v>
      </c>
      <c r="C7" s="349" t="s">
        <v>5334</v>
      </c>
      <c r="D7" s="143"/>
      <c r="E7" s="143"/>
      <c r="F7" s="143"/>
      <c r="G7" s="143"/>
      <c r="H7" s="143"/>
      <c r="I7" s="143"/>
      <c r="J7" s="143"/>
      <c r="K7" s="143"/>
      <c r="L7" s="143"/>
      <c r="M7" s="143"/>
      <c r="N7" s="143"/>
      <c r="O7" s="143"/>
      <c r="P7" s="143"/>
      <c r="Q7" s="143"/>
      <c r="R7" s="143"/>
      <c r="S7" s="143"/>
      <c r="T7" s="143"/>
      <c r="U7" s="143"/>
      <c r="V7" s="143"/>
      <c r="W7" s="143"/>
      <c r="X7" s="143"/>
      <c r="Y7" s="143"/>
      <c r="Z7" s="143"/>
    </row>
    <row r="8" ht="15.75" customHeight="1">
      <c r="A8" s="320" t="s">
        <v>5335</v>
      </c>
      <c r="B8" s="320" t="s">
        <v>5336</v>
      </c>
      <c r="C8" s="349" t="s">
        <v>5337</v>
      </c>
      <c r="D8" s="143"/>
      <c r="E8" s="143"/>
      <c r="F8" s="143"/>
      <c r="G8" s="143"/>
      <c r="H8" s="143"/>
      <c r="I8" s="143"/>
      <c r="J8" s="143"/>
      <c r="K8" s="143"/>
      <c r="L8" s="143"/>
      <c r="M8" s="143"/>
      <c r="N8" s="143"/>
      <c r="O8" s="143"/>
      <c r="P8" s="143"/>
      <c r="Q8" s="143"/>
      <c r="R8" s="143"/>
      <c r="S8" s="143"/>
      <c r="T8" s="143"/>
      <c r="U8" s="143"/>
      <c r="V8" s="143"/>
      <c r="W8" s="143"/>
      <c r="X8" s="143"/>
      <c r="Y8" s="143"/>
      <c r="Z8" s="143"/>
    </row>
    <row r="9" ht="15.75" customHeight="1">
      <c r="A9" s="320" t="s">
        <v>5338</v>
      </c>
      <c r="B9" s="320" t="s">
        <v>5339</v>
      </c>
      <c r="C9" s="143"/>
      <c r="D9" s="143"/>
      <c r="E9" s="143"/>
      <c r="F9" s="143"/>
      <c r="G9" s="143"/>
      <c r="H9" s="143"/>
      <c r="I9" s="143"/>
      <c r="J9" s="143"/>
      <c r="K9" s="143"/>
      <c r="L9" s="143"/>
      <c r="M9" s="143"/>
      <c r="N9" s="143"/>
      <c r="O9" s="143"/>
      <c r="P9" s="143"/>
      <c r="Q9" s="143"/>
      <c r="R9" s="143"/>
      <c r="S9" s="143"/>
      <c r="T9" s="143"/>
      <c r="U9" s="143"/>
      <c r="V9" s="143"/>
      <c r="W9" s="143"/>
      <c r="X9" s="143"/>
      <c r="Y9" s="143"/>
      <c r="Z9" s="143"/>
    </row>
    <row r="10" ht="15.75" customHeight="1">
      <c r="A10" s="320"/>
      <c r="B10" s="320"/>
      <c r="C10" s="143"/>
      <c r="D10" s="143"/>
      <c r="E10" s="143"/>
      <c r="F10" s="143"/>
      <c r="G10" s="143"/>
      <c r="H10" s="143"/>
      <c r="I10" s="143"/>
      <c r="J10" s="143"/>
      <c r="K10" s="143"/>
      <c r="L10" s="143"/>
      <c r="M10" s="143"/>
      <c r="N10" s="143"/>
      <c r="O10" s="143"/>
      <c r="P10" s="143"/>
      <c r="Q10" s="143"/>
      <c r="R10" s="143"/>
      <c r="S10" s="143"/>
      <c r="T10" s="143"/>
      <c r="U10" s="143"/>
      <c r="V10" s="143"/>
      <c r="W10" s="143"/>
      <c r="X10" s="143"/>
      <c r="Y10" s="143"/>
      <c r="Z10" s="143"/>
    </row>
    <row r="11" ht="15.75" customHeight="1">
      <c r="A11" s="320"/>
      <c r="B11" s="320"/>
      <c r="C11" s="143"/>
      <c r="D11" s="143"/>
      <c r="E11" s="143"/>
      <c r="F11" s="143"/>
      <c r="G11" s="143"/>
      <c r="H11" s="143"/>
      <c r="I11" s="143"/>
      <c r="J11" s="143"/>
      <c r="K11" s="143"/>
      <c r="L11" s="143"/>
      <c r="M11" s="143"/>
      <c r="N11" s="143"/>
      <c r="O11" s="143"/>
      <c r="P11" s="143"/>
      <c r="Q11" s="143"/>
      <c r="R11" s="143"/>
      <c r="S11" s="143"/>
      <c r="T11" s="143"/>
      <c r="U11" s="143"/>
      <c r="V11" s="143"/>
      <c r="W11" s="143"/>
      <c r="X11" s="143"/>
      <c r="Y11" s="143"/>
      <c r="Z11" s="143"/>
    </row>
    <row r="12" ht="15.75" customHeight="1">
      <c r="A12" s="320"/>
      <c r="B12" s="320"/>
      <c r="C12" s="143"/>
      <c r="D12" s="143"/>
      <c r="E12" s="143"/>
      <c r="F12" s="143"/>
      <c r="G12" s="143"/>
      <c r="H12" s="143"/>
      <c r="I12" s="143"/>
      <c r="J12" s="143"/>
      <c r="K12" s="143"/>
      <c r="L12" s="143"/>
      <c r="M12" s="143"/>
      <c r="N12" s="143"/>
      <c r="O12" s="143"/>
      <c r="P12" s="143"/>
      <c r="Q12" s="143"/>
      <c r="R12" s="143"/>
      <c r="S12" s="143"/>
      <c r="T12" s="143"/>
      <c r="U12" s="143"/>
      <c r="V12" s="143"/>
      <c r="W12" s="143"/>
      <c r="X12" s="143"/>
      <c r="Y12" s="143"/>
      <c r="Z12" s="143"/>
    </row>
    <row r="13" ht="15.75" customHeight="1">
      <c r="A13" s="320"/>
      <c r="B13" s="320"/>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row>
    <row r="14" ht="15.75" customHeight="1">
      <c r="A14" s="320"/>
      <c r="B14" s="320"/>
      <c r="C14" s="143"/>
      <c r="D14" s="143"/>
      <c r="E14" s="143"/>
      <c r="F14" s="143"/>
      <c r="G14" s="143"/>
      <c r="H14" s="143"/>
      <c r="I14" s="143"/>
      <c r="J14" s="143"/>
      <c r="K14" s="143"/>
      <c r="L14" s="143"/>
      <c r="M14" s="143"/>
      <c r="N14" s="143"/>
      <c r="O14" s="143"/>
      <c r="P14" s="143"/>
      <c r="Q14" s="143"/>
      <c r="R14" s="143"/>
      <c r="S14" s="143"/>
      <c r="T14" s="143"/>
      <c r="U14" s="143"/>
      <c r="V14" s="143"/>
      <c r="W14" s="143"/>
      <c r="X14" s="143"/>
      <c r="Y14" s="143"/>
      <c r="Z14" s="143"/>
    </row>
    <row r="15" ht="15.75" customHeight="1">
      <c r="A15" s="320"/>
      <c r="B15" s="320"/>
      <c r="C15" s="143"/>
      <c r="D15" s="143"/>
      <c r="E15" s="143"/>
      <c r="F15" s="143"/>
      <c r="G15" s="143"/>
      <c r="H15" s="143"/>
      <c r="I15" s="143"/>
      <c r="J15" s="143"/>
      <c r="K15" s="143"/>
      <c r="L15" s="143"/>
      <c r="M15" s="143"/>
      <c r="N15" s="143"/>
      <c r="O15" s="143"/>
      <c r="P15" s="143"/>
      <c r="Q15" s="143"/>
      <c r="R15" s="143"/>
      <c r="S15" s="143"/>
      <c r="T15" s="143"/>
      <c r="U15" s="143"/>
      <c r="V15" s="143"/>
      <c r="W15" s="143"/>
      <c r="X15" s="143"/>
      <c r="Y15" s="143"/>
      <c r="Z15" s="143"/>
    </row>
    <row r="16" ht="15.75" customHeight="1">
      <c r="A16" s="320"/>
      <c r="B16" s="320"/>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row>
    <row r="17" ht="15.75" customHeight="1">
      <c r="A17" s="320"/>
      <c r="B17" s="320"/>
      <c r="C17" s="143"/>
      <c r="D17" s="143"/>
      <c r="E17" s="143"/>
      <c r="F17" s="143"/>
      <c r="G17" s="143"/>
      <c r="H17" s="143"/>
      <c r="I17" s="143"/>
      <c r="J17" s="143"/>
      <c r="K17" s="143"/>
      <c r="L17" s="143"/>
      <c r="M17" s="143"/>
      <c r="N17" s="143"/>
      <c r="O17" s="143"/>
      <c r="P17" s="143"/>
      <c r="Q17" s="143"/>
      <c r="R17" s="143"/>
      <c r="S17" s="143"/>
      <c r="T17" s="143"/>
      <c r="U17" s="143"/>
      <c r="V17" s="143"/>
      <c r="W17" s="143"/>
      <c r="X17" s="143"/>
      <c r="Y17" s="143"/>
      <c r="Z17" s="143"/>
    </row>
    <row r="18" ht="15.75" customHeight="1">
      <c r="A18" s="320"/>
      <c r="B18" s="320"/>
      <c r="C18" s="143"/>
      <c r="D18" s="143"/>
      <c r="E18" s="143"/>
      <c r="F18" s="143"/>
      <c r="G18" s="143"/>
      <c r="H18" s="143"/>
      <c r="I18" s="143"/>
      <c r="J18" s="143"/>
      <c r="K18" s="143"/>
      <c r="L18" s="143"/>
      <c r="M18" s="143"/>
      <c r="N18" s="143"/>
      <c r="O18" s="143"/>
      <c r="P18" s="143"/>
      <c r="Q18" s="143"/>
      <c r="R18" s="143"/>
      <c r="S18" s="143"/>
      <c r="T18" s="143"/>
      <c r="U18" s="143"/>
      <c r="V18" s="143"/>
      <c r="W18" s="143"/>
      <c r="X18" s="143"/>
      <c r="Y18" s="143"/>
      <c r="Z18" s="143"/>
    </row>
    <row r="19" ht="15.75" customHeight="1">
      <c r="A19" s="320"/>
      <c r="B19" s="320"/>
      <c r="C19" s="143"/>
      <c r="D19" s="143"/>
      <c r="E19" s="143"/>
      <c r="F19" s="143"/>
      <c r="G19" s="143"/>
      <c r="H19" s="143"/>
      <c r="I19" s="143"/>
      <c r="J19" s="143"/>
      <c r="K19" s="143"/>
      <c r="L19" s="143"/>
      <c r="M19" s="143"/>
      <c r="N19" s="143"/>
      <c r="O19" s="143"/>
      <c r="P19" s="143"/>
      <c r="Q19" s="143"/>
      <c r="R19" s="143"/>
      <c r="S19" s="143"/>
      <c r="T19" s="143"/>
      <c r="U19" s="143"/>
      <c r="V19" s="143"/>
      <c r="W19" s="143"/>
      <c r="X19" s="143"/>
      <c r="Y19" s="143"/>
      <c r="Z19" s="143"/>
    </row>
    <row r="20" ht="15.75" customHeight="1">
      <c r="A20" s="320"/>
      <c r="B20" s="320"/>
      <c r="C20" s="143"/>
      <c r="D20" s="143"/>
      <c r="E20" s="143"/>
      <c r="F20" s="143"/>
      <c r="G20" s="143"/>
      <c r="H20" s="143"/>
      <c r="I20" s="143"/>
      <c r="J20" s="143"/>
      <c r="K20" s="143"/>
      <c r="L20" s="143"/>
      <c r="M20" s="143"/>
      <c r="N20" s="143"/>
      <c r="O20" s="143"/>
      <c r="P20" s="143"/>
      <c r="Q20" s="143"/>
      <c r="R20" s="143"/>
      <c r="S20" s="143"/>
      <c r="T20" s="143"/>
      <c r="U20" s="143"/>
      <c r="V20" s="143"/>
      <c r="W20" s="143"/>
      <c r="X20" s="143"/>
      <c r="Y20" s="143"/>
      <c r="Z20" s="143"/>
    </row>
    <row r="21" ht="15.75" customHeight="1">
      <c r="A21" s="320"/>
      <c r="B21" s="320"/>
      <c r="C21" s="143"/>
      <c r="D21" s="143"/>
      <c r="E21" s="143"/>
      <c r="F21" s="143"/>
      <c r="G21" s="143"/>
      <c r="H21" s="143"/>
      <c r="I21" s="143"/>
      <c r="J21" s="143"/>
      <c r="K21" s="143"/>
      <c r="L21" s="143"/>
      <c r="M21" s="143"/>
      <c r="N21" s="143"/>
      <c r="O21" s="143"/>
      <c r="P21" s="143"/>
      <c r="Q21" s="143"/>
      <c r="R21" s="143"/>
      <c r="S21" s="143"/>
      <c r="T21" s="143"/>
      <c r="U21" s="143"/>
      <c r="V21" s="143"/>
      <c r="W21" s="143"/>
      <c r="X21" s="143"/>
      <c r="Y21" s="143"/>
      <c r="Z21" s="143"/>
    </row>
    <row r="22" ht="15.75" customHeight="1">
      <c r="A22" s="320"/>
      <c r="B22" s="320"/>
      <c r="C22" s="143"/>
      <c r="D22" s="143"/>
      <c r="E22" s="143"/>
      <c r="F22" s="143"/>
      <c r="G22" s="143"/>
      <c r="H22" s="143"/>
      <c r="I22" s="143"/>
      <c r="J22" s="143"/>
      <c r="K22" s="143"/>
      <c r="L22" s="143"/>
      <c r="M22" s="143"/>
      <c r="N22" s="143"/>
      <c r="O22" s="143"/>
      <c r="P22" s="143"/>
      <c r="Q22" s="143"/>
      <c r="R22" s="143"/>
      <c r="S22" s="143"/>
      <c r="T22" s="143"/>
      <c r="U22" s="143"/>
      <c r="V22" s="143"/>
      <c r="W22" s="143"/>
      <c r="X22" s="143"/>
      <c r="Y22" s="143"/>
      <c r="Z22" s="143"/>
    </row>
    <row r="23" ht="15.75" customHeight="1">
      <c r="A23" s="320"/>
      <c r="B23" s="320"/>
      <c r="C23" s="143"/>
      <c r="D23" s="143"/>
      <c r="E23" s="143"/>
      <c r="F23" s="143"/>
      <c r="G23" s="143"/>
      <c r="H23" s="143"/>
      <c r="I23" s="143"/>
      <c r="J23" s="143"/>
      <c r="K23" s="143"/>
      <c r="L23" s="143"/>
      <c r="M23" s="143"/>
      <c r="N23" s="143"/>
      <c r="O23" s="143"/>
      <c r="P23" s="143"/>
      <c r="Q23" s="143"/>
      <c r="R23" s="143"/>
      <c r="S23" s="143"/>
      <c r="T23" s="143"/>
      <c r="U23" s="143"/>
      <c r="V23" s="143"/>
      <c r="W23" s="143"/>
      <c r="X23" s="143"/>
      <c r="Y23" s="143"/>
      <c r="Z23" s="143"/>
    </row>
    <row r="24" ht="15.75" customHeight="1">
      <c r="A24" s="320"/>
      <c r="B24" s="320"/>
      <c r="C24" s="143"/>
      <c r="D24" s="143"/>
      <c r="E24" s="143"/>
      <c r="F24" s="143"/>
      <c r="G24" s="143"/>
      <c r="H24" s="143"/>
      <c r="I24" s="143"/>
      <c r="J24" s="143"/>
      <c r="K24" s="143"/>
      <c r="L24" s="143"/>
      <c r="M24" s="143"/>
      <c r="N24" s="143"/>
      <c r="O24" s="143"/>
      <c r="P24" s="143"/>
      <c r="Q24" s="143"/>
      <c r="R24" s="143"/>
      <c r="S24" s="143"/>
      <c r="T24" s="143"/>
      <c r="U24" s="143"/>
      <c r="V24" s="143"/>
      <c r="W24" s="143"/>
      <c r="X24" s="143"/>
      <c r="Y24" s="143"/>
      <c r="Z24" s="143"/>
    </row>
    <row r="25" ht="15.75" customHeight="1">
      <c r="A25" s="320"/>
      <c r="B25" s="320"/>
      <c r="C25" s="143"/>
      <c r="D25" s="143"/>
      <c r="E25" s="143"/>
      <c r="F25" s="143"/>
      <c r="G25" s="143"/>
      <c r="H25" s="143"/>
      <c r="I25" s="143"/>
      <c r="J25" s="143"/>
      <c r="K25" s="143"/>
      <c r="L25" s="143"/>
      <c r="M25" s="143"/>
      <c r="N25" s="143"/>
      <c r="O25" s="143"/>
      <c r="P25" s="143"/>
      <c r="Q25" s="143"/>
      <c r="R25" s="143"/>
      <c r="S25" s="143"/>
      <c r="T25" s="143"/>
      <c r="U25" s="143"/>
      <c r="V25" s="143"/>
      <c r="W25" s="143"/>
      <c r="X25" s="143"/>
      <c r="Y25" s="143"/>
      <c r="Z25" s="143"/>
    </row>
    <row r="26" ht="15.75" customHeight="1">
      <c r="A26" s="320"/>
      <c r="B26" s="320"/>
      <c r="C26" s="143"/>
      <c r="D26" s="143"/>
      <c r="E26" s="143"/>
      <c r="F26" s="143"/>
      <c r="G26" s="143"/>
      <c r="H26" s="143"/>
      <c r="I26" s="143"/>
      <c r="J26" s="143"/>
      <c r="K26" s="143"/>
      <c r="L26" s="143"/>
      <c r="M26" s="143"/>
      <c r="N26" s="143"/>
      <c r="O26" s="143"/>
      <c r="P26" s="143"/>
      <c r="Q26" s="143"/>
      <c r="R26" s="143"/>
      <c r="S26" s="143"/>
      <c r="T26" s="143"/>
      <c r="U26" s="143"/>
      <c r="V26" s="143"/>
      <c r="W26" s="143"/>
      <c r="X26" s="143"/>
      <c r="Y26" s="143"/>
      <c r="Z26" s="143"/>
    </row>
    <row r="27" ht="15.75" customHeight="1">
      <c r="A27" s="320"/>
      <c r="B27" s="320"/>
      <c r="C27" s="143"/>
      <c r="D27" s="143"/>
      <c r="E27" s="143"/>
      <c r="F27" s="143"/>
      <c r="G27" s="143"/>
      <c r="H27" s="143"/>
      <c r="I27" s="143"/>
      <c r="J27" s="143"/>
      <c r="K27" s="143"/>
      <c r="L27" s="143"/>
      <c r="M27" s="143"/>
      <c r="N27" s="143"/>
      <c r="O27" s="143"/>
      <c r="P27" s="143"/>
      <c r="Q27" s="143"/>
      <c r="R27" s="143"/>
      <c r="S27" s="143"/>
      <c r="T27" s="143"/>
      <c r="U27" s="143"/>
      <c r="V27" s="143"/>
      <c r="W27" s="143"/>
      <c r="X27" s="143"/>
      <c r="Y27" s="143"/>
      <c r="Z27" s="143"/>
    </row>
    <row r="28" ht="15.75" customHeight="1">
      <c r="A28" s="320"/>
      <c r="B28" s="320"/>
      <c r="C28" s="143"/>
      <c r="D28" s="143"/>
      <c r="E28" s="143"/>
      <c r="F28" s="143"/>
      <c r="G28" s="143"/>
      <c r="H28" s="143"/>
      <c r="I28" s="143"/>
      <c r="J28" s="143"/>
      <c r="K28" s="143"/>
      <c r="L28" s="143"/>
      <c r="M28" s="143"/>
      <c r="N28" s="143"/>
      <c r="O28" s="143"/>
      <c r="P28" s="143"/>
      <c r="Q28" s="143"/>
      <c r="R28" s="143"/>
      <c r="S28" s="143"/>
      <c r="T28" s="143"/>
      <c r="U28" s="143"/>
      <c r="V28" s="143"/>
      <c r="W28" s="143"/>
      <c r="X28" s="143"/>
      <c r="Y28" s="143"/>
      <c r="Z28" s="143"/>
    </row>
    <row r="29" ht="15.75" customHeight="1">
      <c r="A29" s="320"/>
      <c r="B29" s="320"/>
      <c r="C29" s="143"/>
      <c r="D29" s="143"/>
      <c r="E29" s="143"/>
      <c r="F29" s="143"/>
      <c r="G29" s="143"/>
      <c r="H29" s="143"/>
      <c r="I29" s="143"/>
      <c r="J29" s="143"/>
      <c r="K29" s="143"/>
      <c r="L29" s="143"/>
      <c r="M29" s="143"/>
      <c r="N29" s="143"/>
      <c r="O29" s="143"/>
      <c r="P29" s="143"/>
      <c r="Q29" s="143"/>
      <c r="R29" s="143"/>
      <c r="S29" s="143"/>
      <c r="T29" s="143"/>
      <c r="U29" s="143"/>
      <c r="V29" s="143"/>
      <c r="W29" s="143"/>
      <c r="X29" s="143"/>
      <c r="Y29" s="143"/>
      <c r="Z29" s="143"/>
    </row>
    <row r="30" ht="15.75" customHeight="1">
      <c r="A30" s="143"/>
      <c r="B30" s="143"/>
      <c r="C30" s="143"/>
      <c r="D30" s="143"/>
      <c r="E30" s="143"/>
      <c r="F30" s="143"/>
      <c r="G30" s="143"/>
      <c r="H30" s="143"/>
      <c r="I30" s="143"/>
      <c r="J30" s="143"/>
      <c r="K30" s="143"/>
      <c r="L30" s="143"/>
      <c r="M30" s="143"/>
      <c r="N30" s="143"/>
      <c r="O30" s="143"/>
      <c r="P30" s="143"/>
      <c r="Q30" s="143"/>
      <c r="R30" s="143"/>
      <c r="S30" s="143"/>
      <c r="T30" s="143"/>
      <c r="U30" s="143"/>
      <c r="V30" s="143"/>
      <c r="W30" s="143"/>
      <c r="X30" s="143"/>
      <c r="Y30" s="143"/>
      <c r="Z30" s="143"/>
    </row>
    <row r="31" ht="15.75" customHeight="1">
      <c r="A31" s="143"/>
      <c r="B31" s="143"/>
      <c r="C31" s="143"/>
      <c r="D31" s="143"/>
      <c r="E31" s="143"/>
      <c r="F31" s="143"/>
      <c r="G31" s="143"/>
      <c r="H31" s="143"/>
      <c r="I31" s="143"/>
      <c r="J31" s="143"/>
      <c r="K31" s="143"/>
      <c r="L31" s="143"/>
      <c r="M31" s="143"/>
      <c r="N31" s="143"/>
      <c r="O31" s="143"/>
      <c r="P31" s="143"/>
      <c r="Q31" s="143"/>
      <c r="R31" s="143"/>
      <c r="S31" s="143"/>
      <c r="T31" s="143"/>
      <c r="U31" s="143"/>
      <c r="V31" s="143"/>
      <c r="W31" s="143"/>
      <c r="X31" s="143"/>
      <c r="Y31" s="143"/>
      <c r="Z31" s="143"/>
    </row>
    <row r="32" ht="15.75" customHeight="1">
      <c r="A32" s="143"/>
      <c r="B32" s="143"/>
      <c r="C32" s="143"/>
      <c r="D32" s="143"/>
      <c r="E32" s="143"/>
      <c r="F32" s="143"/>
      <c r="G32" s="143"/>
      <c r="H32" s="143"/>
      <c r="I32" s="143"/>
      <c r="J32" s="143"/>
      <c r="K32" s="143"/>
      <c r="L32" s="143"/>
      <c r="M32" s="143"/>
      <c r="N32" s="143"/>
      <c r="O32" s="143"/>
      <c r="P32" s="143"/>
      <c r="Q32" s="143"/>
      <c r="R32" s="143"/>
      <c r="S32" s="143"/>
      <c r="T32" s="143"/>
      <c r="U32" s="143"/>
      <c r="V32" s="143"/>
      <c r="W32" s="143"/>
      <c r="X32" s="143"/>
      <c r="Y32" s="143"/>
      <c r="Z32" s="143"/>
    </row>
    <row r="33" ht="15.75" customHeight="1">
      <c r="A33" s="143"/>
      <c r="B33" s="143"/>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row>
    <row r="34" ht="15.75" customHeight="1">
      <c r="A34" s="143"/>
      <c r="B34" s="143"/>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row>
    <row r="35" ht="15.75" customHeight="1">
      <c r="A35" s="143"/>
      <c r="B35" s="143"/>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row>
    <row r="36" ht="15.75" customHeight="1">
      <c r="A36" s="143"/>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row>
    <row r="37" ht="15.75" customHeight="1">
      <c r="A37" s="143"/>
      <c r="B37" s="143"/>
      <c r="C37" s="143"/>
      <c r="D37" s="143"/>
      <c r="E37" s="143"/>
      <c r="F37" s="143"/>
      <c r="G37" s="143"/>
      <c r="H37" s="143"/>
      <c r="I37" s="143"/>
      <c r="J37" s="143"/>
      <c r="K37" s="143"/>
      <c r="L37" s="143"/>
      <c r="M37" s="143"/>
      <c r="N37" s="143"/>
      <c r="O37" s="143"/>
      <c r="P37" s="143"/>
      <c r="Q37" s="143"/>
      <c r="R37" s="143"/>
      <c r="S37" s="143"/>
      <c r="T37" s="143"/>
      <c r="U37" s="143"/>
      <c r="V37" s="143"/>
      <c r="W37" s="143"/>
      <c r="X37" s="143"/>
      <c r="Y37" s="143"/>
      <c r="Z37" s="143"/>
    </row>
    <row r="38" ht="15.75" customHeight="1">
      <c r="A38" s="143"/>
      <c r="B38" s="143"/>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row>
    <row r="39" ht="15.75" customHeight="1">
      <c r="A39" s="143"/>
      <c r="B39" s="143"/>
      <c r="C39" s="143"/>
      <c r="D39" s="143"/>
      <c r="E39" s="143"/>
      <c r="F39" s="143"/>
      <c r="G39" s="143"/>
      <c r="H39" s="143"/>
      <c r="I39" s="143"/>
      <c r="J39" s="143"/>
      <c r="K39" s="143"/>
      <c r="L39" s="143"/>
      <c r="M39" s="143"/>
      <c r="N39" s="143"/>
      <c r="O39" s="143"/>
      <c r="P39" s="143"/>
      <c r="Q39" s="143"/>
      <c r="R39" s="143"/>
      <c r="S39" s="143"/>
      <c r="T39" s="143"/>
      <c r="U39" s="143"/>
      <c r="V39" s="143"/>
      <c r="W39" s="143"/>
      <c r="X39" s="143"/>
      <c r="Y39" s="143"/>
      <c r="Z39" s="143"/>
    </row>
    <row r="40" ht="15.75" customHeight="1">
      <c r="A40" s="143"/>
      <c r="B40" s="143"/>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row>
    <row r="41" ht="15.75" customHeight="1">
      <c r="A41" s="143"/>
      <c r="B41" s="143"/>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row>
    <row r="42" ht="15.75" customHeight="1">
      <c r="A42" s="143"/>
      <c r="B42" s="143"/>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row>
    <row r="43" ht="15.75" customHeight="1">
      <c r="A43" s="143"/>
      <c r="B43" s="143"/>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row>
    <row r="44" ht="15.75" customHeight="1">
      <c r="A44" s="143"/>
      <c r="B44" s="143"/>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row>
    <row r="45" ht="15.75" customHeight="1">
      <c r="A45" s="143"/>
      <c r="B45" s="143"/>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row>
    <row r="46" ht="15.75" customHeight="1">
      <c r="A46" s="143"/>
      <c r="B46" s="143"/>
      <c r="C46" s="143"/>
      <c r="D46" s="143"/>
      <c r="E46" s="143"/>
      <c r="F46" s="143"/>
      <c r="G46" s="143"/>
      <c r="H46" s="143"/>
      <c r="I46" s="143"/>
      <c r="J46" s="143"/>
      <c r="K46" s="143"/>
      <c r="L46" s="143"/>
      <c r="M46" s="143"/>
      <c r="N46" s="143"/>
      <c r="O46" s="143"/>
      <c r="P46" s="143"/>
      <c r="Q46" s="143"/>
      <c r="R46" s="143"/>
      <c r="S46" s="143"/>
      <c r="T46" s="143"/>
      <c r="U46" s="143"/>
      <c r="V46" s="143"/>
      <c r="W46" s="143"/>
      <c r="X46" s="143"/>
      <c r="Y46" s="143"/>
      <c r="Z46" s="143"/>
    </row>
    <row r="47" ht="15.75" customHeight="1">
      <c r="A47" s="143"/>
      <c r="B47" s="143"/>
      <c r="C47" s="143"/>
      <c r="D47" s="143"/>
      <c r="E47" s="143"/>
      <c r="F47" s="143"/>
      <c r="G47" s="143"/>
      <c r="H47" s="143"/>
      <c r="I47" s="143"/>
      <c r="J47" s="143"/>
      <c r="K47" s="143"/>
      <c r="L47" s="143"/>
      <c r="M47" s="143"/>
      <c r="N47" s="143"/>
      <c r="O47" s="143"/>
      <c r="P47" s="143"/>
      <c r="Q47" s="143"/>
      <c r="R47" s="143"/>
      <c r="S47" s="143"/>
      <c r="T47" s="143"/>
      <c r="U47" s="143"/>
      <c r="V47" s="143"/>
      <c r="W47" s="143"/>
      <c r="X47" s="143"/>
      <c r="Y47" s="143"/>
      <c r="Z47" s="143"/>
    </row>
    <row r="48" ht="15.75" customHeight="1">
      <c r="A48" s="143"/>
      <c r="B48" s="143"/>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row>
    <row r="49" ht="15.75" customHeight="1">
      <c r="A49" s="143"/>
      <c r="B49" s="143"/>
      <c r="C49" s="143"/>
      <c r="D49" s="143"/>
      <c r="E49" s="143"/>
      <c r="F49" s="143"/>
      <c r="G49" s="143"/>
      <c r="H49" s="143"/>
      <c r="I49" s="143"/>
      <c r="J49" s="143"/>
      <c r="K49" s="143"/>
      <c r="L49" s="143"/>
      <c r="M49" s="143"/>
      <c r="N49" s="143"/>
      <c r="O49" s="143"/>
      <c r="P49" s="143"/>
      <c r="Q49" s="143"/>
      <c r="R49" s="143"/>
      <c r="S49" s="143"/>
      <c r="T49" s="143"/>
      <c r="U49" s="143"/>
      <c r="V49" s="143"/>
      <c r="W49" s="143"/>
      <c r="X49" s="143"/>
      <c r="Y49" s="143"/>
      <c r="Z49" s="143"/>
    </row>
    <row r="50" ht="15.75" customHeight="1">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row>
    <row r="51" ht="15.75" customHeight="1">
      <c r="A51" s="143"/>
      <c r="B51" s="143"/>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row>
    <row r="52" ht="15.75" customHeight="1">
      <c r="A52" s="143"/>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row>
    <row r="53" ht="15.75" customHeight="1">
      <c r="A53" s="143"/>
      <c r="B53" s="143"/>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row>
    <row r="54" ht="15.75" customHeight="1">
      <c r="A54" s="143"/>
      <c r="B54" s="143"/>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row>
    <row r="55" ht="15.75" customHeight="1">
      <c r="A55" s="143"/>
      <c r="B55" s="143"/>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row>
    <row r="56" ht="15.75" customHeight="1">
      <c r="A56" s="143"/>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row>
    <row r="57" ht="15.75" customHeight="1">
      <c r="A57" s="143"/>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row>
    <row r="58" ht="15.75" customHeight="1">
      <c r="A58" s="143"/>
      <c r="B58" s="143"/>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row>
    <row r="59" ht="15.75" customHeight="1">
      <c r="A59" s="143"/>
      <c r="B59" s="143"/>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row>
    <row r="60" ht="15.75" customHeight="1">
      <c r="A60" s="143"/>
      <c r="B60" s="143"/>
      <c r="C60" s="143"/>
      <c r="D60" s="143"/>
      <c r="E60" s="143"/>
      <c r="F60" s="143"/>
      <c r="G60" s="143"/>
      <c r="H60" s="143"/>
      <c r="I60" s="143"/>
      <c r="J60" s="143"/>
      <c r="K60" s="143"/>
      <c r="L60" s="143"/>
      <c r="M60" s="143"/>
      <c r="N60" s="143"/>
      <c r="O60" s="143"/>
      <c r="P60" s="143"/>
      <c r="Q60" s="143"/>
      <c r="R60" s="143"/>
      <c r="S60" s="143"/>
      <c r="T60" s="143"/>
      <c r="U60" s="143"/>
      <c r="V60" s="143"/>
      <c r="W60" s="143"/>
      <c r="X60" s="143"/>
      <c r="Y60" s="143"/>
      <c r="Z60" s="143"/>
    </row>
    <row r="61" ht="15.75" customHeight="1">
      <c r="A61" s="143"/>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row>
    <row r="62" ht="15.75" customHeight="1">
      <c r="A62" s="143"/>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row>
    <row r="63" ht="15.75" customHeight="1">
      <c r="A63" s="143"/>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row>
    <row r="64" ht="15.75" customHeight="1">
      <c r="A64" s="143"/>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row>
    <row r="65" ht="15.75" customHeight="1">
      <c r="A65" s="143"/>
      <c r="B65" s="143"/>
      <c r="C65" s="143"/>
      <c r="D65" s="143"/>
      <c r="E65" s="143"/>
      <c r="F65" s="143"/>
      <c r="G65" s="143"/>
      <c r="H65" s="143"/>
      <c r="I65" s="143"/>
      <c r="J65" s="143"/>
      <c r="K65" s="143"/>
      <c r="L65" s="143"/>
      <c r="M65" s="143"/>
      <c r="N65" s="143"/>
      <c r="O65" s="143"/>
      <c r="P65" s="143"/>
      <c r="Q65" s="143"/>
      <c r="R65" s="143"/>
      <c r="S65" s="143"/>
      <c r="T65" s="143"/>
      <c r="U65" s="143"/>
      <c r="V65" s="143"/>
      <c r="W65" s="143"/>
      <c r="X65" s="143"/>
      <c r="Y65" s="143"/>
      <c r="Z65" s="143"/>
    </row>
    <row r="66" ht="15.75" customHeight="1">
      <c r="A66" s="143"/>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row>
    <row r="67" ht="15.75" customHeight="1">
      <c r="A67" s="143"/>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row>
    <row r="68" ht="15.75" customHeight="1">
      <c r="A68" s="143"/>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row>
    <row r="69" ht="15.75" customHeight="1">
      <c r="A69" s="143"/>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row>
    <row r="70" ht="15.75" customHeight="1">
      <c r="A70" s="143"/>
      <c r="B70" s="143"/>
      <c r="C70" s="143"/>
      <c r="D70" s="143"/>
      <c r="E70" s="143"/>
      <c r="F70" s="143"/>
      <c r="G70" s="143"/>
      <c r="H70" s="143"/>
      <c r="I70" s="143"/>
      <c r="J70" s="143"/>
      <c r="K70" s="143"/>
      <c r="L70" s="143"/>
      <c r="M70" s="143"/>
      <c r="N70" s="143"/>
      <c r="O70" s="143"/>
      <c r="P70" s="143"/>
      <c r="Q70" s="143"/>
      <c r="R70" s="143"/>
      <c r="S70" s="143"/>
      <c r="T70" s="143"/>
      <c r="U70" s="143"/>
      <c r="V70" s="143"/>
      <c r="W70" s="143"/>
      <c r="X70" s="143"/>
      <c r="Y70" s="143"/>
      <c r="Z70" s="143"/>
    </row>
    <row r="71" ht="15.75" customHeight="1">
      <c r="A71" s="143"/>
      <c r="B71" s="143"/>
      <c r="C71" s="143"/>
      <c r="D71" s="143"/>
      <c r="E71" s="143"/>
      <c r="F71" s="143"/>
      <c r="G71" s="143"/>
      <c r="H71" s="143"/>
      <c r="I71" s="143"/>
      <c r="J71" s="143"/>
      <c r="K71" s="143"/>
      <c r="L71" s="143"/>
      <c r="M71" s="143"/>
      <c r="N71" s="143"/>
      <c r="O71" s="143"/>
      <c r="P71" s="143"/>
      <c r="Q71" s="143"/>
      <c r="R71" s="143"/>
      <c r="S71" s="143"/>
      <c r="T71" s="143"/>
      <c r="U71" s="143"/>
      <c r="V71" s="143"/>
      <c r="W71" s="143"/>
      <c r="X71" s="143"/>
      <c r="Y71" s="143"/>
      <c r="Z71" s="143"/>
    </row>
    <row r="72" ht="15.75" customHeight="1">
      <c r="A72" s="143"/>
      <c r="B72" s="143"/>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row>
    <row r="73" ht="15.75" customHeight="1">
      <c r="A73" s="143"/>
      <c r="B73" s="143"/>
      <c r="C73" s="143"/>
      <c r="D73" s="143"/>
      <c r="E73" s="143"/>
      <c r="F73" s="143"/>
      <c r="G73" s="143"/>
      <c r="H73" s="143"/>
      <c r="I73" s="143"/>
      <c r="J73" s="143"/>
      <c r="K73" s="143"/>
      <c r="L73" s="143"/>
      <c r="M73" s="143"/>
      <c r="N73" s="143"/>
      <c r="O73" s="143"/>
      <c r="P73" s="143"/>
      <c r="Q73" s="143"/>
      <c r="R73" s="143"/>
      <c r="S73" s="143"/>
      <c r="T73" s="143"/>
      <c r="U73" s="143"/>
      <c r="V73" s="143"/>
      <c r="W73" s="143"/>
      <c r="X73" s="143"/>
      <c r="Y73" s="143"/>
      <c r="Z73" s="143"/>
    </row>
    <row r="74" ht="15.75" customHeight="1">
      <c r="A74" s="143"/>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row>
    <row r="75" ht="15.75" customHeight="1">
      <c r="A75" s="143"/>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row>
    <row r="76" ht="15.75" customHeight="1">
      <c r="A76" s="143"/>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143"/>
      <c r="Z76" s="143"/>
    </row>
    <row r="77" ht="15.75" customHeight="1">
      <c r="A77" s="143"/>
      <c r="B77" s="143"/>
      <c r="C77" s="143"/>
      <c r="D77" s="143"/>
      <c r="E77" s="143"/>
      <c r="F77" s="143"/>
      <c r="G77" s="143"/>
      <c r="H77" s="143"/>
      <c r="I77" s="143"/>
      <c r="J77" s="143"/>
      <c r="K77" s="143"/>
      <c r="L77" s="143"/>
      <c r="M77" s="143"/>
      <c r="N77" s="143"/>
      <c r="O77" s="143"/>
      <c r="P77" s="143"/>
      <c r="Q77" s="143"/>
      <c r="R77" s="143"/>
      <c r="S77" s="143"/>
      <c r="T77" s="143"/>
      <c r="U77" s="143"/>
      <c r="V77" s="143"/>
      <c r="W77" s="143"/>
      <c r="X77" s="143"/>
      <c r="Y77" s="143"/>
      <c r="Z77" s="143"/>
    </row>
    <row r="78" ht="15.75" customHeight="1">
      <c r="A78" s="143"/>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row>
    <row r="79" ht="15.75" customHeight="1">
      <c r="A79" s="143"/>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row>
    <row r="80" ht="15.75" customHeight="1">
      <c r="A80" s="143"/>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row>
    <row r="81" ht="15.75" customHeight="1">
      <c r="A81" s="143"/>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row>
    <row r="82" ht="15.75" customHeight="1">
      <c r="A82" s="143"/>
      <c r="B82" s="143"/>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row>
    <row r="83" ht="15.75" customHeight="1">
      <c r="A83" s="143"/>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row>
    <row r="84" ht="15.75" customHeight="1">
      <c r="A84" s="143"/>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row>
    <row r="85" ht="15.75" customHeight="1">
      <c r="A85" s="143"/>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row>
    <row r="86" ht="15.75" customHeight="1">
      <c r="A86" s="143"/>
      <c r="B86" s="143"/>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row>
    <row r="87" ht="15.75" customHeight="1">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row>
    <row r="88" ht="15.75" customHeight="1">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row>
    <row r="89" ht="15.75" customHeight="1">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row>
    <row r="90" ht="15.75" customHeight="1">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row>
    <row r="91" ht="15.75" customHeight="1">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row>
    <row r="92" ht="15.75" customHeight="1">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row>
    <row r="93" ht="15.75" customHeight="1">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row>
    <row r="94" ht="15.75" customHeight="1">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row>
    <row r="95" ht="15.75" customHeight="1">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row>
    <row r="96" ht="15.75" customHeight="1">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row>
    <row r="97" ht="15.75" customHeight="1">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row>
    <row r="98" ht="15.75" customHeight="1">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row>
    <row r="99" ht="15.75" customHeight="1">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row>
    <row r="100" ht="15.75" customHeight="1">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row>
    <row r="101" ht="15.75" customHeight="1">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row>
    <row r="102" ht="15.75" customHeight="1">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row>
    <row r="103" ht="15.75" customHeight="1">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row>
    <row r="104" ht="15.75" customHeight="1">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row>
    <row r="105" ht="15.75" customHeight="1">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row>
    <row r="106" ht="15.75" customHeight="1">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row>
    <row r="107" ht="15.75" customHeight="1">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row>
    <row r="108" ht="15.75" customHeight="1">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row>
    <row r="109" ht="15.75" customHeight="1">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row>
    <row r="110" ht="15.75" customHeight="1">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row>
    <row r="111" ht="15.75" customHeight="1">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row>
    <row r="112" ht="15.75" customHeight="1">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row>
    <row r="113" ht="15.75" customHeight="1">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row>
    <row r="114" ht="15.75" customHeight="1">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row>
    <row r="115" ht="15.75" customHeight="1">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row>
    <row r="116" ht="15.75" customHeight="1">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row>
    <row r="117" ht="15.75" customHeight="1">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row>
    <row r="118" ht="15.75" customHeight="1">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row>
    <row r="119" ht="15.75" customHeight="1">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row>
    <row r="120" ht="15.75" customHeight="1">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row>
    <row r="121" ht="15.75" customHeight="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row>
    <row r="122" ht="15.75" customHeight="1">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row>
    <row r="123" ht="15.75" customHeight="1">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row>
    <row r="124" ht="15.75" customHeight="1">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row>
    <row r="125" ht="15.75" customHeight="1">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row>
    <row r="126" ht="15.75" customHeight="1">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row>
    <row r="127" ht="15.75" customHeight="1">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row>
    <row r="128" ht="15.75" customHeight="1">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row>
    <row r="129" ht="15.75" customHeight="1">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row>
    <row r="130" ht="15.75" customHeight="1">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row>
    <row r="131" ht="15.75" customHeight="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row>
    <row r="132" ht="15.75" customHeight="1">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row>
    <row r="133" ht="15.75" customHeight="1">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row>
    <row r="134" ht="15.75" customHeight="1">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row>
    <row r="135" ht="15.75" customHeight="1">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row>
    <row r="136" ht="15.75" customHeight="1">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row>
    <row r="137" ht="15.75" customHeight="1">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row>
    <row r="138" ht="15.75" customHeight="1">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row>
    <row r="139" ht="15.75" customHeight="1">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row>
    <row r="140" ht="15.75" customHeight="1">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row>
    <row r="141" ht="15.75" customHeight="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row>
    <row r="142" ht="15.75" customHeight="1">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row>
    <row r="143" ht="15.75" customHeight="1">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row>
    <row r="144" ht="15.75" customHeight="1">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row>
    <row r="145" ht="15.75" customHeight="1">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row>
    <row r="146" ht="15.75" customHeight="1">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row>
    <row r="147" ht="15.75" customHeight="1">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row>
    <row r="148" ht="15.75" customHeight="1">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row>
    <row r="149" ht="15.75" customHeight="1">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row>
    <row r="150" ht="15.75" customHeight="1">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row>
    <row r="151" ht="15.75" customHeight="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row>
    <row r="152" ht="15.75" customHeight="1">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row>
    <row r="153" ht="15.75" customHeight="1">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row>
    <row r="154" ht="15.75" customHeight="1">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row>
    <row r="155" ht="15.75" customHeight="1">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row>
    <row r="156" ht="15.75" customHeight="1">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row>
    <row r="157" ht="15.75" customHeight="1">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row>
    <row r="158" ht="15.75" customHeight="1">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row>
    <row r="159" ht="15.75" customHeight="1">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row>
    <row r="160" ht="15.75" customHeight="1">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row>
    <row r="161" ht="15.75" customHeight="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row>
    <row r="162" ht="15.75" customHeight="1">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row>
    <row r="163" ht="15.75" customHeight="1">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row>
    <row r="164" ht="15.75" customHeight="1">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row>
    <row r="165" ht="15.75" customHeight="1">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row>
    <row r="166" ht="15.75" customHeight="1">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row>
    <row r="167" ht="15.75" customHeight="1">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row>
    <row r="168" ht="15.75" customHeight="1">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row>
    <row r="169" ht="15.75" customHeight="1">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row>
    <row r="170" ht="15.75" customHeight="1">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row>
    <row r="171" ht="15.75" customHeight="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row>
    <row r="172" ht="15.75" customHeight="1">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row>
    <row r="173" ht="15.75" customHeight="1">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row>
    <row r="174" ht="15.75" customHeight="1">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row>
    <row r="175" ht="15.75" customHeight="1">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row>
    <row r="176" ht="15.75" customHeight="1">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row>
    <row r="177" ht="15.75" customHeight="1">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row>
    <row r="178" ht="15.75" customHeight="1">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row>
    <row r="179" ht="15.75" customHeight="1">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row>
    <row r="180" ht="15.75" customHeight="1">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row>
    <row r="181" ht="15.75" customHeight="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row>
    <row r="182" ht="15.75" customHeight="1">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row>
    <row r="183" ht="15.75" customHeight="1">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row>
    <row r="184" ht="15.75" customHeight="1">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row>
    <row r="185" ht="15.75" customHeight="1">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row>
    <row r="186" ht="15.75" customHeight="1">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row>
    <row r="187" ht="15.75" customHeight="1">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row>
    <row r="188" ht="15.75" customHeight="1">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row>
    <row r="189" ht="15.75" customHeight="1">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row>
    <row r="190" ht="15.75" customHeight="1">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row>
    <row r="191" ht="15.75" customHeight="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row>
    <row r="192" ht="15.75" customHeight="1">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row>
    <row r="193" ht="15.75" customHeight="1">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row>
    <row r="194" ht="15.75" customHeight="1">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row>
    <row r="195" ht="15.75" customHeight="1">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row>
    <row r="196" ht="15.75" customHeight="1">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row>
    <row r="197" ht="15.75" customHeight="1">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row>
    <row r="198" ht="15.75" customHeight="1">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row>
    <row r="199" ht="15.75" customHeight="1">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row>
    <row r="200" ht="15.75" customHeight="1">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row>
    <row r="201" ht="15.75" customHeight="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row>
    <row r="202" ht="15.75" customHeight="1">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row>
    <row r="203" ht="15.75" customHeight="1">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row>
    <row r="204" ht="15.75" customHeight="1">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row>
    <row r="205" ht="15.75" customHeight="1">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row>
    <row r="206" ht="15.75" customHeight="1">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row>
    <row r="207" ht="15.75" customHeight="1">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row>
    <row r="208" ht="15.75" customHeight="1">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row>
    <row r="209" ht="15.75" customHeight="1">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row>
    <row r="210" ht="15.75" customHeight="1">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row>
    <row r="211" ht="15.75" customHeight="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row>
    <row r="212" ht="15.75" customHeight="1">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row>
    <row r="213" ht="15.75" customHeight="1">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row>
    <row r="214" ht="15.75" customHeight="1">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row>
    <row r="215" ht="15.75" customHeight="1">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row>
    <row r="216" ht="15.75" customHeight="1">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row>
    <row r="217" ht="15.75" customHeight="1">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row>
    <row r="218" ht="15.75" customHeight="1">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row>
    <row r="219" ht="15.75" customHeight="1">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row>
    <row r="220" ht="15.75" customHeight="1">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4"/>
    <hyperlink r:id="rId2" ref="C5"/>
    <hyperlink r:id="rId3" ref="C6"/>
    <hyperlink r:id="rId4" ref="C7"/>
    <hyperlink r:id="rId5" ref="C8"/>
  </hyperlinks>
  <drawing r:id="rId6"/>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25"/>
    <col customWidth="1" min="2" max="2" width="51.0"/>
    <col customWidth="1" min="3" max="3" width="39.13"/>
    <col customWidth="1" min="4" max="5" width="31.63"/>
    <col customWidth="1" min="6" max="6" width="19.88"/>
  </cols>
  <sheetData>
    <row r="1" ht="15.75" customHeight="1">
      <c r="A1" s="318" t="s">
        <v>5340</v>
      </c>
      <c r="B1" s="318" t="s">
        <v>4012</v>
      </c>
      <c r="C1" s="318"/>
      <c r="D1" s="318"/>
      <c r="E1" s="318"/>
      <c r="F1" s="318"/>
      <c r="G1" s="318"/>
      <c r="H1" s="318"/>
      <c r="I1" s="318"/>
      <c r="J1" s="318"/>
      <c r="K1" s="318"/>
      <c r="L1" s="318"/>
      <c r="M1" s="318"/>
      <c r="N1" s="318"/>
      <c r="O1" s="318"/>
      <c r="P1" s="318"/>
      <c r="Q1" s="318"/>
      <c r="R1" s="318"/>
      <c r="S1" s="318"/>
      <c r="T1" s="318"/>
      <c r="U1" s="318"/>
      <c r="V1" s="318"/>
      <c r="W1" s="318"/>
      <c r="X1" s="318"/>
      <c r="Y1" s="318"/>
      <c r="Z1" s="318"/>
    </row>
    <row r="2" ht="15.75" customHeight="1">
      <c r="A2" s="318"/>
      <c r="B2" s="318"/>
      <c r="C2" s="318"/>
      <c r="D2" s="318"/>
      <c r="E2" s="318"/>
      <c r="F2" s="318"/>
      <c r="G2" s="318"/>
      <c r="H2" s="318"/>
      <c r="I2" s="318"/>
      <c r="J2" s="318"/>
      <c r="K2" s="318"/>
      <c r="L2" s="318"/>
      <c r="M2" s="318"/>
      <c r="N2" s="318"/>
      <c r="O2" s="318"/>
      <c r="P2" s="318"/>
      <c r="Q2" s="318"/>
      <c r="R2" s="318"/>
      <c r="S2" s="318"/>
      <c r="T2" s="318"/>
      <c r="U2" s="318"/>
      <c r="V2" s="318"/>
      <c r="W2" s="318"/>
      <c r="X2" s="318"/>
      <c r="Y2" s="318"/>
      <c r="Z2" s="318"/>
    </row>
    <row r="3" ht="15.75" customHeight="1">
      <c r="A3" s="319" t="s">
        <v>4013</v>
      </c>
      <c r="B3" s="319" t="s">
        <v>4014</v>
      </c>
      <c r="C3" s="319" t="s">
        <v>4259</v>
      </c>
      <c r="D3" s="319" t="s">
        <v>4260</v>
      </c>
      <c r="E3" s="319" t="s">
        <v>4015</v>
      </c>
      <c r="F3" s="319" t="s">
        <v>4016</v>
      </c>
      <c r="G3" s="318"/>
      <c r="H3" s="318"/>
      <c r="I3" s="318"/>
      <c r="J3" s="318"/>
      <c r="K3" s="318"/>
      <c r="L3" s="318"/>
      <c r="M3" s="318"/>
      <c r="N3" s="318"/>
      <c r="O3" s="318"/>
      <c r="P3" s="318"/>
      <c r="Q3" s="318"/>
      <c r="R3" s="318"/>
      <c r="S3" s="318"/>
      <c r="T3" s="318"/>
      <c r="U3" s="318"/>
      <c r="V3" s="318"/>
      <c r="W3" s="318"/>
      <c r="X3" s="318"/>
      <c r="Y3" s="318"/>
      <c r="Z3" s="318"/>
    </row>
    <row r="4" ht="15.75" customHeight="1">
      <c r="A4" s="320" t="s">
        <v>5341</v>
      </c>
      <c r="B4" s="320" t="s">
        <v>5342</v>
      </c>
      <c r="C4" s="318"/>
      <c r="D4" s="318" t="s">
        <v>5343</v>
      </c>
      <c r="E4" s="347" t="s">
        <v>5187</v>
      </c>
      <c r="F4" s="318"/>
      <c r="G4" s="318"/>
      <c r="H4" s="318"/>
      <c r="I4" s="318"/>
      <c r="J4" s="318"/>
      <c r="K4" s="318"/>
      <c r="L4" s="318"/>
      <c r="M4" s="318"/>
      <c r="N4" s="318"/>
      <c r="O4" s="318"/>
      <c r="P4" s="318"/>
      <c r="Q4" s="318"/>
      <c r="R4" s="318"/>
      <c r="S4" s="318"/>
      <c r="T4" s="318"/>
      <c r="U4" s="318"/>
      <c r="V4" s="318"/>
      <c r="W4" s="318"/>
      <c r="X4" s="318"/>
      <c r="Y4" s="318"/>
      <c r="Z4" s="318"/>
    </row>
    <row r="5" ht="15.75" customHeight="1">
      <c r="A5" s="320" t="s">
        <v>5344</v>
      </c>
      <c r="B5" s="320" t="s">
        <v>5345</v>
      </c>
      <c r="C5" s="318"/>
      <c r="D5" s="318" t="s">
        <v>5346</v>
      </c>
      <c r="E5" s="318"/>
      <c r="F5" s="318"/>
      <c r="G5" s="318"/>
      <c r="H5" s="318"/>
      <c r="I5" s="318"/>
      <c r="J5" s="318"/>
      <c r="K5" s="318"/>
      <c r="L5" s="318"/>
      <c r="M5" s="318"/>
      <c r="N5" s="318"/>
      <c r="O5" s="318"/>
      <c r="P5" s="318"/>
      <c r="Q5" s="318"/>
      <c r="R5" s="318"/>
      <c r="S5" s="318"/>
      <c r="T5" s="318"/>
      <c r="U5" s="318"/>
      <c r="V5" s="318"/>
      <c r="W5" s="318"/>
      <c r="X5" s="318"/>
      <c r="Y5" s="318"/>
      <c r="Z5" s="318"/>
    </row>
    <row r="6" ht="15.75" customHeight="1">
      <c r="A6" s="320" t="s">
        <v>5347</v>
      </c>
      <c r="B6" s="320" t="s">
        <v>5348</v>
      </c>
      <c r="C6" s="318"/>
      <c r="D6" s="318" t="s">
        <v>5349</v>
      </c>
      <c r="E6" s="318"/>
      <c r="F6" s="318"/>
      <c r="G6" s="318"/>
      <c r="H6" s="318"/>
      <c r="I6" s="318"/>
      <c r="J6" s="318"/>
      <c r="K6" s="318"/>
      <c r="L6" s="318"/>
      <c r="M6" s="318"/>
      <c r="N6" s="318"/>
      <c r="O6" s="318"/>
      <c r="P6" s="318"/>
      <c r="Q6" s="318"/>
      <c r="R6" s="318"/>
      <c r="S6" s="318"/>
      <c r="T6" s="318"/>
      <c r="U6" s="318"/>
      <c r="V6" s="318"/>
      <c r="W6" s="318"/>
      <c r="X6" s="318"/>
      <c r="Y6" s="318"/>
      <c r="Z6" s="318"/>
    </row>
    <row r="7" ht="15.75" customHeight="1">
      <c r="A7" s="320" t="s">
        <v>5350</v>
      </c>
      <c r="B7" s="320" t="s">
        <v>5351</v>
      </c>
      <c r="C7" s="318"/>
      <c r="D7" s="318" t="s">
        <v>5352</v>
      </c>
      <c r="E7" s="318"/>
      <c r="F7" s="318"/>
      <c r="G7" s="318"/>
      <c r="H7" s="318"/>
      <c r="I7" s="318"/>
      <c r="J7" s="318"/>
      <c r="K7" s="318"/>
      <c r="L7" s="318"/>
      <c r="M7" s="318"/>
      <c r="N7" s="318"/>
      <c r="O7" s="318"/>
      <c r="P7" s="318"/>
      <c r="Q7" s="318"/>
      <c r="R7" s="318"/>
      <c r="S7" s="318"/>
      <c r="T7" s="318"/>
      <c r="U7" s="318"/>
      <c r="V7" s="318"/>
      <c r="W7" s="318"/>
      <c r="X7" s="318"/>
      <c r="Y7" s="318"/>
      <c r="Z7" s="318"/>
    </row>
    <row r="8" ht="15.75" customHeight="1">
      <c r="A8" s="320" t="s">
        <v>5353</v>
      </c>
      <c r="B8" s="320" t="s">
        <v>5351</v>
      </c>
      <c r="C8" s="318"/>
      <c r="D8" s="318" t="s">
        <v>5354</v>
      </c>
      <c r="E8" s="318"/>
      <c r="F8" s="318"/>
      <c r="G8" s="318"/>
      <c r="H8" s="318"/>
      <c r="I8" s="318"/>
      <c r="J8" s="318"/>
      <c r="K8" s="318"/>
      <c r="L8" s="318"/>
      <c r="M8" s="318"/>
      <c r="N8" s="318"/>
      <c r="O8" s="318"/>
      <c r="P8" s="318"/>
      <c r="Q8" s="318"/>
      <c r="R8" s="318"/>
      <c r="S8" s="318"/>
      <c r="T8" s="318"/>
      <c r="U8" s="318"/>
      <c r="V8" s="318"/>
      <c r="W8" s="318"/>
      <c r="X8" s="318"/>
      <c r="Y8" s="318"/>
      <c r="Z8" s="318"/>
    </row>
    <row r="9" ht="15.75" customHeight="1">
      <c r="A9" s="320" t="s">
        <v>5355</v>
      </c>
      <c r="B9" s="320" t="s">
        <v>5356</v>
      </c>
      <c r="C9" s="318"/>
      <c r="D9" s="318" t="s">
        <v>5357</v>
      </c>
      <c r="E9" s="318"/>
      <c r="F9" s="318"/>
      <c r="G9" s="318"/>
      <c r="H9" s="318"/>
      <c r="I9" s="318"/>
      <c r="J9" s="318"/>
      <c r="K9" s="318"/>
      <c r="L9" s="318"/>
      <c r="M9" s="318"/>
      <c r="N9" s="318"/>
      <c r="O9" s="318"/>
      <c r="P9" s="318"/>
      <c r="Q9" s="318"/>
      <c r="R9" s="318"/>
      <c r="S9" s="318"/>
      <c r="T9" s="318"/>
      <c r="U9" s="318"/>
      <c r="V9" s="318"/>
      <c r="W9" s="318"/>
      <c r="X9" s="318"/>
      <c r="Y9" s="318"/>
      <c r="Z9" s="318"/>
    </row>
    <row r="10" ht="15.75" customHeight="1">
      <c r="A10" s="320" t="s">
        <v>5358</v>
      </c>
      <c r="B10" s="320" t="s">
        <v>5359</v>
      </c>
      <c r="C10" s="318"/>
      <c r="D10" s="318" t="s">
        <v>5360</v>
      </c>
      <c r="E10" s="318"/>
      <c r="F10" s="318"/>
      <c r="G10" s="318"/>
      <c r="H10" s="318"/>
      <c r="I10" s="318"/>
      <c r="J10" s="318"/>
      <c r="K10" s="318"/>
      <c r="L10" s="318"/>
      <c r="M10" s="318"/>
      <c r="N10" s="318"/>
      <c r="O10" s="318"/>
      <c r="P10" s="318"/>
      <c r="Q10" s="318"/>
      <c r="R10" s="318"/>
      <c r="S10" s="318"/>
      <c r="T10" s="318"/>
      <c r="U10" s="318"/>
      <c r="V10" s="318"/>
      <c r="W10" s="318"/>
      <c r="X10" s="318"/>
      <c r="Y10" s="318"/>
      <c r="Z10" s="318"/>
    </row>
    <row r="11" ht="15.75" customHeight="1">
      <c r="A11" s="320" t="s">
        <v>5361</v>
      </c>
      <c r="B11" s="320" t="s">
        <v>5362</v>
      </c>
      <c r="C11" s="318"/>
      <c r="D11" s="318" t="s">
        <v>4532</v>
      </c>
      <c r="E11" s="318"/>
      <c r="F11" s="318"/>
      <c r="G11" s="318"/>
      <c r="H11" s="318"/>
      <c r="I11" s="318"/>
      <c r="J11" s="318"/>
      <c r="K11" s="318"/>
      <c r="L11" s="318"/>
      <c r="M11" s="318"/>
      <c r="N11" s="318"/>
      <c r="O11" s="318"/>
      <c r="P11" s="318"/>
      <c r="Q11" s="318"/>
      <c r="R11" s="318"/>
      <c r="S11" s="318"/>
      <c r="T11" s="318"/>
      <c r="U11" s="318"/>
      <c r="V11" s="318"/>
      <c r="W11" s="318"/>
      <c r="X11" s="318"/>
      <c r="Y11" s="318"/>
      <c r="Z11" s="318"/>
    </row>
    <row r="12" ht="15.75" customHeight="1">
      <c r="A12" s="320" t="s">
        <v>5363</v>
      </c>
      <c r="B12" s="320" t="s">
        <v>5364</v>
      </c>
      <c r="C12" s="318"/>
      <c r="D12" s="318" t="s">
        <v>5365</v>
      </c>
      <c r="E12" s="318"/>
      <c r="F12" s="318"/>
      <c r="G12" s="318"/>
      <c r="H12" s="318"/>
      <c r="I12" s="318"/>
      <c r="J12" s="318"/>
      <c r="K12" s="318"/>
      <c r="L12" s="318"/>
      <c r="M12" s="318"/>
      <c r="N12" s="318"/>
      <c r="O12" s="318"/>
      <c r="P12" s="318"/>
      <c r="Q12" s="318"/>
      <c r="R12" s="318"/>
      <c r="S12" s="318"/>
      <c r="T12" s="318"/>
      <c r="U12" s="318"/>
      <c r="V12" s="318"/>
      <c r="W12" s="318"/>
      <c r="X12" s="318"/>
      <c r="Y12" s="318"/>
      <c r="Z12" s="318"/>
    </row>
    <row r="13" ht="15.75" customHeight="1">
      <c r="A13" s="320" t="s">
        <v>5366</v>
      </c>
      <c r="B13" s="320" t="s">
        <v>5367</v>
      </c>
      <c r="C13" s="318"/>
      <c r="D13" s="318" t="s">
        <v>5368</v>
      </c>
      <c r="E13" s="318"/>
      <c r="F13" s="318"/>
      <c r="G13" s="318"/>
      <c r="H13" s="318"/>
      <c r="I13" s="318"/>
      <c r="J13" s="318"/>
      <c r="K13" s="318"/>
      <c r="L13" s="318"/>
      <c r="M13" s="318"/>
      <c r="N13" s="318"/>
      <c r="O13" s="318"/>
      <c r="P13" s="318"/>
      <c r="Q13" s="318"/>
      <c r="R13" s="318"/>
      <c r="S13" s="318"/>
      <c r="T13" s="318"/>
      <c r="U13" s="318"/>
      <c r="V13" s="318"/>
      <c r="W13" s="318"/>
      <c r="X13" s="318"/>
      <c r="Y13" s="318"/>
      <c r="Z13" s="318"/>
    </row>
    <row r="14" ht="15.75" customHeight="1">
      <c r="A14" s="320" t="s">
        <v>5369</v>
      </c>
      <c r="B14" s="320" t="s">
        <v>5370</v>
      </c>
      <c r="C14" s="318"/>
      <c r="D14" s="318" t="s">
        <v>5371</v>
      </c>
      <c r="E14" s="318"/>
      <c r="F14" s="318"/>
      <c r="G14" s="318"/>
      <c r="H14" s="318"/>
      <c r="I14" s="318"/>
      <c r="J14" s="318"/>
      <c r="K14" s="318"/>
      <c r="L14" s="318"/>
      <c r="M14" s="318"/>
      <c r="N14" s="318"/>
      <c r="O14" s="318"/>
      <c r="P14" s="318"/>
      <c r="Q14" s="318"/>
      <c r="R14" s="318"/>
      <c r="S14" s="318"/>
      <c r="T14" s="318"/>
      <c r="U14" s="318"/>
      <c r="V14" s="318"/>
      <c r="W14" s="318"/>
      <c r="X14" s="318"/>
      <c r="Y14" s="318"/>
      <c r="Z14" s="318"/>
    </row>
    <row r="15" ht="15.75" customHeight="1">
      <c r="A15" s="320" t="s">
        <v>5372</v>
      </c>
      <c r="B15" s="320" t="s">
        <v>5373</v>
      </c>
      <c r="C15" s="318"/>
      <c r="D15" s="318" t="s">
        <v>5374</v>
      </c>
      <c r="E15" s="318"/>
      <c r="F15" s="318"/>
      <c r="G15" s="318"/>
      <c r="H15" s="318"/>
      <c r="I15" s="318"/>
      <c r="J15" s="318"/>
      <c r="K15" s="318"/>
      <c r="L15" s="318"/>
      <c r="M15" s="318"/>
      <c r="N15" s="318"/>
      <c r="O15" s="318"/>
      <c r="P15" s="318"/>
      <c r="Q15" s="318"/>
      <c r="R15" s="318"/>
      <c r="S15" s="318"/>
      <c r="T15" s="318"/>
      <c r="U15" s="318"/>
      <c r="V15" s="318"/>
      <c r="W15" s="318"/>
      <c r="X15" s="318"/>
      <c r="Y15" s="318"/>
      <c r="Z15" s="318"/>
    </row>
    <row r="16" ht="15.75" customHeight="1">
      <c r="A16" s="320" t="s">
        <v>5375</v>
      </c>
      <c r="B16" s="320" t="s">
        <v>5376</v>
      </c>
      <c r="C16" s="318"/>
      <c r="D16" s="318" t="s">
        <v>5377</v>
      </c>
      <c r="E16" s="318"/>
      <c r="F16" s="318"/>
      <c r="G16" s="318"/>
      <c r="H16" s="318"/>
      <c r="I16" s="318"/>
      <c r="J16" s="318"/>
      <c r="K16" s="318"/>
      <c r="L16" s="318"/>
      <c r="M16" s="318"/>
      <c r="N16" s="318"/>
      <c r="O16" s="318"/>
      <c r="P16" s="318"/>
      <c r="Q16" s="318"/>
      <c r="R16" s="318"/>
      <c r="S16" s="318"/>
      <c r="T16" s="318"/>
      <c r="U16" s="318"/>
      <c r="V16" s="318"/>
      <c r="W16" s="318"/>
      <c r="X16" s="318"/>
      <c r="Y16" s="318"/>
      <c r="Z16" s="318"/>
    </row>
    <row r="17" ht="15.75" customHeight="1">
      <c r="A17" s="320" t="s">
        <v>5378</v>
      </c>
      <c r="B17" s="320" t="s">
        <v>5379</v>
      </c>
      <c r="C17" s="318"/>
      <c r="D17" s="318" t="s">
        <v>5380</v>
      </c>
      <c r="E17" s="318"/>
      <c r="F17" s="318"/>
      <c r="G17" s="318"/>
      <c r="H17" s="318"/>
      <c r="I17" s="318"/>
      <c r="J17" s="318"/>
      <c r="K17" s="318"/>
      <c r="L17" s="318"/>
      <c r="M17" s="318"/>
      <c r="N17" s="318"/>
      <c r="O17" s="318"/>
      <c r="P17" s="318"/>
      <c r="Q17" s="318"/>
      <c r="R17" s="318"/>
      <c r="S17" s="318"/>
      <c r="T17" s="318"/>
      <c r="U17" s="318"/>
      <c r="V17" s="318"/>
      <c r="W17" s="318"/>
      <c r="X17" s="318"/>
      <c r="Y17" s="318"/>
      <c r="Z17" s="318"/>
    </row>
    <row r="18" ht="15.75" customHeight="1">
      <c r="A18" s="320" t="s">
        <v>5381</v>
      </c>
      <c r="B18" s="320" t="s">
        <v>5382</v>
      </c>
      <c r="C18" s="318"/>
      <c r="D18" s="318" t="s">
        <v>5383</v>
      </c>
      <c r="E18" s="318"/>
      <c r="F18" s="318"/>
      <c r="G18" s="318"/>
      <c r="H18" s="318"/>
      <c r="I18" s="318"/>
      <c r="J18" s="318"/>
      <c r="K18" s="318"/>
      <c r="L18" s="318"/>
      <c r="M18" s="318"/>
      <c r="N18" s="318"/>
      <c r="O18" s="318"/>
      <c r="P18" s="318"/>
      <c r="Q18" s="318"/>
      <c r="R18" s="318"/>
      <c r="S18" s="318"/>
      <c r="T18" s="318"/>
      <c r="U18" s="318"/>
      <c r="V18" s="318"/>
      <c r="W18" s="318"/>
      <c r="X18" s="318"/>
      <c r="Y18" s="318"/>
      <c r="Z18" s="318"/>
    </row>
    <row r="19" ht="15.75" customHeight="1">
      <c r="A19" s="320" t="s">
        <v>5384</v>
      </c>
      <c r="B19" s="320" t="s">
        <v>5385</v>
      </c>
      <c r="C19" s="318"/>
      <c r="D19" s="318" t="s">
        <v>5386</v>
      </c>
      <c r="E19" s="318"/>
      <c r="F19" s="318"/>
      <c r="G19" s="318"/>
      <c r="H19" s="318"/>
      <c r="I19" s="318"/>
      <c r="J19" s="318"/>
      <c r="K19" s="318"/>
      <c r="L19" s="318"/>
      <c r="M19" s="318"/>
      <c r="N19" s="318"/>
      <c r="O19" s="318"/>
      <c r="P19" s="318"/>
      <c r="Q19" s="318"/>
      <c r="R19" s="318"/>
      <c r="S19" s="318"/>
      <c r="T19" s="318"/>
      <c r="U19" s="318"/>
      <c r="V19" s="318"/>
      <c r="W19" s="318"/>
      <c r="X19" s="318"/>
      <c r="Y19" s="318"/>
      <c r="Z19" s="318"/>
    </row>
    <row r="20" ht="15.75" customHeight="1">
      <c r="A20" s="320" t="s">
        <v>5387</v>
      </c>
      <c r="B20" s="320" t="s">
        <v>5388</v>
      </c>
      <c r="C20" s="318"/>
      <c r="D20" s="318" t="s">
        <v>5389</v>
      </c>
      <c r="E20" s="318"/>
      <c r="F20" s="318"/>
      <c r="G20" s="318"/>
      <c r="H20" s="318"/>
      <c r="I20" s="318"/>
      <c r="J20" s="318"/>
      <c r="K20" s="318"/>
      <c r="L20" s="318"/>
      <c r="M20" s="318"/>
      <c r="N20" s="318"/>
      <c r="O20" s="318"/>
      <c r="P20" s="318"/>
      <c r="Q20" s="318"/>
      <c r="R20" s="318"/>
      <c r="S20" s="318"/>
      <c r="T20" s="318"/>
      <c r="U20" s="318"/>
      <c r="V20" s="318"/>
      <c r="W20" s="318"/>
      <c r="X20" s="318"/>
      <c r="Y20" s="318"/>
      <c r="Z20" s="318"/>
    </row>
    <row r="21" ht="15.75" customHeight="1">
      <c r="A21" s="320" t="s">
        <v>5390</v>
      </c>
      <c r="B21" s="320" t="s">
        <v>5391</v>
      </c>
      <c r="C21" s="318"/>
      <c r="D21" s="318" t="s">
        <v>5392</v>
      </c>
      <c r="E21" s="318"/>
      <c r="F21" s="318"/>
      <c r="G21" s="318"/>
      <c r="H21" s="318"/>
      <c r="I21" s="318"/>
      <c r="J21" s="318"/>
      <c r="K21" s="318"/>
      <c r="L21" s="318"/>
      <c r="M21" s="318"/>
      <c r="N21" s="318"/>
      <c r="O21" s="318"/>
      <c r="P21" s="318"/>
      <c r="Q21" s="318"/>
      <c r="R21" s="318"/>
      <c r="S21" s="318"/>
      <c r="T21" s="318"/>
      <c r="U21" s="318"/>
      <c r="V21" s="318"/>
      <c r="W21" s="318"/>
      <c r="X21" s="318"/>
      <c r="Y21" s="318"/>
      <c r="Z21" s="318"/>
    </row>
    <row r="22" ht="15.75" customHeight="1">
      <c r="A22" s="320" t="s">
        <v>5393</v>
      </c>
      <c r="B22" s="320" t="s">
        <v>5394</v>
      </c>
      <c r="C22" s="318"/>
      <c r="D22" s="318" t="s">
        <v>5395</v>
      </c>
      <c r="E22" s="318"/>
      <c r="F22" s="318"/>
      <c r="G22" s="318"/>
      <c r="H22" s="318"/>
      <c r="I22" s="318"/>
      <c r="J22" s="318"/>
      <c r="K22" s="318"/>
      <c r="L22" s="318"/>
      <c r="M22" s="318"/>
      <c r="N22" s="318"/>
      <c r="O22" s="318"/>
      <c r="P22" s="318"/>
      <c r="Q22" s="318"/>
      <c r="R22" s="318"/>
      <c r="S22" s="318"/>
      <c r="T22" s="318"/>
      <c r="U22" s="318"/>
      <c r="V22" s="318"/>
      <c r="W22" s="318"/>
      <c r="X22" s="318"/>
      <c r="Y22" s="318"/>
      <c r="Z22" s="318"/>
    </row>
    <row r="23" ht="15.75" customHeight="1">
      <c r="A23" s="320" t="s">
        <v>5396</v>
      </c>
      <c r="B23" s="320" t="s">
        <v>5397</v>
      </c>
      <c r="C23" s="318"/>
      <c r="D23" s="318" t="s">
        <v>5398</v>
      </c>
      <c r="E23" s="318"/>
      <c r="F23" s="318"/>
      <c r="G23" s="318"/>
      <c r="H23" s="318"/>
      <c r="I23" s="318"/>
      <c r="J23" s="318"/>
      <c r="K23" s="318"/>
      <c r="L23" s="318"/>
      <c r="M23" s="318"/>
      <c r="N23" s="318"/>
      <c r="O23" s="318"/>
      <c r="P23" s="318"/>
      <c r="Q23" s="318"/>
      <c r="R23" s="318"/>
      <c r="S23" s="318"/>
      <c r="T23" s="318"/>
      <c r="U23" s="318"/>
      <c r="V23" s="318"/>
      <c r="W23" s="318"/>
      <c r="X23" s="318"/>
      <c r="Y23" s="318"/>
      <c r="Z23" s="318"/>
    </row>
    <row r="24" ht="15.75" customHeight="1">
      <c r="A24" s="320" t="s">
        <v>5399</v>
      </c>
      <c r="B24" s="320" t="s">
        <v>5400</v>
      </c>
      <c r="C24" s="318"/>
      <c r="D24" s="318" t="s">
        <v>5401</v>
      </c>
      <c r="E24" s="318"/>
      <c r="F24" s="318"/>
      <c r="G24" s="318"/>
      <c r="H24" s="318"/>
      <c r="I24" s="318"/>
      <c r="J24" s="318"/>
      <c r="K24" s="318"/>
      <c r="L24" s="318"/>
      <c r="M24" s="318"/>
      <c r="N24" s="318"/>
      <c r="O24" s="318"/>
      <c r="P24" s="318"/>
      <c r="Q24" s="318"/>
      <c r="R24" s="318"/>
      <c r="S24" s="318"/>
      <c r="T24" s="318"/>
      <c r="U24" s="318"/>
      <c r="V24" s="318"/>
      <c r="W24" s="318"/>
      <c r="X24" s="318"/>
      <c r="Y24" s="318"/>
      <c r="Z24" s="318"/>
    </row>
    <row r="25" ht="15.75" customHeight="1">
      <c r="A25" s="320" t="s">
        <v>5402</v>
      </c>
      <c r="B25" s="320" t="s">
        <v>5403</v>
      </c>
      <c r="C25" s="318"/>
      <c r="D25" s="318" t="s">
        <v>5404</v>
      </c>
      <c r="E25" s="318"/>
      <c r="F25" s="318"/>
      <c r="G25" s="318"/>
      <c r="H25" s="318"/>
      <c r="I25" s="318"/>
      <c r="J25" s="318"/>
      <c r="K25" s="318"/>
      <c r="L25" s="318"/>
      <c r="M25" s="318"/>
      <c r="N25" s="318"/>
      <c r="O25" s="318"/>
      <c r="P25" s="318"/>
      <c r="Q25" s="318"/>
      <c r="R25" s="318"/>
      <c r="S25" s="318"/>
      <c r="T25" s="318"/>
      <c r="U25" s="318"/>
      <c r="V25" s="318"/>
      <c r="W25" s="318"/>
      <c r="X25" s="318"/>
      <c r="Y25" s="318"/>
      <c r="Z25" s="318"/>
    </row>
    <row r="26" ht="15.75" customHeight="1">
      <c r="A26" s="320" t="s">
        <v>5405</v>
      </c>
      <c r="B26" s="320" t="s">
        <v>5406</v>
      </c>
      <c r="C26" s="318"/>
      <c r="D26" s="318" t="s">
        <v>5407</v>
      </c>
      <c r="E26" s="318"/>
      <c r="F26" s="318"/>
      <c r="G26" s="318"/>
      <c r="H26" s="318"/>
      <c r="I26" s="318"/>
      <c r="J26" s="318"/>
      <c r="K26" s="318"/>
      <c r="L26" s="318"/>
      <c r="M26" s="318"/>
      <c r="N26" s="318"/>
      <c r="O26" s="318"/>
      <c r="P26" s="318"/>
      <c r="Q26" s="318"/>
      <c r="R26" s="318"/>
      <c r="S26" s="318"/>
      <c r="T26" s="318"/>
      <c r="U26" s="318"/>
      <c r="V26" s="318"/>
      <c r="W26" s="318"/>
      <c r="X26" s="318"/>
      <c r="Y26" s="318"/>
      <c r="Z26" s="318"/>
    </row>
    <row r="27" ht="15.75" customHeight="1">
      <c r="A27" s="320" t="s">
        <v>5408</v>
      </c>
      <c r="B27" s="320" t="s">
        <v>5409</v>
      </c>
      <c r="C27" s="318"/>
      <c r="D27" s="318" t="s">
        <v>5410</v>
      </c>
      <c r="E27" s="318"/>
      <c r="F27" s="318"/>
      <c r="G27" s="318"/>
      <c r="H27" s="318"/>
      <c r="I27" s="318"/>
      <c r="J27" s="318"/>
      <c r="K27" s="318"/>
      <c r="L27" s="318"/>
      <c r="M27" s="318"/>
      <c r="N27" s="318"/>
      <c r="O27" s="318"/>
      <c r="P27" s="318"/>
      <c r="Q27" s="318"/>
      <c r="R27" s="318"/>
      <c r="S27" s="318"/>
      <c r="T27" s="318"/>
      <c r="U27" s="318"/>
      <c r="V27" s="318"/>
      <c r="W27" s="318"/>
      <c r="X27" s="318"/>
      <c r="Y27" s="318"/>
      <c r="Z27" s="318"/>
    </row>
    <row r="28" ht="15.75" customHeight="1">
      <c r="A28" s="320" t="s">
        <v>5411</v>
      </c>
      <c r="B28" s="320" t="s">
        <v>5412</v>
      </c>
      <c r="C28" s="318"/>
      <c r="D28" s="318" t="s">
        <v>5413</v>
      </c>
      <c r="E28" s="318"/>
      <c r="F28" s="318"/>
      <c r="G28" s="318"/>
      <c r="H28" s="318"/>
      <c r="I28" s="318"/>
      <c r="J28" s="318"/>
      <c r="K28" s="318"/>
      <c r="L28" s="318"/>
      <c r="M28" s="318"/>
      <c r="N28" s="318"/>
      <c r="O28" s="318"/>
      <c r="P28" s="318"/>
      <c r="Q28" s="318"/>
      <c r="R28" s="318"/>
      <c r="S28" s="318"/>
      <c r="T28" s="318"/>
      <c r="U28" s="318"/>
      <c r="V28" s="318"/>
      <c r="W28" s="318"/>
      <c r="X28" s="318"/>
      <c r="Y28" s="318"/>
      <c r="Z28" s="318"/>
    </row>
    <row r="29" ht="15.75" customHeight="1">
      <c r="A29" s="320" t="s">
        <v>5414</v>
      </c>
      <c r="B29" s="320" t="s">
        <v>5415</v>
      </c>
      <c r="C29" s="318"/>
      <c r="D29" s="318" t="s">
        <v>5416</v>
      </c>
      <c r="E29" s="318"/>
      <c r="F29" s="318"/>
      <c r="G29" s="318"/>
      <c r="H29" s="318"/>
      <c r="I29" s="318"/>
      <c r="J29" s="318"/>
      <c r="K29" s="318"/>
      <c r="L29" s="318"/>
      <c r="M29" s="318"/>
      <c r="N29" s="318"/>
      <c r="O29" s="318"/>
      <c r="P29" s="318"/>
      <c r="Q29" s="318"/>
      <c r="R29" s="318"/>
      <c r="S29" s="318"/>
      <c r="T29" s="318"/>
      <c r="U29" s="318"/>
      <c r="V29" s="318"/>
      <c r="W29" s="318"/>
      <c r="X29" s="318"/>
      <c r="Y29" s="318"/>
      <c r="Z29" s="318"/>
    </row>
    <row r="30" ht="15.75" customHeight="1">
      <c r="A30" s="318" t="s">
        <v>5417</v>
      </c>
      <c r="B30" s="318" t="s">
        <v>5418</v>
      </c>
      <c r="C30" s="318"/>
      <c r="D30" s="318" t="s">
        <v>5419</v>
      </c>
      <c r="E30" s="318"/>
      <c r="F30" s="318"/>
      <c r="G30" s="318"/>
      <c r="H30" s="318"/>
      <c r="I30" s="318"/>
      <c r="J30" s="318"/>
      <c r="K30" s="318"/>
      <c r="L30" s="318"/>
      <c r="M30" s="318"/>
      <c r="N30" s="318"/>
      <c r="O30" s="318"/>
      <c r="P30" s="318"/>
      <c r="Q30" s="318"/>
      <c r="R30" s="318"/>
      <c r="S30" s="318"/>
      <c r="T30" s="318"/>
      <c r="U30" s="318"/>
      <c r="V30" s="318"/>
      <c r="W30" s="318"/>
      <c r="X30" s="318"/>
      <c r="Y30" s="318"/>
      <c r="Z30" s="318"/>
    </row>
    <row r="31" ht="15.75" customHeight="1">
      <c r="A31" s="318" t="s">
        <v>5420</v>
      </c>
      <c r="B31" s="318" t="s">
        <v>5421</v>
      </c>
      <c r="C31" s="318"/>
      <c r="D31" s="318" t="s">
        <v>5422</v>
      </c>
      <c r="E31" s="318"/>
      <c r="F31" s="318"/>
      <c r="G31" s="318"/>
      <c r="H31" s="318"/>
      <c r="I31" s="318"/>
      <c r="J31" s="318"/>
      <c r="K31" s="318"/>
      <c r="L31" s="318"/>
      <c r="M31" s="318"/>
      <c r="N31" s="318"/>
      <c r="O31" s="318"/>
      <c r="P31" s="318"/>
      <c r="Q31" s="318"/>
      <c r="R31" s="318"/>
      <c r="S31" s="318"/>
      <c r="T31" s="318"/>
      <c r="U31" s="318"/>
      <c r="V31" s="318"/>
      <c r="W31" s="318"/>
      <c r="X31" s="318"/>
      <c r="Y31" s="318"/>
      <c r="Z31" s="318"/>
    </row>
    <row r="32" ht="15.75" customHeight="1">
      <c r="A32" s="318" t="s">
        <v>5423</v>
      </c>
      <c r="B32" s="318" t="s">
        <v>5424</v>
      </c>
      <c r="C32" s="318"/>
      <c r="D32" s="318" t="s">
        <v>5425</v>
      </c>
      <c r="E32" s="318"/>
      <c r="F32" s="318"/>
      <c r="G32" s="318"/>
      <c r="H32" s="318"/>
      <c r="I32" s="318"/>
      <c r="J32" s="318"/>
      <c r="K32" s="318"/>
      <c r="L32" s="318"/>
      <c r="M32" s="318"/>
      <c r="N32" s="318"/>
      <c r="O32" s="318"/>
      <c r="P32" s="318"/>
      <c r="Q32" s="318"/>
      <c r="R32" s="318"/>
      <c r="S32" s="318"/>
      <c r="T32" s="318"/>
      <c r="U32" s="318"/>
      <c r="V32" s="318"/>
      <c r="W32" s="318"/>
      <c r="X32" s="318"/>
      <c r="Y32" s="318"/>
      <c r="Z32" s="318"/>
    </row>
    <row r="33" ht="15.75" customHeight="1">
      <c r="A33" s="318" t="s">
        <v>5426</v>
      </c>
      <c r="B33" s="318" t="s">
        <v>5427</v>
      </c>
      <c r="C33" s="318"/>
      <c r="D33" s="318" t="s">
        <v>5428</v>
      </c>
      <c r="E33" s="318"/>
      <c r="F33" s="318"/>
      <c r="G33" s="318"/>
      <c r="H33" s="318"/>
      <c r="I33" s="318"/>
      <c r="J33" s="318"/>
      <c r="K33" s="318"/>
      <c r="L33" s="318"/>
      <c r="M33" s="318"/>
      <c r="N33" s="318"/>
      <c r="O33" s="318"/>
      <c r="P33" s="318"/>
      <c r="Q33" s="318"/>
      <c r="R33" s="318"/>
      <c r="S33" s="318"/>
      <c r="T33" s="318"/>
      <c r="U33" s="318"/>
      <c r="V33" s="318"/>
      <c r="W33" s="318"/>
      <c r="X33" s="318"/>
      <c r="Y33" s="318"/>
      <c r="Z33" s="318"/>
    </row>
    <row r="34" ht="15.75" customHeight="1">
      <c r="A34" s="318" t="s">
        <v>5429</v>
      </c>
      <c r="B34" s="318" t="s">
        <v>5430</v>
      </c>
      <c r="C34" s="318"/>
      <c r="D34" s="318" t="s">
        <v>5431</v>
      </c>
      <c r="E34" s="318"/>
      <c r="F34" s="318"/>
      <c r="G34" s="318"/>
      <c r="H34" s="318"/>
      <c r="I34" s="318"/>
      <c r="J34" s="318"/>
      <c r="K34" s="318"/>
      <c r="L34" s="318"/>
      <c r="M34" s="318"/>
      <c r="N34" s="318"/>
      <c r="O34" s="318"/>
      <c r="P34" s="318"/>
      <c r="Q34" s="318"/>
      <c r="R34" s="318"/>
      <c r="S34" s="318"/>
      <c r="T34" s="318"/>
      <c r="U34" s="318"/>
      <c r="V34" s="318"/>
      <c r="W34" s="318"/>
      <c r="X34" s="318"/>
      <c r="Y34" s="318"/>
      <c r="Z34" s="318"/>
    </row>
    <row r="35" ht="15.75" customHeight="1">
      <c r="A35" s="318" t="s">
        <v>5432</v>
      </c>
      <c r="B35" s="318" t="s">
        <v>5433</v>
      </c>
      <c r="C35" s="318"/>
      <c r="D35" s="318" t="s">
        <v>5434</v>
      </c>
      <c r="E35" s="318"/>
      <c r="F35" s="318"/>
      <c r="G35" s="318"/>
      <c r="H35" s="318"/>
      <c r="I35" s="318"/>
      <c r="J35" s="318"/>
      <c r="K35" s="318"/>
      <c r="L35" s="318"/>
      <c r="M35" s="318"/>
      <c r="N35" s="318"/>
      <c r="O35" s="318"/>
      <c r="P35" s="318"/>
      <c r="Q35" s="318"/>
      <c r="R35" s="318"/>
      <c r="S35" s="318"/>
      <c r="T35" s="318"/>
      <c r="U35" s="318"/>
      <c r="V35" s="318"/>
      <c r="W35" s="318"/>
      <c r="X35" s="318"/>
      <c r="Y35" s="318"/>
      <c r="Z35" s="318"/>
    </row>
    <row r="36" ht="15.75" customHeight="1">
      <c r="A36" s="318" t="s">
        <v>5435</v>
      </c>
      <c r="B36" s="318" t="s">
        <v>5436</v>
      </c>
      <c r="C36" s="318"/>
      <c r="D36" s="318" t="s">
        <v>5437</v>
      </c>
      <c r="E36" s="318"/>
      <c r="F36" s="318"/>
      <c r="G36" s="318"/>
      <c r="H36" s="318"/>
      <c r="I36" s="318"/>
      <c r="J36" s="318"/>
      <c r="K36" s="318"/>
      <c r="L36" s="318"/>
      <c r="M36" s="318"/>
      <c r="N36" s="318"/>
      <c r="O36" s="318"/>
      <c r="P36" s="318"/>
      <c r="Q36" s="318"/>
      <c r="R36" s="318"/>
      <c r="S36" s="318"/>
      <c r="T36" s="318"/>
      <c r="U36" s="318"/>
      <c r="V36" s="318"/>
      <c r="W36" s="318"/>
      <c r="X36" s="318"/>
      <c r="Y36" s="318"/>
      <c r="Z36" s="318"/>
    </row>
    <row r="37" ht="15.75" customHeight="1">
      <c r="A37" s="318" t="s">
        <v>5438</v>
      </c>
      <c r="B37" s="318" t="s">
        <v>5439</v>
      </c>
      <c r="C37" s="318"/>
      <c r="D37" s="318" t="s">
        <v>5440</v>
      </c>
      <c r="E37" s="318"/>
      <c r="F37" s="318"/>
      <c r="G37" s="318"/>
      <c r="H37" s="318"/>
      <c r="I37" s="318"/>
      <c r="J37" s="318"/>
      <c r="K37" s="318"/>
      <c r="L37" s="318"/>
      <c r="M37" s="318"/>
      <c r="N37" s="318"/>
      <c r="O37" s="318"/>
      <c r="P37" s="318"/>
      <c r="Q37" s="318"/>
      <c r="R37" s="318"/>
      <c r="S37" s="318"/>
      <c r="T37" s="318"/>
      <c r="U37" s="318"/>
      <c r="V37" s="318"/>
      <c r="W37" s="318"/>
      <c r="X37" s="318"/>
      <c r="Y37" s="318"/>
      <c r="Z37" s="318"/>
    </row>
    <row r="38" ht="15.75" customHeight="1">
      <c r="A38" s="318" t="s">
        <v>4035</v>
      </c>
      <c r="B38" s="318" t="s">
        <v>5441</v>
      </c>
      <c r="C38" s="318"/>
      <c r="D38" s="318" t="s">
        <v>5442</v>
      </c>
      <c r="E38" s="318"/>
      <c r="F38" s="318"/>
      <c r="G38" s="318"/>
      <c r="H38" s="318"/>
      <c r="I38" s="318"/>
      <c r="J38" s="318"/>
      <c r="K38" s="318"/>
      <c r="L38" s="318"/>
      <c r="M38" s="318"/>
      <c r="N38" s="318"/>
      <c r="O38" s="318"/>
      <c r="P38" s="318"/>
      <c r="Q38" s="318"/>
      <c r="R38" s="318"/>
      <c r="S38" s="318"/>
      <c r="T38" s="318"/>
      <c r="U38" s="318"/>
      <c r="V38" s="318"/>
      <c r="W38" s="318"/>
      <c r="X38" s="318"/>
      <c r="Y38" s="318"/>
      <c r="Z38" s="318"/>
    </row>
    <row r="39" ht="15.75" customHeight="1">
      <c r="A39" s="318" t="s">
        <v>5443</v>
      </c>
      <c r="B39" s="318" t="s">
        <v>5444</v>
      </c>
      <c r="C39" s="318"/>
      <c r="D39" s="318" t="s">
        <v>5445</v>
      </c>
      <c r="E39" s="318"/>
      <c r="F39" s="318"/>
      <c r="G39" s="318"/>
      <c r="H39" s="318"/>
      <c r="I39" s="318"/>
      <c r="J39" s="318"/>
      <c r="K39" s="318"/>
      <c r="L39" s="318"/>
      <c r="M39" s="318"/>
      <c r="N39" s="318"/>
      <c r="O39" s="318"/>
      <c r="P39" s="318"/>
      <c r="Q39" s="318"/>
      <c r="R39" s="318"/>
      <c r="S39" s="318"/>
      <c r="T39" s="318"/>
      <c r="U39" s="318"/>
      <c r="V39" s="318"/>
      <c r="W39" s="318"/>
      <c r="X39" s="318"/>
      <c r="Y39" s="318"/>
      <c r="Z39" s="318"/>
    </row>
    <row r="40" ht="15.75" customHeight="1">
      <c r="A40" s="318" t="s">
        <v>5446</v>
      </c>
      <c r="B40" s="318" t="s">
        <v>5444</v>
      </c>
      <c r="C40" s="318"/>
      <c r="D40" s="318" t="s">
        <v>5447</v>
      </c>
      <c r="E40" s="318"/>
      <c r="F40" s="318"/>
      <c r="G40" s="318"/>
      <c r="H40" s="318"/>
      <c r="I40" s="318"/>
      <c r="J40" s="318"/>
      <c r="K40" s="318"/>
      <c r="L40" s="318"/>
      <c r="M40" s="318"/>
      <c r="N40" s="318"/>
      <c r="O40" s="318"/>
      <c r="P40" s="318"/>
      <c r="Q40" s="318"/>
      <c r="R40" s="318"/>
      <c r="S40" s="318"/>
      <c r="T40" s="318"/>
      <c r="U40" s="318"/>
      <c r="V40" s="318"/>
      <c r="W40" s="318"/>
      <c r="X40" s="318"/>
      <c r="Y40" s="318"/>
      <c r="Z40" s="318"/>
    </row>
    <row r="41" ht="15.75" customHeight="1">
      <c r="A41" s="318" t="s">
        <v>5448</v>
      </c>
      <c r="B41" s="318" t="s">
        <v>5444</v>
      </c>
      <c r="C41" s="318"/>
      <c r="D41" s="318" t="s">
        <v>5449</v>
      </c>
      <c r="E41" s="318"/>
      <c r="F41" s="318"/>
      <c r="G41" s="318"/>
      <c r="H41" s="318"/>
      <c r="I41" s="318"/>
      <c r="J41" s="318"/>
      <c r="K41" s="318"/>
      <c r="L41" s="318"/>
      <c r="M41" s="318"/>
      <c r="N41" s="318"/>
      <c r="O41" s="318"/>
      <c r="P41" s="318"/>
      <c r="Q41" s="318"/>
      <c r="R41" s="318"/>
      <c r="S41" s="318"/>
      <c r="T41" s="318"/>
      <c r="U41" s="318"/>
      <c r="V41" s="318"/>
      <c r="W41" s="318"/>
      <c r="X41" s="318"/>
      <c r="Y41" s="318"/>
      <c r="Z41" s="318"/>
    </row>
    <row r="42" ht="15.75" customHeight="1">
      <c r="A42" s="318" t="s">
        <v>5450</v>
      </c>
      <c r="B42" s="318" t="s">
        <v>5444</v>
      </c>
      <c r="C42" s="318"/>
      <c r="D42" s="318" t="s">
        <v>5451</v>
      </c>
      <c r="E42" s="318"/>
      <c r="F42" s="318"/>
      <c r="G42" s="318"/>
      <c r="H42" s="318"/>
      <c r="I42" s="318"/>
      <c r="J42" s="318"/>
      <c r="K42" s="318"/>
      <c r="L42" s="318"/>
      <c r="M42" s="318"/>
      <c r="N42" s="318"/>
      <c r="O42" s="318"/>
      <c r="P42" s="318"/>
      <c r="Q42" s="318"/>
      <c r="R42" s="318"/>
      <c r="S42" s="318"/>
      <c r="T42" s="318"/>
      <c r="U42" s="318"/>
      <c r="V42" s="318"/>
      <c r="W42" s="318"/>
      <c r="X42" s="318"/>
      <c r="Y42" s="318"/>
      <c r="Z42" s="318"/>
    </row>
    <row r="43" ht="15.75" customHeight="1">
      <c r="A43" s="318" t="s">
        <v>5452</v>
      </c>
      <c r="B43" s="318" t="s">
        <v>5444</v>
      </c>
      <c r="C43" s="318"/>
      <c r="D43" s="318" t="s">
        <v>5453</v>
      </c>
      <c r="E43" s="318"/>
      <c r="F43" s="318"/>
      <c r="G43" s="318"/>
      <c r="H43" s="318"/>
      <c r="I43" s="318"/>
      <c r="J43" s="318"/>
      <c r="K43" s="318"/>
      <c r="L43" s="318"/>
      <c r="M43" s="318"/>
      <c r="N43" s="318"/>
      <c r="O43" s="318"/>
      <c r="P43" s="318"/>
      <c r="Q43" s="318"/>
      <c r="R43" s="318"/>
      <c r="S43" s="318"/>
      <c r="T43" s="318"/>
      <c r="U43" s="318"/>
      <c r="V43" s="318"/>
      <c r="W43" s="318"/>
      <c r="X43" s="318"/>
      <c r="Y43" s="318"/>
      <c r="Z43" s="318"/>
    </row>
    <row r="44" ht="15.75" customHeight="1">
      <c r="A44" s="318" t="s">
        <v>4049</v>
      </c>
      <c r="B44" s="318" t="s">
        <v>5454</v>
      </c>
      <c r="C44" s="318"/>
      <c r="D44" s="318" t="s">
        <v>5455</v>
      </c>
      <c r="E44" s="318"/>
      <c r="F44" s="318"/>
      <c r="G44" s="318"/>
      <c r="H44" s="318"/>
      <c r="I44" s="318"/>
      <c r="J44" s="318"/>
      <c r="K44" s="318"/>
      <c r="L44" s="318"/>
      <c r="M44" s="318"/>
      <c r="N44" s="318"/>
      <c r="O44" s="318"/>
      <c r="P44" s="318"/>
      <c r="Q44" s="318"/>
      <c r="R44" s="318"/>
      <c r="S44" s="318"/>
      <c r="T44" s="318"/>
      <c r="U44" s="318"/>
      <c r="V44" s="318"/>
      <c r="W44" s="318"/>
      <c r="X44" s="318"/>
      <c r="Y44" s="318"/>
      <c r="Z44" s="318"/>
    </row>
    <row r="45" ht="15.75" customHeight="1">
      <c r="A45" s="318" t="s">
        <v>5456</v>
      </c>
      <c r="B45" s="318" t="s">
        <v>5454</v>
      </c>
      <c r="C45" s="318"/>
      <c r="D45" s="318" t="s">
        <v>5457</v>
      </c>
      <c r="E45" s="318"/>
      <c r="F45" s="318"/>
      <c r="G45" s="318"/>
      <c r="H45" s="318"/>
      <c r="I45" s="318"/>
      <c r="J45" s="318"/>
      <c r="K45" s="318"/>
      <c r="L45" s="318"/>
      <c r="M45" s="318"/>
      <c r="N45" s="318"/>
      <c r="O45" s="318"/>
      <c r="P45" s="318"/>
      <c r="Q45" s="318"/>
      <c r="R45" s="318"/>
      <c r="S45" s="318"/>
      <c r="T45" s="318"/>
      <c r="U45" s="318"/>
      <c r="V45" s="318"/>
      <c r="W45" s="318"/>
      <c r="X45" s="318"/>
      <c r="Y45" s="318"/>
      <c r="Z45" s="318"/>
    </row>
    <row r="46" ht="15.75" customHeight="1">
      <c r="A46" s="318" t="s">
        <v>5458</v>
      </c>
      <c r="B46" s="318" t="s">
        <v>5459</v>
      </c>
      <c r="C46" s="318"/>
      <c r="D46" s="318" t="s">
        <v>5460</v>
      </c>
      <c r="E46" s="318"/>
      <c r="F46" s="318"/>
      <c r="G46" s="318"/>
      <c r="H46" s="318"/>
      <c r="I46" s="318"/>
      <c r="J46" s="318"/>
      <c r="K46" s="318"/>
      <c r="L46" s="318"/>
      <c r="M46" s="318"/>
      <c r="N46" s="318"/>
      <c r="O46" s="318"/>
      <c r="P46" s="318"/>
      <c r="Q46" s="318"/>
      <c r="R46" s="318"/>
      <c r="S46" s="318"/>
      <c r="T46" s="318"/>
      <c r="U46" s="318"/>
      <c r="V46" s="318"/>
      <c r="W46" s="318"/>
      <c r="X46" s="318"/>
      <c r="Y46" s="318"/>
      <c r="Z46" s="318"/>
    </row>
    <row r="47" ht="15.75" customHeight="1">
      <c r="A47" s="318" t="s">
        <v>4041</v>
      </c>
      <c r="B47" s="318" t="s">
        <v>5459</v>
      </c>
      <c r="C47" s="318"/>
      <c r="D47" s="318" t="s">
        <v>5461</v>
      </c>
      <c r="E47" s="318"/>
      <c r="F47" s="318"/>
      <c r="G47" s="318"/>
      <c r="H47" s="318"/>
      <c r="I47" s="318"/>
      <c r="J47" s="318"/>
      <c r="K47" s="318"/>
      <c r="L47" s="318"/>
      <c r="M47" s="318"/>
      <c r="N47" s="318"/>
      <c r="O47" s="318"/>
      <c r="P47" s="318"/>
      <c r="Q47" s="318"/>
      <c r="R47" s="318"/>
      <c r="S47" s="318"/>
      <c r="T47" s="318"/>
      <c r="U47" s="318"/>
      <c r="V47" s="318"/>
      <c r="W47" s="318"/>
      <c r="X47" s="318"/>
      <c r="Y47" s="318"/>
      <c r="Z47" s="318"/>
    </row>
    <row r="48" ht="15.75" customHeight="1">
      <c r="A48" s="318" t="s">
        <v>5462</v>
      </c>
      <c r="B48" s="318" t="s">
        <v>5459</v>
      </c>
      <c r="C48" s="318"/>
      <c r="D48" s="318" t="s">
        <v>5463</v>
      </c>
      <c r="E48" s="318"/>
      <c r="F48" s="318"/>
      <c r="G48" s="318"/>
      <c r="H48" s="318"/>
      <c r="I48" s="318"/>
      <c r="J48" s="318"/>
      <c r="K48" s="318"/>
      <c r="L48" s="318"/>
      <c r="M48" s="318"/>
      <c r="N48" s="318"/>
      <c r="O48" s="318"/>
      <c r="P48" s="318"/>
      <c r="Q48" s="318"/>
      <c r="R48" s="318"/>
      <c r="S48" s="318"/>
      <c r="T48" s="318"/>
      <c r="U48" s="318"/>
      <c r="V48" s="318"/>
      <c r="W48" s="318"/>
      <c r="X48" s="318"/>
      <c r="Y48" s="318"/>
      <c r="Z48" s="318"/>
    </row>
    <row r="49" ht="15.75" customHeight="1">
      <c r="A49" s="318" t="s">
        <v>4058</v>
      </c>
      <c r="B49" s="318" t="s">
        <v>5459</v>
      </c>
      <c r="C49" s="318"/>
      <c r="D49" s="318" t="s">
        <v>5464</v>
      </c>
      <c r="E49" s="318"/>
      <c r="F49" s="318"/>
      <c r="G49" s="318"/>
      <c r="H49" s="318"/>
      <c r="I49" s="318"/>
      <c r="J49" s="318"/>
      <c r="K49" s="318"/>
      <c r="L49" s="318"/>
      <c r="M49" s="318"/>
      <c r="N49" s="318"/>
      <c r="O49" s="318"/>
      <c r="P49" s="318"/>
      <c r="Q49" s="318"/>
      <c r="R49" s="318"/>
      <c r="S49" s="318"/>
      <c r="T49" s="318"/>
      <c r="U49" s="318"/>
      <c r="V49" s="318"/>
      <c r="W49" s="318"/>
      <c r="X49" s="318"/>
      <c r="Y49" s="318"/>
      <c r="Z49" s="318"/>
    </row>
    <row r="50" ht="15.75" customHeight="1">
      <c r="A50" s="318" t="s">
        <v>5465</v>
      </c>
      <c r="B50" s="318" t="s">
        <v>5466</v>
      </c>
      <c r="C50" s="318"/>
      <c r="D50" s="318" t="s">
        <v>5467</v>
      </c>
      <c r="E50" s="318"/>
      <c r="F50" s="318"/>
      <c r="G50" s="318"/>
      <c r="H50" s="318"/>
      <c r="I50" s="318"/>
      <c r="J50" s="318"/>
      <c r="K50" s="318"/>
      <c r="L50" s="318"/>
      <c r="M50" s="318"/>
      <c r="N50" s="318"/>
      <c r="O50" s="318"/>
      <c r="P50" s="318"/>
      <c r="Q50" s="318"/>
      <c r="R50" s="318"/>
      <c r="S50" s="318"/>
      <c r="T50" s="318"/>
      <c r="U50" s="318"/>
      <c r="V50" s="318"/>
      <c r="W50" s="318"/>
      <c r="X50" s="318"/>
      <c r="Y50" s="318"/>
      <c r="Z50" s="318"/>
    </row>
    <row r="51" ht="15.75" customHeight="1">
      <c r="A51" s="318" t="s">
        <v>5468</v>
      </c>
      <c r="B51" s="318" t="s">
        <v>5466</v>
      </c>
      <c r="C51" s="318"/>
      <c r="D51" s="318" t="s">
        <v>5469</v>
      </c>
      <c r="E51" s="318"/>
      <c r="F51" s="318"/>
      <c r="G51" s="318"/>
      <c r="H51" s="318"/>
      <c r="I51" s="318"/>
      <c r="J51" s="318"/>
      <c r="K51" s="318"/>
      <c r="L51" s="318"/>
      <c r="M51" s="318"/>
      <c r="N51" s="318"/>
      <c r="O51" s="318"/>
      <c r="P51" s="318"/>
      <c r="Q51" s="318"/>
      <c r="R51" s="318"/>
      <c r="S51" s="318"/>
      <c r="T51" s="318"/>
      <c r="U51" s="318"/>
      <c r="V51" s="318"/>
      <c r="W51" s="318"/>
      <c r="X51" s="318"/>
      <c r="Y51" s="318"/>
      <c r="Z51" s="318"/>
    </row>
    <row r="52" ht="15.75" customHeight="1">
      <c r="A52" s="318"/>
      <c r="B52" s="318"/>
      <c r="C52" s="318"/>
      <c r="D52" s="318"/>
      <c r="E52" s="318"/>
      <c r="F52" s="318"/>
      <c r="G52" s="318"/>
      <c r="H52" s="318"/>
      <c r="I52" s="318"/>
      <c r="J52" s="318"/>
      <c r="K52" s="318"/>
      <c r="L52" s="318"/>
      <c r="M52" s="318"/>
      <c r="N52" s="318"/>
      <c r="O52" s="318"/>
      <c r="P52" s="318"/>
      <c r="Q52" s="318"/>
      <c r="R52" s="318"/>
      <c r="S52" s="318"/>
      <c r="T52" s="318"/>
      <c r="U52" s="318"/>
      <c r="V52" s="318"/>
      <c r="W52" s="318"/>
      <c r="X52" s="318"/>
      <c r="Y52" s="318"/>
      <c r="Z52" s="318"/>
    </row>
    <row r="53" ht="15.75" customHeight="1">
      <c r="A53" s="318"/>
      <c r="B53" s="318"/>
      <c r="C53" s="318"/>
      <c r="D53" s="318"/>
      <c r="E53" s="318"/>
      <c r="F53" s="318"/>
      <c r="G53" s="318"/>
      <c r="H53" s="318"/>
      <c r="I53" s="318"/>
      <c r="J53" s="318"/>
      <c r="K53" s="318"/>
      <c r="L53" s="318"/>
      <c r="M53" s="318"/>
      <c r="N53" s="318"/>
      <c r="O53" s="318"/>
      <c r="P53" s="318"/>
      <c r="Q53" s="318"/>
      <c r="R53" s="318"/>
      <c r="S53" s="318"/>
      <c r="T53" s="318"/>
      <c r="U53" s="318"/>
      <c r="V53" s="318"/>
      <c r="W53" s="318"/>
      <c r="X53" s="318"/>
      <c r="Y53" s="318"/>
      <c r="Z53" s="318"/>
    </row>
    <row r="54" ht="15.75" customHeight="1">
      <c r="A54" s="318"/>
      <c r="B54" s="318"/>
      <c r="C54" s="318"/>
      <c r="D54" s="318"/>
      <c r="E54" s="318"/>
      <c r="F54" s="318"/>
      <c r="G54" s="318"/>
      <c r="H54" s="318"/>
      <c r="I54" s="318"/>
      <c r="J54" s="318"/>
      <c r="K54" s="318"/>
      <c r="L54" s="318"/>
      <c r="M54" s="318"/>
      <c r="N54" s="318"/>
      <c r="O54" s="318"/>
      <c r="P54" s="318"/>
      <c r="Q54" s="318"/>
      <c r="R54" s="318"/>
      <c r="S54" s="318"/>
      <c r="T54" s="318"/>
      <c r="U54" s="318"/>
      <c r="V54" s="318"/>
      <c r="W54" s="318"/>
      <c r="X54" s="318"/>
      <c r="Y54" s="318"/>
      <c r="Z54" s="318"/>
    </row>
    <row r="55" ht="15.75" customHeight="1">
      <c r="A55" s="318"/>
      <c r="B55" s="318"/>
      <c r="C55" s="318"/>
      <c r="D55" s="318"/>
      <c r="E55" s="318"/>
      <c r="F55" s="318"/>
      <c r="G55" s="318"/>
      <c r="H55" s="318"/>
      <c r="I55" s="318"/>
      <c r="J55" s="318"/>
      <c r="K55" s="318"/>
      <c r="L55" s="318"/>
      <c r="M55" s="318"/>
      <c r="N55" s="318"/>
      <c r="O55" s="318"/>
      <c r="P55" s="318"/>
      <c r="Q55" s="318"/>
      <c r="R55" s="318"/>
      <c r="S55" s="318"/>
      <c r="T55" s="318"/>
      <c r="U55" s="318"/>
      <c r="V55" s="318"/>
      <c r="W55" s="318"/>
      <c r="X55" s="318"/>
      <c r="Y55" s="318"/>
      <c r="Z55" s="318"/>
    </row>
    <row r="56" ht="15.75" customHeight="1">
      <c r="A56" s="318"/>
      <c r="B56" s="318"/>
      <c r="C56" s="318"/>
      <c r="D56" s="318"/>
      <c r="E56" s="318"/>
      <c r="F56" s="318"/>
      <c r="G56" s="318"/>
      <c r="H56" s="318"/>
      <c r="I56" s="318"/>
      <c r="J56" s="318"/>
      <c r="K56" s="318"/>
      <c r="L56" s="318"/>
      <c r="M56" s="318"/>
      <c r="N56" s="318"/>
      <c r="O56" s="318"/>
      <c r="P56" s="318"/>
      <c r="Q56" s="318"/>
      <c r="R56" s="318"/>
      <c r="S56" s="318"/>
      <c r="T56" s="318"/>
      <c r="U56" s="318"/>
      <c r="V56" s="318"/>
      <c r="W56" s="318"/>
      <c r="X56" s="318"/>
      <c r="Y56" s="318"/>
      <c r="Z56" s="318"/>
    </row>
    <row r="57" ht="15.75" customHeight="1">
      <c r="A57" s="318"/>
      <c r="B57" s="318"/>
      <c r="C57" s="318"/>
      <c r="D57" s="318"/>
      <c r="E57" s="318"/>
      <c r="F57" s="318"/>
      <c r="G57" s="318"/>
      <c r="H57" s="318"/>
      <c r="I57" s="318"/>
      <c r="J57" s="318"/>
      <c r="K57" s="318"/>
      <c r="L57" s="318"/>
      <c r="M57" s="318"/>
      <c r="N57" s="318"/>
      <c r="O57" s="318"/>
      <c r="P57" s="318"/>
      <c r="Q57" s="318"/>
      <c r="R57" s="318"/>
      <c r="S57" s="318"/>
      <c r="T57" s="318"/>
      <c r="U57" s="318"/>
      <c r="V57" s="318"/>
      <c r="W57" s="318"/>
      <c r="X57" s="318"/>
      <c r="Y57" s="318"/>
      <c r="Z57" s="318"/>
    </row>
    <row r="58" ht="15.75" customHeight="1">
      <c r="A58" s="318"/>
      <c r="B58" s="318"/>
      <c r="C58" s="318"/>
      <c r="D58" s="318"/>
      <c r="E58" s="318"/>
      <c r="F58" s="318"/>
      <c r="G58" s="318"/>
      <c r="H58" s="318"/>
      <c r="I58" s="318"/>
      <c r="J58" s="318"/>
      <c r="K58" s="318"/>
      <c r="L58" s="318"/>
      <c r="M58" s="318"/>
      <c r="N58" s="318"/>
      <c r="O58" s="318"/>
      <c r="P58" s="318"/>
      <c r="Q58" s="318"/>
      <c r="R58" s="318"/>
      <c r="S58" s="318"/>
      <c r="T58" s="318"/>
      <c r="U58" s="318"/>
      <c r="V58" s="318"/>
      <c r="W58" s="318"/>
      <c r="X58" s="318"/>
      <c r="Y58" s="318"/>
      <c r="Z58" s="318"/>
    </row>
    <row r="59" ht="15.75" customHeight="1">
      <c r="A59" s="318"/>
      <c r="B59" s="318"/>
      <c r="C59" s="318"/>
      <c r="D59" s="318"/>
      <c r="E59" s="318"/>
      <c r="F59" s="318"/>
      <c r="G59" s="318"/>
      <c r="H59" s="318"/>
      <c r="I59" s="318"/>
      <c r="J59" s="318"/>
      <c r="K59" s="318"/>
      <c r="L59" s="318"/>
      <c r="M59" s="318"/>
      <c r="N59" s="318"/>
      <c r="O59" s="318"/>
      <c r="P59" s="318"/>
      <c r="Q59" s="318"/>
      <c r="R59" s="318"/>
      <c r="S59" s="318"/>
      <c r="T59" s="318"/>
      <c r="U59" s="318"/>
      <c r="V59" s="318"/>
      <c r="W59" s="318"/>
      <c r="X59" s="318"/>
      <c r="Y59" s="318"/>
      <c r="Z59" s="318"/>
    </row>
    <row r="60" ht="15.75" customHeight="1">
      <c r="A60" s="318"/>
      <c r="B60" s="318"/>
      <c r="C60" s="318"/>
      <c r="D60" s="318"/>
      <c r="E60" s="318"/>
      <c r="F60" s="318"/>
      <c r="G60" s="318"/>
      <c r="H60" s="318"/>
      <c r="I60" s="318"/>
      <c r="J60" s="318"/>
      <c r="K60" s="318"/>
      <c r="L60" s="318"/>
      <c r="M60" s="318"/>
      <c r="N60" s="318"/>
      <c r="O60" s="318"/>
      <c r="P60" s="318"/>
      <c r="Q60" s="318"/>
      <c r="R60" s="318"/>
      <c r="S60" s="318"/>
      <c r="T60" s="318"/>
      <c r="U60" s="318"/>
      <c r="V60" s="318"/>
      <c r="W60" s="318"/>
      <c r="X60" s="318"/>
      <c r="Y60" s="318"/>
      <c r="Z60" s="318"/>
    </row>
    <row r="61" ht="15.75" customHeight="1">
      <c r="A61" s="318"/>
      <c r="B61" s="318"/>
      <c r="C61" s="318"/>
      <c r="D61" s="318"/>
      <c r="E61" s="318"/>
      <c r="F61" s="318"/>
      <c r="G61" s="318"/>
      <c r="H61" s="318"/>
      <c r="I61" s="318"/>
      <c r="J61" s="318"/>
      <c r="K61" s="318"/>
      <c r="L61" s="318"/>
      <c r="M61" s="318"/>
      <c r="N61" s="318"/>
      <c r="O61" s="318"/>
      <c r="P61" s="318"/>
      <c r="Q61" s="318"/>
      <c r="R61" s="318"/>
      <c r="S61" s="318"/>
      <c r="T61" s="318"/>
      <c r="U61" s="318"/>
      <c r="V61" s="318"/>
      <c r="W61" s="318"/>
      <c r="X61" s="318"/>
      <c r="Y61" s="318"/>
      <c r="Z61" s="318"/>
    </row>
    <row r="62" ht="15.75" customHeight="1">
      <c r="A62" s="318"/>
      <c r="B62" s="318"/>
      <c r="C62" s="318"/>
      <c r="D62" s="318"/>
      <c r="E62" s="318"/>
      <c r="F62" s="318"/>
      <c r="G62" s="318"/>
      <c r="H62" s="318"/>
      <c r="I62" s="318"/>
      <c r="J62" s="318"/>
      <c r="K62" s="318"/>
      <c r="L62" s="318"/>
      <c r="M62" s="318"/>
      <c r="N62" s="318"/>
      <c r="O62" s="318"/>
      <c r="P62" s="318"/>
      <c r="Q62" s="318"/>
      <c r="R62" s="318"/>
      <c r="S62" s="318"/>
      <c r="T62" s="318"/>
      <c r="U62" s="318"/>
      <c r="V62" s="318"/>
      <c r="W62" s="318"/>
      <c r="X62" s="318"/>
      <c r="Y62" s="318"/>
      <c r="Z62" s="318"/>
    </row>
    <row r="63" ht="15.75" customHeight="1">
      <c r="A63" s="318"/>
      <c r="B63" s="318"/>
      <c r="C63" s="318"/>
      <c r="D63" s="318"/>
      <c r="E63" s="318"/>
      <c r="F63" s="318"/>
      <c r="G63" s="318"/>
      <c r="H63" s="318"/>
      <c r="I63" s="318"/>
      <c r="J63" s="318"/>
      <c r="K63" s="318"/>
      <c r="L63" s="318"/>
      <c r="M63" s="318"/>
      <c r="N63" s="318"/>
      <c r="O63" s="318"/>
      <c r="P63" s="318"/>
      <c r="Q63" s="318"/>
      <c r="R63" s="318"/>
      <c r="S63" s="318"/>
      <c r="T63" s="318"/>
      <c r="U63" s="318"/>
      <c r="V63" s="318"/>
      <c r="W63" s="318"/>
      <c r="X63" s="318"/>
      <c r="Y63" s="318"/>
      <c r="Z63" s="318"/>
    </row>
    <row r="64" ht="15.75" customHeight="1">
      <c r="A64" s="318"/>
      <c r="B64" s="318"/>
      <c r="C64" s="318"/>
      <c r="D64" s="318"/>
      <c r="E64" s="318"/>
      <c r="F64" s="318"/>
      <c r="G64" s="318"/>
      <c r="H64" s="318"/>
      <c r="I64" s="318"/>
      <c r="J64" s="318"/>
      <c r="K64" s="318"/>
      <c r="L64" s="318"/>
      <c r="M64" s="318"/>
      <c r="N64" s="318"/>
      <c r="O64" s="318"/>
      <c r="P64" s="318"/>
      <c r="Q64" s="318"/>
      <c r="R64" s="318"/>
      <c r="S64" s="318"/>
      <c r="T64" s="318"/>
      <c r="U64" s="318"/>
      <c r="V64" s="318"/>
      <c r="W64" s="318"/>
      <c r="X64" s="318"/>
      <c r="Y64" s="318"/>
      <c r="Z64" s="318"/>
    </row>
    <row r="65" ht="15.75" customHeight="1">
      <c r="A65" s="318"/>
      <c r="B65" s="318"/>
      <c r="C65" s="318"/>
      <c r="D65" s="318"/>
      <c r="E65" s="318"/>
      <c r="F65" s="318"/>
      <c r="G65" s="318"/>
      <c r="H65" s="318"/>
      <c r="I65" s="318"/>
      <c r="J65" s="318"/>
      <c r="K65" s="318"/>
      <c r="L65" s="318"/>
      <c r="M65" s="318"/>
      <c r="N65" s="318"/>
      <c r="O65" s="318"/>
      <c r="P65" s="318"/>
      <c r="Q65" s="318"/>
      <c r="R65" s="318"/>
      <c r="S65" s="318"/>
      <c r="T65" s="318"/>
      <c r="U65" s="318"/>
      <c r="V65" s="318"/>
      <c r="W65" s="318"/>
      <c r="X65" s="318"/>
      <c r="Y65" s="318"/>
      <c r="Z65" s="318"/>
    </row>
    <row r="66" ht="15.75" customHeight="1">
      <c r="A66" s="318"/>
      <c r="B66" s="318"/>
      <c r="C66" s="318"/>
      <c r="D66" s="318"/>
      <c r="E66" s="318"/>
      <c r="F66" s="318"/>
      <c r="G66" s="318"/>
      <c r="H66" s="318"/>
      <c r="I66" s="318"/>
      <c r="J66" s="318"/>
      <c r="K66" s="318"/>
      <c r="L66" s="318"/>
      <c r="M66" s="318"/>
      <c r="N66" s="318"/>
      <c r="O66" s="318"/>
      <c r="P66" s="318"/>
      <c r="Q66" s="318"/>
      <c r="R66" s="318"/>
      <c r="S66" s="318"/>
      <c r="T66" s="318"/>
      <c r="U66" s="318"/>
      <c r="V66" s="318"/>
      <c r="W66" s="318"/>
      <c r="X66" s="318"/>
      <c r="Y66" s="318"/>
      <c r="Z66" s="318"/>
    </row>
    <row r="67" ht="15.75" customHeight="1">
      <c r="A67" s="318"/>
      <c r="B67" s="318"/>
      <c r="C67" s="318"/>
      <c r="D67" s="318"/>
      <c r="E67" s="318"/>
      <c r="F67" s="318"/>
      <c r="G67" s="318"/>
      <c r="H67" s="318"/>
      <c r="I67" s="318"/>
      <c r="J67" s="318"/>
      <c r="K67" s="318"/>
      <c r="L67" s="318"/>
      <c r="M67" s="318"/>
      <c r="N67" s="318"/>
      <c r="O67" s="318"/>
      <c r="P67" s="318"/>
      <c r="Q67" s="318"/>
      <c r="R67" s="318"/>
      <c r="S67" s="318"/>
      <c r="T67" s="318"/>
      <c r="U67" s="318"/>
      <c r="V67" s="318"/>
      <c r="W67" s="318"/>
      <c r="X67" s="318"/>
      <c r="Y67" s="318"/>
      <c r="Z67" s="318"/>
    </row>
    <row r="68" ht="15.75" customHeight="1">
      <c r="A68" s="318"/>
      <c r="B68" s="318"/>
      <c r="C68" s="318"/>
      <c r="D68" s="318"/>
      <c r="E68" s="318"/>
      <c r="F68" s="318"/>
      <c r="G68" s="318"/>
      <c r="H68" s="318"/>
      <c r="I68" s="318"/>
      <c r="J68" s="318"/>
      <c r="K68" s="318"/>
      <c r="L68" s="318"/>
      <c r="M68" s="318"/>
      <c r="N68" s="318"/>
      <c r="O68" s="318"/>
      <c r="P68" s="318"/>
      <c r="Q68" s="318"/>
      <c r="R68" s="318"/>
      <c r="S68" s="318"/>
      <c r="T68" s="318"/>
      <c r="U68" s="318"/>
      <c r="V68" s="318"/>
      <c r="W68" s="318"/>
      <c r="X68" s="318"/>
      <c r="Y68" s="318"/>
      <c r="Z68" s="318"/>
    </row>
    <row r="69" ht="15.75" customHeight="1">
      <c r="A69" s="318"/>
      <c r="B69" s="318"/>
      <c r="C69" s="318"/>
      <c r="D69" s="318"/>
      <c r="E69" s="318"/>
      <c r="F69" s="318"/>
      <c r="G69" s="318"/>
      <c r="H69" s="318"/>
      <c r="I69" s="318"/>
      <c r="J69" s="318"/>
      <c r="K69" s="318"/>
      <c r="L69" s="318"/>
      <c r="M69" s="318"/>
      <c r="N69" s="318"/>
      <c r="O69" s="318"/>
      <c r="P69" s="318"/>
      <c r="Q69" s="318"/>
      <c r="R69" s="318"/>
      <c r="S69" s="318"/>
      <c r="T69" s="318"/>
      <c r="U69" s="318"/>
      <c r="V69" s="318"/>
      <c r="W69" s="318"/>
      <c r="X69" s="318"/>
      <c r="Y69" s="318"/>
      <c r="Z69" s="318"/>
    </row>
    <row r="70" ht="15.75" customHeight="1">
      <c r="A70" s="318"/>
      <c r="B70" s="318"/>
      <c r="C70" s="318"/>
      <c r="D70" s="318"/>
      <c r="E70" s="318"/>
      <c r="F70" s="318"/>
      <c r="G70" s="318"/>
      <c r="H70" s="318"/>
      <c r="I70" s="318"/>
      <c r="J70" s="318"/>
      <c r="K70" s="318"/>
      <c r="L70" s="318"/>
      <c r="M70" s="318"/>
      <c r="N70" s="318"/>
      <c r="O70" s="318"/>
      <c r="P70" s="318"/>
      <c r="Q70" s="318"/>
      <c r="R70" s="318"/>
      <c r="S70" s="318"/>
      <c r="T70" s="318"/>
      <c r="U70" s="318"/>
      <c r="V70" s="318"/>
      <c r="W70" s="318"/>
      <c r="X70" s="318"/>
      <c r="Y70" s="318"/>
      <c r="Z70" s="318"/>
    </row>
    <row r="71" ht="15.75" customHeight="1">
      <c r="A71" s="318"/>
      <c r="B71" s="318"/>
      <c r="C71" s="318"/>
      <c r="D71" s="318"/>
      <c r="E71" s="318"/>
      <c r="F71" s="318"/>
      <c r="G71" s="318"/>
      <c r="H71" s="318"/>
      <c r="I71" s="318"/>
      <c r="J71" s="318"/>
      <c r="K71" s="318"/>
      <c r="L71" s="318"/>
      <c r="M71" s="318"/>
      <c r="N71" s="318"/>
      <c r="O71" s="318"/>
      <c r="P71" s="318"/>
      <c r="Q71" s="318"/>
      <c r="R71" s="318"/>
      <c r="S71" s="318"/>
      <c r="T71" s="318"/>
      <c r="U71" s="318"/>
      <c r="V71" s="318"/>
      <c r="W71" s="318"/>
      <c r="X71" s="318"/>
      <c r="Y71" s="318"/>
      <c r="Z71" s="318"/>
    </row>
    <row r="72" ht="15.75" customHeight="1">
      <c r="A72" s="318"/>
      <c r="B72" s="318"/>
      <c r="C72" s="318"/>
      <c r="D72" s="318"/>
      <c r="E72" s="318"/>
      <c r="F72" s="318"/>
      <c r="G72" s="318"/>
      <c r="H72" s="318"/>
      <c r="I72" s="318"/>
      <c r="J72" s="318"/>
      <c r="K72" s="318"/>
      <c r="L72" s="318"/>
      <c r="M72" s="318"/>
      <c r="N72" s="318"/>
      <c r="O72" s="318"/>
      <c r="P72" s="318"/>
      <c r="Q72" s="318"/>
      <c r="R72" s="318"/>
      <c r="S72" s="318"/>
      <c r="T72" s="318"/>
      <c r="U72" s="318"/>
      <c r="V72" s="318"/>
      <c r="W72" s="318"/>
      <c r="X72" s="318"/>
      <c r="Y72" s="318"/>
      <c r="Z72" s="318"/>
    </row>
    <row r="73" ht="15.75" customHeight="1">
      <c r="A73" s="318"/>
      <c r="B73" s="318"/>
      <c r="C73" s="318"/>
      <c r="D73" s="318"/>
      <c r="E73" s="318"/>
      <c r="F73" s="318"/>
      <c r="G73" s="318"/>
      <c r="H73" s="318"/>
      <c r="I73" s="318"/>
      <c r="J73" s="318"/>
      <c r="K73" s="318"/>
      <c r="L73" s="318"/>
      <c r="M73" s="318"/>
      <c r="N73" s="318"/>
      <c r="O73" s="318"/>
      <c r="P73" s="318"/>
      <c r="Q73" s="318"/>
      <c r="R73" s="318"/>
      <c r="S73" s="318"/>
      <c r="T73" s="318"/>
      <c r="U73" s="318"/>
      <c r="V73" s="318"/>
      <c r="W73" s="318"/>
      <c r="X73" s="318"/>
      <c r="Y73" s="318"/>
      <c r="Z73" s="318"/>
    </row>
    <row r="74" ht="15.75" customHeight="1">
      <c r="A74" s="318"/>
      <c r="B74" s="318"/>
      <c r="C74" s="318"/>
      <c r="D74" s="318"/>
      <c r="E74" s="318"/>
      <c r="F74" s="318"/>
      <c r="G74" s="318"/>
      <c r="H74" s="318"/>
      <c r="I74" s="318"/>
      <c r="J74" s="318"/>
      <c r="K74" s="318"/>
      <c r="L74" s="318"/>
      <c r="M74" s="318"/>
      <c r="N74" s="318"/>
      <c r="O74" s="318"/>
      <c r="P74" s="318"/>
      <c r="Q74" s="318"/>
      <c r="R74" s="318"/>
      <c r="S74" s="318"/>
      <c r="T74" s="318"/>
      <c r="U74" s="318"/>
      <c r="V74" s="318"/>
      <c r="W74" s="318"/>
      <c r="X74" s="318"/>
      <c r="Y74" s="318"/>
      <c r="Z74" s="318"/>
    </row>
    <row r="75" ht="15.75" customHeight="1">
      <c r="A75" s="318"/>
      <c r="B75" s="318"/>
      <c r="C75" s="318"/>
      <c r="D75" s="318"/>
      <c r="E75" s="318"/>
      <c r="F75" s="318"/>
      <c r="G75" s="318"/>
      <c r="H75" s="318"/>
      <c r="I75" s="318"/>
      <c r="J75" s="318"/>
      <c r="K75" s="318"/>
      <c r="L75" s="318"/>
      <c r="M75" s="318"/>
      <c r="N75" s="318"/>
      <c r="O75" s="318"/>
      <c r="P75" s="318"/>
      <c r="Q75" s="318"/>
      <c r="R75" s="318"/>
      <c r="S75" s="318"/>
      <c r="T75" s="318"/>
      <c r="U75" s="318"/>
      <c r="V75" s="318"/>
      <c r="W75" s="318"/>
      <c r="X75" s="318"/>
      <c r="Y75" s="318"/>
      <c r="Z75" s="318"/>
    </row>
    <row r="76" ht="15.75" customHeight="1">
      <c r="A76" s="318"/>
      <c r="B76" s="318"/>
      <c r="C76" s="318"/>
      <c r="D76" s="318"/>
      <c r="E76" s="318"/>
      <c r="F76" s="318"/>
      <c r="G76" s="318"/>
      <c r="H76" s="318"/>
      <c r="I76" s="318"/>
      <c r="J76" s="318"/>
      <c r="K76" s="318"/>
      <c r="L76" s="318"/>
      <c r="M76" s="318"/>
      <c r="N76" s="318"/>
      <c r="O76" s="318"/>
      <c r="P76" s="318"/>
      <c r="Q76" s="318"/>
      <c r="R76" s="318"/>
      <c r="S76" s="318"/>
      <c r="T76" s="318"/>
      <c r="U76" s="318"/>
      <c r="V76" s="318"/>
      <c r="W76" s="318"/>
      <c r="X76" s="318"/>
      <c r="Y76" s="318"/>
      <c r="Z76" s="318"/>
    </row>
    <row r="77" ht="15.75" customHeight="1">
      <c r="A77" s="318"/>
      <c r="B77" s="318"/>
      <c r="C77" s="318"/>
      <c r="D77" s="318"/>
      <c r="E77" s="318"/>
      <c r="F77" s="318"/>
      <c r="G77" s="318"/>
      <c r="H77" s="318"/>
      <c r="I77" s="318"/>
      <c r="J77" s="318"/>
      <c r="K77" s="318"/>
      <c r="L77" s="318"/>
      <c r="M77" s="318"/>
      <c r="N77" s="318"/>
      <c r="O77" s="318"/>
      <c r="P77" s="318"/>
      <c r="Q77" s="318"/>
      <c r="R77" s="318"/>
      <c r="S77" s="318"/>
      <c r="T77" s="318"/>
      <c r="U77" s="318"/>
      <c r="V77" s="318"/>
      <c r="W77" s="318"/>
      <c r="X77" s="318"/>
      <c r="Y77" s="318"/>
      <c r="Z77" s="318"/>
    </row>
    <row r="78" ht="15.75" customHeight="1">
      <c r="A78" s="318"/>
      <c r="B78" s="318"/>
      <c r="C78" s="318"/>
      <c r="D78" s="318"/>
      <c r="E78" s="318"/>
      <c r="F78" s="318"/>
      <c r="G78" s="318"/>
      <c r="H78" s="318"/>
      <c r="I78" s="318"/>
      <c r="J78" s="318"/>
      <c r="K78" s="318"/>
      <c r="L78" s="318"/>
      <c r="M78" s="318"/>
      <c r="N78" s="318"/>
      <c r="O78" s="318"/>
      <c r="P78" s="318"/>
      <c r="Q78" s="318"/>
      <c r="R78" s="318"/>
      <c r="S78" s="318"/>
      <c r="T78" s="318"/>
      <c r="U78" s="318"/>
      <c r="V78" s="318"/>
      <c r="W78" s="318"/>
      <c r="X78" s="318"/>
      <c r="Y78" s="318"/>
      <c r="Z78" s="318"/>
    </row>
    <row r="79" ht="15.75" customHeight="1">
      <c r="A79" s="318"/>
      <c r="B79" s="318"/>
      <c r="C79" s="318"/>
      <c r="D79" s="318"/>
      <c r="E79" s="318"/>
      <c r="F79" s="318"/>
      <c r="G79" s="318"/>
      <c r="H79" s="318"/>
      <c r="I79" s="318"/>
      <c r="J79" s="318"/>
      <c r="K79" s="318"/>
      <c r="L79" s="318"/>
      <c r="M79" s="318"/>
      <c r="N79" s="318"/>
      <c r="O79" s="318"/>
      <c r="P79" s="318"/>
      <c r="Q79" s="318"/>
      <c r="R79" s="318"/>
      <c r="S79" s="318"/>
      <c r="T79" s="318"/>
      <c r="U79" s="318"/>
      <c r="V79" s="318"/>
      <c r="W79" s="318"/>
      <c r="X79" s="318"/>
      <c r="Y79" s="318"/>
      <c r="Z79" s="318"/>
    </row>
    <row r="80" ht="15.75" customHeight="1">
      <c r="A80" s="318"/>
      <c r="B80" s="318"/>
      <c r="C80" s="318"/>
      <c r="D80" s="318"/>
      <c r="E80" s="318"/>
      <c r="F80" s="318"/>
      <c r="G80" s="318"/>
      <c r="H80" s="318"/>
      <c r="I80" s="318"/>
      <c r="J80" s="318"/>
      <c r="K80" s="318"/>
      <c r="L80" s="318"/>
      <c r="M80" s="318"/>
      <c r="N80" s="318"/>
      <c r="O80" s="318"/>
      <c r="P80" s="318"/>
      <c r="Q80" s="318"/>
      <c r="R80" s="318"/>
      <c r="S80" s="318"/>
      <c r="T80" s="318"/>
      <c r="U80" s="318"/>
      <c r="V80" s="318"/>
      <c r="W80" s="318"/>
      <c r="X80" s="318"/>
      <c r="Y80" s="318"/>
      <c r="Z80" s="318"/>
    </row>
    <row r="81" ht="15.75" customHeight="1">
      <c r="A81" s="318"/>
      <c r="B81" s="318"/>
      <c r="C81" s="318"/>
      <c r="D81" s="318"/>
      <c r="E81" s="318"/>
      <c r="F81" s="318"/>
      <c r="G81" s="318"/>
      <c r="H81" s="318"/>
      <c r="I81" s="318"/>
      <c r="J81" s="318"/>
      <c r="K81" s="318"/>
      <c r="L81" s="318"/>
      <c r="M81" s="318"/>
      <c r="N81" s="318"/>
      <c r="O81" s="318"/>
      <c r="P81" s="318"/>
      <c r="Q81" s="318"/>
      <c r="R81" s="318"/>
      <c r="S81" s="318"/>
      <c r="T81" s="318"/>
      <c r="U81" s="318"/>
      <c r="V81" s="318"/>
      <c r="W81" s="318"/>
      <c r="X81" s="318"/>
      <c r="Y81" s="318"/>
      <c r="Z81" s="318"/>
    </row>
    <row r="82" ht="15.75" customHeight="1">
      <c r="A82" s="318"/>
      <c r="B82" s="318"/>
      <c r="C82" s="318"/>
      <c r="D82" s="318"/>
      <c r="E82" s="318"/>
      <c r="F82" s="318"/>
      <c r="G82" s="318"/>
      <c r="H82" s="318"/>
      <c r="I82" s="318"/>
      <c r="J82" s="318"/>
      <c r="K82" s="318"/>
      <c r="L82" s="318"/>
      <c r="M82" s="318"/>
      <c r="N82" s="318"/>
      <c r="O82" s="318"/>
      <c r="P82" s="318"/>
      <c r="Q82" s="318"/>
      <c r="R82" s="318"/>
      <c r="S82" s="318"/>
      <c r="T82" s="318"/>
      <c r="U82" s="318"/>
      <c r="V82" s="318"/>
      <c r="W82" s="318"/>
      <c r="X82" s="318"/>
      <c r="Y82" s="318"/>
      <c r="Z82" s="318"/>
    </row>
    <row r="83" ht="15.75" customHeight="1">
      <c r="A83" s="318"/>
      <c r="B83" s="318"/>
      <c r="C83" s="318"/>
      <c r="D83" s="318"/>
      <c r="E83" s="318"/>
      <c r="F83" s="318"/>
      <c r="G83" s="318"/>
      <c r="H83" s="318"/>
      <c r="I83" s="318"/>
      <c r="J83" s="318"/>
      <c r="K83" s="318"/>
      <c r="L83" s="318"/>
      <c r="M83" s="318"/>
      <c r="N83" s="318"/>
      <c r="O83" s="318"/>
      <c r="P83" s="318"/>
      <c r="Q83" s="318"/>
      <c r="R83" s="318"/>
      <c r="S83" s="318"/>
      <c r="T83" s="318"/>
      <c r="U83" s="318"/>
      <c r="V83" s="318"/>
      <c r="W83" s="318"/>
      <c r="X83" s="318"/>
      <c r="Y83" s="318"/>
      <c r="Z83" s="318"/>
    </row>
    <row r="84" ht="15.75" customHeight="1">
      <c r="A84" s="318"/>
      <c r="B84" s="318"/>
      <c r="C84" s="318"/>
      <c r="D84" s="318"/>
      <c r="E84" s="318"/>
      <c r="F84" s="318"/>
      <c r="G84" s="318"/>
      <c r="H84" s="318"/>
      <c r="I84" s="318"/>
      <c r="J84" s="318"/>
      <c r="K84" s="318"/>
      <c r="L84" s="318"/>
      <c r="M84" s="318"/>
      <c r="N84" s="318"/>
      <c r="O84" s="318"/>
      <c r="P84" s="318"/>
      <c r="Q84" s="318"/>
      <c r="R84" s="318"/>
      <c r="S84" s="318"/>
      <c r="T84" s="318"/>
      <c r="U84" s="318"/>
      <c r="V84" s="318"/>
      <c r="W84" s="318"/>
      <c r="X84" s="318"/>
      <c r="Y84" s="318"/>
      <c r="Z84" s="318"/>
    </row>
    <row r="85" ht="15.75" customHeight="1">
      <c r="A85" s="318"/>
      <c r="B85" s="318"/>
      <c r="C85" s="318"/>
      <c r="D85" s="318"/>
      <c r="E85" s="318"/>
      <c r="F85" s="318"/>
      <c r="G85" s="318"/>
      <c r="H85" s="318"/>
      <c r="I85" s="318"/>
      <c r="J85" s="318"/>
      <c r="K85" s="318"/>
      <c r="L85" s="318"/>
      <c r="M85" s="318"/>
      <c r="N85" s="318"/>
      <c r="O85" s="318"/>
      <c r="P85" s="318"/>
      <c r="Q85" s="318"/>
      <c r="R85" s="318"/>
      <c r="S85" s="318"/>
      <c r="T85" s="318"/>
      <c r="U85" s="318"/>
      <c r="V85" s="318"/>
      <c r="W85" s="318"/>
      <c r="X85" s="318"/>
      <c r="Y85" s="318"/>
      <c r="Z85" s="318"/>
    </row>
    <row r="86" ht="15.75" customHeight="1">
      <c r="A86" s="318"/>
      <c r="B86" s="318"/>
      <c r="C86" s="318"/>
      <c r="D86" s="318"/>
      <c r="E86" s="318"/>
      <c r="F86" s="318"/>
      <c r="G86" s="318"/>
      <c r="H86" s="318"/>
      <c r="I86" s="318"/>
      <c r="J86" s="318"/>
      <c r="K86" s="318"/>
      <c r="L86" s="318"/>
      <c r="M86" s="318"/>
      <c r="N86" s="318"/>
      <c r="O86" s="318"/>
      <c r="P86" s="318"/>
      <c r="Q86" s="318"/>
      <c r="R86" s="318"/>
      <c r="S86" s="318"/>
      <c r="T86" s="318"/>
      <c r="U86" s="318"/>
      <c r="V86" s="318"/>
      <c r="W86" s="318"/>
      <c r="X86" s="318"/>
      <c r="Y86" s="318"/>
      <c r="Z86" s="318"/>
    </row>
    <row r="87" ht="15.75" customHeight="1">
      <c r="A87" s="318"/>
      <c r="B87" s="318"/>
      <c r="C87" s="318"/>
      <c r="D87" s="318"/>
      <c r="E87" s="318"/>
      <c r="F87" s="318"/>
      <c r="G87" s="318"/>
      <c r="H87" s="318"/>
      <c r="I87" s="318"/>
      <c r="J87" s="318"/>
      <c r="K87" s="318"/>
      <c r="L87" s="318"/>
      <c r="M87" s="318"/>
      <c r="N87" s="318"/>
      <c r="O87" s="318"/>
      <c r="P87" s="318"/>
      <c r="Q87" s="318"/>
      <c r="R87" s="318"/>
      <c r="S87" s="318"/>
      <c r="T87" s="318"/>
      <c r="U87" s="318"/>
      <c r="V87" s="318"/>
      <c r="W87" s="318"/>
      <c r="X87" s="318"/>
      <c r="Y87" s="318"/>
      <c r="Z87" s="318"/>
    </row>
    <row r="88" ht="15.75" customHeight="1">
      <c r="A88" s="318"/>
      <c r="B88" s="318"/>
      <c r="C88" s="318"/>
      <c r="D88" s="318"/>
      <c r="E88" s="318"/>
      <c r="F88" s="318"/>
      <c r="G88" s="318"/>
      <c r="H88" s="318"/>
      <c r="I88" s="318"/>
      <c r="J88" s="318"/>
      <c r="K88" s="318"/>
      <c r="L88" s="318"/>
      <c r="M88" s="318"/>
      <c r="N88" s="318"/>
      <c r="O88" s="318"/>
      <c r="P88" s="318"/>
      <c r="Q88" s="318"/>
      <c r="R88" s="318"/>
      <c r="S88" s="318"/>
      <c r="T88" s="318"/>
      <c r="U88" s="318"/>
      <c r="V88" s="318"/>
      <c r="W88" s="318"/>
      <c r="X88" s="318"/>
      <c r="Y88" s="318"/>
      <c r="Z88" s="318"/>
    </row>
    <row r="89" ht="15.75" customHeight="1">
      <c r="A89" s="318"/>
      <c r="B89" s="318"/>
      <c r="C89" s="318"/>
      <c r="D89" s="318"/>
      <c r="E89" s="318"/>
      <c r="F89" s="318"/>
      <c r="G89" s="318"/>
      <c r="H89" s="318"/>
      <c r="I89" s="318"/>
      <c r="J89" s="318"/>
      <c r="K89" s="318"/>
      <c r="L89" s="318"/>
      <c r="M89" s="318"/>
      <c r="N89" s="318"/>
      <c r="O89" s="318"/>
      <c r="P89" s="318"/>
      <c r="Q89" s="318"/>
      <c r="R89" s="318"/>
      <c r="S89" s="318"/>
      <c r="T89" s="318"/>
      <c r="U89" s="318"/>
      <c r="V89" s="318"/>
      <c r="W89" s="318"/>
      <c r="X89" s="318"/>
      <c r="Y89" s="318"/>
      <c r="Z89" s="318"/>
    </row>
    <row r="90" ht="15.75" customHeight="1">
      <c r="A90" s="318"/>
      <c r="B90" s="318"/>
      <c r="C90" s="318"/>
      <c r="D90" s="318"/>
      <c r="E90" s="318"/>
      <c r="F90" s="318"/>
      <c r="G90" s="318"/>
      <c r="H90" s="318"/>
      <c r="I90" s="318"/>
      <c r="J90" s="318"/>
      <c r="K90" s="318"/>
      <c r="L90" s="318"/>
      <c r="M90" s="318"/>
      <c r="N90" s="318"/>
      <c r="O90" s="318"/>
      <c r="P90" s="318"/>
      <c r="Q90" s="318"/>
      <c r="R90" s="318"/>
      <c r="S90" s="318"/>
      <c r="T90" s="318"/>
      <c r="U90" s="318"/>
      <c r="V90" s="318"/>
      <c r="W90" s="318"/>
      <c r="X90" s="318"/>
      <c r="Y90" s="318"/>
      <c r="Z90" s="318"/>
    </row>
    <row r="91" ht="15.75" customHeight="1">
      <c r="A91" s="318"/>
      <c r="B91" s="318"/>
      <c r="C91" s="318"/>
      <c r="D91" s="318"/>
      <c r="E91" s="318"/>
      <c r="F91" s="318"/>
      <c r="G91" s="318"/>
      <c r="H91" s="318"/>
      <c r="I91" s="318"/>
      <c r="J91" s="318"/>
      <c r="K91" s="318"/>
      <c r="L91" s="318"/>
      <c r="M91" s="318"/>
      <c r="N91" s="318"/>
      <c r="O91" s="318"/>
      <c r="P91" s="318"/>
      <c r="Q91" s="318"/>
      <c r="R91" s="318"/>
      <c r="S91" s="318"/>
      <c r="T91" s="318"/>
      <c r="U91" s="318"/>
      <c r="V91" s="318"/>
      <c r="W91" s="318"/>
      <c r="X91" s="318"/>
      <c r="Y91" s="318"/>
      <c r="Z91" s="318"/>
    </row>
    <row r="92" ht="15.75" customHeight="1">
      <c r="A92" s="318"/>
      <c r="B92" s="318"/>
      <c r="C92" s="318"/>
      <c r="D92" s="318"/>
      <c r="E92" s="318"/>
      <c r="F92" s="318"/>
      <c r="G92" s="318"/>
      <c r="H92" s="318"/>
      <c r="I92" s="318"/>
      <c r="J92" s="318"/>
      <c r="K92" s="318"/>
      <c r="L92" s="318"/>
      <c r="M92" s="318"/>
      <c r="N92" s="318"/>
      <c r="O92" s="318"/>
      <c r="P92" s="318"/>
      <c r="Q92" s="318"/>
      <c r="R92" s="318"/>
      <c r="S92" s="318"/>
      <c r="T92" s="318"/>
      <c r="U92" s="318"/>
      <c r="V92" s="318"/>
      <c r="W92" s="318"/>
      <c r="X92" s="318"/>
      <c r="Y92" s="318"/>
      <c r="Z92" s="318"/>
    </row>
    <row r="93" ht="15.75" customHeight="1">
      <c r="A93" s="318"/>
      <c r="B93" s="318"/>
      <c r="C93" s="318"/>
      <c r="D93" s="318"/>
      <c r="E93" s="318"/>
      <c r="F93" s="318"/>
      <c r="G93" s="318"/>
      <c r="H93" s="318"/>
      <c r="I93" s="318"/>
      <c r="J93" s="318"/>
      <c r="K93" s="318"/>
      <c r="L93" s="318"/>
      <c r="M93" s="318"/>
      <c r="N93" s="318"/>
      <c r="O93" s="318"/>
      <c r="P93" s="318"/>
      <c r="Q93" s="318"/>
      <c r="R93" s="318"/>
      <c r="S93" s="318"/>
      <c r="T93" s="318"/>
      <c r="U93" s="318"/>
      <c r="V93" s="318"/>
      <c r="W93" s="318"/>
      <c r="X93" s="318"/>
      <c r="Y93" s="318"/>
      <c r="Z93" s="318"/>
    </row>
    <row r="94" ht="15.75" customHeight="1">
      <c r="A94" s="318"/>
      <c r="B94" s="318"/>
      <c r="C94" s="318"/>
      <c r="D94" s="318"/>
      <c r="E94" s="318"/>
      <c r="F94" s="318"/>
      <c r="G94" s="318"/>
      <c r="H94" s="318"/>
      <c r="I94" s="318"/>
      <c r="J94" s="318"/>
      <c r="K94" s="318"/>
      <c r="L94" s="318"/>
      <c r="M94" s="318"/>
      <c r="N94" s="318"/>
      <c r="O94" s="318"/>
      <c r="P94" s="318"/>
      <c r="Q94" s="318"/>
      <c r="R94" s="318"/>
      <c r="S94" s="318"/>
      <c r="T94" s="318"/>
      <c r="U94" s="318"/>
      <c r="V94" s="318"/>
      <c r="W94" s="318"/>
      <c r="X94" s="318"/>
      <c r="Y94" s="318"/>
      <c r="Z94" s="318"/>
    </row>
    <row r="95" ht="15.75" customHeight="1">
      <c r="A95" s="318"/>
      <c r="B95" s="318"/>
      <c r="C95" s="318"/>
      <c r="D95" s="318"/>
      <c r="E95" s="318"/>
      <c r="F95" s="318"/>
      <c r="G95" s="318"/>
      <c r="H95" s="318"/>
      <c r="I95" s="318"/>
      <c r="J95" s="318"/>
      <c r="K95" s="318"/>
      <c r="L95" s="318"/>
      <c r="M95" s="318"/>
      <c r="N95" s="318"/>
      <c r="O95" s="318"/>
      <c r="P95" s="318"/>
      <c r="Q95" s="318"/>
      <c r="R95" s="318"/>
      <c r="S95" s="318"/>
      <c r="T95" s="318"/>
      <c r="U95" s="318"/>
      <c r="V95" s="318"/>
      <c r="W95" s="318"/>
      <c r="X95" s="318"/>
      <c r="Y95" s="318"/>
      <c r="Z95" s="318"/>
    </row>
    <row r="96" ht="15.75" customHeight="1">
      <c r="A96" s="318"/>
      <c r="B96" s="318"/>
      <c r="C96" s="318"/>
      <c r="D96" s="318"/>
      <c r="E96" s="318"/>
      <c r="F96" s="318"/>
      <c r="G96" s="318"/>
      <c r="H96" s="318"/>
      <c r="I96" s="318"/>
      <c r="J96" s="318"/>
      <c r="K96" s="318"/>
      <c r="L96" s="318"/>
      <c r="M96" s="318"/>
      <c r="N96" s="318"/>
      <c r="O96" s="318"/>
      <c r="P96" s="318"/>
      <c r="Q96" s="318"/>
      <c r="R96" s="318"/>
      <c r="S96" s="318"/>
      <c r="T96" s="318"/>
      <c r="U96" s="318"/>
      <c r="V96" s="318"/>
      <c r="W96" s="318"/>
      <c r="X96" s="318"/>
      <c r="Y96" s="318"/>
      <c r="Z96" s="318"/>
    </row>
    <row r="97" ht="15.75" customHeight="1">
      <c r="A97" s="318"/>
      <c r="B97" s="318"/>
      <c r="C97" s="318"/>
      <c r="D97" s="318"/>
      <c r="E97" s="318"/>
      <c r="F97" s="318"/>
      <c r="G97" s="318"/>
      <c r="H97" s="318"/>
      <c r="I97" s="318"/>
      <c r="J97" s="318"/>
      <c r="K97" s="318"/>
      <c r="L97" s="318"/>
      <c r="M97" s="318"/>
      <c r="N97" s="318"/>
      <c r="O97" s="318"/>
      <c r="P97" s="318"/>
      <c r="Q97" s="318"/>
      <c r="R97" s="318"/>
      <c r="S97" s="318"/>
      <c r="T97" s="318"/>
      <c r="U97" s="318"/>
      <c r="V97" s="318"/>
      <c r="W97" s="318"/>
      <c r="X97" s="318"/>
      <c r="Y97" s="318"/>
      <c r="Z97" s="318"/>
    </row>
    <row r="98" ht="15.75" customHeight="1">
      <c r="A98" s="318"/>
      <c r="B98" s="318"/>
      <c r="C98" s="318"/>
      <c r="D98" s="318"/>
      <c r="E98" s="318"/>
      <c r="F98" s="318"/>
      <c r="G98" s="318"/>
      <c r="H98" s="318"/>
      <c r="I98" s="318"/>
      <c r="J98" s="318"/>
      <c r="K98" s="318"/>
      <c r="L98" s="318"/>
      <c r="M98" s="318"/>
      <c r="N98" s="318"/>
      <c r="O98" s="318"/>
      <c r="P98" s="318"/>
      <c r="Q98" s="318"/>
      <c r="R98" s="318"/>
      <c r="S98" s="318"/>
      <c r="T98" s="318"/>
      <c r="U98" s="318"/>
      <c r="V98" s="318"/>
      <c r="W98" s="318"/>
      <c r="X98" s="318"/>
      <c r="Y98" s="318"/>
      <c r="Z98" s="318"/>
    </row>
    <row r="99" ht="15.75" customHeight="1">
      <c r="A99" s="318"/>
      <c r="B99" s="318"/>
      <c r="C99" s="318"/>
      <c r="D99" s="318"/>
      <c r="E99" s="318"/>
      <c r="F99" s="318"/>
      <c r="G99" s="318"/>
      <c r="H99" s="318"/>
      <c r="I99" s="318"/>
      <c r="J99" s="318"/>
      <c r="K99" s="318"/>
      <c r="L99" s="318"/>
      <c r="M99" s="318"/>
      <c r="N99" s="318"/>
      <c r="O99" s="318"/>
      <c r="P99" s="318"/>
      <c r="Q99" s="318"/>
      <c r="R99" s="318"/>
      <c r="S99" s="318"/>
      <c r="T99" s="318"/>
      <c r="U99" s="318"/>
      <c r="V99" s="318"/>
      <c r="W99" s="318"/>
      <c r="X99" s="318"/>
      <c r="Y99" s="318"/>
      <c r="Z99" s="318"/>
    </row>
    <row r="100" ht="15.75" customHeight="1">
      <c r="A100" s="318"/>
      <c r="B100" s="318"/>
      <c r="C100" s="318"/>
      <c r="D100" s="318"/>
      <c r="E100" s="318"/>
      <c r="F100" s="318"/>
      <c r="G100" s="318"/>
      <c r="H100" s="318"/>
      <c r="I100" s="318"/>
      <c r="J100" s="318"/>
      <c r="K100" s="318"/>
      <c r="L100" s="318"/>
      <c r="M100" s="318"/>
      <c r="N100" s="318"/>
      <c r="O100" s="318"/>
      <c r="P100" s="318"/>
      <c r="Q100" s="318"/>
      <c r="R100" s="318"/>
      <c r="S100" s="318"/>
      <c r="T100" s="318"/>
      <c r="U100" s="318"/>
      <c r="V100" s="318"/>
      <c r="W100" s="318"/>
      <c r="X100" s="318"/>
      <c r="Y100" s="318"/>
      <c r="Z100" s="318"/>
    </row>
    <row r="101" ht="15.75" customHeight="1">
      <c r="A101" s="318"/>
      <c r="B101" s="318"/>
      <c r="C101" s="318"/>
      <c r="D101" s="318"/>
      <c r="E101" s="318"/>
      <c r="F101" s="318"/>
      <c r="G101" s="318"/>
      <c r="H101" s="318"/>
      <c r="I101" s="318"/>
      <c r="J101" s="318"/>
      <c r="K101" s="318"/>
      <c r="L101" s="318"/>
      <c r="M101" s="318"/>
      <c r="N101" s="318"/>
      <c r="O101" s="318"/>
      <c r="P101" s="318"/>
      <c r="Q101" s="318"/>
      <c r="R101" s="318"/>
      <c r="S101" s="318"/>
      <c r="T101" s="318"/>
      <c r="U101" s="318"/>
      <c r="V101" s="318"/>
      <c r="W101" s="318"/>
      <c r="X101" s="318"/>
      <c r="Y101" s="318"/>
      <c r="Z101" s="318"/>
    </row>
    <row r="102" ht="15.75" customHeight="1">
      <c r="A102" s="318"/>
      <c r="B102" s="318"/>
      <c r="C102" s="318"/>
      <c r="D102" s="318"/>
      <c r="E102" s="318"/>
      <c r="F102" s="318"/>
      <c r="G102" s="318"/>
      <c r="H102" s="318"/>
      <c r="I102" s="318"/>
      <c r="J102" s="318"/>
      <c r="K102" s="318"/>
      <c r="L102" s="318"/>
      <c r="M102" s="318"/>
      <c r="N102" s="318"/>
      <c r="O102" s="318"/>
      <c r="P102" s="318"/>
      <c r="Q102" s="318"/>
      <c r="R102" s="318"/>
      <c r="S102" s="318"/>
      <c r="T102" s="318"/>
      <c r="U102" s="318"/>
      <c r="V102" s="318"/>
      <c r="W102" s="318"/>
      <c r="X102" s="318"/>
      <c r="Y102" s="318"/>
      <c r="Z102" s="318"/>
    </row>
    <row r="103" ht="15.75" customHeight="1">
      <c r="A103" s="318"/>
      <c r="B103" s="318"/>
      <c r="C103" s="318"/>
      <c r="D103" s="318"/>
      <c r="E103" s="318"/>
      <c r="F103" s="318"/>
      <c r="G103" s="318"/>
      <c r="H103" s="318"/>
      <c r="I103" s="318"/>
      <c r="J103" s="318"/>
      <c r="K103" s="318"/>
      <c r="L103" s="318"/>
      <c r="M103" s="318"/>
      <c r="N103" s="318"/>
      <c r="O103" s="318"/>
      <c r="P103" s="318"/>
      <c r="Q103" s="318"/>
      <c r="R103" s="318"/>
      <c r="S103" s="318"/>
      <c r="T103" s="318"/>
      <c r="U103" s="318"/>
      <c r="V103" s="318"/>
      <c r="W103" s="318"/>
      <c r="X103" s="318"/>
      <c r="Y103" s="318"/>
      <c r="Z103" s="318"/>
    </row>
    <row r="104" ht="15.75" customHeight="1">
      <c r="A104" s="318"/>
      <c r="B104" s="318"/>
      <c r="C104" s="318"/>
      <c r="D104" s="318"/>
      <c r="E104" s="318"/>
      <c r="F104" s="318"/>
      <c r="G104" s="318"/>
      <c r="H104" s="318"/>
      <c r="I104" s="318"/>
      <c r="J104" s="318"/>
      <c r="K104" s="318"/>
      <c r="L104" s="318"/>
      <c r="M104" s="318"/>
      <c r="N104" s="318"/>
      <c r="O104" s="318"/>
      <c r="P104" s="318"/>
      <c r="Q104" s="318"/>
      <c r="R104" s="318"/>
      <c r="S104" s="318"/>
      <c r="T104" s="318"/>
      <c r="U104" s="318"/>
      <c r="V104" s="318"/>
      <c r="W104" s="318"/>
      <c r="X104" s="318"/>
      <c r="Y104" s="318"/>
      <c r="Z104" s="318"/>
    </row>
    <row r="105" ht="15.75" customHeight="1">
      <c r="A105" s="318"/>
      <c r="B105" s="318"/>
      <c r="C105" s="318"/>
      <c r="D105" s="318"/>
      <c r="E105" s="318"/>
      <c r="F105" s="318"/>
      <c r="G105" s="318"/>
      <c r="H105" s="318"/>
      <c r="I105" s="318"/>
      <c r="J105" s="318"/>
      <c r="K105" s="318"/>
      <c r="L105" s="318"/>
      <c r="M105" s="318"/>
      <c r="N105" s="318"/>
      <c r="O105" s="318"/>
      <c r="P105" s="318"/>
      <c r="Q105" s="318"/>
      <c r="R105" s="318"/>
      <c r="S105" s="318"/>
      <c r="T105" s="318"/>
      <c r="U105" s="318"/>
      <c r="V105" s="318"/>
      <c r="W105" s="318"/>
      <c r="X105" s="318"/>
      <c r="Y105" s="318"/>
      <c r="Z105" s="318"/>
    </row>
    <row r="106" ht="15.75" customHeight="1">
      <c r="A106" s="318"/>
      <c r="B106" s="318"/>
      <c r="C106" s="318"/>
      <c r="D106" s="318"/>
      <c r="E106" s="318"/>
      <c r="F106" s="318"/>
      <c r="G106" s="318"/>
      <c r="H106" s="318"/>
      <c r="I106" s="318"/>
      <c r="J106" s="318"/>
      <c r="K106" s="318"/>
      <c r="L106" s="318"/>
      <c r="M106" s="318"/>
      <c r="N106" s="318"/>
      <c r="O106" s="318"/>
      <c r="P106" s="318"/>
      <c r="Q106" s="318"/>
      <c r="R106" s="318"/>
      <c r="S106" s="318"/>
      <c r="T106" s="318"/>
      <c r="U106" s="318"/>
      <c r="V106" s="318"/>
      <c r="W106" s="318"/>
      <c r="X106" s="318"/>
      <c r="Y106" s="318"/>
      <c r="Z106" s="318"/>
    </row>
    <row r="107" ht="15.75" customHeight="1">
      <c r="A107" s="318"/>
      <c r="B107" s="318"/>
      <c r="C107" s="318"/>
      <c r="D107" s="318"/>
      <c r="E107" s="318"/>
      <c r="F107" s="318"/>
      <c r="G107" s="318"/>
      <c r="H107" s="318"/>
      <c r="I107" s="318"/>
      <c r="J107" s="318"/>
      <c r="K107" s="318"/>
      <c r="L107" s="318"/>
      <c r="M107" s="318"/>
      <c r="N107" s="318"/>
      <c r="O107" s="318"/>
      <c r="P107" s="318"/>
      <c r="Q107" s="318"/>
      <c r="R107" s="318"/>
      <c r="S107" s="318"/>
      <c r="T107" s="318"/>
      <c r="U107" s="318"/>
      <c r="V107" s="318"/>
      <c r="W107" s="318"/>
      <c r="X107" s="318"/>
      <c r="Y107" s="318"/>
      <c r="Z107" s="318"/>
    </row>
    <row r="108" ht="15.75" customHeight="1">
      <c r="A108" s="318"/>
      <c r="B108" s="318"/>
      <c r="C108" s="318"/>
      <c r="D108" s="318"/>
      <c r="E108" s="318"/>
      <c r="F108" s="318"/>
      <c r="G108" s="318"/>
      <c r="H108" s="318"/>
      <c r="I108" s="318"/>
      <c r="J108" s="318"/>
      <c r="K108" s="318"/>
      <c r="L108" s="318"/>
      <c r="M108" s="318"/>
      <c r="N108" s="318"/>
      <c r="O108" s="318"/>
      <c r="P108" s="318"/>
      <c r="Q108" s="318"/>
      <c r="R108" s="318"/>
      <c r="S108" s="318"/>
      <c r="T108" s="318"/>
      <c r="U108" s="318"/>
      <c r="V108" s="318"/>
      <c r="W108" s="318"/>
      <c r="X108" s="318"/>
      <c r="Y108" s="318"/>
      <c r="Z108" s="318"/>
    </row>
    <row r="109" ht="15.75" customHeight="1">
      <c r="A109" s="318"/>
      <c r="B109" s="318"/>
      <c r="C109" s="318"/>
      <c r="D109" s="318"/>
      <c r="E109" s="318"/>
      <c r="F109" s="318"/>
      <c r="G109" s="318"/>
      <c r="H109" s="318"/>
      <c r="I109" s="318"/>
      <c r="J109" s="318"/>
      <c r="K109" s="318"/>
      <c r="L109" s="318"/>
      <c r="M109" s="318"/>
      <c r="N109" s="318"/>
      <c r="O109" s="318"/>
      <c r="P109" s="318"/>
      <c r="Q109" s="318"/>
      <c r="R109" s="318"/>
      <c r="S109" s="318"/>
      <c r="T109" s="318"/>
      <c r="U109" s="318"/>
      <c r="V109" s="318"/>
      <c r="W109" s="318"/>
      <c r="X109" s="318"/>
      <c r="Y109" s="318"/>
      <c r="Z109" s="318"/>
    </row>
    <row r="110" ht="15.75" customHeight="1">
      <c r="A110" s="318"/>
      <c r="B110" s="318"/>
      <c r="C110" s="318"/>
      <c r="D110" s="318"/>
      <c r="E110" s="318"/>
      <c r="F110" s="318"/>
      <c r="G110" s="318"/>
      <c r="H110" s="318"/>
      <c r="I110" s="318"/>
      <c r="J110" s="318"/>
      <c r="K110" s="318"/>
      <c r="L110" s="318"/>
      <c r="M110" s="318"/>
      <c r="N110" s="318"/>
      <c r="O110" s="318"/>
      <c r="P110" s="318"/>
      <c r="Q110" s="318"/>
      <c r="R110" s="318"/>
      <c r="S110" s="318"/>
      <c r="T110" s="318"/>
      <c r="U110" s="318"/>
      <c r="V110" s="318"/>
      <c r="W110" s="318"/>
      <c r="X110" s="318"/>
      <c r="Y110" s="318"/>
      <c r="Z110" s="318"/>
    </row>
    <row r="111" ht="15.75" customHeight="1">
      <c r="A111" s="318"/>
      <c r="B111" s="318"/>
      <c r="C111" s="318"/>
      <c r="D111" s="318"/>
      <c r="E111" s="318"/>
      <c r="F111" s="318"/>
      <c r="G111" s="318"/>
      <c r="H111" s="318"/>
      <c r="I111" s="318"/>
      <c r="J111" s="318"/>
      <c r="K111" s="318"/>
      <c r="L111" s="318"/>
      <c r="M111" s="318"/>
      <c r="N111" s="318"/>
      <c r="O111" s="318"/>
      <c r="P111" s="318"/>
      <c r="Q111" s="318"/>
      <c r="R111" s="318"/>
      <c r="S111" s="318"/>
      <c r="T111" s="318"/>
      <c r="U111" s="318"/>
      <c r="V111" s="318"/>
      <c r="W111" s="318"/>
      <c r="X111" s="318"/>
      <c r="Y111" s="318"/>
      <c r="Z111" s="318"/>
    </row>
    <row r="112" ht="15.75" customHeight="1">
      <c r="A112" s="318"/>
      <c r="B112" s="318"/>
      <c r="C112" s="318"/>
      <c r="D112" s="318"/>
      <c r="E112" s="318"/>
      <c r="F112" s="318"/>
      <c r="G112" s="318"/>
      <c r="H112" s="318"/>
      <c r="I112" s="318"/>
      <c r="J112" s="318"/>
      <c r="K112" s="318"/>
      <c r="L112" s="318"/>
      <c r="M112" s="318"/>
      <c r="N112" s="318"/>
      <c r="O112" s="318"/>
      <c r="P112" s="318"/>
      <c r="Q112" s="318"/>
      <c r="R112" s="318"/>
      <c r="S112" s="318"/>
      <c r="T112" s="318"/>
      <c r="U112" s="318"/>
      <c r="V112" s="318"/>
      <c r="W112" s="318"/>
      <c r="X112" s="318"/>
      <c r="Y112" s="318"/>
      <c r="Z112" s="318"/>
    </row>
    <row r="113" ht="15.75" customHeight="1">
      <c r="A113" s="318"/>
      <c r="B113" s="318"/>
      <c r="C113" s="318"/>
      <c r="D113" s="318"/>
      <c r="E113" s="318"/>
      <c r="F113" s="318"/>
      <c r="G113" s="318"/>
      <c r="H113" s="318"/>
      <c r="I113" s="318"/>
      <c r="J113" s="318"/>
      <c r="K113" s="318"/>
      <c r="L113" s="318"/>
      <c r="M113" s="318"/>
      <c r="N113" s="318"/>
      <c r="O113" s="318"/>
      <c r="P113" s="318"/>
      <c r="Q113" s="318"/>
      <c r="R113" s="318"/>
      <c r="S113" s="318"/>
      <c r="T113" s="318"/>
      <c r="U113" s="318"/>
      <c r="V113" s="318"/>
      <c r="W113" s="318"/>
      <c r="X113" s="318"/>
      <c r="Y113" s="318"/>
      <c r="Z113" s="318"/>
    </row>
    <row r="114" ht="15.75" customHeight="1">
      <c r="A114" s="318"/>
      <c r="B114" s="318"/>
      <c r="C114" s="318"/>
      <c r="D114" s="318"/>
      <c r="E114" s="318"/>
      <c r="F114" s="318"/>
      <c r="G114" s="318"/>
      <c r="H114" s="318"/>
      <c r="I114" s="318"/>
      <c r="J114" s="318"/>
      <c r="K114" s="318"/>
      <c r="L114" s="318"/>
      <c r="M114" s="318"/>
      <c r="N114" s="318"/>
      <c r="O114" s="318"/>
      <c r="P114" s="318"/>
      <c r="Q114" s="318"/>
      <c r="R114" s="318"/>
      <c r="S114" s="318"/>
      <c r="T114" s="318"/>
      <c r="U114" s="318"/>
      <c r="V114" s="318"/>
      <c r="W114" s="318"/>
      <c r="X114" s="318"/>
      <c r="Y114" s="318"/>
      <c r="Z114" s="318"/>
    </row>
    <row r="115" ht="15.75" customHeight="1">
      <c r="A115" s="318"/>
      <c r="B115" s="318"/>
      <c r="C115" s="318"/>
      <c r="D115" s="318"/>
      <c r="E115" s="318"/>
      <c r="F115" s="318"/>
      <c r="G115" s="318"/>
      <c r="H115" s="318"/>
      <c r="I115" s="318"/>
      <c r="J115" s="318"/>
      <c r="K115" s="318"/>
      <c r="L115" s="318"/>
      <c r="M115" s="318"/>
      <c r="N115" s="318"/>
      <c r="O115" s="318"/>
      <c r="P115" s="318"/>
      <c r="Q115" s="318"/>
      <c r="R115" s="318"/>
      <c r="S115" s="318"/>
      <c r="T115" s="318"/>
      <c r="U115" s="318"/>
      <c r="V115" s="318"/>
      <c r="W115" s="318"/>
      <c r="X115" s="318"/>
      <c r="Y115" s="318"/>
      <c r="Z115" s="318"/>
    </row>
    <row r="116" ht="15.75" customHeight="1">
      <c r="A116" s="318"/>
      <c r="B116" s="318"/>
      <c r="C116" s="318"/>
      <c r="D116" s="318"/>
      <c r="E116" s="318"/>
      <c r="F116" s="318"/>
      <c r="G116" s="318"/>
      <c r="H116" s="318"/>
      <c r="I116" s="318"/>
      <c r="J116" s="318"/>
      <c r="K116" s="318"/>
      <c r="L116" s="318"/>
      <c r="M116" s="318"/>
      <c r="N116" s="318"/>
      <c r="O116" s="318"/>
      <c r="P116" s="318"/>
      <c r="Q116" s="318"/>
      <c r="R116" s="318"/>
      <c r="S116" s="318"/>
      <c r="T116" s="318"/>
      <c r="U116" s="318"/>
      <c r="V116" s="318"/>
      <c r="W116" s="318"/>
      <c r="X116" s="318"/>
      <c r="Y116" s="318"/>
      <c r="Z116" s="318"/>
    </row>
    <row r="117" ht="15.75" customHeight="1">
      <c r="A117" s="318"/>
      <c r="B117" s="318"/>
      <c r="C117" s="318"/>
      <c r="D117" s="318"/>
      <c r="E117" s="318"/>
      <c r="F117" s="318"/>
      <c r="G117" s="318"/>
      <c r="H117" s="318"/>
      <c r="I117" s="318"/>
      <c r="J117" s="318"/>
      <c r="K117" s="318"/>
      <c r="L117" s="318"/>
      <c r="M117" s="318"/>
      <c r="N117" s="318"/>
      <c r="O117" s="318"/>
      <c r="P117" s="318"/>
      <c r="Q117" s="318"/>
      <c r="R117" s="318"/>
      <c r="S117" s="318"/>
      <c r="T117" s="318"/>
      <c r="U117" s="318"/>
      <c r="V117" s="318"/>
      <c r="W117" s="318"/>
      <c r="X117" s="318"/>
      <c r="Y117" s="318"/>
      <c r="Z117" s="318"/>
    </row>
    <row r="118" ht="15.75" customHeight="1">
      <c r="A118" s="318"/>
      <c r="B118" s="318"/>
      <c r="C118" s="318"/>
      <c r="D118" s="318"/>
      <c r="E118" s="318"/>
      <c r="F118" s="318"/>
      <c r="G118" s="318"/>
      <c r="H118" s="318"/>
      <c r="I118" s="318"/>
      <c r="J118" s="318"/>
      <c r="K118" s="318"/>
      <c r="L118" s="318"/>
      <c r="M118" s="318"/>
      <c r="N118" s="318"/>
      <c r="O118" s="318"/>
      <c r="P118" s="318"/>
      <c r="Q118" s="318"/>
      <c r="R118" s="318"/>
      <c r="S118" s="318"/>
      <c r="T118" s="318"/>
      <c r="U118" s="318"/>
      <c r="V118" s="318"/>
      <c r="W118" s="318"/>
      <c r="X118" s="318"/>
      <c r="Y118" s="318"/>
      <c r="Z118" s="318"/>
    </row>
    <row r="119" ht="15.75" customHeight="1">
      <c r="A119" s="318"/>
      <c r="B119" s="318"/>
      <c r="C119" s="318"/>
      <c r="D119" s="318"/>
      <c r="E119" s="318"/>
      <c r="F119" s="318"/>
      <c r="G119" s="318"/>
      <c r="H119" s="318"/>
      <c r="I119" s="318"/>
      <c r="J119" s="318"/>
      <c r="K119" s="318"/>
      <c r="L119" s="318"/>
      <c r="M119" s="318"/>
      <c r="N119" s="318"/>
      <c r="O119" s="318"/>
      <c r="P119" s="318"/>
      <c r="Q119" s="318"/>
      <c r="R119" s="318"/>
      <c r="S119" s="318"/>
      <c r="T119" s="318"/>
      <c r="U119" s="318"/>
      <c r="V119" s="318"/>
      <c r="W119" s="318"/>
      <c r="X119" s="318"/>
      <c r="Y119" s="318"/>
      <c r="Z119" s="318"/>
    </row>
    <row r="120" ht="15.75" customHeight="1">
      <c r="A120" s="318"/>
      <c r="B120" s="318"/>
      <c r="C120" s="318"/>
      <c r="D120" s="318"/>
      <c r="E120" s="318"/>
      <c r="F120" s="318"/>
      <c r="G120" s="318"/>
      <c r="H120" s="318"/>
      <c r="I120" s="318"/>
      <c r="J120" s="318"/>
      <c r="K120" s="318"/>
      <c r="L120" s="318"/>
      <c r="M120" s="318"/>
      <c r="N120" s="318"/>
      <c r="O120" s="318"/>
      <c r="P120" s="318"/>
      <c r="Q120" s="318"/>
      <c r="R120" s="318"/>
      <c r="S120" s="318"/>
      <c r="T120" s="318"/>
      <c r="U120" s="318"/>
      <c r="V120" s="318"/>
      <c r="W120" s="318"/>
      <c r="X120" s="318"/>
      <c r="Y120" s="318"/>
      <c r="Z120" s="318"/>
    </row>
    <row r="121" ht="15.75" customHeight="1">
      <c r="A121" s="318"/>
      <c r="B121" s="318"/>
      <c r="C121" s="318"/>
      <c r="D121" s="318"/>
      <c r="E121" s="318"/>
      <c r="F121" s="318"/>
      <c r="G121" s="318"/>
      <c r="H121" s="318"/>
      <c r="I121" s="318"/>
      <c r="J121" s="318"/>
      <c r="K121" s="318"/>
      <c r="L121" s="318"/>
      <c r="M121" s="318"/>
      <c r="N121" s="318"/>
      <c r="O121" s="318"/>
      <c r="P121" s="318"/>
      <c r="Q121" s="318"/>
      <c r="R121" s="318"/>
      <c r="S121" s="318"/>
      <c r="T121" s="318"/>
      <c r="U121" s="318"/>
      <c r="V121" s="318"/>
      <c r="W121" s="318"/>
      <c r="X121" s="318"/>
      <c r="Y121" s="318"/>
      <c r="Z121" s="318"/>
    </row>
    <row r="122" ht="15.75" customHeight="1">
      <c r="A122" s="318"/>
      <c r="B122" s="318"/>
      <c r="C122" s="318"/>
      <c r="D122" s="318"/>
      <c r="E122" s="318"/>
      <c r="F122" s="318"/>
      <c r="G122" s="318"/>
      <c r="H122" s="318"/>
      <c r="I122" s="318"/>
      <c r="J122" s="318"/>
      <c r="K122" s="318"/>
      <c r="L122" s="318"/>
      <c r="M122" s="318"/>
      <c r="N122" s="318"/>
      <c r="O122" s="318"/>
      <c r="P122" s="318"/>
      <c r="Q122" s="318"/>
      <c r="R122" s="318"/>
      <c r="S122" s="318"/>
      <c r="T122" s="318"/>
      <c r="U122" s="318"/>
      <c r="V122" s="318"/>
      <c r="W122" s="318"/>
      <c r="X122" s="318"/>
      <c r="Y122" s="318"/>
      <c r="Z122" s="318"/>
    </row>
    <row r="123" ht="15.75" customHeight="1">
      <c r="A123" s="318"/>
      <c r="B123" s="318"/>
      <c r="C123" s="318"/>
      <c r="D123" s="318"/>
      <c r="E123" s="318"/>
      <c r="F123" s="318"/>
      <c r="G123" s="318"/>
      <c r="H123" s="318"/>
      <c r="I123" s="318"/>
      <c r="J123" s="318"/>
      <c r="K123" s="318"/>
      <c r="L123" s="318"/>
      <c r="M123" s="318"/>
      <c r="N123" s="318"/>
      <c r="O123" s="318"/>
      <c r="P123" s="318"/>
      <c r="Q123" s="318"/>
      <c r="R123" s="318"/>
      <c r="S123" s="318"/>
      <c r="T123" s="318"/>
      <c r="U123" s="318"/>
      <c r="V123" s="318"/>
      <c r="W123" s="318"/>
      <c r="X123" s="318"/>
      <c r="Y123" s="318"/>
      <c r="Z123" s="318"/>
    </row>
    <row r="124" ht="15.75" customHeight="1">
      <c r="A124" s="318"/>
      <c r="B124" s="318"/>
      <c r="C124" s="318"/>
      <c r="D124" s="318"/>
      <c r="E124" s="318"/>
      <c r="F124" s="318"/>
      <c r="G124" s="318"/>
      <c r="H124" s="318"/>
      <c r="I124" s="318"/>
      <c r="J124" s="318"/>
      <c r="K124" s="318"/>
      <c r="L124" s="318"/>
      <c r="M124" s="318"/>
      <c r="N124" s="318"/>
      <c r="O124" s="318"/>
      <c r="P124" s="318"/>
      <c r="Q124" s="318"/>
      <c r="R124" s="318"/>
      <c r="S124" s="318"/>
      <c r="T124" s="318"/>
      <c r="U124" s="318"/>
      <c r="V124" s="318"/>
      <c r="W124" s="318"/>
      <c r="X124" s="318"/>
      <c r="Y124" s="318"/>
      <c r="Z124" s="318"/>
    </row>
    <row r="125" ht="15.75" customHeight="1">
      <c r="A125" s="318"/>
      <c r="B125" s="318"/>
      <c r="C125" s="318"/>
      <c r="D125" s="318"/>
      <c r="E125" s="318"/>
      <c r="F125" s="318"/>
      <c r="G125" s="318"/>
      <c r="H125" s="318"/>
      <c r="I125" s="318"/>
      <c r="J125" s="318"/>
      <c r="K125" s="318"/>
      <c r="L125" s="318"/>
      <c r="M125" s="318"/>
      <c r="N125" s="318"/>
      <c r="O125" s="318"/>
      <c r="P125" s="318"/>
      <c r="Q125" s="318"/>
      <c r="R125" s="318"/>
      <c r="S125" s="318"/>
      <c r="T125" s="318"/>
      <c r="U125" s="318"/>
      <c r="V125" s="318"/>
      <c r="W125" s="318"/>
      <c r="X125" s="318"/>
      <c r="Y125" s="318"/>
      <c r="Z125" s="318"/>
    </row>
    <row r="126" ht="15.75" customHeight="1">
      <c r="A126" s="318"/>
      <c r="B126" s="318"/>
      <c r="C126" s="318"/>
      <c r="D126" s="318"/>
      <c r="E126" s="318"/>
      <c r="F126" s="318"/>
      <c r="G126" s="318"/>
      <c r="H126" s="318"/>
      <c r="I126" s="318"/>
      <c r="J126" s="318"/>
      <c r="K126" s="318"/>
      <c r="L126" s="318"/>
      <c r="M126" s="318"/>
      <c r="N126" s="318"/>
      <c r="O126" s="318"/>
      <c r="P126" s="318"/>
      <c r="Q126" s="318"/>
      <c r="R126" s="318"/>
      <c r="S126" s="318"/>
      <c r="T126" s="318"/>
      <c r="U126" s="318"/>
      <c r="V126" s="318"/>
      <c r="W126" s="318"/>
      <c r="X126" s="318"/>
      <c r="Y126" s="318"/>
      <c r="Z126" s="318"/>
    </row>
    <row r="127" ht="15.75" customHeight="1">
      <c r="A127" s="318"/>
      <c r="B127" s="318"/>
      <c r="C127" s="318"/>
      <c r="D127" s="318"/>
      <c r="E127" s="318"/>
      <c r="F127" s="318"/>
      <c r="G127" s="318"/>
      <c r="H127" s="318"/>
      <c r="I127" s="318"/>
      <c r="J127" s="318"/>
      <c r="K127" s="318"/>
      <c r="L127" s="318"/>
      <c r="M127" s="318"/>
      <c r="N127" s="318"/>
      <c r="O127" s="318"/>
      <c r="P127" s="318"/>
      <c r="Q127" s="318"/>
      <c r="R127" s="318"/>
      <c r="S127" s="318"/>
      <c r="T127" s="318"/>
      <c r="U127" s="318"/>
      <c r="V127" s="318"/>
      <c r="W127" s="318"/>
      <c r="X127" s="318"/>
      <c r="Y127" s="318"/>
      <c r="Z127" s="318"/>
    </row>
    <row r="128" ht="15.75" customHeight="1">
      <c r="A128" s="318"/>
      <c r="B128" s="318"/>
      <c r="C128" s="318"/>
      <c r="D128" s="318"/>
      <c r="E128" s="318"/>
      <c r="F128" s="318"/>
      <c r="G128" s="318"/>
      <c r="H128" s="318"/>
      <c r="I128" s="318"/>
      <c r="J128" s="318"/>
      <c r="K128" s="318"/>
      <c r="L128" s="318"/>
      <c r="M128" s="318"/>
      <c r="N128" s="318"/>
      <c r="O128" s="318"/>
      <c r="P128" s="318"/>
      <c r="Q128" s="318"/>
      <c r="R128" s="318"/>
      <c r="S128" s="318"/>
      <c r="T128" s="318"/>
      <c r="U128" s="318"/>
      <c r="V128" s="318"/>
      <c r="W128" s="318"/>
      <c r="X128" s="318"/>
      <c r="Y128" s="318"/>
      <c r="Z128" s="318"/>
    </row>
    <row r="129" ht="15.75" customHeight="1">
      <c r="A129" s="318"/>
      <c r="B129" s="318"/>
      <c r="C129" s="318"/>
      <c r="D129" s="318"/>
      <c r="E129" s="318"/>
      <c r="F129" s="318"/>
      <c r="G129" s="318"/>
      <c r="H129" s="318"/>
      <c r="I129" s="318"/>
      <c r="J129" s="318"/>
      <c r="K129" s="318"/>
      <c r="L129" s="318"/>
      <c r="M129" s="318"/>
      <c r="N129" s="318"/>
      <c r="O129" s="318"/>
      <c r="P129" s="318"/>
      <c r="Q129" s="318"/>
      <c r="R129" s="318"/>
      <c r="S129" s="318"/>
      <c r="T129" s="318"/>
      <c r="U129" s="318"/>
      <c r="V129" s="318"/>
      <c r="W129" s="318"/>
      <c r="X129" s="318"/>
      <c r="Y129" s="318"/>
      <c r="Z129" s="318"/>
    </row>
    <row r="130" ht="15.75" customHeight="1">
      <c r="A130" s="318"/>
      <c r="B130" s="318"/>
      <c r="C130" s="318"/>
      <c r="D130" s="318"/>
      <c r="E130" s="318"/>
      <c r="F130" s="318"/>
      <c r="G130" s="318"/>
      <c r="H130" s="318"/>
      <c r="I130" s="318"/>
      <c r="J130" s="318"/>
      <c r="K130" s="318"/>
      <c r="L130" s="318"/>
      <c r="M130" s="318"/>
      <c r="N130" s="318"/>
      <c r="O130" s="318"/>
      <c r="P130" s="318"/>
      <c r="Q130" s="318"/>
      <c r="R130" s="318"/>
      <c r="S130" s="318"/>
      <c r="T130" s="318"/>
      <c r="U130" s="318"/>
      <c r="V130" s="318"/>
      <c r="W130" s="318"/>
      <c r="X130" s="318"/>
      <c r="Y130" s="318"/>
      <c r="Z130" s="318"/>
    </row>
    <row r="131" ht="15.75" customHeight="1">
      <c r="A131" s="318"/>
      <c r="B131" s="318"/>
      <c r="C131" s="318"/>
      <c r="D131" s="318"/>
      <c r="E131" s="318"/>
      <c r="F131" s="318"/>
      <c r="G131" s="318"/>
      <c r="H131" s="318"/>
      <c r="I131" s="318"/>
      <c r="J131" s="318"/>
      <c r="K131" s="318"/>
      <c r="L131" s="318"/>
      <c r="M131" s="318"/>
      <c r="N131" s="318"/>
      <c r="O131" s="318"/>
      <c r="P131" s="318"/>
      <c r="Q131" s="318"/>
      <c r="R131" s="318"/>
      <c r="S131" s="318"/>
      <c r="T131" s="318"/>
      <c r="U131" s="318"/>
      <c r="V131" s="318"/>
      <c r="W131" s="318"/>
      <c r="X131" s="318"/>
      <c r="Y131" s="318"/>
      <c r="Z131" s="318"/>
    </row>
    <row r="132" ht="15.75" customHeight="1">
      <c r="A132" s="318"/>
      <c r="B132" s="318"/>
      <c r="C132" s="318"/>
      <c r="D132" s="318"/>
      <c r="E132" s="318"/>
      <c r="F132" s="318"/>
      <c r="G132" s="318"/>
      <c r="H132" s="318"/>
      <c r="I132" s="318"/>
      <c r="J132" s="318"/>
      <c r="K132" s="318"/>
      <c r="L132" s="318"/>
      <c r="M132" s="318"/>
      <c r="N132" s="318"/>
      <c r="O132" s="318"/>
      <c r="P132" s="318"/>
      <c r="Q132" s="318"/>
      <c r="R132" s="318"/>
      <c r="S132" s="318"/>
      <c r="T132" s="318"/>
      <c r="U132" s="318"/>
      <c r="V132" s="318"/>
      <c r="W132" s="318"/>
      <c r="X132" s="318"/>
      <c r="Y132" s="318"/>
      <c r="Z132" s="318"/>
    </row>
    <row r="133" ht="15.75" customHeight="1">
      <c r="A133" s="318"/>
      <c r="B133" s="318"/>
      <c r="C133" s="318"/>
      <c r="D133" s="318"/>
      <c r="E133" s="318"/>
      <c r="F133" s="318"/>
      <c r="G133" s="318"/>
      <c r="H133" s="318"/>
      <c r="I133" s="318"/>
      <c r="J133" s="318"/>
      <c r="K133" s="318"/>
      <c r="L133" s="318"/>
      <c r="M133" s="318"/>
      <c r="N133" s="318"/>
      <c r="O133" s="318"/>
      <c r="P133" s="318"/>
      <c r="Q133" s="318"/>
      <c r="R133" s="318"/>
      <c r="S133" s="318"/>
      <c r="T133" s="318"/>
      <c r="U133" s="318"/>
      <c r="V133" s="318"/>
      <c r="W133" s="318"/>
      <c r="X133" s="318"/>
      <c r="Y133" s="318"/>
      <c r="Z133" s="318"/>
    </row>
    <row r="134" ht="15.75" customHeight="1">
      <c r="A134" s="318"/>
      <c r="B134" s="318"/>
      <c r="C134" s="318"/>
      <c r="D134" s="318"/>
      <c r="E134" s="318"/>
      <c r="F134" s="318"/>
      <c r="G134" s="318"/>
      <c r="H134" s="318"/>
      <c r="I134" s="318"/>
      <c r="J134" s="318"/>
      <c r="K134" s="318"/>
      <c r="L134" s="318"/>
      <c r="M134" s="318"/>
      <c r="N134" s="318"/>
      <c r="O134" s="318"/>
      <c r="P134" s="318"/>
      <c r="Q134" s="318"/>
      <c r="R134" s="318"/>
      <c r="S134" s="318"/>
      <c r="T134" s="318"/>
      <c r="U134" s="318"/>
      <c r="V134" s="318"/>
      <c r="W134" s="318"/>
      <c r="X134" s="318"/>
      <c r="Y134" s="318"/>
      <c r="Z134" s="318"/>
    </row>
    <row r="135" ht="15.75" customHeight="1">
      <c r="A135" s="318"/>
      <c r="B135" s="318"/>
      <c r="C135" s="318"/>
      <c r="D135" s="318"/>
      <c r="E135" s="318"/>
      <c r="F135" s="318"/>
      <c r="G135" s="318"/>
      <c r="H135" s="318"/>
      <c r="I135" s="318"/>
      <c r="J135" s="318"/>
      <c r="K135" s="318"/>
      <c r="L135" s="318"/>
      <c r="M135" s="318"/>
      <c r="N135" s="318"/>
      <c r="O135" s="318"/>
      <c r="P135" s="318"/>
      <c r="Q135" s="318"/>
      <c r="R135" s="318"/>
      <c r="S135" s="318"/>
      <c r="T135" s="318"/>
      <c r="U135" s="318"/>
      <c r="V135" s="318"/>
      <c r="W135" s="318"/>
      <c r="X135" s="318"/>
      <c r="Y135" s="318"/>
      <c r="Z135" s="318"/>
    </row>
    <row r="136" ht="15.75" customHeight="1">
      <c r="A136" s="318"/>
      <c r="B136" s="318"/>
      <c r="C136" s="318"/>
      <c r="D136" s="318"/>
      <c r="E136" s="318"/>
      <c r="F136" s="318"/>
      <c r="G136" s="318"/>
      <c r="H136" s="318"/>
      <c r="I136" s="318"/>
      <c r="J136" s="318"/>
      <c r="K136" s="318"/>
      <c r="L136" s="318"/>
      <c r="M136" s="318"/>
      <c r="N136" s="318"/>
      <c r="O136" s="318"/>
      <c r="P136" s="318"/>
      <c r="Q136" s="318"/>
      <c r="R136" s="318"/>
      <c r="S136" s="318"/>
      <c r="T136" s="318"/>
      <c r="U136" s="318"/>
      <c r="V136" s="318"/>
      <c r="W136" s="318"/>
      <c r="X136" s="318"/>
      <c r="Y136" s="318"/>
      <c r="Z136" s="318"/>
    </row>
    <row r="137" ht="15.75" customHeight="1">
      <c r="A137" s="318"/>
      <c r="B137" s="318"/>
      <c r="C137" s="318"/>
      <c r="D137" s="318"/>
      <c r="E137" s="318"/>
      <c r="F137" s="318"/>
      <c r="G137" s="318"/>
      <c r="H137" s="318"/>
      <c r="I137" s="318"/>
      <c r="J137" s="318"/>
      <c r="K137" s="318"/>
      <c r="L137" s="318"/>
      <c r="M137" s="318"/>
      <c r="N137" s="318"/>
      <c r="O137" s="318"/>
      <c r="P137" s="318"/>
      <c r="Q137" s="318"/>
      <c r="R137" s="318"/>
      <c r="S137" s="318"/>
      <c r="T137" s="318"/>
      <c r="U137" s="318"/>
      <c r="V137" s="318"/>
      <c r="W137" s="318"/>
      <c r="X137" s="318"/>
      <c r="Y137" s="318"/>
      <c r="Z137" s="318"/>
    </row>
    <row r="138" ht="15.75" customHeight="1">
      <c r="A138" s="318"/>
      <c r="B138" s="318"/>
      <c r="C138" s="318"/>
      <c r="D138" s="318"/>
      <c r="E138" s="318"/>
      <c r="F138" s="318"/>
      <c r="G138" s="318"/>
      <c r="H138" s="318"/>
      <c r="I138" s="318"/>
      <c r="J138" s="318"/>
      <c r="K138" s="318"/>
      <c r="L138" s="318"/>
      <c r="M138" s="318"/>
      <c r="N138" s="318"/>
      <c r="O138" s="318"/>
      <c r="P138" s="318"/>
      <c r="Q138" s="318"/>
      <c r="R138" s="318"/>
      <c r="S138" s="318"/>
      <c r="T138" s="318"/>
      <c r="U138" s="318"/>
      <c r="V138" s="318"/>
      <c r="W138" s="318"/>
      <c r="X138" s="318"/>
      <c r="Y138" s="318"/>
      <c r="Z138" s="318"/>
    </row>
    <row r="139" ht="15.75" customHeight="1">
      <c r="A139" s="318"/>
      <c r="B139" s="318"/>
      <c r="C139" s="318"/>
      <c r="D139" s="318"/>
      <c r="E139" s="318"/>
      <c r="F139" s="318"/>
      <c r="G139" s="318"/>
      <c r="H139" s="318"/>
      <c r="I139" s="318"/>
      <c r="J139" s="318"/>
      <c r="K139" s="318"/>
      <c r="L139" s="318"/>
      <c r="M139" s="318"/>
      <c r="N139" s="318"/>
      <c r="O139" s="318"/>
      <c r="P139" s="318"/>
      <c r="Q139" s="318"/>
      <c r="R139" s="318"/>
      <c r="S139" s="318"/>
      <c r="T139" s="318"/>
      <c r="U139" s="318"/>
      <c r="V139" s="318"/>
      <c r="W139" s="318"/>
      <c r="X139" s="318"/>
      <c r="Y139" s="318"/>
      <c r="Z139" s="318"/>
    </row>
    <row r="140" ht="15.75" customHeight="1">
      <c r="A140" s="318"/>
      <c r="B140" s="318"/>
      <c r="C140" s="318"/>
      <c r="D140" s="318"/>
      <c r="E140" s="318"/>
      <c r="F140" s="318"/>
      <c r="G140" s="318"/>
      <c r="H140" s="318"/>
      <c r="I140" s="318"/>
      <c r="J140" s="318"/>
      <c r="K140" s="318"/>
      <c r="L140" s="318"/>
      <c r="M140" s="318"/>
      <c r="N140" s="318"/>
      <c r="O140" s="318"/>
      <c r="P140" s="318"/>
      <c r="Q140" s="318"/>
      <c r="R140" s="318"/>
      <c r="S140" s="318"/>
      <c r="T140" s="318"/>
      <c r="U140" s="318"/>
      <c r="V140" s="318"/>
      <c r="W140" s="318"/>
      <c r="X140" s="318"/>
      <c r="Y140" s="318"/>
      <c r="Z140" s="318"/>
    </row>
    <row r="141" ht="15.75" customHeight="1">
      <c r="A141" s="318"/>
      <c r="B141" s="318"/>
      <c r="C141" s="318"/>
      <c r="D141" s="318"/>
      <c r="E141" s="318"/>
      <c r="F141" s="318"/>
      <c r="G141" s="318"/>
      <c r="H141" s="318"/>
      <c r="I141" s="318"/>
      <c r="J141" s="318"/>
      <c r="K141" s="318"/>
      <c r="L141" s="318"/>
      <c r="M141" s="318"/>
      <c r="N141" s="318"/>
      <c r="O141" s="318"/>
      <c r="P141" s="318"/>
      <c r="Q141" s="318"/>
      <c r="R141" s="318"/>
      <c r="S141" s="318"/>
      <c r="T141" s="318"/>
      <c r="U141" s="318"/>
      <c r="V141" s="318"/>
      <c r="W141" s="318"/>
      <c r="X141" s="318"/>
      <c r="Y141" s="318"/>
      <c r="Z141" s="318"/>
    </row>
    <row r="142" ht="15.75" customHeight="1">
      <c r="A142" s="318"/>
      <c r="B142" s="318"/>
      <c r="C142" s="318"/>
      <c r="D142" s="318"/>
      <c r="E142" s="318"/>
      <c r="F142" s="318"/>
      <c r="G142" s="318"/>
      <c r="H142" s="318"/>
      <c r="I142" s="318"/>
      <c r="J142" s="318"/>
      <c r="K142" s="318"/>
      <c r="L142" s="318"/>
      <c r="M142" s="318"/>
      <c r="N142" s="318"/>
      <c r="O142" s="318"/>
      <c r="P142" s="318"/>
      <c r="Q142" s="318"/>
      <c r="R142" s="318"/>
      <c r="S142" s="318"/>
      <c r="T142" s="318"/>
      <c r="U142" s="318"/>
      <c r="V142" s="318"/>
      <c r="W142" s="318"/>
      <c r="X142" s="318"/>
      <c r="Y142" s="318"/>
      <c r="Z142" s="318"/>
    </row>
    <row r="143" ht="15.75" customHeight="1">
      <c r="A143" s="318"/>
      <c r="B143" s="318"/>
      <c r="C143" s="318"/>
      <c r="D143" s="318"/>
      <c r="E143" s="318"/>
      <c r="F143" s="318"/>
      <c r="G143" s="318"/>
      <c r="H143" s="318"/>
      <c r="I143" s="318"/>
      <c r="J143" s="318"/>
      <c r="K143" s="318"/>
      <c r="L143" s="318"/>
      <c r="M143" s="318"/>
      <c r="N143" s="318"/>
      <c r="O143" s="318"/>
      <c r="P143" s="318"/>
      <c r="Q143" s="318"/>
      <c r="R143" s="318"/>
      <c r="S143" s="318"/>
      <c r="T143" s="318"/>
      <c r="U143" s="318"/>
      <c r="V143" s="318"/>
      <c r="W143" s="318"/>
      <c r="X143" s="318"/>
      <c r="Y143" s="318"/>
      <c r="Z143" s="318"/>
    </row>
    <row r="144" ht="15.75" customHeight="1">
      <c r="A144" s="318"/>
      <c r="B144" s="318"/>
      <c r="C144" s="318"/>
      <c r="D144" s="318"/>
      <c r="E144" s="318"/>
      <c r="F144" s="318"/>
      <c r="G144" s="318"/>
      <c r="H144" s="318"/>
      <c r="I144" s="318"/>
      <c r="J144" s="318"/>
      <c r="K144" s="318"/>
      <c r="L144" s="318"/>
      <c r="M144" s="318"/>
      <c r="N144" s="318"/>
      <c r="O144" s="318"/>
      <c r="P144" s="318"/>
      <c r="Q144" s="318"/>
      <c r="R144" s="318"/>
      <c r="S144" s="318"/>
      <c r="T144" s="318"/>
      <c r="U144" s="318"/>
      <c r="V144" s="318"/>
      <c r="W144" s="318"/>
      <c r="X144" s="318"/>
      <c r="Y144" s="318"/>
      <c r="Z144" s="318"/>
    </row>
    <row r="145" ht="15.75" customHeight="1">
      <c r="A145" s="318"/>
      <c r="B145" s="318"/>
      <c r="C145" s="318"/>
      <c r="D145" s="318"/>
      <c r="E145" s="318"/>
      <c r="F145" s="318"/>
      <c r="G145" s="318"/>
      <c r="H145" s="318"/>
      <c r="I145" s="318"/>
      <c r="J145" s="318"/>
      <c r="K145" s="318"/>
      <c r="L145" s="318"/>
      <c r="M145" s="318"/>
      <c r="N145" s="318"/>
      <c r="O145" s="318"/>
      <c r="P145" s="318"/>
      <c r="Q145" s="318"/>
      <c r="R145" s="318"/>
      <c r="S145" s="318"/>
      <c r="T145" s="318"/>
      <c r="U145" s="318"/>
      <c r="V145" s="318"/>
      <c r="W145" s="318"/>
      <c r="X145" s="318"/>
      <c r="Y145" s="318"/>
      <c r="Z145" s="318"/>
    </row>
    <row r="146" ht="15.75" customHeight="1">
      <c r="A146" s="318"/>
      <c r="B146" s="318"/>
      <c r="C146" s="318"/>
      <c r="D146" s="318"/>
      <c r="E146" s="318"/>
      <c r="F146" s="318"/>
      <c r="G146" s="318"/>
      <c r="H146" s="318"/>
      <c r="I146" s="318"/>
      <c r="J146" s="318"/>
      <c r="K146" s="318"/>
      <c r="L146" s="318"/>
      <c r="M146" s="318"/>
      <c r="N146" s="318"/>
      <c r="O146" s="318"/>
      <c r="P146" s="318"/>
      <c r="Q146" s="318"/>
      <c r="R146" s="318"/>
      <c r="S146" s="318"/>
      <c r="T146" s="318"/>
      <c r="U146" s="318"/>
      <c r="V146" s="318"/>
      <c r="W146" s="318"/>
      <c r="X146" s="318"/>
      <c r="Y146" s="318"/>
      <c r="Z146" s="318"/>
    </row>
    <row r="147" ht="15.75" customHeight="1">
      <c r="A147" s="318"/>
      <c r="B147" s="318"/>
      <c r="C147" s="318"/>
      <c r="D147" s="318"/>
      <c r="E147" s="318"/>
      <c r="F147" s="318"/>
      <c r="G147" s="318"/>
      <c r="H147" s="318"/>
      <c r="I147" s="318"/>
      <c r="J147" s="318"/>
      <c r="K147" s="318"/>
      <c r="L147" s="318"/>
      <c r="M147" s="318"/>
      <c r="N147" s="318"/>
      <c r="O147" s="318"/>
      <c r="P147" s="318"/>
      <c r="Q147" s="318"/>
      <c r="R147" s="318"/>
      <c r="S147" s="318"/>
      <c r="T147" s="318"/>
      <c r="U147" s="318"/>
      <c r="V147" s="318"/>
      <c r="W147" s="318"/>
      <c r="X147" s="318"/>
      <c r="Y147" s="318"/>
      <c r="Z147" s="318"/>
    </row>
    <row r="148" ht="15.75" customHeight="1">
      <c r="A148" s="318"/>
      <c r="B148" s="318"/>
      <c r="C148" s="318"/>
      <c r="D148" s="318"/>
      <c r="E148" s="318"/>
      <c r="F148" s="318"/>
      <c r="G148" s="318"/>
      <c r="H148" s="318"/>
      <c r="I148" s="318"/>
      <c r="J148" s="318"/>
      <c r="K148" s="318"/>
      <c r="L148" s="318"/>
      <c r="M148" s="318"/>
      <c r="N148" s="318"/>
      <c r="O148" s="318"/>
      <c r="P148" s="318"/>
      <c r="Q148" s="318"/>
      <c r="R148" s="318"/>
      <c r="S148" s="318"/>
      <c r="T148" s="318"/>
      <c r="U148" s="318"/>
      <c r="V148" s="318"/>
      <c r="W148" s="318"/>
      <c r="X148" s="318"/>
      <c r="Y148" s="318"/>
      <c r="Z148" s="318"/>
    </row>
    <row r="149" ht="15.75" customHeight="1">
      <c r="A149" s="318"/>
      <c r="B149" s="318"/>
      <c r="C149" s="318"/>
      <c r="D149" s="318"/>
      <c r="E149" s="318"/>
      <c r="F149" s="318"/>
      <c r="G149" s="318"/>
      <c r="H149" s="318"/>
      <c r="I149" s="318"/>
      <c r="J149" s="318"/>
      <c r="K149" s="318"/>
      <c r="L149" s="318"/>
      <c r="M149" s="318"/>
      <c r="N149" s="318"/>
      <c r="O149" s="318"/>
      <c r="P149" s="318"/>
      <c r="Q149" s="318"/>
      <c r="R149" s="318"/>
      <c r="S149" s="318"/>
      <c r="T149" s="318"/>
      <c r="U149" s="318"/>
      <c r="V149" s="318"/>
      <c r="W149" s="318"/>
      <c r="X149" s="318"/>
      <c r="Y149" s="318"/>
      <c r="Z149" s="318"/>
    </row>
    <row r="150" ht="15.75" customHeight="1">
      <c r="A150" s="318"/>
      <c r="B150" s="318"/>
      <c r="C150" s="318"/>
      <c r="D150" s="318"/>
      <c r="E150" s="318"/>
      <c r="F150" s="318"/>
      <c r="G150" s="318"/>
      <c r="H150" s="318"/>
      <c r="I150" s="318"/>
      <c r="J150" s="318"/>
      <c r="K150" s="318"/>
      <c r="L150" s="318"/>
      <c r="M150" s="318"/>
      <c r="N150" s="318"/>
      <c r="O150" s="318"/>
      <c r="P150" s="318"/>
      <c r="Q150" s="318"/>
      <c r="R150" s="318"/>
      <c r="S150" s="318"/>
      <c r="T150" s="318"/>
      <c r="U150" s="318"/>
      <c r="V150" s="318"/>
      <c r="W150" s="318"/>
      <c r="X150" s="318"/>
      <c r="Y150" s="318"/>
      <c r="Z150" s="318"/>
    </row>
    <row r="151" ht="15.75" customHeight="1">
      <c r="A151" s="318"/>
      <c r="B151" s="318"/>
      <c r="C151" s="318"/>
      <c r="D151" s="318"/>
      <c r="E151" s="318"/>
      <c r="F151" s="318"/>
      <c r="G151" s="318"/>
      <c r="H151" s="318"/>
      <c r="I151" s="318"/>
      <c r="J151" s="318"/>
      <c r="K151" s="318"/>
      <c r="L151" s="318"/>
      <c r="M151" s="318"/>
      <c r="N151" s="318"/>
      <c r="O151" s="318"/>
      <c r="P151" s="318"/>
      <c r="Q151" s="318"/>
      <c r="R151" s="318"/>
      <c r="S151" s="318"/>
      <c r="T151" s="318"/>
      <c r="U151" s="318"/>
      <c r="V151" s="318"/>
      <c r="W151" s="318"/>
      <c r="X151" s="318"/>
      <c r="Y151" s="318"/>
      <c r="Z151" s="318"/>
    </row>
    <row r="152" ht="15.75" customHeight="1">
      <c r="A152" s="318"/>
      <c r="B152" s="318"/>
      <c r="C152" s="318"/>
      <c r="D152" s="318"/>
      <c r="E152" s="318"/>
      <c r="F152" s="318"/>
      <c r="G152" s="318"/>
      <c r="H152" s="318"/>
      <c r="I152" s="318"/>
      <c r="J152" s="318"/>
      <c r="K152" s="318"/>
      <c r="L152" s="318"/>
      <c r="M152" s="318"/>
      <c r="N152" s="318"/>
      <c r="O152" s="318"/>
      <c r="P152" s="318"/>
      <c r="Q152" s="318"/>
      <c r="R152" s="318"/>
      <c r="S152" s="318"/>
      <c r="T152" s="318"/>
      <c r="U152" s="318"/>
      <c r="V152" s="318"/>
      <c r="W152" s="318"/>
      <c r="X152" s="318"/>
      <c r="Y152" s="318"/>
      <c r="Z152" s="318"/>
    </row>
    <row r="153" ht="15.75" customHeight="1">
      <c r="A153" s="318"/>
      <c r="B153" s="318"/>
      <c r="C153" s="318"/>
      <c r="D153" s="318"/>
      <c r="E153" s="318"/>
      <c r="F153" s="318"/>
      <c r="G153" s="318"/>
      <c r="H153" s="318"/>
      <c r="I153" s="318"/>
      <c r="J153" s="318"/>
      <c r="K153" s="318"/>
      <c r="L153" s="318"/>
      <c r="M153" s="318"/>
      <c r="N153" s="318"/>
      <c r="O153" s="318"/>
      <c r="P153" s="318"/>
      <c r="Q153" s="318"/>
      <c r="R153" s="318"/>
      <c r="S153" s="318"/>
      <c r="T153" s="318"/>
      <c r="U153" s="318"/>
      <c r="V153" s="318"/>
      <c r="W153" s="318"/>
      <c r="X153" s="318"/>
      <c r="Y153" s="318"/>
      <c r="Z153" s="318"/>
    </row>
    <row r="154" ht="15.75" customHeight="1">
      <c r="A154" s="318"/>
      <c r="B154" s="318"/>
      <c r="C154" s="318"/>
      <c r="D154" s="318"/>
      <c r="E154" s="318"/>
      <c r="F154" s="318"/>
      <c r="G154" s="318"/>
      <c r="H154" s="318"/>
      <c r="I154" s="318"/>
      <c r="J154" s="318"/>
      <c r="K154" s="318"/>
      <c r="L154" s="318"/>
      <c r="M154" s="318"/>
      <c r="N154" s="318"/>
      <c r="O154" s="318"/>
      <c r="P154" s="318"/>
      <c r="Q154" s="318"/>
      <c r="R154" s="318"/>
      <c r="S154" s="318"/>
      <c r="T154" s="318"/>
      <c r="U154" s="318"/>
      <c r="V154" s="318"/>
      <c r="W154" s="318"/>
      <c r="X154" s="318"/>
      <c r="Y154" s="318"/>
      <c r="Z154" s="318"/>
    </row>
    <row r="155" ht="15.75" customHeight="1">
      <c r="A155" s="318"/>
      <c r="B155" s="318"/>
      <c r="C155" s="318"/>
      <c r="D155" s="318"/>
      <c r="E155" s="318"/>
      <c r="F155" s="318"/>
      <c r="G155" s="318"/>
      <c r="H155" s="318"/>
      <c r="I155" s="318"/>
      <c r="J155" s="318"/>
      <c r="K155" s="318"/>
      <c r="L155" s="318"/>
      <c r="M155" s="318"/>
      <c r="N155" s="318"/>
      <c r="O155" s="318"/>
      <c r="P155" s="318"/>
      <c r="Q155" s="318"/>
      <c r="R155" s="318"/>
      <c r="S155" s="318"/>
      <c r="T155" s="318"/>
      <c r="U155" s="318"/>
      <c r="V155" s="318"/>
      <c r="W155" s="318"/>
      <c r="X155" s="318"/>
      <c r="Y155" s="318"/>
      <c r="Z155" s="318"/>
    </row>
    <row r="156" ht="15.75" customHeight="1">
      <c r="A156" s="318"/>
      <c r="B156" s="318"/>
      <c r="C156" s="318"/>
      <c r="D156" s="318"/>
      <c r="E156" s="318"/>
      <c r="F156" s="318"/>
      <c r="G156" s="318"/>
      <c r="H156" s="318"/>
      <c r="I156" s="318"/>
      <c r="J156" s="318"/>
      <c r="K156" s="318"/>
      <c r="L156" s="318"/>
      <c r="M156" s="318"/>
      <c r="N156" s="318"/>
      <c r="O156" s="318"/>
      <c r="P156" s="318"/>
      <c r="Q156" s="318"/>
      <c r="R156" s="318"/>
      <c r="S156" s="318"/>
      <c r="T156" s="318"/>
      <c r="U156" s="318"/>
      <c r="V156" s="318"/>
      <c r="W156" s="318"/>
      <c r="X156" s="318"/>
      <c r="Y156" s="318"/>
      <c r="Z156" s="318"/>
    </row>
    <row r="157" ht="15.75" customHeight="1">
      <c r="A157" s="318"/>
      <c r="B157" s="318"/>
      <c r="C157" s="318"/>
      <c r="D157" s="318"/>
      <c r="E157" s="318"/>
      <c r="F157" s="318"/>
      <c r="G157" s="318"/>
      <c r="H157" s="318"/>
      <c r="I157" s="318"/>
      <c r="J157" s="318"/>
      <c r="K157" s="318"/>
      <c r="L157" s="318"/>
      <c r="M157" s="318"/>
      <c r="N157" s="318"/>
      <c r="O157" s="318"/>
      <c r="P157" s="318"/>
      <c r="Q157" s="318"/>
      <c r="R157" s="318"/>
      <c r="S157" s="318"/>
      <c r="T157" s="318"/>
      <c r="U157" s="318"/>
      <c r="V157" s="318"/>
      <c r="W157" s="318"/>
      <c r="X157" s="318"/>
      <c r="Y157" s="318"/>
      <c r="Z157" s="318"/>
    </row>
    <row r="158" ht="15.75" customHeight="1">
      <c r="A158" s="318"/>
      <c r="B158" s="318"/>
      <c r="C158" s="318"/>
      <c r="D158" s="318"/>
      <c r="E158" s="318"/>
      <c r="F158" s="318"/>
      <c r="G158" s="318"/>
      <c r="H158" s="318"/>
      <c r="I158" s="318"/>
      <c r="J158" s="318"/>
      <c r="K158" s="318"/>
      <c r="L158" s="318"/>
      <c r="M158" s="318"/>
      <c r="N158" s="318"/>
      <c r="O158" s="318"/>
      <c r="P158" s="318"/>
      <c r="Q158" s="318"/>
      <c r="R158" s="318"/>
      <c r="S158" s="318"/>
      <c r="T158" s="318"/>
      <c r="U158" s="318"/>
      <c r="V158" s="318"/>
      <c r="W158" s="318"/>
      <c r="X158" s="318"/>
      <c r="Y158" s="318"/>
      <c r="Z158" s="318"/>
    </row>
    <row r="159" ht="15.75" customHeight="1">
      <c r="A159" s="318"/>
      <c r="B159" s="318"/>
      <c r="C159" s="318"/>
      <c r="D159" s="318"/>
      <c r="E159" s="318"/>
      <c r="F159" s="318"/>
      <c r="G159" s="318"/>
      <c r="H159" s="318"/>
      <c r="I159" s="318"/>
      <c r="J159" s="318"/>
      <c r="K159" s="318"/>
      <c r="L159" s="318"/>
      <c r="M159" s="318"/>
      <c r="N159" s="318"/>
      <c r="O159" s="318"/>
      <c r="P159" s="318"/>
      <c r="Q159" s="318"/>
      <c r="R159" s="318"/>
      <c r="S159" s="318"/>
      <c r="T159" s="318"/>
      <c r="U159" s="318"/>
      <c r="V159" s="318"/>
      <c r="W159" s="318"/>
      <c r="X159" s="318"/>
      <c r="Y159" s="318"/>
      <c r="Z159" s="318"/>
    </row>
    <row r="160" ht="15.75" customHeight="1">
      <c r="A160" s="318"/>
      <c r="B160" s="318"/>
      <c r="C160" s="318"/>
      <c r="D160" s="318"/>
      <c r="E160" s="318"/>
      <c r="F160" s="318"/>
      <c r="G160" s="318"/>
      <c r="H160" s="318"/>
      <c r="I160" s="318"/>
      <c r="J160" s="318"/>
      <c r="K160" s="318"/>
      <c r="L160" s="318"/>
      <c r="M160" s="318"/>
      <c r="N160" s="318"/>
      <c r="O160" s="318"/>
      <c r="P160" s="318"/>
      <c r="Q160" s="318"/>
      <c r="R160" s="318"/>
      <c r="S160" s="318"/>
      <c r="T160" s="318"/>
      <c r="U160" s="318"/>
      <c r="V160" s="318"/>
      <c r="W160" s="318"/>
      <c r="X160" s="318"/>
      <c r="Y160" s="318"/>
      <c r="Z160" s="318"/>
    </row>
    <row r="161" ht="15.75" customHeight="1">
      <c r="A161" s="318"/>
      <c r="B161" s="318"/>
      <c r="C161" s="318"/>
      <c r="D161" s="318"/>
      <c r="E161" s="318"/>
      <c r="F161" s="318"/>
      <c r="G161" s="318"/>
      <c r="H161" s="318"/>
      <c r="I161" s="318"/>
      <c r="J161" s="318"/>
      <c r="K161" s="318"/>
      <c r="L161" s="318"/>
      <c r="M161" s="318"/>
      <c r="N161" s="318"/>
      <c r="O161" s="318"/>
      <c r="P161" s="318"/>
      <c r="Q161" s="318"/>
      <c r="R161" s="318"/>
      <c r="S161" s="318"/>
      <c r="T161" s="318"/>
      <c r="U161" s="318"/>
      <c r="V161" s="318"/>
      <c r="W161" s="318"/>
      <c r="X161" s="318"/>
      <c r="Y161" s="318"/>
      <c r="Z161" s="318"/>
    </row>
    <row r="162" ht="15.75" customHeight="1">
      <c r="A162" s="318"/>
      <c r="B162" s="318"/>
      <c r="C162" s="318"/>
      <c r="D162" s="318"/>
      <c r="E162" s="318"/>
      <c r="F162" s="318"/>
      <c r="G162" s="318"/>
      <c r="H162" s="318"/>
      <c r="I162" s="318"/>
      <c r="J162" s="318"/>
      <c r="K162" s="318"/>
      <c r="L162" s="318"/>
      <c r="M162" s="318"/>
      <c r="N162" s="318"/>
      <c r="O162" s="318"/>
      <c r="P162" s="318"/>
      <c r="Q162" s="318"/>
      <c r="R162" s="318"/>
      <c r="S162" s="318"/>
      <c r="T162" s="318"/>
      <c r="U162" s="318"/>
      <c r="V162" s="318"/>
      <c r="W162" s="318"/>
      <c r="X162" s="318"/>
      <c r="Y162" s="318"/>
      <c r="Z162" s="318"/>
    </row>
    <row r="163" ht="15.75" customHeight="1">
      <c r="A163" s="318"/>
      <c r="B163" s="318"/>
      <c r="C163" s="318"/>
      <c r="D163" s="318"/>
      <c r="E163" s="318"/>
      <c r="F163" s="318"/>
      <c r="G163" s="318"/>
      <c r="H163" s="318"/>
      <c r="I163" s="318"/>
      <c r="J163" s="318"/>
      <c r="K163" s="318"/>
      <c r="L163" s="318"/>
      <c r="M163" s="318"/>
      <c r="N163" s="318"/>
      <c r="O163" s="318"/>
      <c r="P163" s="318"/>
      <c r="Q163" s="318"/>
      <c r="R163" s="318"/>
      <c r="S163" s="318"/>
      <c r="T163" s="318"/>
      <c r="U163" s="318"/>
      <c r="V163" s="318"/>
      <c r="W163" s="318"/>
      <c r="X163" s="318"/>
      <c r="Y163" s="318"/>
      <c r="Z163" s="318"/>
    </row>
    <row r="164" ht="15.75" customHeight="1">
      <c r="A164" s="318"/>
      <c r="B164" s="318"/>
      <c r="C164" s="318"/>
      <c r="D164" s="318"/>
      <c r="E164" s="318"/>
      <c r="F164" s="318"/>
      <c r="G164" s="318"/>
      <c r="H164" s="318"/>
      <c r="I164" s="318"/>
      <c r="J164" s="318"/>
      <c r="K164" s="318"/>
      <c r="L164" s="318"/>
      <c r="M164" s="318"/>
      <c r="N164" s="318"/>
      <c r="O164" s="318"/>
      <c r="P164" s="318"/>
      <c r="Q164" s="318"/>
      <c r="R164" s="318"/>
      <c r="S164" s="318"/>
      <c r="T164" s="318"/>
      <c r="U164" s="318"/>
      <c r="V164" s="318"/>
      <c r="W164" s="318"/>
      <c r="X164" s="318"/>
      <c r="Y164" s="318"/>
      <c r="Z164" s="318"/>
    </row>
    <row r="165" ht="15.75" customHeight="1">
      <c r="A165" s="318"/>
      <c r="B165" s="318"/>
      <c r="C165" s="318"/>
      <c r="D165" s="318"/>
      <c r="E165" s="318"/>
      <c r="F165" s="318"/>
      <c r="G165" s="318"/>
      <c r="H165" s="318"/>
      <c r="I165" s="318"/>
      <c r="J165" s="318"/>
      <c r="K165" s="318"/>
      <c r="L165" s="318"/>
      <c r="M165" s="318"/>
      <c r="N165" s="318"/>
      <c r="O165" s="318"/>
      <c r="P165" s="318"/>
      <c r="Q165" s="318"/>
      <c r="R165" s="318"/>
      <c r="S165" s="318"/>
      <c r="T165" s="318"/>
      <c r="U165" s="318"/>
      <c r="V165" s="318"/>
      <c r="W165" s="318"/>
      <c r="X165" s="318"/>
      <c r="Y165" s="318"/>
      <c r="Z165" s="318"/>
    </row>
    <row r="166" ht="15.75" customHeight="1">
      <c r="A166" s="318"/>
      <c r="B166" s="318"/>
      <c r="C166" s="318"/>
      <c r="D166" s="318"/>
      <c r="E166" s="318"/>
      <c r="F166" s="318"/>
      <c r="G166" s="318"/>
      <c r="H166" s="318"/>
      <c r="I166" s="318"/>
      <c r="J166" s="318"/>
      <c r="K166" s="318"/>
      <c r="L166" s="318"/>
      <c r="M166" s="318"/>
      <c r="N166" s="318"/>
      <c r="O166" s="318"/>
      <c r="P166" s="318"/>
      <c r="Q166" s="318"/>
      <c r="R166" s="318"/>
      <c r="S166" s="318"/>
      <c r="T166" s="318"/>
      <c r="U166" s="318"/>
      <c r="V166" s="318"/>
      <c r="W166" s="318"/>
      <c r="X166" s="318"/>
      <c r="Y166" s="318"/>
      <c r="Z166" s="318"/>
    </row>
    <row r="167" ht="15.75" customHeight="1">
      <c r="A167" s="318"/>
      <c r="B167" s="318"/>
      <c r="C167" s="318"/>
      <c r="D167" s="318"/>
      <c r="E167" s="318"/>
      <c r="F167" s="318"/>
      <c r="G167" s="318"/>
      <c r="H167" s="318"/>
      <c r="I167" s="318"/>
      <c r="J167" s="318"/>
      <c r="K167" s="318"/>
      <c r="L167" s="318"/>
      <c r="M167" s="318"/>
      <c r="N167" s="318"/>
      <c r="O167" s="318"/>
      <c r="P167" s="318"/>
      <c r="Q167" s="318"/>
      <c r="R167" s="318"/>
      <c r="S167" s="318"/>
      <c r="T167" s="318"/>
      <c r="U167" s="318"/>
      <c r="V167" s="318"/>
      <c r="W167" s="318"/>
      <c r="X167" s="318"/>
      <c r="Y167" s="318"/>
      <c r="Z167" s="318"/>
    </row>
    <row r="168" ht="15.75" customHeight="1">
      <c r="A168" s="318"/>
      <c r="B168" s="318"/>
      <c r="C168" s="318"/>
      <c r="D168" s="318"/>
      <c r="E168" s="318"/>
      <c r="F168" s="318"/>
      <c r="G168" s="318"/>
      <c r="H168" s="318"/>
      <c r="I168" s="318"/>
      <c r="J168" s="318"/>
      <c r="K168" s="318"/>
      <c r="L168" s="318"/>
      <c r="M168" s="318"/>
      <c r="N168" s="318"/>
      <c r="O168" s="318"/>
      <c r="P168" s="318"/>
      <c r="Q168" s="318"/>
      <c r="R168" s="318"/>
      <c r="S168" s="318"/>
      <c r="T168" s="318"/>
      <c r="U168" s="318"/>
      <c r="V168" s="318"/>
      <c r="W168" s="318"/>
      <c r="X168" s="318"/>
      <c r="Y168" s="318"/>
      <c r="Z168" s="318"/>
    </row>
    <row r="169" ht="15.75" customHeight="1">
      <c r="A169" s="318"/>
      <c r="B169" s="318"/>
      <c r="C169" s="318"/>
      <c r="D169" s="318"/>
      <c r="E169" s="318"/>
      <c r="F169" s="318"/>
      <c r="G169" s="318"/>
      <c r="H169" s="318"/>
      <c r="I169" s="318"/>
      <c r="J169" s="318"/>
      <c r="K169" s="318"/>
      <c r="L169" s="318"/>
      <c r="M169" s="318"/>
      <c r="N169" s="318"/>
      <c r="O169" s="318"/>
      <c r="P169" s="318"/>
      <c r="Q169" s="318"/>
      <c r="R169" s="318"/>
      <c r="S169" s="318"/>
      <c r="T169" s="318"/>
      <c r="U169" s="318"/>
      <c r="V169" s="318"/>
      <c r="W169" s="318"/>
      <c r="X169" s="318"/>
      <c r="Y169" s="318"/>
      <c r="Z169" s="318"/>
    </row>
    <row r="170" ht="15.75" customHeight="1">
      <c r="A170" s="318"/>
      <c r="B170" s="318"/>
      <c r="C170" s="318"/>
      <c r="D170" s="318"/>
      <c r="E170" s="318"/>
      <c r="F170" s="318"/>
      <c r="G170" s="318"/>
      <c r="H170" s="318"/>
      <c r="I170" s="318"/>
      <c r="J170" s="318"/>
      <c r="K170" s="318"/>
      <c r="L170" s="318"/>
      <c r="M170" s="318"/>
      <c r="N170" s="318"/>
      <c r="O170" s="318"/>
      <c r="P170" s="318"/>
      <c r="Q170" s="318"/>
      <c r="R170" s="318"/>
      <c r="S170" s="318"/>
      <c r="T170" s="318"/>
      <c r="U170" s="318"/>
      <c r="V170" s="318"/>
      <c r="W170" s="318"/>
      <c r="X170" s="318"/>
      <c r="Y170" s="318"/>
      <c r="Z170" s="318"/>
    </row>
    <row r="171" ht="15.75" customHeight="1">
      <c r="A171" s="318"/>
      <c r="B171" s="318"/>
      <c r="C171" s="318"/>
      <c r="D171" s="318"/>
      <c r="E171" s="318"/>
      <c r="F171" s="318"/>
      <c r="G171" s="318"/>
      <c r="H171" s="318"/>
      <c r="I171" s="318"/>
      <c r="J171" s="318"/>
      <c r="K171" s="318"/>
      <c r="L171" s="318"/>
      <c r="M171" s="318"/>
      <c r="N171" s="318"/>
      <c r="O171" s="318"/>
      <c r="P171" s="318"/>
      <c r="Q171" s="318"/>
      <c r="R171" s="318"/>
      <c r="S171" s="318"/>
      <c r="T171" s="318"/>
      <c r="U171" s="318"/>
      <c r="V171" s="318"/>
      <c r="W171" s="318"/>
      <c r="X171" s="318"/>
      <c r="Y171" s="318"/>
      <c r="Z171" s="318"/>
    </row>
    <row r="172" ht="15.75" customHeight="1">
      <c r="A172" s="318"/>
      <c r="B172" s="318"/>
      <c r="C172" s="318"/>
      <c r="D172" s="318"/>
      <c r="E172" s="318"/>
      <c r="F172" s="318"/>
      <c r="G172" s="318"/>
      <c r="H172" s="318"/>
      <c r="I172" s="318"/>
      <c r="J172" s="318"/>
      <c r="K172" s="318"/>
      <c r="L172" s="318"/>
      <c r="M172" s="318"/>
      <c r="N172" s="318"/>
      <c r="O172" s="318"/>
      <c r="P172" s="318"/>
      <c r="Q172" s="318"/>
      <c r="R172" s="318"/>
      <c r="S172" s="318"/>
      <c r="T172" s="318"/>
      <c r="U172" s="318"/>
      <c r="V172" s="318"/>
      <c r="W172" s="318"/>
      <c r="X172" s="318"/>
      <c r="Y172" s="318"/>
      <c r="Z172" s="318"/>
    </row>
    <row r="173" ht="15.75" customHeight="1">
      <c r="A173" s="318"/>
      <c r="B173" s="318"/>
      <c r="C173" s="318"/>
      <c r="D173" s="318"/>
      <c r="E173" s="318"/>
      <c r="F173" s="318"/>
      <c r="G173" s="318"/>
      <c r="H173" s="318"/>
      <c r="I173" s="318"/>
      <c r="J173" s="318"/>
      <c r="K173" s="318"/>
      <c r="L173" s="318"/>
      <c r="M173" s="318"/>
      <c r="N173" s="318"/>
      <c r="O173" s="318"/>
      <c r="P173" s="318"/>
      <c r="Q173" s="318"/>
      <c r="R173" s="318"/>
      <c r="S173" s="318"/>
      <c r="T173" s="318"/>
      <c r="U173" s="318"/>
      <c r="V173" s="318"/>
      <c r="W173" s="318"/>
      <c r="X173" s="318"/>
      <c r="Y173" s="318"/>
      <c r="Z173" s="318"/>
    </row>
    <row r="174" ht="15.75" customHeight="1">
      <c r="A174" s="318"/>
      <c r="B174" s="318"/>
      <c r="C174" s="318"/>
      <c r="D174" s="318"/>
      <c r="E174" s="318"/>
      <c r="F174" s="318"/>
      <c r="G174" s="318"/>
      <c r="H174" s="318"/>
      <c r="I174" s="318"/>
      <c r="J174" s="318"/>
      <c r="K174" s="318"/>
      <c r="L174" s="318"/>
      <c r="M174" s="318"/>
      <c r="N174" s="318"/>
      <c r="O174" s="318"/>
      <c r="P174" s="318"/>
      <c r="Q174" s="318"/>
      <c r="R174" s="318"/>
      <c r="S174" s="318"/>
      <c r="T174" s="318"/>
      <c r="U174" s="318"/>
      <c r="V174" s="318"/>
      <c r="W174" s="318"/>
      <c r="X174" s="318"/>
      <c r="Y174" s="318"/>
      <c r="Z174" s="318"/>
    </row>
    <row r="175" ht="15.75" customHeight="1">
      <c r="A175" s="318"/>
      <c r="B175" s="318"/>
      <c r="C175" s="318"/>
      <c r="D175" s="318"/>
      <c r="E175" s="318"/>
      <c r="F175" s="318"/>
      <c r="G175" s="318"/>
      <c r="H175" s="318"/>
      <c r="I175" s="318"/>
      <c r="J175" s="318"/>
      <c r="K175" s="318"/>
      <c r="L175" s="318"/>
      <c r="M175" s="318"/>
      <c r="N175" s="318"/>
      <c r="O175" s="318"/>
      <c r="P175" s="318"/>
      <c r="Q175" s="318"/>
      <c r="R175" s="318"/>
      <c r="S175" s="318"/>
      <c r="T175" s="318"/>
      <c r="U175" s="318"/>
      <c r="V175" s="318"/>
      <c r="W175" s="318"/>
      <c r="X175" s="318"/>
      <c r="Y175" s="318"/>
      <c r="Z175" s="318"/>
    </row>
    <row r="176" ht="15.75" customHeight="1">
      <c r="A176" s="318"/>
      <c r="B176" s="318"/>
      <c r="C176" s="318"/>
      <c r="D176" s="318"/>
      <c r="E176" s="318"/>
      <c r="F176" s="318"/>
      <c r="G176" s="318"/>
      <c r="H176" s="318"/>
      <c r="I176" s="318"/>
      <c r="J176" s="318"/>
      <c r="K176" s="318"/>
      <c r="L176" s="318"/>
      <c r="M176" s="318"/>
      <c r="N176" s="318"/>
      <c r="O176" s="318"/>
      <c r="P176" s="318"/>
      <c r="Q176" s="318"/>
      <c r="R176" s="318"/>
      <c r="S176" s="318"/>
      <c r="T176" s="318"/>
      <c r="U176" s="318"/>
      <c r="V176" s="318"/>
      <c r="W176" s="318"/>
      <c r="X176" s="318"/>
      <c r="Y176" s="318"/>
      <c r="Z176" s="318"/>
    </row>
    <row r="177" ht="15.75" customHeight="1">
      <c r="A177" s="318"/>
      <c r="B177" s="318"/>
      <c r="C177" s="318"/>
      <c r="D177" s="318"/>
      <c r="E177" s="318"/>
      <c r="F177" s="318"/>
      <c r="G177" s="318"/>
      <c r="H177" s="318"/>
      <c r="I177" s="318"/>
      <c r="J177" s="318"/>
      <c r="K177" s="318"/>
      <c r="L177" s="318"/>
      <c r="M177" s="318"/>
      <c r="N177" s="318"/>
      <c r="O177" s="318"/>
      <c r="P177" s="318"/>
      <c r="Q177" s="318"/>
      <c r="R177" s="318"/>
      <c r="S177" s="318"/>
      <c r="T177" s="318"/>
      <c r="U177" s="318"/>
      <c r="V177" s="318"/>
      <c r="W177" s="318"/>
      <c r="X177" s="318"/>
      <c r="Y177" s="318"/>
      <c r="Z177" s="318"/>
    </row>
    <row r="178" ht="15.75" customHeight="1">
      <c r="A178" s="318"/>
      <c r="B178" s="318"/>
      <c r="C178" s="318"/>
      <c r="D178" s="318"/>
      <c r="E178" s="318"/>
      <c r="F178" s="318"/>
      <c r="G178" s="318"/>
      <c r="H178" s="318"/>
      <c r="I178" s="318"/>
      <c r="J178" s="318"/>
      <c r="K178" s="318"/>
      <c r="L178" s="318"/>
      <c r="M178" s="318"/>
      <c r="N178" s="318"/>
      <c r="O178" s="318"/>
      <c r="P178" s="318"/>
      <c r="Q178" s="318"/>
      <c r="R178" s="318"/>
      <c r="S178" s="318"/>
      <c r="T178" s="318"/>
      <c r="U178" s="318"/>
      <c r="V178" s="318"/>
      <c r="W178" s="318"/>
      <c r="X178" s="318"/>
      <c r="Y178" s="318"/>
      <c r="Z178" s="318"/>
    </row>
    <row r="179" ht="15.75" customHeight="1">
      <c r="A179" s="318"/>
      <c r="B179" s="318"/>
      <c r="C179" s="318"/>
      <c r="D179" s="318"/>
      <c r="E179" s="318"/>
      <c r="F179" s="318"/>
      <c r="G179" s="318"/>
      <c r="H179" s="318"/>
      <c r="I179" s="318"/>
      <c r="J179" s="318"/>
      <c r="K179" s="318"/>
      <c r="L179" s="318"/>
      <c r="M179" s="318"/>
      <c r="N179" s="318"/>
      <c r="O179" s="318"/>
      <c r="P179" s="318"/>
      <c r="Q179" s="318"/>
      <c r="R179" s="318"/>
      <c r="S179" s="318"/>
      <c r="T179" s="318"/>
      <c r="U179" s="318"/>
      <c r="V179" s="318"/>
      <c r="W179" s="318"/>
      <c r="X179" s="318"/>
      <c r="Y179" s="318"/>
      <c r="Z179" s="318"/>
    </row>
    <row r="180" ht="15.75" customHeight="1">
      <c r="A180" s="318"/>
      <c r="B180" s="318"/>
      <c r="C180" s="318"/>
      <c r="D180" s="318"/>
      <c r="E180" s="318"/>
      <c r="F180" s="318"/>
      <c r="G180" s="318"/>
      <c r="H180" s="318"/>
      <c r="I180" s="318"/>
      <c r="J180" s="318"/>
      <c r="K180" s="318"/>
      <c r="L180" s="318"/>
      <c r="M180" s="318"/>
      <c r="N180" s="318"/>
      <c r="O180" s="318"/>
      <c r="P180" s="318"/>
      <c r="Q180" s="318"/>
      <c r="R180" s="318"/>
      <c r="S180" s="318"/>
      <c r="T180" s="318"/>
      <c r="U180" s="318"/>
      <c r="V180" s="318"/>
      <c r="W180" s="318"/>
      <c r="X180" s="318"/>
      <c r="Y180" s="318"/>
      <c r="Z180" s="318"/>
    </row>
    <row r="181" ht="15.75" customHeight="1">
      <c r="A181" s="318"/>
      <c r="B181" s="318"/>
      <c r="C181" s="318"/>
      <c r="D181" s="318"/>
      <c r="E181" s="318"/>
      <c r="F181" s="318"/>
      <c r="G181" s="318"/>
      <c r="H181" s="318"/>
      <c r="I181" s="318"/>
      <c r="J181" s="318"/>
      <c r="K181" s="318"/>
      <c r="L181" s="318"/>
      <c r="M181" s="318"/>
      <c r="N181" s="318"/>
      <c r="O181" s="318"/>
      <c r="P181" s="318"/>
      <c r="Q181" s="318"/>
      <c r="R181" s="318"/>
      <c r="S181" s="318"/>
      <c r="T181" s="318"/>
      <c r="U181" s="318"/>
      <c r="V181" s="318"/>
      <c r="W181" s="318"/>
      <c r="X181" s="318"/>
      <c r="Y181" s="318"/>
      <c r="Z181" s="318"/>
    </row>
    <row r="182" ht="15.75" customHeight="1">
      <c r="A182" s="318"/>
      <c r="B182" s="318"/>
      <c r="C182" s="318"/>
      <c r="D182" s="318"/>
      <c r="E182" s="318"/>
      <c r="F182" s="318"/>
      <c r="G182" s="318"/>
      <c r="H182" s="318"/>
      <c r="I182" s="318"/>
      <c r="J182" s="318"/>
      <c r="K182" s="318"/>
      <c r="L182" s="318"/>
      <c r="M182" s="318"/>
      <c r="N182" s="318"/>
      <c r="O182" s="318"/>
      <c r="P182" s="318"/>
      <c r="Q182" s="318"/>
      <c r="R182" s="318"/>
      <c r="S182" s="318"/>
      <c r="T182" s="318"/>
      <c r="U182" s="318"/>
      <c r="V182" s="318"/>
      <c r="W182" s="318"/>
      <c r="X182" s="318"/>
      <c r="Y182" s="318"/>
      <c r="Z182" s="318"/>
    </row>
    <row r="183" ht="15.75" customHeight="1">
      <c r="A183" s="318"/>
      <c r="B183" s="318"/>
      <c r="C183" s="318"/>
      <c r="D183" s="318"/>
      <c r="E183" s="318"/>
      <c r="F183" s="318"/>
      <c r="G183" s="318"/>
      <c r="H183" s="318"/>
      <c r="I183" s="318"/>
      <c r="J183" s="318"/>
      <c r="K183" s="318"/>
      <c r="L183" s="318"/>
      <c r="M183" s="318"/>
      <c r="N183" s="318"/>
      <c r="O183" s="318"/>
      <c r="P183" s="318"/>
      <c r="Q183" s="318"/>
      <c r="R183" s="318"/>
      <c r="S183" s="318"/>
      <c r="T183" s="318"/>
      <c r="U183" s="318"/>
      <c r="V183" s="318"/>
      <c r="W183" s="318"/>
      <c r="X183" s="318"/>
      <c r="Y183" s="318"/>
      <c r="Z183" s="318"/>
    </row>
    <row r="184" ht="15.75" customHeight="1">
      <c r="A184" s="318"/>
      <c r="B184" s="318"/>
      <c r="C184" s="318"/>
      <c r="D184" s="318"/>
      <c r="E184" s="318"/>
      <c r="F184" s="318"/>
      <c r="G184" s="318"/>
      <c r="H184" s="318"/>
      <c r="I184" s="318"/>
      <c r="J184" s="318"/>
      <c r="K184" s="318"/>
      <c r="L184" s="318"/>
      <c r="M184" s="318"/>
      <c r="N184" s="318"/>
      <c r="O184" s="318"/>
      <c r="P184" s="318"/>
      <c r="Q184" s="318"/>
      <c r="R184" s="318"/>
      <c r="S184" s="318"/>
      <c r="T184" s="318"/>
      <c r="U184" s="318"/>
      <c r="V184" s="318"/>
      <c r="W184" s="318"/>
      <c r="X184" s="318"/>
      <c r="Y184" s="318"/>
      <c r="Z184" s="318"/>
    </row>
    <row r="185" ht="15.75" customHeight="1">
      <c r="A185" s="318"/>
      <c r="B185" s="318"/>
      <c r="C185" s="318"/>
      <c r="D185" s="318"/>
      <c r="E185" s="318"/>
      <c r="F185" s="318"/>
      <c r="G185" s="318"/>
      <c r="H185" s="318"/>
      <c r="I185" s="318"/>
      <c r="J185" s="318"/>
      <c r="K185" s="318"/>
      <c r="L185" s="318"/>
      <c r="M185" s="318"/>
      <c r="N185" s="318"/>
      <c r="O185" s="318"/>
      <c r="P185" s="318"/>
      <c r="Q185" s="318"/>
      <c r="R185" s="318"/>
      <c r="S185" s="318"/>
      <c r="T185" s="318"/>
      <c r="U185" s="318"/>
      <c r="V185" s="318"/>
      <c r="W185" s="318"/>
      <c r="X185" s="318"/>
      <c r="Y185" s="318"/>
      <c r="Z185" s="318"/>
    </row>
    <row r="186" ht="15.75" customHeight="1">
      <c r="A186" s="318"/>
      <c r="B186" s="318"/>
      <c r="C186" s="318"/>
      <c r="D186" s="318"/>
      <c r="E186" s="318"/>
      <c r="F186" s="318"/>
      <c r="G186" s="318"/>
      <c r="H186" s="318"/>
      <c r="I186" s="318"/>
      <c r="J186" s="318"/>
      <c r="K186" s="318"/>
      <c r="L186" s="318"/>
      <c r="M186" s="318"/>
      <c r="N186" s="318"/>
      <c r="O186" s="318"/>
      <c r="P186" s="318"/>
      <c r="Q186" s="318"/>
      <c r="R186" s="318"/>
      <c r="S186" s="318"/>
      <c r="T186" s="318"/>
      <c r="U186" s="318"/>
      <c r="V186" s="318"/>
      <c r="W186" s="318"/>
      <c r="X186" s="318"/>
      <c r="Y186" s="318"/>
      <c r="Z186" s="318"/>
    </row>
    <row r="187" ht="15.75" customHeight="1">
      <c r="A187" s="318"/>
      <c r="B187" s="318"/>
      <c r="C187" s="318"/>
      <c r="D187" s="318"/>
      <c r="E187" s="318"/>
      <c r="F187" s="318"/>
      <c r="G187" s="318"/>
      <c r="H187" s="318"/>
      <c r="I187" s="318"/>
      <c r="J187" s="318"/>
      <c r="K187" s="318"/>
      <c r="L187" s="318"/>
      <c r="M187" s="318"/>
      <c r="N187" s="318"/>
      <c r="O187" s="318"/>
      <c r="P187" s="318"/>
      <c r="Q187" s="318"/>
      <c r="R187" s="318"/>
      <c r="S187" s="318"/>
      <c r="T187" s="318"/>
      <c r="U187" s="318"/>
      <c r="V187" s="318"/>
      <c r="W187" s="318"/>
      <c r="X187" s="318"/>
      <c r="Y187" s="318"/>
      <c r="Z187" s="318"/>
    </row>
    <row r="188" ht="15.75" customHeight="1">
      <c r="A188" s="318"/>
      <c r="B188" s="318"/>
      <c r="C188" s="318"/>
      <c r="D188" s="318"/>
      <c r="E188" s="318"/>
      <c r="F188" s="318"/>
      <c r="G188" s="318"/>
      <c r="H188" s="318"/>
      <c r="I188" s="318"/>
      <c r="J188" s="318"/>
      <c r="K188" s="318"/>
      <c r="L188" s="318"/>
      <c r="M188" s="318"/>
      <c r="N188" s="318"/>
      <c r="O188" s="318"/>
      <c r="P188" s="318"/>
      <c r="Q188" s="318"/>
      <c r="R188" s="318"/>
      <c r="S188" s="318"/>
      <c r="T188" s="318"/>
      <c r="U188" s="318"/>
      <c r="V188" s="318"/>
      <c r="W188" s="318"/>
      <c r="X188" s="318"/>
      <c r="Y188" s="318"/>
      <c r="Z188" s="318"/>
    </row>
    <row r="189" ht="15.75" customHeight="1">
      <c r="A189" s="318"/>
      <c r="B189" s="318"/>
      <c r="C189" s="318"/>
      <c r="D189" s="318"/>
      <c r="E189" s="318"/>
      <c r="F189" s="318"/>
      <c r="G189" s="318"/>
      <c r="H189" s="318"/>
      <c r="I189" s="318"/>
      <c r="J189" s="318"/>
      <c r="K189" s="318"/>
      <c r="L189" s="318"/>
      <c r="M189" s="318"/>
      <c r="N189" s="318"/>
      <c r="O189" s="318"/>
      <c r="P189" s="318"/>
      <c r="Q189" s="318"/>
      <c r="R189" s="318"/>
      <c r="S189" s="318"/>
      <c r="T189" s="318"/>
      <c r="U189" s="318"/>
      <c r="V189" s="318"/>
      <c r="W189" s="318"/>
      <c r="X189" s="318"/>
      <c r="Y189" s="318"/>
      <c r="Z189" s="318"/>
    </row>
    <row r="190" ht="15.75" customHeight="1">
      <c r="A190" s="318"/>
      <c r="B190" s="318"/>
      <c r="C190" s="318"/>
      <c r="D190" s="318"/>
      <c r="E190" s="318"/>
      <c r="F190" s="318"/>
      <c r="G190" s="318"/>
      <c r="H190" s="318"/>
      <c r="I190" s="318"/>
      <c r="J190" s="318"/>
      <c r="K190" s="318"/>
      <c r="L190" s="318"/>
      <c r="M190" s="318"/>
      <c r="N190" s="318"/>
      <c r="O190" s="318"/>
      <c r="P190" s="318"/>
      <c r="Q190" s="318"/>
      <c r="R190" s="318"/>
      <c r="S190" s="318"/>
      <c r="T190" s="318"/>
      <c r="U190" s="318"/>
      <c r="V190" s="318"/>
      <c r="W190" s="318"/>
      <c r="X190" s="318"/>
      <c r="Y190" s="318"/>
      <c r="Z190" s="318"/>
    </row>
    <row r="191" ht="15.75" customHeight="1">
      <c r="A191" s="318"/>
      <c r="B191" s="318"/>
      <c r="C191" s="318"/>
      <c r="D191" s="318"/>
      <c r="E191" s="318"/>
      <c r="F191" s="318"/>
      <c r="G191" s="318"/>
      <c r="H191" s="318"/>
      <c r="I191" s="318"/>
      <c r="J191" s="318"/>
      <c r="K191" s="318"/>
      <c r="L191" s="318"/>
      <c r="M191" s="318"/>
      <c r="N191" s="318"/>
      <c r="O191" s="318"/>
      <c r="P191" s="318"/>
      <c r="Q191" s="318"/>
      <c r="R191" s="318"/>
      <c r="S191" s="318"/>
      <c r="T191" s="318"/>
      <c r="U191" s="318"/>
      <c r="V191" s="318"/>
      <c r="W191" s="318"/>
      <c r="X191" s="318"/>
      <c r="Y191" s="318"/>
      <c r="Z191" s="318"/>
    </row>
    <row r="192" ht="15.75" customHeight="1">
      <c r="A192" s="318"/>
      <c r="B192" s="318"/>
      <c r="C192" s="318"/>
      <c r="D192" s="318"/>
      <c r="E192" s="318"/>
      <c r="F192" s="318"/>
      <c r="G192" s="318"/>
      <c r="H192" s="318"/>
      <c r="I192" s="318"/>
      <c r="J192" s="318"/>
      <c r="K192" s="318"/>
      <c r="L192" s="318"/>
      <c r="M192" s="318"/>
      <c r="N192" s="318"/>
      <c r="O192" s="318"/>
      <c r="P192" s="318"/>
      <c r="Q192" s="318"/>
      <c r="R192" s="318"/>
      <c r="S192" s="318"/>
      <c r="T192" s="318"/>
      <c r="U192" s="318"/>
      <c r="V192" s="318"/>
      <c r="W192" s="318"/>
      <c r="X192" s="318"/>
      <c r="Y192" s="318"/>
      <c r="Z192" s="318"/>
    </row>
    <row r="193" ht="15.75" customHeight="1">
      <c r="A193" s="318"/>
      <c r="B193" s="318"/>
      <c r="C193" s="318"/>
      <c r="D193" s="318"/>
      <c r="E193" s="318"/>
      <c r="F193" s="318"/>
      <c r="G193" s="318"/>
      <c r="H193" s="318"/>
      <c r="I193" s="318"/>
      <c r="J193" s="318"/>
      <c r="K193" s="318"/>
      <c r="L193" s="318"/>
      <c r="M193" s="318"/>
      <c r="N193" s="318"/>
      <c r="O193" s="318"/>
      <c r="P193" s="318"/>
      <c r="Q193" s="318"/>
      <c r="R193" s="318"/>
      <c r="S193" s="318"/>
      <c r="T193" s="318"/>
      <c r="U193" s="318"/>
      <c r="V193" s="318"/>
      <c r="W193" s="318"/>
      <c r="X193" s="318"/>
      <c r="Y193" s="318"/>
      <c r="Z193" s="318"/>
    </row>
    <row r="194" ht="15.75" customHeight="1">
      <c r="A194" s="318"/>
      <c r="B194" s="318"/>
      <c r="C194" s="318"/>
      <c r="D194" s="318"/>
      <c r="E194" s="318"/>
      <c r="F194" s="318"/>
      <c r="G194" s="318"/>
      <c r="H194" s="318"/>
      <c r="I194" s="318"/>
      <c r="J194" s="318"/>
      <c r="K194" s="318"/>
      <c r="L194" s="318"/>
      <c r="M194" s="318"/>
      <c r="N194" s="318"/>
      <c r="O194" s="318"/>
      <c r="P194" s="318"/>
      <c r="Q194" s="318"/>
      <c r="R194" s="318"/>
      <c r="S194" s="318"/>
      <c r="T194" s="318"/>
      <c r="U194" s="318"/>
      <c r="V194" s="318"/>
      <c r="W194" s="318"/>
      <c r="X194" s="318"/>
      <c r="Y194" s="318"/>
      <c r="Z194" s="318"/>
    </row>
    <row r="195" ht="15.75" customHeight="1">
      <c r="A195" s="318"/>
      <c r="B195" s="318"/>
      <c r="C195" s="318"/>
      <c r="D195" s="318"/>
      <c r="E195" s="318"/>
      <c r="F195" s="318"/>
      <c r="G195" s="318"/>
      <c r="H195" s="318"/>
      <c r="I195" s="318"/>
      <c r="J195" s="318"/>
      <c r="K195" s="318"/>
      <c r="L195" s="318"/>
      <c r="M195" s="318"/>
      <c r="N195" s="318"/>
      <c r="O195" s="318"/>
      <c r="P195" s="318"/>
      <c r="Q195" s="318"/>
      <c r="R195" s="318"/>
      <c r="S195" s="318"/>
      <c r="T195" s="318"/>
      <c r="U195" s="318"/>
      <c r="V195" s="318"/>
      <c r="W195" s="318"/>
      <c r="X195" s="318"/>
      <c r="Y195" s="318"/>
      <c r="Z195" s="318"/>
    </row>
    <row r="196" ht="15.75" customHeight="1">
      <c r="A196" s="318"/>
      <c r="B196" s="318"/>
      <c r="C196" s="318"/>
      <c r="D196" s="318"/>
      <c r="E196" s="318"/>
      <c r="F196" s="318"/>
      <c r="G196" s="318"/>
      <c r="H196" s="318"/>
      <c r="I196" s="318"/>
      <c r="J196" s="318"/>
      <c r="K196" s="318"/>
      <c r="L196" s="318"/>
      <c r="M196" s="318"/>
      <c r="N196" s="318"/>
      <c r="O196" s="318"/>
      <c r="P196" s="318"/>
      <c r="Q196" s="318"/>
      <c r="R196" s="318"/>
      <c r="S196" s="318"/>
      <c r="T196" s="318"/>
      <c r="U196" s="318"/>
      <c r="V196" s="318"/>
      <c r="W196" s="318"/>
      <c r="X196" s="318"/>
      <c r="Y196" s="318"/>
      <c r="Z196" s="318"/>
    </row>
    <row r="197" ht="15.75" customHeight="1">
      <c r="A197" s="318"/>
      <c r="B197" s="318"/>
      <c r="C197" s="318"/>
      <c r="D197" s="318"/>
      <c r="E197" s="318"/>
      <c r="F197" s="318"/>
      <c r="G197" s="318"/>
      <c r="H197" s="318"/>
      <c r="I197" s="318"/>
      <c r="J197" s="318"/>
      <c r="K197" s="318"/>
      <c r="L197" s="318"/>
      <c r="M197" s="318"/>
      <c r="N197" s="318"/>
      <c r="O197" s="318"/>
      <c r="P197" s="318"/>
      <c r="Q197" s="318"/>
      <c r="R197" s="318"/>
      <c r="S197" s="318"/>
      <c r="T197" s="318"/>
      <c r="U197" s="318"/>
      <c r="V197" s="318"/>
      <c r="W197" s="318"/>
      <c r="X197" s="318"/>
      <c r="Y197" s="318"/>
      <c r="Z197" s="318"/>
    </row>
    <row r="198" ht="15.75" customHeight="1">
      <c r="A198" s="318"/>
      <c r="B198" s="318"/>
      <c r="C198" s="318"/>
      <c r="D198" s="318"/>
      <c r="E198" s="318"/>
      <c r="F198" s="318"/>
      <c r="G198" s="318"/>
      <c r="H198" s="318"/>
      <c r="I198" s="318"/>
      <c r="J198" s="318"/>
      <c r="K198" s="318"/>
      <c r="L198" s="318"/>
      <c r="M198" s="318"/>
      <c r="N198" s="318"/>
      <c r="O198" s="318"/>
      <c r="P198" s="318"/>
      <c r="Q198" s="318"/>
      <c r="R198" s="318"/>
      <c r="S198" s="318"/>
      <c r="T198" s="318"/>
      <c r="U198" s="318"/>
      <c r="V198" s="318"/>
      <c r="W198" s="318"/>
      <c r="X198" s="318"/>
      <c r="Y198" s="318"/>
      <c r="Z198" s="318"/>
    </row>
    <row r="199" ht="15.75" customHeight="1">
      <c r="A199" s="318"/>
      <c r="B199" s="318"/>
      <c r="C199" s="318"/>
      <c r="D199" s="318"/>
      <c r="E199" s="318"/>
      <c r="F199" s="318"/>
      <c r="G199" s="318"/>
      <c r="H199" s="318"/>
      <c r="I199" s="318"/>
      <c r="J199" s="318"/>
      <c r="K199" s="318"/>
      <c r="L199" s="318"/>
      <c r="M199" s="318"/>
      <c r="N199" s="318"/>
      <c r="O199" s="318"/>
      <c r="P199" s="318"/>
      <c r="Q199" s="318"/>
      <c r="R199" s="318"/>
      <c r="S199" s="318"/>
      <c r="T199" s="318"/>
      <c r="U199" s="318"/>
      <c r="V199" s="318"/>
      <c r="W199" s="318"/>
      <c r="X199" s="318"/>
      <c r="Y199" s="318"/>
      <c r="Z199" s="318"/>
    </row>
    <row r="200" ht="15.75" customHeight="1">
      <c r="A200" s="318"/>
      <c r="B200" s="318"/>
      <c r="C200" s="318"/>
      <c r="D200" s="318"/>
      <c r="E200" s="318"/>
      <c r="F200" s="318"/>
      <c r="G200" s="318"/>
      <c r="H200" s="318"/>
      <c r="I200" s="318"/>
      <c r="J200" s="318"/>
      <c r="K200" s="318"/>
      <c r="L200" s="318"/>
      <c r="M200" s="318"/>
      <c r="N200" s="318"/>
      <c r="O200" s="318"/>
      <c r="P200" s="318"/>
      <c r="Q200" s="318"/>
      <c r="R200" s="318"/>
      <c r="S200" s="318"/>
      <c r="T200" s="318"/>
      <c r="U200" s="318"/>
      <c r="V200" s="318"/>
      <c r="W200" s="318"/>
      <c r="X200" s="318"/>
      <c r="Y200" s="318"/>
      <c r="Z200" s="318"/>
    </row>
    <row r="201" ht="15.75" customHeight="1">
      <c r="A201" s="318"/>
      <c r="B201" s="318"/>
      <c r="C201" s="318"/>
      <c r="D201" s="318"/>
      <c r="E201" s="318"/>
      <c r="F201" s="318"/>
      <c r="G201" s="318"/>
      <c r="H201" s="318"/>
      <c r="I201" s="318"/>
      <c r="J201" s="318"/>
      <c r="K201" s="318"/>
      <c r="L201" s="318"/>
      <c r="M201" s="318"/>
      <c r="N201" s="318"/>
      <c r="O201" s="318"/>
      <c r="P201" s="318"/>
      <c r="Q201" s="318"/>
      <c r="R201" s="318"/>
      <c r="S201" s="318"/>
      <c r="T201" s="318"/>
      <c r="U201" s="318"/>
      <c r="V201" s="318"/>
      <c r="W201" s="318"/>
      <c r="X201" s="318"/>
      <c r="Y201" s="318"/>
      <c r="Z201" s="318"/>
    </row>
    <row r="202" ht="15.75" customHeight="1">
      <c r="A202" s="318"/>
      <c r="B202" s="318"/>
      <c r="C202" s="318"/>
      <c r="D202" s="318"/>
      <c r="E202" s="318"/>
      <c r="F202" s="318"/>
      <c r="G202" s="318"/>
      <c r="H202" s="318"/>
      <c r="I202" s="318"/>
      <c r="J202" s="318"/>
      <c r="K202" s="318"/>
      <c r="L202" s="318"/>
      <c r="M202" s="318"/>
      <c r="N202" s="318"/>
      <c r="O202" s="318"/>
      <c r="P202" s="318"/>
      <c r="Q202" s="318"/>
      <c r="R202" s="318"/>
      <c r="S202" s="318"/>
      <c r="T202" s="318"/>
      <c r="U202" s="318"/>
      <c r="V202" s="318"/>
      <c r="W202" s="318"/>
      <c r="X202" s="318"/>
      <c r="Y202" s="318"/>
      <c r="Z202" s="318"/>
    </row>
    <row r="203" ht="15.75" customHeight="1">
      <c r="A203" s="318"/>
      <c r="B203" s="318"/>
      <c r="C203" s="318"/>
      <c r="D203" s="318"/>
      <c r="E203" s="318"/>
      <c r="F203" s="318"/>
      <c r="G203" s="318"/>
      <c r="H203" s="318"/>
      <c r="I203" s="318"/>
      <c r="J203" s="318"/>
      <c r="K203" s="318"/>
      <c r="L203" s="318"/>
      <c r="M203" s="318"/>
      <c r="N203" s="318"/>
      <c r="O203" s="318"/>
      <c r="P203" s="318"/>
      <c r="Q203" s="318"/>
      <c r="R203" s="318"/>
      <c r="S203" s="318"/>
      <c r="T203" s="318"/>
      <c r="U203" s="318"/>
      <c r="V203" s="318"/>
      <c r="W203" s="318"/>
      <c r="X203" s="318"/>
      <c r="Y203" s="318"/>
      <c r="Z203" s="318"/>
    </row>
    <row r="204" ht="15.75" customHeight="1">
      <c r="A204" s="318"/>
      <c r="B204" s="318"/>
      <c r="C204" s="318"/>
      <c r="D204" s="318"/>
      <c r="E204" s="318"/>
      <c r="F204" s="318"/>
      <c r="G204" s="318"/>
      <c r="H204" s="318"/>
      <c r="I204" s="318"/>
      <c r="J204" s="318"/>
      <c r="K204" s="318"/>
      <c r="L204" s="318"/>
      <c r="M204" s="318"/>
      <c r="N204" s="318"/>
      <c r="O204" s="318"/>
      <c r="P204" s="318"/>
      <c r="Q204" s="318"/>
      <c r="R204" s="318"/>
      <c r="S204" s="318"/>
      <c r="T204" s="318"/>
      <c r="U204" s="318"/>
      <c r="V204" s="318"/>
      <c r="W204" s="318"/>
      <c r="X204" s="318"/>
      <c r="Y204" s="318"/>
      <c r="Z204" s="318"/>
    </row>
    <row r="205" ht="15.75" customHeight="1">
      <c r="A205" s="318"/>
      <c r="B205" s="318"/>
      <c r="C205" s="318"/>
      <c r="D205" s="318"/>
      <c r="E205" s="318"/>
      <c r="F205" s="318"/>
      <c r="G205" s="318"/>
      <c r="H205" s="318"/>
      <c r="I205" s="318"/>
      <c r="J205" s="318"/>
      <c r="K205" s="318"/>
      <c r="L205" s="318"/>
      <c r="M205" s="318"/>
      <c r="N205" s="318"/>
      <c r="O205" s="318"/>
      <c r="P205" s="318"/>
      <c r="Q205" s="318"/>
      <c r="R205" s="318"/>
      <c r="S205" s="318"/>
      <c r="T205" s="318"/>
      <c r="U205" s="318"/>
      <c r="V205" s="318"/>
      <c r="W205" s="318"/>
      <c r="X205" s="318"/>
      <c r="Y205" s="318"/>
      <c r="Z205" s="318"/>
    </row>
    <row r="206" ht="15.75" customHeight="1">
      <c r="A206" s="318"/>
      <c r="B206" s="318"/>
      <c r="C206" s="318"/>
      <c r="D206" s="318"/>
      <c r="E206" s="318"/>
      <c r="F206" s="318"/>
      <c r="G206" s="318"/>
      <c r="H206" s="318"/>
      <c r="I206" s="318"/>
      <c r="J206" s="318"/>
      <c r="K206" s="318"/>
      <c r="L206" s="318"/>
      <c r="M206" s="318"/>
      <c r="N206" s="318"/>
      <c r="O206" s="318"/>
      <c r="P206" s="318"/>
      <c r="Q206" s="318"/>
      <c r="R206" s="318"/>
      <c r="S206" s="318"/>
      <c r="T206" s="318"/>
      <c r="U206" s="318"/>
      <c r="V206" s="318"/>
      <c r="W206" s="318"/>
      <c r="X206" s="318"/>
      <c r="Y206" s="318"/>
      <c r="Z206" s="318"/>
    </row>
    <row r="207" ht="15.75" customHeight="1">
      <c r="A207" s="318"/>
      <c r="B207" s="318"/>
      <c r="C207" s="318"/>
      <c r="D207" s="318"/>
      <c r="E207" s="318"/>
      <c r="F207" s="318"/>
      <c r="G207" s="318"/>
      <c r="H207" s="318"/>
      <c r="I207" s="318"/>
      <c r="J207" s="318"/>
      <c r="K207" s="318"/>
      <c r="L207" s="318"/>
      <c r="M207" s="318"/>
      <c r="N207" s="318"/>
      <c r="O207" s="318"/>
      <c r="P207" s="318"/>
      <c r="Q207" s="318"/>
      <c r="R207" s="318"/>
      <c r="S207" s="318"/>
      <c r="T207" s="318"/>
      <c r="U207" s="318"/>
      <c r="V207" s="318"/>
      <c r="W207" s="318"/>
      <c r="X207" s="318"/>
      <c r="Y207" s="318"/>
      <c r="Z207" s="318"/>
    </row>
    <row r="208" ht="15.75" customHeight="1">
      <c r="A208" s="318"/>
      <c r="B208" s="318"/>
      <c r="C208" s="318"/>
      <c r="D208" s="318"/>
      <c r="E208" s="318"/>
      <c r="F208" s="318"/>
      <c r="G208" s="318"/>
      <c r="H208" s="318"/>
      <c r="I208" s="318"/>
      <c r="J208" s="318"/>
      <c r="K208" s="318"/>
      <c r="L208" s="318"/>
      <c r="M208" s="318"/>
      <c r="N208" s="318"/>
      <c r="O208" s="318"/>
      <c r="P208" s="318"/>
      <c r="Q208" s="318"/>
      <c r="R208" s="318"/>
      <c r="S208" s="318"/>
      <c r="T208" s="318"/>
      <c r="U208" s="318"/>
      <c r="V208" s="318"/>
      <c r="W208" s="318"/>
      <c r="X208" s="318"/>
      <c r="Y208" s="318"/>
      <c r="Z208" s="318"/>
    </row>
    <row r="209" ht="15.75" customHeight="1">
      <c r="A209" s="318"/>
      <c r="B209" s="318"/>
      <c r="C209" s="318"/>
      <c r="D209" s="318"/>
      <c r="E209" s="318"/>
      <c r="F209" s="318"/>
      <c r="G209" s="318"/>
      <c r="H209" s="318"/>
      <c r="I209" s="318"/>
      <c r="J209" s="318"/>
      <c r="K209" s="318"/>
      <c r="L209" s="318"/>
      <c r="M209" s="318"/>
      <c r="N209" s="318"/>
      <c r="O209" s="318"/>
      <c r="P209" s="318"/>
      <c r="Q209" s="318"/>
      <c r="R209" s="318"/>
      <c r="S209" s="318"/>
      <c r="T209" s="318"/>
      <c r="U209" s="318"/>
      <c r="V209" s="318"/>
      <c r="W209" s="318"/>
      <c r="X209" s="318"/>
      <c r="Y209" s="318"/>
      <c r="Z209" s="318"/>
    </row>
    <row r="210" ht="15.75" customHeight="1">
      <c r="A210" s="318"/>
      <c r="B210" s="318"/>
      <c r="C210" s="318"/>
      <c r="D210" s="318"/>
      <c r="E210" s="318"/>
      <c r="F210" s="318"/>
      <c r="G210" s="318"/>
      <c r="H210" s="318"/>
      <c r="I210" s="318"/>
      <c r="J210" s="318"/>
      <c r="K210" s="318"/>
      <c r="L210" s="318"/>
      <c r="M210" s="318"/>
      <c r="N210" s="318"/>
      <c r="O210" s="318"/>
      <c r="P210" s="318"/>
      <c r="Q210" s="318"/>
      <c r="R210" s="318"/>
      <c r="S210" s="318"/>
      <c r="T210" s="318"/>
      <c r="U210" s="318"/>
      <c r="V210" s="318"/>
      <c r="W210" s="318"/>
      <c r="X210" s="318"/>
      <c r="Y210" s="318"/>
      <c r="Z210" s="318"/>
    </row>
    <row r="211" ht="15.75" customHeight="1">
      <c r="A211" s="318"/>
      <c r="B211" s="318"/>
      <c r="C211" s="318"/>
      <c r="D211" s="318"/>
      <c r="E211" s="318"/>
      <c r="F211" s="318"/>
      <c r="G211" s="318"/>
      <c r="H211" s="318"/>
      <c r="I211" s="318"/>
      <c r="J211" s="318"/>
      <c r="K211" s="318"/>
      <c r="L211" s="318"/>
      <c r="M211" s="318"/>
      <c r="N211" s="318"/>
      <c r="O211" s="318"/>
      <c r="P211" s="318"/>
      <c r="Q211" s="318"/>
      <c r="R211" s="318"/>
      <c r="S211" s="318"/>
      <c r="T211" s="318"/>
      <c r="U211" s="318"/>
      <c r="V211" s="318"/>
      <c r="W211" s="318"/>
      <c r="X211" s="318"/>
      <c r="Y211" s="318"/>
      <c r="Z211" s="318"/>
    </row>
    <row r="212" ht="15.75" customHeight="1">
      <c r="A212" s="318"/>
      <c r="B212" s="318"/>
      <c r="C212" s="318"/>
      <c r="D212" s="318"/>
      <c r="E212" s="318"/>
      <c r="F212" s="318"/>
      <c r="G212" s="318"/>
      <c r="H212" s="318"/>
      <c r="I212" s="318"/>
      <c r="J212" s="318"/>
      <c r="K212" s="318"/>
      <c r="L212" s="318"/>
      <c r="M212" s="318"/>
      <c r="N212" s="318"/>
      <c r="O212" s="318"/>
      <c r="P212" s="318"/>
      <c r="Q212" s="318"/>
      <c r="R212" s="318"/>
      <c r="S212" s="318"/>
      <c r="T212" s="318"/>
      <c r="U212" s="318"/>
      <c r="V212" s="318"/>
      <c r="W212" s="318"/>
      <c r="X212" s="318"/>
      <c r="Y212" s="318"/>
      <c r="Z212" s="318"/>
    </row>
    <row r="213" ht="15.75" customHeight="1">
      <c r="A213" s="318"/>
      <c r="B213" s="318"/>
      <c r="C213" s="318"/>
      <c r="D213" s="318"/>
      <c r="E213" s="318"/>
      <c r="F213" s="318"/>
      <c r="G213" s="318"/>
      <c r="H213" s="318"/>
      <c r="I213" s="318"/>
      <c r="J213" s="318"/>
      <c r="K213" s="318"/>
      <c r="L213" s="318"/>
      <c r="M213" s="318"/>
      <c r="N213" s="318"/>
      <c r="O213" s="318"/>
      <c r="P213" s="318"/>
      <c r="Q213" s="318"/>
      <c r="R213" s="318"/>
      <c r="S213" s="318"/>
      <c r="T213" s="318"/>
      <c r="U213" s="318"/>
      <c r="V213" s="318"/>
      <c r="W213" s="318"/>
      <c r="X213" s="318"/>
      <c r="Y213" s="318"/>
      <c r="Z213" s="318"/>
    </row>
    <row r="214" ht="15.75" customHeight="1">
      <c r="A214" s="318"/>
      <c r="B214" s="318"/>
      <c r="C214" s="318"/>
      <c r="D214" s="318"/>
      <c r="E214" s="318"/>
      <c r="F214" s="318"/>
      <c r="G214" s="318"/>
      <c r="H214" s="318"/>
      <c r="I214" s="318"/>
      <c r="J214" s="318"/>
      <c r="K214" s="318"/>
      <c r="L214" s="318"/>
      <c r="M214" s="318"/>
      <c r="N214" s="318"/>
      <c r="O214" s="318"/>
      <c r="P214" s="318"/>
      <c r="Q214" s="318"/>
      <c r="R214" s="318"/>
      <c r="S214" s="318"/>
      <c r="T214" s="318"/>
      <c r="U214" s="318"/>
      <c r="V214" s="318"/>
      <c r="W214" s="318"/>
      <c r="X214" s="318"/>
      <c r="Y214" s="318"/>
      <c r="Z214" s="318"/>
    </row>
    <row r="215" ht="15.75" customHeight="1">
      <c r="A215" s="318"/>
      <c r="B215" s="318"/>
      <c r="C215" s="318"/>
      <c r="D215" s="318"/>
      <c r="E215" s="318"/>
      <c r="F215" s="318"/>
      <c r="G215" s="318"/>
      <c r="H215" s="318"/>
      <c r="I215" s="318"/>
      <c r="J215" s="318"/>
      <c r="K215" s="318"/>
      <c r="L215" s="318"/>
      <c r="M215" s="318"/>
      <c r="N215" s="318"/>
      <c r="O215" s="318"/>
      <c r="P215" s="318"/>
      <c r="Q215" s="318"/>
      <c r="R215" s="318"/>
      <c r="S215" s="318"/>
      <c r="T215" s="318"/>
      <c r="U215" s="318"/>
      <c r="V215" s="318"/>
      <c r="W215" s="318"/>
      <c r="X215" s="318"/>
      <c r="Y215" s="318"/>
      <c r="Z215" s="318"/>
    </row>
    <row r="216" ht="15.75" customHeight="1">
      <c r="A216" s="318"/>
      <c r="B216" s="318"/>
      <c r="C216" s="318"/>
      <c r="D216" s="318"/>
      <c r="E216" s="318"/>
      <c r="F216" s="318"/>
      <c r="G216" s="318"/>
      <c r="H216" s="318"/>
      <c r="I216" s="318"/>
      <c r="J216" s="318"/>
      <c r="K216" s="318"/>
      <c r="L216" s="318"/>
      <c r="M216" s="318"/>
      <c r="N216" s="318"/>
      <c r="O216" s="318"/>
      <c r="P216" s="318"/>
      <c r="Q216" s="318"/>
      <c r="R216" s="318"/>
      <c r="S216" s="318"/>
      <c r="T216" s="318"/>
      <c r="U216" s="318"/>
      <c r="V216" s="318"/>
      <c r="W216" s="318"/>
      <c r="X216" s="318"/>
      <c r="Y216" s="318"/>
      <c r="Z216" s="318"/>
    </row>
    <row r="217" ht="15.75" customHeight="1">
      <c r="A217" s="318"/>
      <c r="B217" s="318"/>
      <c r="C217" s="318"/>
      <c r="D217" s="318"/>
      <c r="E217" s="318"/>
      <c r="F217" s="318"/>
      <c r="G217" s="318"/>
      <c r="H217" s="318"/>
      <c r="I217" s="318"/>
      <c r="J217" s="318"/>
      <c r="K217" s="318"/>
      <c r="L217" s="318"/>
      <c r="M217" s="318"/>
      <c r="N217" s="318"/>
      <c r="O217" s="318"/>
      <c r="P217" s="318"/>
      <c r="Q217" s="318"/>
      <c r="R217" s="318"/>
      <c r="S217" s="318"/>
      <c r="T217" s="318"/>
      <c r="U217" s="318"/>
      <c r="V217" s="318"/>
      <c r="W217" s="318"/>
      <c r="X217" s="318"/>
      <c r="Y217" s="318"/>
      <c r="Z217" s="318"/>
    </row>
    <row r="218" ht="15.75" customHeight="1">
      <c r="A218" s="318"/>
      <c r="B218" s="318"/>
      <c r="C218" s="318"/>
      <c r="D218" s="318"/>
      <c r="E218" s="318"/>
      <c r="F218" s="318"/>
      <c r="G218" s="318"/>
      <c r="H218" s="318"/>
      <c r="I218" s="318"/>
      <c r="J218" s="318"/>
      <c r="K218" s="318"/>
      <c r="L218" s="318"/>
      <c r="M218" s="318"/>
      <c r="N218" s="318"/>
      <c r="O218" s="318"/>
      <c r="P218" s="318"/>
      <c r="Q218" s="318"/>
      <c r="R218" s="318"/>
      <c r="S218" s="318"/>
      <c r="T218" s="318"/>
      <c r="U218" s="318"/>
      <c r="V218" s="318"/>
      <c r="W218" s="318"/>
      <c r="X218" s="318"/>
      <c r="Y218" s="318"/>
      <c r="Z218" s="318"/>
    </row>
    <row r="219" ht="15.75" customHeight="1">
      <c r="A219" s="318"/>
      <c r="B219" s="318"/>
      <c r="C219" s="318"/>
      <c r="D219" s="318"/>
      <c r="E219" s="318"/>
      <c r="F219" s="318"/>
      <c r="G219" s="318"/>
      <c r="H219" s="318"/>
      <c r="I219" s="318"/>
      <c r="J219" s="318"/>
      <c r="K219" s="318"/>
      <c r="L219" s="318"/>
      <c r="M219" s="318"/>
      <c r="N219" s="318"/>
      <c r="O219" s="318"/>
      <c r="P219" s="318"/>
      <c r="Q219" s="318"/>
      <c r="R219" s="318"/>
      <c r="S219" s="318"/>
      <c r="T219" s="318"/>
      <c r="U219" s="318"/>
      <c r="V219" s="318"/>
      <c r="W219" s="318"/>
      <c r="X219" s="318"/>
      <c r="Y219" s="318"/>
      <c r="Z219" s="318"/>
    </row>
    <row r="220" ht="15.75" customHeight="1">
      <c r="A220" s="318"/>
      <c r="B220" s="318"/>
      <c r="C220" s="318"/>
      <c r="D220" s="318"/>
      <c r="E220" s="318"/>
      <c r="F220" s="318"/>
      <c r="G220" s="318"/>
      <c r="H220" s="318"/>
      <c r="I220" s="318"/>
      <c r="J220" s="318"/>
      <c r="K220" s="318"/>
      <c r="L220" s="318"/>
      <c r="M220" s="318"/>
      <c r="N220" s="318"/>
      <c r="O220" s="318"/>
      <c r="P220" s="318"/>
      <c r="Q220" s="318"/>
      <c r="R220" s="318"/>
      <c r="S220" s="318"/>
      <c r="T220" s="318"/>
      <c r="U220" s="318"/>
      <c r="V220" s="318"/>
      <c r="W220" s="318"/>
      <c r="X220" s="318"/>
      <c r="Y220" s="318"/>
      <c r="Z220" s="318"/>
    </row>
    <row r="221" ht="15.75" customHeight="1">
      <c r="A221" s="318"/>
      <c r="B221" s="318"/>
      <c r="C221" s="318"/>
      <c r="D221" s="318"/>
      <c r="E221" s="318"/>
      <c r="F221" s="318"/>
      <c r="G221" s="318"/>
      <c r="H221" s="318"/>
      <c r="I221" s="318"/>
      <c r="J221" s="318"/>
      <c r="K221" s="318"/>
      <c r="L221" s="318"/>
      <c r="M221" s="318"/>
      <c r="N221" s="318"/>
      <c r="O221" s="318"/>
      <c r="P221" s="318"/>
      <c r="Q221" s="318"/>
      <c r="R221" s="318"/>
      <c r="S221" s="318"/>
      <c r="T221" s="318"/>
      <c r="U221" s="318"/>
      <c r="V221" s="318"/>
      <c r="W221" s="318"/>
      <c r="X221" s="318"/>
      <c r="Y221" s="318"/>
      <c r="Z221" s="318"/>
    </row>
    <row r="222" ht="15.75" customHeight="1">
      <c r="A222" s="318"/>
      <c r="B222" s="318"/>
      <c r="C222" s="318"/>
      <c r="D222" s="318"/>
      <c r="E222" s="318"/>
      <c r="F222" s="318"/>
      <c r="G222" s="318"/>
      <c r="H222" s="318"/>
      <c r="I222" s="318"/>
      <c r="J222" s="318"/>
      <c r="K222" s="318"/>
      <c r="L222" s="318"/>
      <c r="M222" s="318"/>
      <c r="N222" s="318"/>
      <c r="O222" s="318"/>
      <c r="P222" s="318"/>
      <c r="Q222" s="318"/>
      <c r="R222" s="318"/>
      <c r="S222" s="318"/>
      <c r="T222" s="318"/>
      <c r="U222" s="318"/>
      <c r="V222" s="318"/>
      <c r="W222" s="318"/>
      <c r="X222" s="318"/>
      <c r="Y222" s="318"/>
      <c r="Z222" s="318"/>
    </row>
    <row r="223" ht="15.75" customHeight="1">
      <c r="A223" s="318"/>
      <c r="B223" s="318"/>
      <c r="C223" s="318"/>
      <c r="D223" s="318"/>
      <c r="E223" s="318"/>
      <c r="F223" s="318"/>
      <c r="G223" s="318"/>
      <c r="H223" s="318"/>
      <c r="I223" s="318"/>
      <c r="J223" s="318"/>
      <c r="K223" s="318"/>
      <c r="L223" s="318"/>
      <c r="M223" s="318"/>
      <c r="N223" s="318"/>
      <c r="O223" s="318"/>
      <c r="P223" s="318"/>
      <c r="Q223" s="318"/>
      <c r="R223" s="318"/>
      <c r="S223" s="318"/>
      <c r="T223" s="318"/>
      <c r="U223" s="318"/>
      <c r="V223" s="318"/>
      <c r="W223" s="318"/>
      <c r="X223" s="318"/>
      <c r="Y223" s="318"/>
      <c r="Z223" s="318"/>
    </row>
    <row r="224" ht="15.75" customHeight="1">
      <c r="A224" s="318"/>
      <c r="B224" s="318"/>
      <c r="C224" s="318"/>
      <c r="D224" s="318"/>
      <c r="E224" s="318"/>
      <c r="F224" s="318"/>
      <c r="G224" s="318"/>
      <c r="H224" s="318"/>
      <c r="I224" s="318"/>
      <c r="J224" s="318"/>
      <c r="K224" s="318"/>
      <c r="L224" s="318"/>
      <c r="M224" s="318"/>
      <c r="N224" s="318"/>
      <c r="O224" s="318"/>
      <c r="P224" s="318"/>
      <c r="Q224" s="318"/>
      <c r="R224" s="318"/>
      <c r="S224" s="318"/>
      <c r="T224" s="318"/>
      <c r="U224" s="318"/>
      <c r="V224" s="318"/>
      <c r="W224" s="318"/>
      <c r="X224" s="318"/>
      <c r="Y224" s="318"/>
      <c r="Z224" s="318"/>
    </row>
    <row r="225" ht="15.75" customHeight="1">
      <c r="A225" s="318"/>
      <c r="B225" s="318"/>
      <c r="C225" s="318"/>
      <c r="D225" s="318"/>
      <c r="E225" s="318"/>
      <c r="F225" s="318"/>
      <c r="G225" s="318"/>
      <c r="H225" s="318"/>
      <c r="I225" s="318"/>
      <c r="J225" s="318"/>
      <c r="K225" s="318"/>
      <c r="L225" s="318"/>
      <c r="M225" s="318"/>
      <c r="N225" s="318"/>
      <c r="O225" s="318"/>
      <c r="P225" s="318"/>
      <c r="Q225" s="318"/>
      <c r="R225" s="318"/>
      <c r="S225" s="318"/>
      <c r="T225" s="318"/>
      <c r="U225" s="318"/>
      <c r="V225" s="318"/>
      <c r="W225" s="318"/>
      <c r="X225" s="318"/>
      <c r="Y225" s="318"/>
      <c r="Z225" s="318"/>
    </row>
    <row r="226" ht="15.75" customHeight="1">
      <c r="A226" s="318"/>
      <c r="B226" s="318"/>
      <c r="C226" s="318"/>
      <c r="D226" s="318"/>
      <c r="E226" s="318"/>
      <c r="F226" s="318"/>
      <c r="G226" s="318"/>
      <c r="H226" s="318"/>
      <c r="I226" s="318"/>
      <c r="J226" s="318"/>
      <c r="K226" s="318"/>
      <c r="L226" s="318"/>
      <c r="M226" s="318"/>
      <c r="N226" s="318"/>
      <c r="O226" s="318"/>
      <c r="P226" s="318"/>
      <c r="Q226" s="318"/>
      <c r="R226" s="318"/>
      <c r="S226" s="318"/>
      <c r="T226" s="318"/>
      <c r="U226" s="318"/>
      <c r="V226" s="318"/>
      <c r="W226" s="318"/>
      <c r="X226" s="318"/>
      <c r="Y226" s="318"/>
      <c r="Z226" s="318"/>
    </row>
    <row r="227" ht="15.75" customHeight="1">
      <c r="A227" s="318"/>
      <c r="B227" s="318"/>
      <c r="C227" s="318"/>
      <c r="D227" s="318"/>
      <c r="E227" s="318"/>
      <c r="F227" s="318"/>
      <c r="G227" s="318"/>
      <c r="H227" s="318"/>
      <c r="I227" s="318"/>
      <c r="J227" s="318"/>
      <c r="K227" s="318"/>
      <c r="L227" s="318"/>
      <c r="M227" s="318"/>
      <c r="N227" s="318"/>
      <c r="O227" s="318"/>
      <c r="P227" s="318"/>
      <c r="Q227" s="318"/>
      <c r="R227" s="318"/>
      <c r="S227" s="318"/>
      <c r="T227" s="318"/>
      <c r="U227" s="318"/>
      <c r="V227" s="318"/>
      <c r="W227" s="318"/>
      <c r="X227" s="318"/>
      <c r="Y227" s="318"/>
      <c r="Z227" s="318"/>
    </row>
    <row r="228" ht="15.75" customHeight="1">
      <c r="A228" s="318"/>
      <c r="B228" s="318"/>
      <c r="C228" s="318"/>
      <c r="D228" s="318"/>
      <c r="E228" s="318"/>
      <c r="F228" s="318"/>
      <c r="G228" s="318"/>
      <c r="H228" s="318"/>
      <c r="I228" s="318"/>
      <c r="J228" s="318"/>
      <c r="K228" s="318"/>
      <c r="L228" s="318"/>
      <c r="M228" s="318"/>
      <c r="N228" s="318"/>
      <c r="O228" s="318"/>
      <c r="P228" s="318"/>
      <c r="Q228" s="318"/>
      <c r="R228" s="318"/>
      <c r="S228" s="318"/>
      <c r="T228" s="318"/>
      <c r="U228" s="318"/>
      <c r="V228" s="318"/>
      <c r="W228" s="318"/>
      <c r="X228" s="318"/>
      <c r="Y228" s="318"/>
      <c r="Z228" s="318"/>
    </row>
    <row r="229" ht="15.75" customHeight="1">
      <c r="A229" s="318"/>
      <c r="B229" s="318"/>
      <c r="C229" s="318"/>
      <c r="D229" s="318"/>
      <c r="E229" s="318"/>
      <c r="F229" s="318"/>
      <c r="G229" s="318"/>
      <c r="H229" s="318"/>
      <c r="I229" s="318"/>
      <c r="J229" s="318"/>
      <c r="K229" s="318"/>
      <c r="L229" s="318"/>
      <c r="M229" s="318"/>
      <c r="N229" s="318"/>
      <c r="O229" s="318"/>
      <c r="P229" s="318"/>
      <c r="Q229" s="318"/>
      <c r="R229" s="318"/>
      <c r="S229" s="318"/>
      <c r="T229" s="318"/>
      <c r="U229" s="318"/>
      <c r="V229" s="318"/>
      <c r="W229" s="318"/>
      <c r="X229" s="318"/>
      <c r="Y229" s="318"/>
      <c r="Z229" s="318"/>
    </row>
    <row r="230" ht="15.75" customHeight="1">
      <c r="A230" s="318"/>
      <c r="B230" s="318"/>
      <c r="C230" s="318"/>
      <c r="D230" s="318"/>
      <c r="E230" s="318"/>
      <c r="F230" s="318"/>
      <c r="G230" s="318"/>
      <c r="H230" s="318"/>
      <c r="I230" s="318"/>
      <c r="J230" s="318"/>
      <c r="K230" s="318"/>
      <c r="L230" s="318"/>
      <c r="M230" s="318"/>
      <c r="N230" s="318"/>
      <c r="O230" s="318"/>
      <c r="P230" s="318"/>
      <c r="Q230" s="318"/>
      <c r="R230" s="318"/>
      <c r="S230" s="318"/>
      <c r="T230" s="318"/>
      <c r="U230" s="318"/>
      <c r="V230" s="318"/>
      <c r="W230" s="318"/>
      <c r="X230" s="318"/>
      <c r="Y230" s="318"/>
      <c r="Z230" s="318"/>
    </row>
    <row r="231" ht="15.75" customHeight="1">
      <c r="A231" s="318"/>
      <c r="B231" s="318"/>
      <c r="C231" s="318"/>
      <c r="D231" s="318"/>
      <c r="E231" s="318"/>
      <c r="F231" s="318"/>
      <c r="G231" s="318"/>
      <c r="H231" s="318"/>
      <c r="I231" s="318"/>
      <c r="J231" s="318"/>
      <c r="K231" s="318"/>
      <c r="L231" s="318"/>
      <c r="M231" s="318"/>
      <c r="N231" s="318"/>
      <c r="O231" s="318"/>
      <c r="P231" s="318"/>
      <c r="Q231" s="318"/>
      <c r="R231" s="318"/>
      <c r="S231" s="318"/>
      <c r="T231" s="318"/>
      <c r="U231" s="318"/>
      <c r="V231" s="318"/>
      <c r="W231" s="318"/>
      <c r="X231" s="318"/>
      <c r="Y231" s="318"/>
      <c r="Z231" s="318"/>
    </row>
    <row r="232" ht="15.75" customHeight="1">
      <c r="A232" s="318"/>
      <c r="B232" s="318"/>
      <c r="C232" s="318"/>
      <c r="D232" s="318"/>
      <c r="E232" s="318"/>
      <c r="F232" s="318"/>
      <c r="G232" s="318"/>
      <c r="H232" s="318"/>
      <c r="I232" s="318"/>
      <c r="J232" s="318"/>
      <c r="K232" s="318"/>
      <c r="L232" s="318"/>
      <c r="M232" s="318"/>
      <c r="N232" s="318"/>
      <c r="O232" s="318"/>
      <c r="P232" s="318"/>
      <c r="Q232" s="318"/>
      <c r="R232" s="318"/>
      <c r="S232" s="318"/>
      <c r="T232" s="318"/>
      <c r="U232" s="318"/>
      <c r="V232" s="318"/>
      <c r="W232" s="318"/>
      <c r="X232" s="318"/>
      <c r="Y232" s="318"/>
      <c r="Z232" s="318"/>
    </row>
    <row r="233" ht="15.75" customHeight="1">
      <c r="A233" s="318"/>
      <c r="B233" s="318"/>
      <c r="C233" s="318"/>
      <c r="D233" s="318"/>
      <c r="E233" s="318"/>
      <c r="F233" s="318"/>
      <c r="G233" s="318"/>
      <c r="H233" s="318"/>
      <c r="I233" s="318"/>
      <c r="J233" s="318"/>
      <c r="K233" s="318"/>
      <c r="L233" s="318"/>
      <c r="M233" s="318"/>
      <c r="N233" s="318"/>
      <c r="O233" s="318"/>
      <c r="P233" s="318"/>
      <c r="Q233" s="318"/>
      <c r="R233" s="318"/>
      <c r="S233" s="318"/>
      <c r="T233" s="318"/>
      <c r="U233" s="318"/>
      <c r="V233" s="318"/>
      <c r="W233" s="318"/>
      <c r="X233" s="318"/>
      <c r="Y233" s="318"/>
      <c r="Z233" s="318"/>
    </row>
    <row r="234" ht="15.75" customHeight="1">
      <c r="A234" s="318"/>
      <c r="B234" s="318"/>
      <c r="C234" s="318"/>
      <c r="D234" s="318"/>
      <c r="E234" s="318"/>
      <c r="F234" s="318"/>
      <c r="G234" s="318"/>
      <c r="H234" s="318"/>
      <c r="I234" s="318"/>
      <c r="J234" s="318"/>
      <c r="K234" s="318"/>
      <c r="L234" s="318"/>
      <c r="M234" s="318"/>
      <c r="N234" s="318"/>
      <c r="O234" s="318"/>
      <c r="P234" s="318"/>
      <c r="Q234" s="318"/>
      <c r="R234" s="318"/>
      <c r="S234" s="318"/>
      <c r="T234" s="318"/>
      <c r="U234" s="318"/>
      <c r="V234" s="318"/>
      <c r="W234" s="318"/>
      <c r="X234" s="318"/>
      <c r="Y234" s="318"/>
      <c r="Z234" s="318"/>
    </row>
    <row r="235" ht="15.75" customHeight="1">
      <c r="A235" s="318"/>
      <c r="B235" s="318"/>
      <c r="C235" s="318"/>
      <c r="D235" s="318"/>
      <c r="E235" s="318"/>
      <c r="F235" s="318"/>
      <c r="G235" s="318"/>
      <c r="H235" s="318"/>
      <c r="I235" s="318"/>
      <c r="J235" s="318"/>
      <c r="K235" s="318"/>
      <c r="L235" s="318"/>
      <c r="M235" s="318"/>
      <c r="N235" s="318"/>
      <c r="O235" s="318"/>
      <c r="P235" s="318"/>
      <c r="Q235" s="318"/>
      <c r="R235" s="318"/>
      <c r="S235" s="318"/>
      <c r="T235" s="318"/>
      <c r="U235" s="318"/>
      <c r="V235" s="318"/>
      <c r="W235" s="318"/>
      <c r="X235" s="318"/>
      <c r="Y235" s="318"/>
      <c r="Z235" s="318"/>
    </row>
    <row r="236" ht="15.75" customHeight="1">
      <c r="A236" s="318"/>
      <c r="B236" s="318"/>
      <c r="C236" s="318"/>
      <c r="D236" s="318"/>
      <c r="E236" s="318"/>
      <c r="F236" s="318"/>
      <c r="G236" s="318"/>
      <c r="H236" s="318"/>
      <c r="I236" s="318"/>
      <c r="J236" s="318"/>
      <c r="K236" s="318"/>
      <c r="L236" s="318"/>
      <c r="M236" s="318"/>
      <c r="N236" s="318"/>
      <c r="O236" s="318"/>
      <c r="P236" s="318"/>
      <c r="Q236" s="318"/>
      <c r="R236" s="318"/>
      <c r="S236" s="318"/>
      <c r="T236" s="318"/>
      <c r="U236" s="318"/>
      <c r="V236" s="318"/>
      <c r="W236" s="318"/>
      <c r="X236" s="318"/>
      <c r="Y236" s="318"/>
      <c r="Z236" s="318"/>
    </row>
    <row r="237" ht="15.75" customHeight="1">
      <c r="A237" s="318"/>
      <c r="B237" s="318"/>
      <c r="C237" s="318"/>
      <c r="D237" s="318"/>
      <c r="E237" s="318"/>
      <c r="F237" s="318"/>
      <c r="G237" s="318"/>
      <c r="H237" s="318"/>
      <c r="I237" s="318"/>
      <c r="J237" s="318"/>
      <c r="K237" s="318"/>
      <c r="L237" s="318"/>
      <c r="M237" s="318"/>
      <c r="N237" s="318"/>
      <c r="O237" s="318"/>
      <c r="P237" s="318"/>
      <c r="Q237" s="318"/>
      <c r="R237" s="318"/>
      <c r="S237" s="318"/>
      <c r="T237" s="318"/>
      <c r="U237" s="318"/>
      <c r="V237" s="318"/>
      <c r="W237" s="318"/>
      <c r="X237" s="318"/>
      <c r="Y237" s="318"/>
      <c r="Z237" s="318"/>
    </row>
    <row r="238" ht="15.75" customHeight="1">
      <c r="A238" s="318"/>
      <c r="B238" s="318"/>
      <c r="C238" s="318"/>
      <c r="D238" s="318"/>
      <c r="E238" s="318"/>
      <c r="F238" s="318"/>
      <c r="G238" s="318"/>
      <c r="H238" s="318"/>
      <c r="I238" s="318"/>
      <c r="J238" s="318"/>
      <c r="K238" s="318"/>
      <c r="L238" s="318"/>
      <c r="M238" s="318"/>
      <c r="N238" s="318"/>
      <c r="O238" s="318"/>
      <c r="P238" s="318"/>
      <c r="Q238" s="318"/>
      <c r="R238" s="318"/>
      <c r="S238" s="318"/>
      <c r="T238" s="318"/>
      <c r="U238" s="318"/>
      <c r="V238" s="318"/>
      <c r="W238" s="318"/>
      <c r="X238" s="318"/>
      <c r="Y238" s="318"/>
      <c r="Z238" s="318"/>
    </row>
    <row r="239" ht="15.75" customHeight="1">
      <c r="A239" s="318"/>
      <c r="B239" s="318"/>
      <c r="C239" s="318"/>
      <c r="D239" s="318"/>
      <c r="E239" s="318"/>
      <c r="F239" s="318"/>
      <c r="G239" s="318"/>
      <c r="H239" s="318"/>
      <c r="I239" s="318"/>
      <c r="J239" s="318"/>
      <c r="K239" s="318"/>
      <c r="L239" s="318"/>
      <c r="M239" s="318"/>
      <c r="N239" s="318"/>
      <c r="O239" s="318"/>
      <c r="P239" s="318"/>
      <c r="Q239" s="318"/>
      <c r="R239" s="318"/>
      <c r="S239" s="318"/>
      <c r="T239" s="318"/>
      <c r="U239" s="318"/>
      <c r="V239" s="318"/>
      <c r="W239" s="318"/>
      <c r="X239" s="318"/>
      <c r="Y239" s="318"/>
      <c r="Z239" s="318"/>
    </row>
    <row r="240" ht="15.75" customHeight="1">
      <c r="A240" s="318"/>
      <c r="B240" s="318"/>
      <c r="C240" s="318"/>
      <c r="D240" s="318"/>
      <c r="E240" s="318"/>
      <c r="F240" s="318"/>
      <c r="G240" s="318"/>
      <c r="H240" s="318"/>
      <c r="I240" s="318"/>
      <c r="J240" s="318"/>
      <c r="K240" s="318"/>
      <c r="L240" s="318"/>
      <c r="M240" s="318"/>
      <c r="N240" s="318"/>
      <c r="O240" s="318"/>
      <c r="P240" s="318"/>
      <c r="Q240" s="318"/>
      <c r="R240" s="318"/>
      <c r="S240" s="318"/>
      <c r="T240" s="318"/>
      <c r="U240" s="318"/>
      <c r="V240" s="318"/>
      <c r="W240" s="318"/>
      <c r="X240" s="318"/>
      <c r="Y240" s="318"/>
      <c r="Z240" s="318"/>
    </row>
    <row r="241" ht="15.75" customHeight="1">
      <c r="A241" s="318"/>
      <c r="B241" s="318"/>
      <c r="C241" s="318"/>
      <c r="D241" s="318"/>
      <c r="E241" s="318"/>
      <c r="F241" s="318"/>
      <c r="G241" s="318"/>
      <c r="H241" s="318"/>
      <c r="I241" s="318"/>
      <c r="J241" s="318"/>
      <c r="K241" s="318"/>
      <c r="L241" s="318"/>
      <c r="M241" s="318"/>
      <c r="N241" s="318"/>
      <c r="O241" s="318"/>
      <c r="P241" s="318"/>
      <c r="Q241" s="318"/>
      <c r="R241" s="318"/>
      <c r="S241" s="318"/>
      <c r="T241" s="318"/>
      <c r="U241" s="318"/>
      <c r="V241" s="318"/>
      <c r="W241" s="318"/>
      <c r="X241" s="318"/>
      <c r="Y241" s="318"/>
      <c r="Z241" s="318"/>
    </row>
    <row r="242" ht="15.75" customHeight="1">
      <c r="A242" s="318"/>
      <c r="B242" s="318"/>
      <c r="C242" s="318"/>
      <c r="D242" s="318"/>
      <c r="E242" s="318"/>
      <c r="F242" s="318"/>
      <c r="G242" s="318"/>
      <c r="H242" s="318"/>
      <c r="I242" s="318"/>
      <c r="J242" s="318"/>
      <c r="K242" s="318"/>
      <c r="L242" s="318"/>
      <c r="M242" s="318"/>
      <c r="N242" s="318"/>
      <c r="O242" s="318"/>
      <c r="P242" s="318"/>
      <c r="Q242" s="318"/>
      <c r="R242" s="318"/>
      <c r="S242" s="318"/>
      <c r="T242" s="318"/>
      <c r="U242" s="318"/>
      <c r="V242" s="318"/>
      <c r="W242" s="318"/>
      <c r="X242" s="318"/>
      <c r="Y242" s="318"/>
      <c r="Z242" s="318"/>
    </row>
    <row r="243" ht="15.75" customHeight="1">
      <c r="A243" s="318"/>
      <c r="B243" s="318"/>
      <c r="C243" s="318"/>
      <c r="D243" s="318"/>
      <c r="E243" s="318"/>
      <c r="F243" s="318"/>
      <c r="G243" s="318"/>
      <c r="H243" s="318"/>
      <c r="I243" s="318"/>
      <c r="J243" s="318"/>
      <c r="K243" s="318"/>
      <c r="L243" s="318"/>
      <c r="M243" s="318"/>
      <c r="N243" s="318"/>
      <c r="O243" s="318"/>
      <c r="P243" s="318"/>
      <c r="Q243" s="318"/>
      <c r="R243" s="318"/>
      <c r="S243" s="318"/>
      <c r="T243" s="318"/>
      <c r="U243" s="318"/>
      <c r="V243" s="318"/>
      <c r="W243" s="318"/>
      <c r="X243" s="318"/>
      <c r="Y243" s="318"/>
      <c r="Z243" s="318"/>
    </row>
    <row r="244" ht="15.75" customHeight="1">
      <c r="A244" s="318"/>
      <c r="B244" s="318"/>
      <c r="C244" s="318"/>
      <c r="D244" s="318"/>
      <c r="E244" s="318"/>
      <c r="F244" s="318"/>
      <c r="G244" s="318"/>
      <c r="H244" s="318"/>
      <c r="I244" s="318"/>
      <c r="J244" s="318"/>
      <c r="K244" s="318"/>
      <c r="L244" s="318"/>
      <c r="M244" s="318"/>
      <c r="N244" s="318"/>
      <c r="O244" s="318"/>
      <c r="P244" s="318"/>
      <c r="Q244" s="318"/>
      <c r="R244" s="318"/>
      <c r="S244" s="318"/>
      <c r="T244" s="318"/>
      <c r="U244" s="318"/>
      <c r="V244" s="318"/>
      <c r="W244" s="318"/>
      <c r="X244" s="318"/>
      <c r="Y244" s="318"/>
      <c r="Z244" s="318"/>
    </row>
    <row r="245" ht="15.75" customHeight="1">
      <c r="A245" s="318"/>
      <c r="B245" s="318"/>
      <c r="C245" s="318"/>
      <c r="D245" s="318"/>
      <c r="E245" s="318"/>
      <c r="F245" s="318"/>
      <c r="G245" s="318"/>
      <c r="H245" s="318"/>
      <c r="I245" s="318"/>
      <c r="J245" s="318"/>
      <c r="K245" s="318"/>
      <c r="L245" s="318"/>
      <c r="M245" s="318"/>
      <c r="N245" s="318"/>
      <c r="O245" s="318"/>
      <c r="P245" s="318"/>
      <c r="Q245" s="318"/>
      <c r="R245" s="318"/>
      <c r="S245" s="318"/>
      <c r="T245" s="318"/>
      <c r="U245" s="318"/>
      <c r="V245" s="318"/>
      <c r="W245" s="318"/>
      <c r="X245" s="318"/>
      <c r="Y245" s="318"/>
      <c r="Z245" s="318"/>
    </row>
    <row r="246" ht="15.75" customHeight="1">
      <c r="A246" s="318"/>
      <c r="B246" s="318"/>
      <c r="C246" s="318"/>
      <c r="D246" s="318"/>
      <c r="E246" s="318"/>
      <c r="F246" s="318"/>
      <c r="G246" s="318"/>
      <c r="H246" s="318"/>
      <c r="I246" s="318"/>
      <c r="J246" s="318"/>
      <c r="K246" s="318"/>
      <c r="L246" s="318"/>
      <c r="M246" s="318"/>
      <c r="N246" s="318"/>
      <c r="O246" s="318"/>
      <c r="P246" s="318"/>
      <c r="Q246" s="318"/>
      <c r="R246" s="318"/>
      <c r="S246" s="318"/>
      <c r="T246" s="318"/>
      <c r="U246" s="318"/>
      <c r="V246" s="318"/>
      <c r="W246" s="318"/>
      <c r="X246" s="318"/>
      <c r="Y246" s="318"/>
      <c r="Z246" s="318"/>
    </row>
    <row r="247" ht="15.75" customHeight="1">
      <c r="A247" s="318"/>
      <c r="B247" s="318"/>
      <c r="C247" s="318"/>
      <c r="D247" s="318"/>
      <c r="E247" s="318"/>
      <c r="F247" s="318"/>
      <c r="G247" s="318"/>
      <c r="H247" s="318"/>
      <c r="I247" s="318"/>
      <c r="J247" s="318"/>
      <c r="K247" s="318"/>
      <c r="L247" s="318"/>
      <c r="M247" s="318"/>
      <c r="N247" s="318"/>
      <c r="O247" s="318"/>
      <c r="P247" s="318"/>
      <c r="Q247" s="318"/>
      <c r="R247" s="318"/>
      <c r="S247" s="318"/>
      <c r="T247" s="318"/>
      <c r="U247" s="318"/>
      <c r="V247" s="318"/>
      <c r="W247" s="318"/>
      <c r="X247" s="318"/>
      <c r="Y247" s="318"/>
      <c r="Z247" s="318"/>
    </row>
    <row r="248" ht="15.75" customHeight="1">
      <c r="A248" s="318"/>
      <c r="B248" s="318"/>
      <c r="C248" s="318"/>
      <c r="D248" s="318"/>
      <c r="E248" s="318"/>
      <c r="F248" s="318"/>
      <c r="G248" s="318"/>
      <c r="H248" s="318"/>
      <c r="I248" s="318"/>
      <c r="J248" s="318"/>
      <c r="K248" s="318"/>
      <c r="L248" s="318"/>
      <c r="M248" s="318"/>
      <c r="N248" s="318"/>
      <c r="O248" s="318"/>
      <c r="P248" s="318"/>
      <c r="Q248" s="318"/>
      <c r="R248" s="318"/>
      <c r="S248" s="318"/>
      <c r="T248" s="318"/>
      <c r="U248" s="318"/>
      <c r="V248" s="318"/>
      <c r="W248" s="318"/>
      <c r="X248" s="318"/>
      <c r="Y248" s="318"/>
      <c r="Z248" s="318"/>
    </row>
    <row r="249" ht="15.75" customHeight="1">
      <c r="A249" s="318"/>
      <c r="B249" s="318"/>
      <c r="C249" s="318"/>
      <c r="D249" s="318"/>
      <c r="E249" s="318"/>
      <c r="F249" s="318"/>
      <c r="G249" s="318"/>
      <c r="H249" s="318"/>
      <c r="I249" s="318"/>
      <c r="J249" s="318"/>
      <c r="K249" s="318"/>
      <c r="L249" s="318"/>
      <c r="M249" s="318"/>
      <c r="N249" s="318"/>
      <c r="O249" s="318"/>
      <c r="P249" s="318"/>
      <c r="Q249" s="318"/>
      <c r="R249" s="318"/>
      <c r="S249" s="318"/>
      <c r="T249" s="318"/>
      <c r="U249" s="318"/>
      <c r="V249" s="318"/>
      <c r="W249" s="318"/>
      <c r="X249" s="318"/>
      <c r="Y249" s="318"/>
      <c r="Z249" s="318"/>
    </row>
    <row r="250" ht="15.75" customHeight="1">
      <c r="A250" s="318"/>
      <c r="B250" s="318"/>
      <c r="C250" s="318"/>
      <c r="D250" s="318"/>
      <c r="E250" s="318"/>
      <c r="F250" s="318"/>
      <c r="G250" s="318"/>
      <c r="H250" s="318"/>
      <c r="I250" s="318"/>
      <c r="J250" s="318"/>
      <c r="K250" s="318"/>
      <c r="L250" s="318"/>
      <c r="M250" s="318"/>
      <c r="N250" s="318"/>
      <c r="O250" s="318"/>
      <c r="P250" s="318"/>
      <c r="Q250" s="318"/>
      <c r="R250" s="318"/>
      <c r="S250" s="318"/>
      <c r="T250" s="318"/>
      <c r="U250" s="318"/>
      <c r="V250" s="318"/>
      <c r="W250" s="318"/>
      <c r="X250" s="318"/>
      <c r="Y250" s="318"/>
      <c r="Z250" s="318"/>
    </row>
    <row r="251" ht="15.75" customHeight="1">
      <c r="A251" s="318"/>
      <c r="B251" s="318"/>
      <c r="C251" s="318"/>
      <c r="D251" s="318"/>
      <c r="E251" s="318"/>
      <c r="F251" s="318"/>
      <c r="G251" s="318"/>
      <c r="H251" s="318"/>
      <c r="I251" s="318"/>
      <c r="J251" s="318"/>
      <c r="K251" s="318"/>
      <c r="L251" s="318"/>
      <c r="M251" s="318"/>
      <c r="N251" s="318"/>
      <c r="O251" s="318"/>
      <c r="P251" s="318"/>
      <c r="Q251" s="318"/>
      <c r="R251" s="318"/>
      <c r="S251" s="318"/>
      <c r="T251" s="318"/>
      <c r="U251" s="318"/>
      <c r="V251" s="318"/>
      <c r="W251" s="318"/>
      <c r="X251" s="318"/>
      <c r="Y251" s="318"/>
      <c r="Z251" s="318"/>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